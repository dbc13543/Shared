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1.xml" ContentType="application/vnd.openxmlformats-officedocument.drawing+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Shared\Gaming\"/>
    </mc:Choice>
  </mc:AlternateContent>
  <xr:revisionPtr revIDLastSave="0" documentId="13_ncr:1_{AB08DC37-8401-4E1F-9418-EEE4BBB694F2}" xr6:coauthVersionLast="45" xr6:coauthVersionMax="45" xr10:uidLastSave="{00000000-0000-0000-0000-000000000000}"/>
  <bookViews>
    <workbookView xWindow="-8910" yWindow="-21600" windowWidth="19010" windowHeight="21000" activeTab="1" xr2:uid="{1EC5CBCC-2FE2-45A7-A0FD-852EBDF547D2}"/>
  </bookViews>
  <sheets>
    <sheet name="Contents" sheetId="10" r:id="rId1"/>
    <sheet name="To-do" sheetId="4" r:id="rId2"/>
    <sheet name="Blueprints" sheetId="7" r:id="rId3"/>
    <sheet name="Commodities" sheetId="6" r:id="rId4"/>
    <sheet name="Shopping" sheetId="14" r:id="rId5"/>
    <sheet name="Exploration" sheetId="3" r:id="rId6"/>
    <sheet name="Materials" sheetId="1" r:id="rId7"/>
    <sheet name="Multi-Tools" sheetId="12" r:id="rId8"/>
    <sheet name="Refiner" sheetId="8" r:id="rId9"/>
    <sheet name="Cooking" sheetId="15" r:id="rId10"/>
    <sheet name="Ships" sheetId="9" r:id="rId11"/>
    <sheet name="Lookups" sheetId="5" r:id="rId12"/>
  </sheets>
  <definedNames>
    <definedName name="ExternalData_1" localSheetId="4" hidden="1">Shopping!$B$7:$D$31</definedName>
    <definedName name="iDesiredQty">Blueprints!$C$193</definedName>
    <definedName name="lsMaterials">tbMaterials[Item]</definedName>
    <definedName name="lsSystems">tbSystems[System Name]</definedName>
    <definedName name="TabNames">GET.WORKBOOK(1)&amp;REPT(NOW(),)</definedName>
    <definedName name="tbMaterialsWanted">Table19[#All]</definedName>
    <definedName name="tbTradingPartn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92" i="3" l="1"/>
  <c r="J92" i="3"/>
  <c r="K92" i="3"/>
  <c r="L92" i="3"/>
  <c r="F91" i="3"/>
  <c r="J91" i="3"/>
  <c r="K91" i="3"/>
  <c r="L91" i="3"/>
  <c r="F90" i="3"/>
  <c r="J90" i="3"/>
  <c r="K90" i="3"/>
  <c r="L90" i="3"/>
  <c r="F89" i="3" l="1"/>
  <c r="J89" i="3"/>
  <c r="K89" i="3"/>
  <c r="L89" i="3"/>
  <c r="F88" i="3"/>
  <c r="J88" i="3"/>
  <c r="K88" i="3"/>
  <c r="L88" i="3"/>
  <c r="F87" i="3"/>
  <c r="J87" i="3"/>
  <c r="K87" i="3"/>
  <c r="L87" i="3"/>
  <c r="F86" i="3"/>
  <c r="J86" i="3"/>
  <c r="K86" i="3"/>
  <c r="L86" i="3"/>
  <c r="F85" i="3"/>
  <c r="J85" i="3"/>
  <c r="K85" i="3"/>
  <c r="L85" i="3"/>
  <c r="L18" i="12" l="1"/>
  <c r="K18" i="12"/>
  <c r="J18" i="12"/>
  <c r="I18" i="12"/>
  <c r="F84" i="3" l="1"/>
  <c r="J84" i="3"/>
  <c r="K84" i="3"/>
  <c r="L84" i="3"/>
  <c r="B32" i="14" l="1"/>
  <c r="J29" i="8"/>
  <c r="K29" i="8" s="1"/>
  <c r="J37" i="8"/>
  <c r="K37" i="8" s="1"/>
  <c r="F23" i="3"/>
  <c r="J23" i="3"/>
  <c r="K23" i="3"/>
  <c r="L23" i="3"/>
  <c r="F30" i="3"/>
  <c r="J30" i="3"/>
  <c r="K30" i="3"/>
  <c r="L30" i="3"/>
  <c r="F5" i="3"/>
  <c r="J5" i="3"/>
  <c r="K5" i="3"/>
  <c r="L5" i="3"/>
  <c r="F72" i="3"/>
  <c r="J72" i="3"/>
  <c r="K72" i="3"/>
  <c r="L72" i="3"/>
  <c r="F20" i="3"/>
  <c r="J20" i="3"/>
  <c r="K20" i="3"/>
  <c r="L20" i="3"/>
  <c r="F35" i="3"/>
  <c r="J35" i="3"/>
  <c r="K35" i="3"/>
  <c r="L35" i="3"/>
  <c r="F42" i="3"/>
  <c r="J42" i="3"/>
  <c r="K42" i="3"/>
  <c r="L42" i="3"/>
  <c r="F70" i="3"/>
  <c r="J70" i="3"/>
  <c r="K70" i="3"/>
  <c r="L70" i="3"/>
  <c r="F44" i="3"/>
  <c r="J44" i="3"/>
  <c r="K44" i="3"/>
  <c r="L44" i="3"/>
  <c r="F63" i="3" l="1"/>
  <c r="J63" i="3"/>
  <c r="K63" i="3"/>
  <c r="L63" i="3"/>
  <c r="F83" i="3"/>
  <c r="J83" i="3"/>
  <c r="K83" i="3"/>
  <c r="L83" i="3"/>
  <c r="F79" i="3"/>
  <c r="J79" i="3"/>
  <c r="K79" i="3"/>
  <c r="L79" i="3"/>
  <c r="F62" i="3" l="1"/>
  <c r="J62" i="3"/>
  <c r="K62" i="3"/>
  <c r="L62" i="3"/>
  <c r="F55" i="3"/>
  <c r="J55" i="3"/>
  <c r="K55" i="3"/>
  <c r="L55" i="3"/>
  <c r="F16" i="3"/>
  <c r="J16" i="3"/>
  <c r="K16" i="3"/>
  <c r="L16" i="3"/>
  <c r="F26" i="3"/>
  <c r="K26" i="3"/>
  <c r="L26" i="3"/>
  <c r="F53" i="3"/>
  <c r="J53" i="3"/>
  <c r="K53" i="3"/>
  <c r="L53" i="3"/>
  <c r="F4" i="3"/>
  <c r="J4" i="3"/>
  <c r="K4" i="3"/>
  <c r="L4" i="3"/>
  <c r="F34" i="3"/>
  <c r="J34" i="3"/>
  <c r="K34" i="3"/>
  <c r="L34" i="3"/>
  <c r="G598" i="6"/>
  <c r="G596" i="6"/>
  <c r="G595" i="6"/>
  <c r="G592" i="6"/>
  <c r="G593" i="6" s="1"/>
  <c r="G590" i="6"/>
  <c r="G599" i="6" l="1"/>
  <c r="F33" i="3"/>
  <c r="J33" i="3"/>
  <c r="K33" i="3"/>
  <c r="L33" i="3"/>
  <c r="F96" i="15"/>
  <c r="G96" i="15"/>
  <c r="F95" i="15"/>
  <c r="G95" i="15"/>
  <c r="F242" i="1"/>
  <c r="G242" i="1" s="1"/>
  <c r="H242" i="1"/>
  <c r="I242" i="1"/>
  <c r="F94" i="15"/>
  <c r="G94" i="15"/>
  <c r="F241" i="1"/>
  <c r="G241" i="1" s="1"/>
  <c r="H241" i="1"/>
  <c r="I241" i="1"/>
  <c r="F83" i="15"/>
  <c r="G83" i="15"/>
  <c r="F24" i="1"/>
  <c r="G24" i="1" s="1"/>
  <c r="H24" i="1"/>
  <c r="I24" i="1"/>
  <c r="F43" i="15"/>
  <c r="G43" i="15"/>
  <c r="F7" i="1"/>
  <c r="G7" i="1" s="1"/>
  <c r="H7" i="1"/>
  <c r="I7" i="1"/>
  <c r="F8" i="1"/>
  <c r="G8" i="1" s="1"/>
  <c r="H8" i="1"/>
  <c r="I8" i="1"/>
  <c r="F119" i="1"/>
  <c r="G119" i="1" s="1"/>
  <c r="H119" i="1"/>
  <c r="I119" i="1"/>
  <c r="F126" i="1"/>
  <c r="G126" i="1" s="1"/>
  <c r="H126" i="1"/>
  <c r="I126" i="1"/>
  <c r="F128" i="1"/>
  <c r="G128" i="1" s="1"/>
  <c r="H128" i="1"/>
  <c r="I128" i="1"/>
  <c r="F133" i="1"/>
  <c r="G133" i="1" s="1"/>
  <c r="H133" i="1"/>
  <c r="I133" i="1"/>
  <c r="F135" i="1"/>
  <c r="G135" i="1" s="1"/>
  <c r="H135" i="1"/>
  <c r="I135" i="1"/>
  <c r="F145" i="1"/>
  <c r="G145" i="1" s="1"/>
  <c r="H145" i="1"/>
  <c r="I145" i="1"/>
  <c r="F146" i="1"/>
  <c r="G146" i="1" s="1"/>
  <c r="H146" i="1"/>
  <c r="I146" i="1"/>
  <c r="F161" i="1"/>
  <c r="G161" i="1" s="1"/>
  <c r="H161" i="1"/>
  <c r="I161" i="1"/>
  <c r="F162" i="1"/>
  <c r="G162" i="1" s="1"/>
  <c r="H162" i="1"/>
  <c r="I162" i="1"/>
  <c r="F173" i="1"/>
  <c r="G173" i="1" s="1"/>
  <c r="H173" i="1"/>
  <c r="I173" i="1"/>
  <c r="F184" i="1"/>
  <c r="G184" i="1" s="1"/>
  <c r="H184" i="1"/>
  <c r="I184" i="1"/>
  <c r="F192" i="1"/>
  <c r="G192" i="1" s="1"/>
  <c r="H192" i="1"/>
  <c r="I192" i="1"/>
  <c r="F86" i="15" l="1"/>
  <c r="G86" i="15"/>
  <c r="F87" i="15"/>
  <c r="G87" i="15"/>
  <c r="F58" i="15"/>
  <c r="G58" i="15"/>
  <c r="F49" i="15"/>
  <c r="G49" i="15"/>
  <c r="F50" i="15"/>
  <c r="G50" i="15"/>
  <c r="F51" i="15"/>
  <c r="G51" i="15"/>
  <c r="F37" i="15"/>
  <c r="G37" i="15"/>
  <c r="F7" i="15"/>
  <c r="G7" i="15"/>
  <c r="F6" i="15"/>
  <c r="G6" i="15"/>
  <c r="F85" i="1"/>
  <c r="G85" i="1" s="1"/>
  <c r="H85" i="1"/>
  <c r="I85" i="1"/>
  <c r="F48" i="15"/>
  <c r="G48" i="15"/>
  <c r="F47" i="15"/>
  <c r="G47" i="15"/>
  <c r="F46" i="15"/>
  <c r="G46" i="15"/>
  <c r="F45" i="15"/>
  <c r="G45" i="15"/>
  <c r="F152" i="1"/>
  <c r="G152" i="1" s="1"/>
  <c r="H152" i="1"/>
  <c r="I152" i="1"/>
  <c r="F85" i="15"/>
  <c r="G85" i="15"/>
  <c r="F84" i="15"/>
  <c r="G84" i="15"/>
  <c r="F208" i="1"/>
  <c r="G208" i="1" s="1"/>
  <c r="H208" i="1"/>
  <c r="I208" i="1"/>
  <c r="F44" i="15"/>
  <c r="G44" i="15"/>
  <c r="F151" i="1"/>
  <c r="G151" i="1" s="1"/>
  <c r="H151" i="1"/>
  <c r="I151" i="1"/>
  <c r="F22" i="1"/>
  <c r="G22" i="1" s="1"/>
  <c r="H22" i="1"/>
  <c r="I22" i="1"/>
  <c r="F36" i="15"/>
  <c r="G36" i="15"/>
  <c r="F107" i="1"/>
  <c r="G107" i="1" s="1"/>
  <c r="H107" i="1"/>
  <c r="I107" i="1"/>
  <c r="F42" i="15"/>
  <c r="G42" i="15"/>
  <c r="F57" i="15"/>
  <c r="G57" i="15"/>
  <c r="F178" i="1"/>
  <c r="G178" i="1" s="1"/>
  <c r="H178" i="1"/>
  <c r="I178" i="1"/>
  <c r="F23" i="1"/>
  <c r="G23" i="1" s="1"/>
  <c r="H23" i="1"/>
  <c r="I23" i="1"/>
  <c r="F40" i="15"/>
  <c r="G40" i="15"/>
  <c r="F34" i="15"/>
  <c r="G34" i="15"/>
  <c r="F179" i="1"/>
  <c r="G179" i="1" s="1"/>
  <c r="H179" i="1"/>
  <c r="I179" i="1"/>
  <c r="F91" i="1"/>
  <c r="G91" i="1" s="1"/>
  <c r="H91" i="1"/>
  <c r="I91" i="1"/>
  <c r="F39" i="15"/>
  <c r="G39" i="15"/>
  <c r="F127" i="1"/>
  <c r="G127" i="1" s="1"/>
  <c r="H127" i="1"/>
  <c r="I127" i="1"/>
  <c r="F21" i="1"/>
  <c r="G21" i="1" s="1"/>
  <c r="H21" i="1"/>
  <c r="I21" i="1"/>
  <c r="F40" i="1"/>
  <c r="G40" i="1" s="1"/>
  <c r="H40" i="1"/>
  <c r="I40" i="1"/>
  <c r="F32" i="1"/>
  <c r="G32" i="1" s="1"/>
  <c r="H32" i="1"/>
  <c r="I32" i="1"/>
  <c r="F9" i="15"/>
  <c r="G9" i="15"/>
  <c r="F8" i="15"/>
  <c r="G8" i="15"/>
  <c r="F81" i="15" l="1"/>
  <c r="G81" i="15"/>
  <c r="F80" i="15"/>
  <c r="G80" i="15"/>
  <c r="F79" i="15"/>
  <c r="G79" i="15"/>
  <c r="F78" i="15"/>
  <c r="G78" i="15"/>
  <c r="F77" i="15"/>
  <c r="G77" i="15"/>
  <c r="F76" i="15"/>
  <c r="G76" i="15"/>
  <c r="F75" i="15"/>
  <c r="G75" i="15"/>
  <c r="F74" i="15"/>
  <c r="G74" i="15"/>
  <c r="F73" i="15"/>
  <c r="G73" i="15"/>
  <c r="F202" i="1"/>
  <c r="G202" i="1" s="1"/>
  <c r="H202" i="1"/>
  <c r="I202" i="1"/>
  <c r="F64" i="15"/>
  <c r="G64" i="15"/>
  <c r="F33" i="15"/>
  <c r="G33" i="15"/>
  <c r="F60" i="15"/>
  <c r="G60" i="15"/>
  <c r="F59" i="15"/>
  <c r="G59" i="15"/>
  <c r="F92" i="15"/>
  <c r="G92" i="15"/>
  <c r="F17" i="15"/>
  <c r="G17" i="15"/>
  <c r="F16" i="15"/>
  <c r="G16" i="15"/>
  <c r="F93" i="15"/>
  <c r="G93" i="15"/>
  <c r="F104" i="1"/>
  <c r="G104" i="1" s="1"/>
  <c r="H104" i="1"/>
  <c r="I104" i="1"/>
  <c r="F112" i="1"/>
  <c r="G112" i="1" s="1"/>
  <c r="H112" i="1"/>
  <c r="I112" i="1"/>
  <c r="F224" i="1"/>
  <c r="G224" i="1" s="1"/>
  <c r="H224" i="1"/>
  <c r="I224" i="1"/>
  <c r="F58" i="1"/>
  <c r="G58" i="1" s="1"/>
  <c r="H58" i="1"/>
  <c r="I58" i="1"/>
  <c r="F84" i="1"/>
  <c r="G84" i="1" s="1"/>
  <c r="H84" i="1"/>
  <c r="I84" i="1"/>
  <c r="F195" i="1"/>
  <c r="G195" i="1" s="1"/>
  <c r="H195" i="1"/>
  <c r="I195" i="1"/>
  <c r="F41" i="15"/>
  <c r="G41" i="15"/>
  <c r="F11" i="1"/>
  <c r="G11" i="1" s="1"/>
  <c r="H11" i="1"/>
  <c r="I11" i="1"/>
  <c r="F109" i="1"/>
  <c r="G109" i="1" s="1"/>
  <c r="H109" i="1"/>
  <c r="I109" i="1"/>
  <c r="F19" i="1"/>
  <c r="G19" i="1" s="1"/>
  <c r="H19" i="1"/>
  <c r="I19" i="1"/>
  <c r="F15" i="15"/>
  <c r="G15" i="15"/>
  <c r="F14" i="15"/>
  <c r="G14" i="15"/>
  <c r="F13" i="15"/>
  <c r="G13" i="15"/>
  <c r="F63" i="15"/>
  <c r="G63" i="15"/>
  <c r="F62" i="15"/>
  <c r="G62" i="15"/>
  <c r="F61" i="15"/>
  <c r="G61" i="15"/>
  <c r="F52" i="1"/>
  <c r="G52" i="1" s="1"/>
  <c r="H52" i="1"/>
  <c r="I52" i="1"/>
  <c r="F180" i="1"/>
  <c r="G180" i="1" s="1"/>
  <c r="H180" i="1"/>
  <c r="I180" i="1"/>
  <c r="F181" i="1"/>
  <c r="G181" i="1" s="1"/>
  <c r="H181" i="1"/>
  <c r="I181" i="1"/>
  <c r="F54" i="15"/>
  <c r="G54" i="15"/>
  <c r="F53" i="15"/>
  <c r="G53" i="15"/>
  <c r="F182" i="1"/>
  <c r="G182" i="1" s="1"/>
  <c r="H182" i="1"/>
  <c r="I182" i="1"/>
  <c r="F55" i="15"/>
  <c r="G55" i="15"/>
  <c r="F170" i="1"/>
  <c r="G170" i="1" s="1"/>
  <c r="H170" i="1"/>
  <c r="I170" i="1"/>
  <c r="F172" i="1"/>
  <c r="G172" i="1" s="1"/>
  <c r="H172" i="1"/>
  <c r="I172" i="1"/>
  <c r="G18" i="15"/>
  <c r="G52" i="15"/>
  <c r="G19" i="15"/>
  <c r="G20" i="15"/>
  <c r="G21" i="15"/>
  <c r="G22" i="15"/>
  <c r="G23" i="15"/>
  <c r="G24" i="15"/>
  <c r="G10" i="15"/>
  <c r="G88" i="15"/>
  <c r="G25" i="15"/>
  <c r="G26" i="15"/>
  <c r="G27" i="15"/>
  <c r="G28" i="15"/>
  <c r="G29" i="15"/>
  <c r="G30" i="15"/>
  <c r="G31" i="15"/>
  <c r="G32" i="15"/>
  <c r="G56" i="15"/>
  <c r="G65" i="15"/>
  <c r="G66" i="15"/>
  <c r="G67" i="15"/>
  <c r="G68" i="15"/>
  <c r="G69" i="15"/>
  <c r="G70" i="15"/>
  <c r="G71" i="15"/>
  <c r="G72" i="15"/>
  <c r="G35" i="15"/>
  <c r="G82" i="15"/>
  <c r="G89" i="15"/>
  <c r="G90" i="15"/>
  <c r="G91" i="15"/>
  <c r="G4" i="15"/>
  <c r="G5" i="15"/>
  <c r="G38" i="15"/>
  <c r="G11" i="15"/>
  <c r="G12" i="15"/>
  <c r="F12" i="15"/>
  <c r="F11" i="15"/>
  <c r="F38" i="15"/>
  <c r="J45" i="8"/>
  <c r="K45" i="8" s="1"/>
  <c r="F3" i="1"/>
  <c r="G3" i="1" s="1"/>
  <c r="H3" i="1"/>
  <c r="I3" i="1"/>
  <c r="F115" i="1"/>
  <c r="G115" i="1" s="1"/>
  <c r="H115" i="1"/>
  <c r="I115" i="1"/>
  <c r="F118" i="1"/>
  <c r="G118" i="1" s="1"/>
  <c r="H118" i="1"/>
  <c r="I118" i="1"/>
  <c r="F139" i="1"/>
  <c r="G139" i="1" s="1"/>
  <c r="H139" i="1"/>
  <c r="I139" i="1"/>
  <c r="F48" i="1"/>
  <c r="G48" i="1" s="1"/>
  <c r="H48" i="1"/>
  <c r="I48" i="1"/>
  <c r="F193" i="1"/>
  <c r="G193" i="1" s="1"/>
  <c r="H193" i="1"/>
  <c r="I193" i="1"/>
  <c r="F4" i="15"/>
  <c r="F5" i="15"/>
  <c r="K163" i="7"/>
  <c r="L163" i="7"/>
  <c r="K108" i="7"/>
  <c r="L108" i="7"/>
  <c r="J43" i="8"/>
  <c r="K43" i="8" s="1"/>
  <c r="J88" i="8"/>
  <c r="K88" i="8" s="1"/>
  <c r="J87" i="8"/>
  <c r="K87" i="8" s="1"/>
  <c r="J86" i="8"/>
  <c r="K86" i="8" s="1"/>
  <c r="J85" i="8"/>
  <c r="K85" i="8" s="1"/>
  <c r="J84" i="8"/>
  <c r="K84" i="8" s="1"/>
  <c r="J83" i="8"/>
  <c r="K83" i="8" s="1"/>
  <c r="J82" i="8"/>
  <c r="K82" i="8" s="1"/>
  <c r="J67" i="8"/>
  <c r="K67" i="8" s="1"/>
  <c r="J66" i="8"/>
  <c r="K66" i="8" s="1"/>
  <c r="J65" i="8"/>
  <c r="K65" i="8" s="1"/>
  <c r="J64" i="8"/>
  <c r="K64" i="8" s="1"/>
  <c r="J63" i="8"/>
  <c r="K63" i="8" s="1"/>
  <c r="J36" i="8"/>
  <c r="K36" i="8" s="1"/>
  <c r="J34" i="8"/>
  <c r="K34" i="8" s="1"/>
  <c r="J54" i="8"/>
  <c r="K54" i="8" s="1"/>
  <c r="J53" i="8"/>
  <c r="K53" i="8" s="1"/>
  <c r="J52" i="8"/>
  <c r="K52" i="8" s="1"/>
  <c r="J51" i="8"/>
  <c r="K51" i="8" s="1"/>
  <c r="J50" i="8"/>
  <c r="K50" i="8" s="1"/>
  <c r="J49" i="8"/>
  <c r="K49" i="8" s="1"/>
  <c r="J48" i="8"/>
  <c r="K48" i="8" s="1"/>
  <c r="F91" i="15"/>
  <c r="F90" i="15"/>
  <c r="F89" i="15"/>
  <c r="F82" i="15"/>
  <c r="F159" i="1"/>
  <c r="G159" i="1" s="1"/>
  <c r="H159" i="1"/>
  <c r="I159" i="1"/>
  <c r="F234" i="1"/>
  <c r="G234" i="1" s="1"/>
  <c r="H234" i="1"/>
  <c r="I234" i="1"/>
  <c r="F35" i="15"/>
  <c r="F13" i="1"/>
  <c r="G13" i="1" s="1"/>
  <c r="H13" i="1"/>
  <c r="I13" i="1"/>
  <c r="F15" i="1"/>
  <c r="G15" i="1" s="1"/>
  <c r="H15" i="1"/>
  <c r="I15" i="1"/>
  <c r="F87" i="1"/>
  <c r="G87" i="1" s="1"/>
  <c r="H87" i="1"/>
  <c r="I87" i="1"/>
  <c r="F66" i="15"/>
  <c r="F67" i="15"/>
  <c r="F68" i="15"/>
  <c r="F69" i="15"/>
  <c r="F70" i="15"/>
  <c r="F71" i="15"/>
  <c r="F72" i="15"/>
  <c r="F65" i="15"/>
  <c r="F56" i="15"/>
  <c r="F26" i="15"/>
  <c r="F27" i="15"/>
  <c r="F28" i="15"/>
  <c r="F29" i="15"/>
  <c r="F30" i="15"/>
  <c r="F31" i="15"/>
  <c r="F32" i="15"/>
  <c r="F25" i="15"/>
  <c r="F88" i="15"/>
  <c r="F10" i="15"/>
  <c r="F24" i="15"/>
  <c r="F23" i="15"/>
  <c r="F22" i="15"/>
  <c r="F21" i="15"/>
  <c r="F20" i="15"/>
  <c r="F19" i="15"/>
  <c r="F6" i="1"/>
  <c r="G6" i="1" s="1"/>
  <c r="H6" i="1"/>
  <c r="I6" i="1"/>
  <c r="F89" i="1"/>
  <c r="G89" i="1" s="1"/>
  <c r="H89" i="1"/>
  <c r="I89" i="1"/>
  <c r="F17" i="1"/>
  <c r="G17" i="1" s="1"/>
  <c r="H17" i="1"/>
  <c r="I17" i="1"/>
  <c r="F81" i="1"/>
  <c r="G81" i="1" s="1"/>
  <c r="H81" i="1"/>
  <c r="I81" i="1"/>
  <c r="F82" i="1"/>
  <c r="G82" i="1" s="1"/>
  <c r="H82" i="1"/>
  <c r="I82" i="1"/>
  <c r="F14" i="1"/>
  <c r="G14" i="1" s="1"/>
  <c r="H14" i="1"/>
  <c r="I14" i="1"/>
  <c r="F43" i="1"/>
  <c r="G43" i="1" s="1"/>
  <c r="H43" i="1"/>
  <c r="I43" i="1"/>
  <c r="F201" i="1"/>
  <c r="G201" i="1" s="1"/>
  <c r="H201" i="1"/>
  <c r="I201" i="1"/>
  <c r="F5" i="1"/>
  <c r="G5" i="1" s="1"/>
  <c r="H5" i="1"/>
  <c r="I5" i="1"/>
  <c r="F223" i="1"/>
  <c r="G223" i="1" s="1"/>
  <c r="H223" i="1"/>
  <c r="I223" i="1"/>
  <c r="F25" i="1"/>
  <c r="G25" i="1" s="1"/>
  <c r="H25" i="1"/>
  <c r="I25" i="1"/>
  <c r="F18" i="15"/>
  <c r="F52" i="15"/>
  <c r="F77" i="1"/>
  <c r="G77" i="1" s="1"/>
  <c r="H77" i="1"/>
  <c r="I77" i="1"/>
  <c r="B337" i="6"/>
  <c r="E337" i="6"/>
  <c r="H337" i="6"/>
  <c r="B332" i="6"/>
  <c r="E332" i="6"/>
  <c r="H332" i="6"/>
  <c r="B333" i="6"/>
  <c r="E333" i="6"/>
  <c r="H333" i="6"/>
  <c r="B334" i="6"/>
  <c r="E334" i="6"/>
  <c r="H334" i="6"/>
  <c r="B335" i="6"/>
  <c r="E335" i="6"/>
  <c r="H335" i="6"/>
  <c r="B336" i="6"/>
  <c r="E336" i="6"/>
  <c r="H336" i="6"/>
  <c r="B338" i="6"/>
  <c r="E338" i="6"/>
  <c r="H338" i="6"/>
  <c r="B331" i="6"/>
  <c r="E331" i="6"/>
  <c r="H331" i="6"/>
  <c r="B339" i="6"/>
  <c r="E339" i="6"/>
  <c r="H339" i="6"/>
  <c r="B330" i="6"/>
  <c r="E330" i="6"/>
  <c r="H330" i="6"/>
  <c r="F10" i="3"/>
  <c r="J10" i="3"/>
  <c r="K10" i="3"/>
  <c r="L10" i="3"/>
  <c r="J12" i="8"/>
  <c r="K12" i="8" s="1"/>
  <c r="J42" i="8"/>
  <c r="K42" i="8" s="1"/>
  <c r="M163" i="7" l="1"/>
  <c r="M108" i="7"/>
  <c r="D595" i="6"/>
  <c r="D598" i="6"/>
  <c r="D596" i="6"/>
  <c r="D592" i="6"/>
  <c r="D593" i="6" s="1"/>
  <c r="D590" i="6"/>
  <c r="G584" i="6"/>
  <c r="F584" i="6"/>
  <c r="E584" i="6"/>
  <c r="D584" i="6"/>
  <c r="B577" i="6"/>
  <c r="E577" i="6"/>
  <c r="H577" i="6"/>
  <c r="B576" i="6"/>
  <c r="E576" i="6"/>
  <c r="H576" i="6"/>
  <c r="B434" i="6"/>
  <c r="E434" i="6"/>
  <c r="H434" i="6"/>
  <c r="B435" i="6"/>
  <c r="E435" i="6"/>
  <c r="H435" i="6"/>
  <c r="B575" i="6"/>
  <c r="E575" i="6"/>
  <c r="H575" i="6"/>
  <c r="B574" i="6"/>
  <c r="E574" i="6"/>
  <c r="H574" i="6"/>
  <c r="B573" i="6"/>
  <c r="E573" i="6"/>
  <c r="H573" i="6"/>
  <c r="B572" i="6"/>
  <c r="E572" i="6"/>
  <c r="H572" i="6"/>
  <c r="B571" i="6"/>
  <c r="E571" i="6"/>
  <c r="H571" i="6"/>
  <c r="E193" i="7"/>
  <c r="C208" i="7"/>
  <c r="D208" i="7" s="1"/>
  <c r="C207" i="7"/>
  <c r="D207" i="7" s="1"/>
  <c r="C206" i="7"/>
  <c r="D206" i="7" s="1"/>
  <c r="C205" i="7"/>
  <c r="D205" i="7" s="1"/>
  <c r="C204" i="7"/>
  <c r="D204" i="7" s="1"/>
  <c r="C203" i="7"/>
  <c r="D203" i="7" s="1"/>
  <c r="C202" i="7"/>
  <c r="D202" i="7" s="1"/>
  <c r="C201" i="7"/>
  <c r="D201" i="7" s="1"/>
  <c r="C200" i="7"/>
  <c r="D200" i="7" s="1"/>
  <c r="C199" i="7"/>
  <c r="D199" i="7" s="1"/>
  <c r="C198" i="7"/>
  <c r="D198" i="7" s="1"/>
  <c r="C197" i="7"/>
  <c r="D197" i="7" s="1"/>
  <c r="C196" i="7"/>
  <c r="D196" i="7" s="1"/>
  <c r="C195" i="7"/>
  <c r="D195" i="7" s="1"/>
  <c r="C194" i="7"/>
  <c r="D194" i="7" s="1"/>
  <c r="D191" i="7"/>
  <c r="D173" i="7"/>
  <c r="D186" i="7"/>
  <c r="D177" i="7"/>
  <c r="D188" i="7"/>
  <c r="D178" i="7"/>
  <c r="D174" i="7"/>
  <c r="D179" i="7"/>
  <c r="D180" i="7"/>
  <c r="D176" i="7"/>
  <c r="D183" i="7"/>
  <c r="D187" i="7"/>
  <c r="D189" i="7"/>
  <c r="D190" i="7"/>
  <c r="D184" i="7"/>
  <c r="D175" i="7"/>
  <c r="D182" i="7"/>
  <c r="D181" i="7"/>
  <c r="D185" i="7"/>
  <c r="D172" i="7"/>
  <c r="M191" i="7"/>
  <c r="L191" i="7"/>
  <c r="K191" i="7"/>
  <c r="M173" i="7"/>
  <c r="L173" i="7"/>
  <c r="K173" i="7"/>
  <c r="M186" i="7"/>
  <c r="L186" i="7"/>
  <c r="K186" i="7"/>
  <c r="M177" i="7"/>
  <c r="L177" i="7"/>
  <c r="K177" i="7"/>
  <c r="M188" i="7"/>
  <c r="L188" i="7"/>
  <c r="K188" i="7"/>
  <c r="M178" i="7"/>
  <c r="L178" i="7"/>
  <c r="K178" i="7"/>
  <c r="M174" i="7"/>
  <c r="L174" i="7"/>
  <c r="K174" i="7"/>
  <c r="M179" i="7"/>
  <c r="L179" i="7"/>
  <c r="K179" i="7"/>
  <c r="M180" i="7"/>
  <c r="L180" i="7"/>
  <c r="K180" i="7"/>
  <c r="D30" i="7"/>
  <c r="K30" i="7"/>
  <c r="L30" i="7"/>
  <c r="M176" i="7"/>
  <c r="L176" i="7"/>
  <c r="K176" i="7"/>
  <c r="M183" i="7"/>
  <c r="L183" i="7"/>
  <c r="K183" i="7"/>
  <c r="M187" i="7"/>
  <c r="L187" i="7"/>
  <c r="K187" i="7"/>
  <c r="M189" i="7"/>
  <c r="L189" i="7"/>
  <c r="K189" i="7"/>
  <c r="M190" i="7"/>
  <c r="L190" i="7"/>
  <c r="K190" i="7"/>
  <c r="M184" i="7"/>
  <c r="L184" i="7"/>
  <c r="K184" i="7"/>
  <c r="M175" i="7"/>
  <c r="L175" i="7"/>
  <c r="K175" i="7"/>
  <c r="M182" i="7"/>
  <c r="L182" i="7"/>
  <c r="K182" i="7"/>
  <c r="M172" i="7"/>
  <c r="L172" i="7"/>
  <c r="K172" i="7"/>
  <c r="M181" i="7"/>
  <c r="L181" i="7"/>
  <c r="K181" i="7"/>
  <c r="M185" i="7"/>
  <c r="L185" i="7"/>
  <c r="K185" i="7"/>
  <c r="K147" i="7"/>
  <c r="L147" i="7"/>
  <c r="F217" i="1"/>
  <c r="G217" i="1" s="1"/>
  <c r="H217" i="1"/>
  <c r="I217" i="1"/>
  <c r="K62" i="7"/>
  <c r="L62" i="7"/>
  <c r="F94" i="1"/>
  <c r="G94" i="1" s="1"/>
  <c r="H94" i="1"/>
  <c r="I94" i="1"/>
  <c r="F137" i="1"/>
  <c r="G137" i="1" s="1"/>
  <c r="H137" i="1"/>
  <c r="I137" i="1"/>
  <c r="K35" i="7"/>
  <c r="L35" i="7"/>
  <c r="F60" i="1"/>
  <c r="G60" i="1" s="1"/>
  <c r="H60" i="1"/>
  <c r="I60" i="1"/>
  <c r="K122" i="7"/>
  <c r="L122" i="7"/>
  <c r="F177" i="1"/>
  <c r="G177" i="1" s="1"/>
  <c r="H177" i="1"/>
  <c r="I177" i="1"/>
  <c r="K63" i="7"/>
  <c r="L63" i="7"/>
  <c r="K83" i="7"/>
  <c r="L83" i="7"/>
  <c r="K65" i="7"/>
  <c r="L65" i="7"/>
  <c r="K93" i="7"/>
  <c r="L93" i="7"/>
  <c r="K87" i="7"/>
  <c r="L87" i="7"/>
  <c r="K70" i="7"/>
  <c r="L70" i="7"/>
  <c r="K41" i="7"/>
  <c r="L41" i="7"/>
  <c r="K34" i="7"/>
  <c r="L34" i="7"/>
  <c r="K60" i="7"/>
  <c r="L60" i="7"/>
  <c r="K111" i="7"/>
  <c r="L111" i="7"/>
  <c r="F165" i="1"/>
  <c r="G165" i="1" s="1"/>
  <c r="H165" i="1"/>
  <c r="I165" i="1"/>
  <c r="K166" i="7"/>
  <c r="L166" i="7"/>
  <c r="F238" i="1"/>
  <c r="G238" i="1" s="1"/>
  <c r="H238" i="1"/>
  <c r="I238" i="1"/>
  <c r="K145" i="7"/>
  <c r="L145" i="7"/>
  <c r="F216" i="1"/>
  <c r="G216" i="1" s="1"/>
  <c r="H216" i="1"/>
  <c r="I216" i="1"/>
  <c r="K112" i="7"/>
  <c r="L112" i="7"/>
  <c r="F168" i="1"/>
  <c r="G168" i="1" s="1"/>
  <c r="H168" i="1"/>
  <c r="I168" i="1"/>
  <c r="F138" i="1"/>
  <c r="G138" i="1" s="1"/>
  <c r="H138" i="1"/>
  <c r="I138" i="1"/>
  <c r="K156" i="7"/>
  <c r="L156" i="7"/>
  <c r="F45" i="1"/>
  <c r="G45" i="1" s="1"/>
  <c r="H45" i="1"/>
  <c r="I45" i="1"/>
  <c r="F117" i="1"/>
  <c r="G117" i="1" s="1"/>
  <c r="H117" i="1"/>
  <c r="I117" i="1"/>
  <c r="F30" i="1"/>
  <c r="G30" i="1" s="1"/>
  <c r="H30" i="1"/>
  <c r="I30" i="1"/>
  <c r="F149" i="1"/>
  <c r="G149" i="1" s="1"/>
  <c r="H149" i="1"/>
  <c r="I149" i="1"/>
  <c r="F212" i="1"/>
  <c r="G212" i="1" s="1"/>
  <c r="H212" i="1"/>
  <c r="I212" i="1"/>
  <c r="D599" i="6" l="1"/>
  <c r="M30" i="7"/>
  <c r="M147" i="7"/>
  <c r="M62" i="7"/>
  <c r="M35" i="7"/>
  <c r="M122" i="7"/>
  <c r="M63" i="7"/>
  <c r="M83" i="7"/>
  <c r="M65" i="7"/>
  <c r="M93" i="7"/>
  <c r="M87" i="7"/>
  <c r="M70" i="7"/>
  <c r="M41" i="7"/>
  <c r="M34" i="7"/>
  <c r="M60" i="7"/>
  <c r="M111" i="7"/>
  <c r="M166" i="7"/>
  <c r="M145" i="7"/>
  <c r="M112" i="7"/>
  <c r="M156" i="7"/>
  <c r="B569" i="6"/>
  <c r="E569" i="6"/>
  <c r="H569" i="6"/>
  <c r="B570" i="6"/>
  <c r="E570" i="6"/>
  <c r="H570" i="6"/>
  <c r="B568" i="6"/>
  <c r="E568" i="6"/>
  <c r="H568" i="6"/>
  <c r="B567" i="6"/>
  <c r="E567" i="6"/>
  <c r="H567" i="6"/>
  <c r="B566" i="6"/>
  <c r="E566" i="6"/>
  <c r="H566" i="6"/>
  <c r="B564" i="6"/>
  <c r="E564" i="6"/>
  <c r="H564" i="6"/>
  <c r="B565" i="6"/>
  <c r="E565" i="6"/>
  <c r="H565" i="6"/>
  <c r="B563" i="6"/>
  <c r="E563" i="6"/>
  <c r="H563" i="6"/>
  <c r="B562" i="6"/>
  <c r="E562" i="6"/>
  <c r="H562" i="6"/>
  <c r="B561" i="6"/>
  <c r="E561" i="6"/>
  <c r="H561" i="6"/>
  <c r="E359" i="6"/>
  <c r="E410" i="6"/>
  <c r="B521" i="6"/>
  <c r="E521" i="6"/>
  <c r="H521" i="6"/>
  <c r="B522" i="6"/>
  <c r="E522" i="6"/>
  <c r="H522" i="6"/>
  <c r="F6" i="3" l="1"/>
  <c r="F7" i="3"/>
  <c r="F8" i="3"/>
  <c r="F9" i="3"/>
  <c r="F11" i="3"/>
  <c r="F12" i="3"/>
  <c r="F13" i="3"/>
  <c r="F14" i="3"/>
  <c r="F15" i="3"/>
  <c r="F17" i="3"/>
  <c r="F18" i="3"/>
  <c r="F19" i="3"/>
  <c r="F21" i="3"/>
  <c r="F22" i="3"/>
  <c r="F24" i="3"/>
  <c r="F25" i="3"/>
  <c r="F27" i="3"/>
  <c r="F28" i="3"/>
  <c r="F29" i="3"/>
  <c r="F31" i="3"/>
  <c r="F32" i="3"/>
  <c r="F36" i="3"/>
  <c r="F37" i="3"/>
  <c r="F38" i="3"/>
  <c r="F39" i="3"/>
  <c r="F40" i="3"/>
  <c r="F41" i="3"/>
  <c r="F43" i="3"/>
  <c r="F45" i="3"/>
  <c r="F46" i="3"/>
  <c r="F47" i="3"/>
  <c r="F48" i="3"/>
  <c r="F49" i="3"/>
  <c r="F50" i="3"/>
  <c r="F51" i="3"/>
  <c r="F52" i="3"/>
  <c r="F54" i="3"/>
  <c r="F56" i="3"/>
  <c r="F57" i="3"/>
  <c r="F58" i="3"/>
  <c r="F59" i="3"/>
  <c r="F60" i="3"/>
  <c r="F61" i="3"/>
  <c r="F64" i="3"/>
  <c r="F65" i="3"/>
  <c r="F66" i="3"/>
  <c r="F67" i="3"/>
  <c r="F68" i="3"/>
  <c r="F69" i="3"/>
  <c r="F71" i="3"/>
  <c r="F73" i="3"/>
  <c r="F74" i="3"/>
  <c r="F75" i="3"/>
  <c r="F76" i="3"/>
  <c r="F77" i="3"/>
  <c r="F78" i="3"/>
  <c r="F80" i="3"/>
  <c r="F81" i="3"/>
  <c r="F82" i="3"/>
  <c r="B553" i="6" l="1"/>
  <c r="E553" i="6"/>
  <c r="H553" i="6"/>
  <c r="B554" i="6"/>
  <c r="E554" i="6"/>
  <c r="H554" i="6"/>
  <c r="B555" i="6"/>
  <c r="E555" i="6"/>
  <c r="H555" i="6"/>
  <c r="B556" i="6"/>
  <c r="E556" i="6"/>
  <c r="H556" i="6"/>
  <c r="B557" i="6"/>
  <c r="E557" i="6"/>
  <c r="H557" i="6"/>
  <c r="B558" i="6"/>
  <c r="E558" i="6"/>
  <c r="H558" i="6"/>
  <c r="B559" i="6"/>
  <c r="E559" i="6"/>
  <c r="H559" i="6"/>
  <c r="B560" i="6"/>
  <c r="E560" i="6"/>
  <c r="H560" i="6"/>
  <c r="B551" i="6"/>
  <c r="E551" i="6"/>
  <c r="H551" i="6"/>
  <c r="J64" i="3"/>
  <c r="K64" i="3"/>
  <c r="L64" i="3"/>
  <c r="B550" i="6" l="1"/>
  <c r="E550" i="6"/>
  <c r="H550" i="6"/>
  <c r="B552" i="6"/>
  <c r="E552" i="6"/>
  <c r="H552" i="6"/>
  <c r="B549" i="6"/>
  <c r="E549" i="6"/>
  <c r="H549" i="6"/>
  <c r="B539" i="6"/>
  <c r="E539" i="6"/>
  <c r="H539" i="6"/>
  <c r="B540" i="6"/>
  <c r="E540" i="6"/>
  <c r="H540" i="6"/>
  <c r="B541" i="6"/>
  <c r="E541" i="6"/>
  <c r="H541" i="6"/>
  <c r="B542" i="6"/>
  <c r="E542" i="6"/>
  <c r="H542" i="6"/>
  <c r="B543" i="6"/>
  <c r="E543" i="6"/>
  <c r="H543" i="6"/>
  <c r="B544" i="6"/>
  <c r="E544" i="6"/>
  <c r="H544" i="6"/>
  <c r="B545" i="6"/>
  <c r="E545" i="6"/>
  <c r="H545" i="6"/>
  <c r="B546" i="6"/>
  <c r="E546" i="6"/>
  <c r="H546" i="6"/>
  <c r="B547" i="6"/>
  <c r="E547" i="6"/>
  <c r="H547" i="6"/>
  <c r="B538" i="6"/>
  <c r="E538" i="6"/>
  <c r="H538" i="6"/>
  <c r="J28" i="3"/>
  <c r="K28" i="3"/>
  <c r="L28" i="3"/>
  <c r="B548" i="6"/>
  <c r="E548" i="6"/>
  <c r="H548" i="6"/>
  <c r="B529" i="6"/>
  <c r="E529" i="6"/>
  <c r="H529" i="6"/>
  <c r="B530" i="6"/>
  <c r="E530" i="6"/>
  <c r="H530" i="6"/>
  <c r="B531" i="6"/>
  <c r="E531" i="6"/>
  <c r="H531" i="6"/>
  <c r="B532" i="6"/>
  <c r="E532" i="6"/>
  <c r="H532" i="6"/>
  <c r="B533" i="6"/>
  <c r="E533" i="6"/>
  <c r="H533" i="6"/>
  <c r="B534" i="6"/>
  <c r="E534" i="6"/>
  <c r="H534" i="6"/>
  <c r="B535" i="6"/>
  <c r="E535" i="6"/>
  <c r="H535" i="6"/>
  <c r="B536" i="6"/>
  <c r="E536" i="6"/>
  <c r="H536" i="6"/>
  <c r="B537" i="6"/>
  <c r="E537" i="6"/>
  <c r="H537" i="6"/>
  <c r="B528" i="6"/>
  <c r="E528" i="6"/>
  <c r="H528" i="6"/>
  <c r="J40" i="3"/>
  <c r="K40" i="3"/>
  <c r="L40" i="3"/>
  <c r="B520" i="6"/>
  <c r="E520" i="6"/>
  <c r="H520" i="6"/>
  <c r="B519" i="6"/>
  <c r="E519" i="6"/>
  <c r="H519" i="6"/>
  <c r="B527" i="6"/>
  <c r="E527" i="6"/>
  <c r="H527" i="6"/>
  <c r="B516" i="6"/>
  <c r="E516" i="6"/>
  <c r="H516" i="6"/>
  <c r="B517" i="6"/>
  <c r="E517" i="6"/>
  <c r="H517" i="6"/>
  <c r="B518" i="6"/>
  <c r="E518" i="6"/>
  <c r="H518" i="6"/>
  <c r="B523" i="6"/>
  <c r="E523" i="6"/>
  <c r="H523" i="6"/>
  <c r="B524" i="6"/>
  <c r="E524" i="6"/>
  <c r="H524" i="6"/>
  <c r="B525" i="6"/>
  <c r="E525" i="6"/>
  <c r="H525" i="6"/>
  <c r="B526" i="6"/>
  <c r="E526" i="6"/>
  <c r="H526" i="6"/>
  <c r="B403" i="6"/>
  <c r="E403" i="6"/>
  <c r="H403" i="6"/>
  <c r="J74" i="3"/>
  <c r="K74" i="3"/>
  <c r="L74" i="3"/>
  <c r="J19" i="3"/>
  <c r="K19" i="3"/>
  <c r="L19" i="3"/>
  <c r="D167" i="7" l="1"/>
  <c r="D165" i="7"/>
  <c r="D164" i="7"/>
  <c r="D162" i="7"/>
  <c r="D161" i="7"/>
  <c r="D160" i="7"/>
  <c r="D159" i="7"/>
  <c r="D158" i="7"/>
  <c r="D157" i="7"/>
  <c r="D155" i="7"/>
  <c r="D154" i="7"/>
  <c r="D153" i="7"/>
  <c r="D152" i="7"/>
  <c r="D151" i="7"/>
  <c r="D150" i="7"/>
  <c r="D149" i="7"/>
  <c r="D148" i="7"/>
  <c r="D144" i="7"/>
  <c r="D142" i="7"/>
  <c r="D141" i="7"/>
  <c r="D140" i="7"/>
  <c r="D139" i="7"/>
  <c r="D138" i="7"/>
  <c r="D137" i="7"/>
  <c r="D135" i="7"/>
  <c r="D134" i="7"/>
  <c r="D133" i="7"/>
  <c r="D132" i="7"/>
  <c r="D131" i="7"/>
  <c r="D130" i="7"/>
  <c r="D129" i="7"/>
  <c r="D128" i="7"/>
  <c r="D127" i="7"/>
  <c r="D126" i="7"/>
  <c r="D125" i="7"/>
  <c r="D124" i="7"/>
  <c r="D123" i="7"/>
  <c r="D121" i="7"/>
  <c r="D120" i="7"/>
  <c r="D119" i="7"/>
  <c r="D118" i="7"/>
  <c r="D117" i="7"/>
  <c r="D116" i="7"/>
  <c r="D115" i="7"/>
  <c r="D114" i="7"/>
  <c r="D113" i="7"/>
  <c r="D110" i="7"/>
  <c r="D109" i="7"/>
  <c r="D107" i="7"/>
  <c r="D106" i="7"/>
  <c r="D105" i="7"/>
  <c r="D104" i="7"/>
  <c r="D103" i="7"/>
  <c r="D102" i="7"/>
  <c r="D101" i="7"/>
  <c r="D100" i="7"/>
  <c r="D99" i="7"/>
  <c r="D98" i="7"/>
  <c r="D96" i="7"/>
  <c r="D95" i="7"/>
  <c r="D94" i="7"/>
  <c r="D92" i="7"/>
  <c r="D90" i="7"/>
  <c r="D88" i="7"/>
  <c r="D86" i="7"/>
  <c r="D85" i="7"/>
  <c r="D84" i="7"/>
  <c r="D81" i="7"/>
  <c r="D80" i="7"/>
  <c r="D79" i="7"/>
  <c r="D78" i="7"/>
  <c r="D77" i="7"/>
  <c r="D76" i="7"/>
  <c r="D74" i="7"/>
  <c r="D73" i="7"/>
  <c r="D72" i="7"/>
  <c r="D71" i="7"/>
  <c r="D69" i="7"/>
  <c r="D68" i="7"/>
  <c r="D67" i="7"/>
  <c r="D66" i="7"/>
  <c r="D64" i="7"/>
  <c r="D61" i="7"/>
  <c r="D59" i="7"/>
  <c r="D58" i="7"/>
  <c r="D57" i="7"/>
  <c r="D56" i="7"/>
  <c r="D55" i="7"/>
  <c r="D54" i="7"/>
  <c r="D53" i="7"/>
  <c r="D52" i="7"/>
  <c r="D51" i="7"/>
  <c r="D50" i="7"/>
  <c r="D49" i="7"/>
  <c r="D48" i="7"/>
  <c r="D47" i="7"/>
  <c r="D46" i="7"/>
  <c r="D45" i="7"/>
  <c r="D44" i="7"/>
  <c r="D43" i="7"/>
  <c r="D42" i="7"/>
  <c r="D40" i="7"/>
  <c r="D39" i="7"/>
  <c r="D38" i="7"/>
  <c r="D37" i="7"/>
  <c r="D36" i="7"/>
  <c r="D33" i="7"/>
  <c r="D32" i="7"/>
  <c r="D31" i="7"/>
  <c r="D29" i="7"/>
  <c r="D28" i="7"/>
  <c r="D27" i="7"/>
  <c r="D26" i="7"/>
  <c r="D25" i="7"/>
  <c r="D24" i="7"/>
  <c r="D23" i="7"/>
  <c r="D22" i="7"/>
  <c r="D21" i="7"/>
  <c r="D20" i="7"/>
  <c r="D19" i="7"/>
  <c r="D18" i="7"/>
  <c r="D17" i="7"/>
  <c r="D16" i="7"/>
  <c r="D15" i="7"/>
  <c r="D14" i="7"/>
  <c r="D13" i="7"/>
  <c r="D12" i="7"/>
  <c r="D11" i="7"/>
  <c r="D10" i="7"/>
  <c r="D9" i="7"/>
  <c r="D8" i="7"/>
  <c r="D7" i="7"/>
  <c r="D6" i="7"/>
  <c r="D4" i="7"/>
  <c r="D3" i="7"/>
  <c r="L3" i="7"/>
  <c r="M3" i="7" s="1"/>
  <c r="L4" i="7"/>
  <c r="L5" i="7"/>
  <c r="L6" i="7"/>
  <c r="M6" i="7" s="1"/>
  <c r="L7" i="7"/>
  <c r="M7" i="7" s="1"/>
  <c r="L8" i="7"/>
  <c r="M8" i="7" s="1"/>
  <c r="L9" i="7"/>
  <c r="M9" i="7" s="1"/>
  <c r="L10" i="7"/>
  <c r="M10" i="7" s="1"/>
  <c r="L11" i="7"/>
  <c r="M11" i="7" s="1"/>
  <c r="L12" i="7"/>
  <c r="M12" i="7" s="1"/>
  <c r="L13" i="7"/>
  <c r="M13" i="7" s="1"/>
  <c r="L14" i="7"/>
  <c r="L15" i="7"/>
  <c r="M15" i="7" s="1"/>
  <c r="L16" i="7"/>
  <c r="M16" i="7" s="1"/>
  <c r="L17" i="7"/>
  <c r="L18" i="7"/>
  <c r="L19" i="7"/>
  <c r="L20" i="7"/>
  <c r="L21" i="7"/>
  <c r="M21" i="7" s="1"/>
  <c r="L22" i="7"/>
  <c r="M22" i="7" s="1"/>
  <c r="L23" i="7"/>
  <c r="M23" i="7" s="1"/>
  <c r="L24" i="7"/>
  <c r="M24" i="7" s="1"/>
  <c r="L25" i="7"/>
  <c r="L26" i="7"/>
  <c r="L27" i="7"/>
  <c r="M27" i="7" s="1"/>
  <c r="L28" i="7"/>
  <c r="L29" i="7"/>
  <c r="M29" i="7" s="1"/>
  <c r="L31" i="7"/>
  <c r="M31" i="7" s="1"/>
  <c r="L32" i="7"/>
  <c r="M32" i="7" s="1"/>
  <c r="L33" i="7"/>
  <c r="M33" i="7" s="1"/>
  <c r="L36" i="7"/>
  <c r="M36" i="7" s="1"/>
  <c r="L37" i="7"/>
  <c r="M37" i="7" s="1"/>
  <c r="L38" i="7"/>
  <c r="M38" i="7" s="1"/>
  <c r="L39" i="7"/>
  <c r="L40" i="7"/>
  <c r="L42" i="7"/>
  <c r="M42" i="7" s="1"/>
  <c r="L43" i="7"/>
  <c r="M43" i="7" s="1"/>
  <c r="L44" i="7"/>
  <c r="M44" i="7" s="1"/>
  <c r="L45" i="7"/>
  <c r="M45" i="7" s="1"/>
  <c r="L46" i="7"/>
  <c r="M46" i="7" s="1"/>
  <c r="L47" i="7"/>
  <c r="L48" i="7"/>
  <c r="M48" i="7" s="1"/>
  <c r="L49" i="7"/>
  <c r="M49" i="7" s="1"/>
  <c r="L50" i="7"/>
  <c r="M50" i="7" s="1"/>
  <c r="L51" i="7"/>
  <c r="M51" i="7" s="1"/>
  <c r="L52" i="7"/>
  <c r="M52" i="7" s="1"/>
  <c r="L53" i="7"/>
  <c r="M53" i="7" s="1"/>
  <c r="L54" i="7"/>
  <c r="M54" i="7" s="1"/>
  <c r="L55" i="7"/>
  <c r="M55" i="7" s="1"/>
  <c r="L56" i="7"/>
  <c r="M56" i="7" s="1"/>
  <c r="L57" i="7"/>
  <c r="M57" i="7" s="1"/>
  <c r="L58" i="7"/>
  <c r="M58" i="7" s="1"/>
  <c r="L59" i="7"/>
  <c r="M59" i="7" s="1"/>
  <c r="L61" i="7"/>
  <c r="M61" i="7" s="1"/>
  <c r="L64" i="7"/>
  <c r="M64" i="7" s="1"/>
  <c r="L66" i="7"/>
  <c r="M66" i="7" s="1"/>
  <c r="L67" i="7"/>
  <c r="M67" i="7" s="1"/>
  <c r="L68" i="7"/>
  <c r="L69" i="7"/>
  <c r="L71" i="7"/>
  <c r="M71" i="7" s="1"/>
  <c r="L72" i="7"/>
  <c r="M72" i="7" s="1"/>
  <c r="L73" i="7"/>
  <c r="L74" i="7"/>
  <c r="M74" i="7" s="1"/>
  <c r="L75" i="7"/>
  <c r="L76" i="7"/>
  <c r="M76" i="7" s="1"/>
  <c r="L77" i="7"/>
  <c r="M77" i="7" s="1"/>
  <c r="L78" i="7"/>
  <c r="M78" i="7" s="1"/>
  <c r="L79" i="7"/>
  <c r="M79" i="7" s="1"/>
  <c r="L80" i="7"/>
  <c r="M80" i="7" s="1"/>
  <c r="L81" i="7"/>
  <c r="M81" i="7" s="1"/>
  <c r="L82" i="7"/>
  <c r="M82" i="7" s="1"/>
  <c r="L84" i="7"/>
  <c r="M84" i="7" s="1"/>
  <c r="L85" i="7"/>
  <c r="M85" i="7" s="1"/>
  <c r="L86" i="7"/>
  <c r="M86" i="7" s="1"/>
  <c r="L88" i="7"/>
  <c r="M88" i="7" s="1"/>
  <c r="L89" i="7"/>
  <c r="M89" i="7" s="1"/>
  <c r="L90" i="7"/>
  <c r="L91" i="7"/>
  <c r="L92" i="7"/>
  <c r="L94" i="7"/>
  <c r="M94" i="7" s="1"/>
  <c r="L95" i="7"/>
  <c r="M95" i="7" s="1"/>
  <c r="L96" i="7"/>
  <c r="L97" i="7"/>
  <c r="L98" i="7"/>
  <c r="M98" i="7" s="1"/>
  <c r="L99" i="7"/>
  <c r="M99" i="7" s="1"/>
  <c r="L100" i="7"/>
  <c r="M100" i="7" s="1"/>
  <c r="L101" i="7"/>
  <c r="M101" i="7" s="1"/>
  <c r="L102" i="7"/>
  <c r="M102" i="7" s="1"/>
  <c r="L103" i="7"/>
  <c r="M103" i="7" s="1"/>
  <c r="L104" i="7"/>
  <c r="M104" i="7" s="1"/>
  <c r="L105" i="7"/>
  <c r="M105" i="7" s="1"/>
  <c r="L106" i="7"/>
  <c r="M106" i="7" s="1"/>
  <c r="L107" i="7"/>
  <c r="L109" i="7"/>
  <c r="M109" i="7" s="1"/>
  <c r="L110" i="7"/>
  <c r="M110" i="7" s="1"/>
  <c r="L113" i="7"/>
  <c r="M113" i="7" s="1"/>
  <c r="L114" i="7"/>
  <c r="M114" i="7" s="1"/>
  <c r="L115" i="7"/>
  <c r="M115" i="7" s="1"/>
  <c r="L116" i="7"/>
  <c r="M116" i="7" s="1"/>
  <c r="L117" i="7"/>
  <c r="M117" i="7" s="1"/>
  <c r="L118" i="7"/>
  <c r="M118" i="7" s="1"/>
  <c r="L119" i="7"/>
  <c r="M119" i="7" s="1"/>
  <c r="L120" i="7"/>
  <c r="M120" i="7" s="1"/>
  <c r="L121" i="7"/>
  <c r="L123" i="7"/>
  <c r="M123" i="7" s="1"/>
  <c r="L124" i="7"/>
  <c r="M124" i="7" s="1"/>
  <c r="L125" i="7"/>
  <c r="M125" i="7" s="1"/>
  <c r="L126" i="7"/>
  <c r="M126" i="7" s="1"/>
  <c r="L127" i="7"/>
  <c r="M127" i="7" s="1"/>
  <c r="L128" i="7"/>
  <c r="M128" i="7" s="1"/>
  <c r="L129" i="7"/>
  <c r="M129" i="7" s="1"/>
  <c r="L130" i="7"/>
  <c r="L131" i="7"/>
  <c r="M131" i="7" s="1"/>
  <c r="L132" i="7"/>
  <c r="L133" i="7"/>
  <c r="M133" i="7" s="1"/>
  <c r="L134" i="7"/>
  <c r="M134" i="7" s="1"/>
  <c r="L135" i="7"/>
  <c r="M135" i="7" s="1"/>
  <c r="L136" i="7"/>
  <c r="M136" i="7" s="1"/>
  <c r="L137" i="7"/>
  <c r="M137" i="7" s="1"/>
  <c r="L138" i="7"/>
  <c r="M138" i="7" s="1"/>
  <c r="L139" i="7"/>
  <c r="L140" i="7"/>
  <c r="M140" i="7" s="1"/>
  <c r="L141" i="7"/>
  <c r="M141" i="7" s="1"/>
  <c r="L142" i="7"/>
  <c r="M142" i="7" s="1"/>
  <c r="L143" i="7"/>
  <c r="M143" i="7" s="1"/>
  <c r="L144" i="7"/>
  <c r="L146" i="7"/>
  <c r="M146" i="7" s="1"/>
  <c r="L148" i="7"/>
  <c r="M148" i="7" s="1"/>
  <c r="L149" i="7"/>
  <c r="L150" i="7"/>
  <c r="M150" i="7" s="1"/>
  <c r="L151" i="7"/>
  <c r="L152" i="7"/>
  <c r="M152" i="7" s="1"/>
  <c r="L153" i="7"/>
  <c r="M153" i="7" s="1"/>
  <c r="L154" i="7"/>
  <c r="M154" i="7" s="1"/>
  <c r="L155" i="7"/>
  <c r="M155" i="7" s="1"/>
  <c r="L157" i="7"/>
  <c r="M157" i="7" s="1"/>
  <c r="L158" i="7"/>
  <c r="L159" i="7"/>
  <c r="M159" i="7" s="1"/>
  <c r="L160" i="7"/>
  <c r="M160" i="7" s="1"/>
  <c r="L161" i="7"/>
  <c r="L162" i="7"/>
  <c r="L164" i="7"/>
  <c r="M164" i="7" s="1"/>
  <c r="L165" i="7"/>
  <c r="M165" i="7" s="1"/>
  <c r="L167" i="7"/>
  <c r="M167" i="7" s="1"/>
  <c r="E508" i="6" l="1"/>
  <c r="B507" i="6"/>
  <c r="E507" i="6"/>
  <c r="H507" i="6"/>
  <c r="B508" i="6"/>
  <c r="H508" i="6"/>
  <c r="B509" i="6"/>
  <c r="E509" i="6"/>
  <c r="H509" i="6"/>
  <c r="B513" i="6"/>
  <c r="E513" i="6"/>
  <c r="H513" i="6"/>
  <c r="B514" i="6"/>
  <c r="E514" i="6"/>
  <c r="H514" i="6"/>
  <c r="B515" i="6"/>
  <c r="E515" i="6"/>
  <c r="H515" i="6"/>
  <c r="B510" i="6"/>
  <c r="E510" i="6"/>
  <c r="H510" i="6"/>
  <c r="B511" i="6"/>
  <c r="E511" i="6"/>
  <c r="H511" i="6"/>
  <c r="B512" i="6"/>
  <c r="E512" i="6"/>
  <c r="H512" i="6"/>
  <c r="B505" i="6"/>
  <c r="E505" i="6"/>
  <c r="H505" i="6"/>
  <c r="J36" i="3"/>
  <c r="K36" i="3"/>
  <c r="L36" i="3"/>
  <c r="B497" i="6"/>
  <c r="E497" i="6"/>
  <c r="H497" i="6"/>
  <c r="B498" i="6"/>
  <c r="E498" i="6"/>
  <c r="H498" i="6"/>
  <c r="B499" i="6"/>
  <c r="E499" i="6"/>
  <c r="H499" i="6"/>
  <c r="B503" i="6"/>
  <c r="E503" i="6"/>
  <c r="H503" i="6"/>
  <c r="B504" i="6"/>
  <c r="E504" i="6"/>
  <c r="H504" i="6"/>
  <c r="B500" i="6"/>
  <c r="E500" i="6"/>
  <c r="H500" i="6"/>
  <c r="B506" i="6"/>
  <c r="E506" i="6"/>
  <c r="H506" i="6"/>
  <c r="B501" i="6"/>
  <c r="E501" i="6"/>
  <c r="H501" i="6"/>
  <c r="B502" i="6"/>
  <c r="E502" i="6"/>
  <c r="H502" i="6"/>
  <c r="B495" i="6"/>
  <c r="E495" i="6"/>
  <c r="H495" i="6"/>
  <c r="J24" i="3"/>
  <c r="K24" i="3"/>
  <c r="L24" i="3"/>
  <c r="F136" i="1" l="1"/>
  <c r="G136" i="1" s="1"/>
  <c r="H136" i="1"/>
  <c r="I136" i="1"/>
  <c r="K73" i="7"/>
  <c r="M73" i="7" s="1"/>
  <c r="F61" i="1"/>
  <c r="G61" i="1" s="1"/>
  <c r="H61" i="1"/>
  <c r="I61" i="1"/>
  <c r="K68" i="7" l="1"/>
  <c r="M68" i="7" s="1"/>
  <c r="F108" i="1"/>
  <c r="G108" i="1" s="1"/>
  <c r="H108" i="1"/>
  <c r="I108" i="1"/>
  <c r="K121" i="7" l="1"/>
  <c r="M121" i="7" s="1"/>
  <c r="F175" i="1"/>
  <c r="G175" i="1" s="1"/>
  <c r="H175" i="1"/>
  <c r="I175" i="1"/>
  <c r="F141" i="1"/>
  <c r="G141" i="1" s="1"/>
  <c r="H141" i="1"/>
  <c r="I141" i="1"/>
  <c r="F100" i="1"/>
  <c r="G100" i="1" s="1"/>
  <c r="H100" i="1"/>
  <c r="I100" i="1"/>
  <c r="K91" i="7"/>
  <c r="M91" i="7" s="1"/>
  <c r="K144" i="7"/>
  <c r="M144" i="7" s="1"/>
  <c r="K97" i="7"/>
  <c r="M97" i="7" s="1"/>
  <c r="K5" i="7"/>
  <c r="M5" i="7" s="1"/>
  <c r="K75" i="7"/>
  <c r="M75" i="7" s="1"/>
  <c r="K25" i="7"/>
  <c r="M25" i="7" s="1"/>
  <c r="K90" i="7"/>
  <c r="M90" i="7" s="1"/>
  <c r="K161" i="7"/>
  <c r="M161" i="7" s="1"/>
  <c r="K4" i="7"/>
  <c r="M4" i="7" s="1"/>
  <c r="F230" i="1"/>
  <c r="G230" i="1" s="1"/>
  <c r="H230" i="1"/>
  <c r="I230" i="1"/>
  <c r="F4" i="1"/>
  <c r="G4" i="1" s="1"/>
  <c r="H4" i="1"/>
  <c r="I4" i="1"/>
  <c r="B487" i="6"/>
  <c r="E487" i="6"/>
  <c r="H487" i="6"/>
  <c r="B488" i="6"/>
  <c r="E488" i="6"/>
  <c r="H488" i="6"/>
  <c r="B489" i="6"/>
  <c r="E489" i="6"/>
  <c r="H489" i="6"/>
  <c r="B490" i="6"/>
  <c r="E490" i="6"/>
  <c r="H490" i="6"/>
  <c r="B493" i="6"/>
  <c r="E493" i="6"/>
  <c r="H493" i="6"/>
  <c r="B494" i="6"/>
  <c r="E494" i="6"/>
  <c r="H494" i="6"/>
  <c r="B496" i="6"/>
  <c r="E496" i="6"/>
  <c r="H496" i="6"/>
  <c r="B491" i="6"/>
  <c r="E491" i="6"/>
  <c r="H491" i="6"/>
  <c r="B492" i="6"/>
  <c r="E492" i="6"/>
  <c r="H492" i="6"/>
  <c r="B485" i="6"/>
  <c r="E485" i="6"/>
  <c r="H485" i="6"/>
  <c r="B486" i="6"/>
  <c r="E486" i="6"/>
  <c r="H486" i="6"/>
  <c r="B476" i="6"/>
  <c r="E476" i="6"/>
  <c r="H476" i="6"/>
  <c r="B477" i="6"/>
  <c r="E477" i="6"/>
  <c r="H477" i="6"/>
  <c r="B478" i="6"/>
  <c r="E478" i="6"/>
  <c r="H478" i="6"/>
  <c r="B479" i="6"/>
  <c r="E479" i="6"/>
  <c r="H479" i="6"/>
  <c r="B480" i="6"/>
  <c r="E480" i="6"/>
  <c r="H480" i="6"/>
  <c r="B481" i="6"/>
  <c r="E481" i="6"/>
  <c r="H481" i="6"/>
  <c r="B482" i="6"/>
  <c r="E482" i="6"/>
  <c r="H482" i="6"/>
  <c r="B483" i="6"/>
  <c r="E483" i="6"/>
  <c r="H483" i="6"/>
  <c r="B484" i="6"/>
  <c r="E484" i="6"/>
  <c r="H484" i="6"/>
  <c r="B474" i="6"/>
  <c r="E474" i="6"/>
  <c r="H474" i="6"/>
  <c r="J12" i="3"/>
  <c r="K12" i="3"/>
  <c r="L12" i="3"/>
  <c r="B467" i="6"/>
  <c r="E467" i="6"/>
  <c r="H467" i="6"/>
  <c r="B468" i="6"/>
  <c r="E468" i="6"/>
  <c r="H468" i="6"/>
  <c r="B469" i="6"/>
  <c r="E469" i="6"/>
  <c r="H469" i="6"/>
  <c r="B472" i="6"/>
  <c r="E472" i="6"/>
  <c r="H472" i="6"/>
  <c r="B473" i="6"/>
  <c r="E473" i="6"/>
  <c r="H473" i="6"/>
  <c r="B475" i="6"/>
  <c r="E475" i="6"/>
  <c r="H475" i="6"/>
  <c r="B470" i="6"/>
  <c r="E470" i="6"/>
  <c r="H470" i="6"/>
  <c r="B471" i="6"/>
  <c r="E471" i="6"/>
  <c r="H471" i="6"/>
  <c r="B426" i="6"/>
  <c r="E426" i="6"/>
  <c r="H426" i="6"/>
  <c r="J37" i="3"/>
  <c r="K37" i="3"/>
  <c r="L37" i="3"/>
  <c r="B420" i="6" l="1"/>
  <c r="E420" i="6"/>
  <c r="H420" i="6"/>
  <c r="B421" i="6"/>
  <c r="E421" i="6"/>
  <c r="H421" i="6"/>
  <c r="B419" i="6"/>
  <c r="E419" i="6"/>
  <c r="H419" i="6"/>
  <c r="B415" i="6"/>
  <c r="E415" i="6"/>
  <c r="H415" i="6"/>
  <c r="B416" i="6"/>
  <c r="E416" i="6"/>
  <c r="H416" i="6"/>
  <c r="B417" i="6"/>
  <c r="E417" i="6"/>
  <c r="H417" i="6"/>
  <c r="B418" i="6"/>
  <c r="E418" i="6"/>
  <c r="H418" i="6"/>
  <c r="B423" i="6"/>
  <c r="E423" i="6"/>
  <c r="H423" i="6"/>
  <c r="B424" i="6"/>
  <c r="E424" i="6"/>
  <c r="H424" i="6"/>
  <c r="B425" i="6"/>
  <c r="E425" i="6"/>
  <c r="H425" i="6"/>
  <c r="B427" i="6"/>
  <c r="E427" i="6"/>
  <c r="H427" i="6"/>
  <c r="B422" i="6"/>
  <c r="E422" i="6"/>
  <c r="H422" i="6"/>
  <c r="J66" i="3" l="1"/>
  <c r="K66" i="3"/>
  <c r="L66" i="3"/>
  <c r="J13" i="3"/>
  <c r="K13" i="3"/>
  <c r="L13" i="3"/>
  <c r="H5" i="6" l="1"/>
  <c r="H6" i="6"/>
  <c r="H7" i="6"/>
  <c r="H8" i="6"/>
  <c r="H9" i="6"/>
  <c r="H246" i="6"/>
  <c r="H11" i="6"/>
  <c r="H12" i="6"/>
  <c r="H13" i="6"/>
  <c r="H14" i="6"/>
  <c r="H15" i="6"/>
  <c r="H16" i="6"/>
  <c r="H17" i="6"/>
  <c r="H18" i="6"/>
  <c r="H19" i="6"/>
  <c r="H350" i="6"/>
  <c r="H220" i="6"/>
  <c r="H325" i="6"/>
  <c r="H23" i="6"/>
  <c r="H24" i="6"/>
  <c r="H25" i="6"/>
  <c r="H26" i="6"/>
  <c r="H27" i="6"/>
  <c r="H28" i="6"/>
  <c r="H29" i="6"/>
  <c r="H30" i="6"/>
  <c r="H31" i="6"/>
  <c r="H32" i="6"/>
  <c r="H34" i="6"/>
  <c r="H35" i="6"/>
  <c r="H36" i="6"/>
  <c r="H37" i="6"/>
  <c r="H38" i="6"/>
  <c r="H39" i="6"/>
  <c r="H40" i="6"/>
  <c r="H41" i="6"/>
  <c r="H42" i="6"/>
  <c r="H137" i="6"/>
  <c r="H429" i="6"/>
  <c r="H45" i="6"/>
  <c r="H46" i="6"/>
  <c r="H10" i="6"/>
  <c r="H48" i="6"/>
  <c r="H49" i="6"/>
  <c r="H50" i="6"/>
  <c r="H51" i="6"/>
  <c r="H52" i="6"/>
  <c r="H271" i="6"/>
  <c r="H54" i="6"/>
  <c r="H55" i="6"/>
  <c r="H56" i="6"/>
  <c r="H20" i="6"/>
  <c r="H367" i="6"/>
  <c r="H59" i="6"/>
  <c r="H328" i="6"/>
  <c r="H298" i="6"/>
  <c r="H62" i="6"/>
  <c r="H410" i="6"/>
  <c r="H64" i="6"/>
  <c r="H66" i="6"/>
  <c r="H67" i="6"/>
  <c r="H68" i="6"/>
  <c r="H47" i="6"/>
  <c r="H70" i="6"/>
  <c r="H33" i="6"/>
  <c r="H72" i="6"/>
  <c r="H73" i="6"/>
  <c r="H74" i="6"/>
  <c r="H75" i="6"/>
  <c r="H76" i="6"/>
  <c r="H321" i="6"/>
  <c r="H314" i="6"/>
  <c r="H80" i="6"/>
  <c r="H81" i="6"/>
  <c r="H82" i="6"/>
  <c r="H83" i="6"/>
  <c r="H84" i="6"/>
  <c r="H58" i="6"/>
  <c r="H22" i="6"/>
  <c r="H87" i="6"/>
  <c r="H61" i="6"/>
  <c r="H60" i="6"/>
  <c r="H90" i="6"/>
  <c r="H91" i="6"/>
  <c r="H92" i="6"/>
  <c r="H93" i="6"/>
  <c r="H94" i="6"/>
  <c r="H43" i="6"/>
  <c r="H96" i="6"/>
  <c r="H97" i="6"/>
  <c r="H98" i="6"/>
  <c r="H99" i="6"/>
  <c r="H44" i="6"/>
  <c r="H101" i="6"/>
  <c r="H102" i="6"/>
  <c r="H57" i="6"/>
  <c r="H104" i="6"/>
  <c r="H105" i="6"/>
  <c r="H106" i="6"/>
  <c r="H235" i="6"/>
  <c r="H108" i="6"/>
  <c r="H109" i="6"/>
  <c r="H110" i="6"/>
  <c r="H111" i="6"/>
  <c r="H376" i="6"/>
  <c r="H77" i="6"/>
  <c r="H114" i="6"/>
  <c r="H115" i="6"/>
  <c r="H78" i="6"/>
  <c r="H117" i="6"/>
  <c r="H53" i="6"/>
  <c r="H119" i="6"/>
  <c r="H120" i="6"/>
  <c r="H121" i="6"/>
  <c r="H383" i="6"/>
  <c r="H123" i="6"/>
  <c r="H386" i="6"/>
  <c r="H125" i="6"/>
  <c r="H126" i="6"/>
  <c r="H127" i="6"/>
  <c r="H128" i="6"/>
  <c r="H343" i="6"/>
  <c r="H130" i="6"/>
  <c r="H131" i="6"/>
  <c r="H359" i="6"/>
  <c r="H133" i="6"/>
  <c r="H305" i="6"/>
  <c r="H136" i="6"/>
  <c r="H100" i="6"/>
  <c r="H21" i="6"/>
  <c r="H140" i="6"/>
  <c r="H135" i="6"/>
  <c r="H430" i="6"/>
  <c r="H143" i="6"/>
  <c r="H144" i="6"/>
  <c r="H311" i="6"/>
  <c r="H361" i="6"/>
  <c r="H65" i="6"/>
  <c r="H148" i="6"/>
  <c r="H149" i="6"/>
  <c r="H283" i="6"/>
  <c r="H151" i="6"/>
  <c r="H152" i="6"/>
  <c r="H153" i="6"/>
  <c r="H138" i="6"/>
  <c r="H155" i="6"/>
  <c r="H107" i="6"/>
  <c r="H340" i="6"/>
  <c r="H327" i="6"/>
  <c r="H158" i="6"/>
  <c r="H159" i="6"/>
  <c r="H377" i="6"/>
  <c r="H161" i="6"/>
  <c r="H79" i="6"/>
  <c r="H164" i="6"/>
  <c r="H165" i="6"/>
  <c r="H351" i="6"/>
  <c r="H69" i="6"/>
  <c r="H168" i="6"/>
  <c r="H169" i="6"/>
  <c r="H170" i="6"/>
  <c r="H171" i="6"/>
  <c r="H139" i="6"/>
  <c r="H173" i="6"/>
  <c r="H122" i="6"/>
  <c r="H86" i="6"/>
  <c r="H176" i="6"/>
  <c r="H129" i="6"/>
  <c r="H178" i="6"/>
  <c r="H393" i="6"/>
  <c r="H387" i="6"/>
  <c r="H181" i="6"/>
  <c r="H388" i="6"/>
  <c r="H183" i="6"/>
  <c r="H184" i="6"/>
  <c r="H185" i="6"/>
  <c r="H411" i="6"/>
  <c r="H116" i="6"/>
  <c r="H189" i="6"/>
  <c r="H190" i="6"/>
  <c r="H191" i="6"/>
  <c r="H192" i="6"/>
  <c r="H193" i="6"/>
  <c r="H85" i="6"/>
  <c r="H180" i="6"/>
  <c r="H196" i="6"/>
  <c r="H71" i="6"/>
  <c r="H198" i="6"/>
  <c r="H174" i="6"/>
  <c r="H88" i="6"/>
  <c r="H201" i="6"/>
  <c r="H202" i="6"/>
  <c r="H141" i="6"/>
  <c r="H204" i="6"/>
  <c r="H166" i="6"/>
  <c r="H154" i="6"/>
  <c r="H207" i="6"/>
  <c r="H208" i="6"/>
  <c r="H402" i="6"/>
  <c r="H194" i="6"/>
  <c r="H195" i="6"/>
  <c r="H103" i="6"/>
  <c r="H157" i="6"/>
  <c r="H214" i="6"/>
  <c r="H215" i="6"/>
  <c r="H211" i="6"/>
  <c r="H218" i="6"/>
  <c r="H219" i="6"/>
  <c r="H156" i="6"/>
  <c r="H221" i="6"/>
  <c r="H222" i="6"/>
  <c r="H385" i="6"/>
  <c r="H224" i="6"/>
  <c r="H401" i="6"/>
  <c r="H431" i="6"/>
  <c r="H212" i="6"/>
  <c r="H177" i="6"/>
  <c r="H229" i="6"/>
  <c r="H203" i="6"/>
  <c r="H231" i="6"/>
  <c r="H428" i="6"/>
  <c r="H233" i="6"/>
  <c r="H124" i="6"/>
  <c r="H390" i="6"/>
  <c r="H237" i="6"/>
  <c r="H238" i="6"/>
  <c r="H239" i="6"/>
  <c r="H342" i="6"/>
  <c r="H370" i="6"/>
  <c r="H242" i="6"/>
  <c r="H243" i="6"/>
  <c r="H244" i="6"/>
  <c r="H245" i="6"/>
  <c r="H247" i="6"/>
  <c r="H199" i="6"/>
  <c r="H249" i="6"/>
  <c r="H250" i="6"/>
  <c r="H375" i="6"/>
  <c r="H408" i="6"/>
  <c r="H253" i="6"/>
  <c r="H254" i="6"/>
  <c r="H409" i="6"/>
  <c r="H256" i="6"/>
  <c r="H257" i="6"/>
  <c r="H113" i="6"/>
  <c r="H259" i="6"/>
  <c r="H260" i="6"/>
  <c r="H413" i="6"/>
  <c r="H146" i="6"/>
  <c r="H187" i="6"/>
  <c r="H264" i="6"/>
  <c r="H362" i="6"/>
  <c r="H134" i="6"/>
  <c r="H162" i="6"/>
  <c r="H118" i="6"/>
  <c r="H346" i="6"/>
  <c r="H397" i="6"/>
  <c r="H274" i="6"/>
  <c r="H275" i="6"/>
  <c r="H345" i="6"/>
  <c r="H395" i="6"/>
  <c r="H278" i="6"/>
  <c r="H279" i="6"/>
  <c r="H280" i="6"/>
  <c r="H281" i="6"/>
  <c r="H282" i="6"/>
  <c r="H197" i="6"/>
  <c r="H284" i="6"/>
  <c r="H89" i="6"/>
  <c r="H206" i="6"/>
  <c r="H272" i="6"/>
  <c r="H288" i="6"/>
  <c r="H289" i="6"/>
  <c r="H205" i="6"/>
  <c r="H225" i="6"/>
  <c r="H248" i="6"/>
  <c r="H293" i="6"/>
  <c r="H294" i="6"/>
  <c r="H210" i="6"/>
  <c r="H142" i="6"/>
  <c r="H216" i="6"/>
  <c r="H167" i="6"/>
  <c r="H299" i="6"/>
  <c r="H213" i="6"/>
  <c r="H301" i="6"/>
  <c r="H240" i="6"/>
  <c r="H179" i="6"/>
  <c r="H304" i="6"/>
  <c r="H230" i="6"/>
  <c r="H306" i="6"/>
  <c r="H347" i="6"/>
  <c r="H307" i="6"/>
  <c r="H308" i="6"/>
  <c r="H251" i="6"/>
  <c r="H255" i="6"/>
  <c r="H145" i="6"/>
  <c r="H160" i="6"/>
  <c r="H313" i="6"/>
  <c r="H261" i="6"/>
  <c r="H265" i="6"/>
  <c r="H268" i="6"/>
  <c r="H316" i="6"/>
  <c r="H147" i="6"/>
  <c r="H317" i="6"/>
  <c r="H318" i="6"/>
  <c r="H319" i="6"/>
  <c r="H320" i="6"/>
  <c r="H150" i="6"/>
  <c r="H186" i="6"/>
  <c r="H292" i="6"/>
  <c r="H323" i="6"/>
  <c r="H223" i="6"/>
  <c r="H175" i="6"/>
  <c r="H297" i="6"/>
  <c r="H200" i="6"/>
  <c r="H182" i="6"/>
  <c r="H329" i="6"/>
  <c r="H236" i="6"/>
  <c r="H341" i="6"/>
  <c r="H241" i="6"/>
  <c r="H228" i="6"/>
  <c r="H344" i="6"/>
  <c r="H276" i="6"/>
  <c r="H273" i="6"/>
  <c r="H364" i="6"/>
  <c r="H348" i="6"/>
  <c r="H286" i="6"/>
  <c r="H226" i="6"/>
  <c r="H209" i="6"/>
  <c r="H352" i="6"/>
  <c r="H353" i="6"/>
  <c r="H354" i="6"/>
  <c r="H355" i="6"/>
  <c r="H356" i="6"/>
  <c r="H252" i="6"/>
  <c r="H310" i="6"/>
  <c r="H132" i="6"/>
  <c r="H360" i="6"/>
  <c r="H262" i="6"/>
  <c r="H266" i="6"/>
  <c r="H269" i="6"/>
  <c r="H163" i="6"/>
  <c r="H363" i="6"/>
  <c r="H172" i="6"/>
  <c r="H365" i="6"/>
  <c r="H366" i="6"/>
  <c r="H295" i="6"/>
  <c r="H368" i="6"/>
  <c r="H392" i="6"/>
  <c r="H371" i="6"/>
  <c r="H372" i="6"/>
  <c r="H436" i="6"/>
  <c r="H374" i="6"/>
  <c r="H309" i="6"/>
  <c r="H112" i="6"/>
  <c r="H258" i="6"/>
  <c r="H378" i="6"/>
  <c r="H379" i="6"/>
  <c r="H380" i="6"/>
  <c r="H381" i="6"/>
  <c r="H382" i="6"/>
  <c r="H95" i="6"/>
  <c r="H322" i="6"/>
  <c r="H384" i="6"/>
  <c r="H324" i="6"/>
  <c r="H234" i="6"/>
  <c r="H326" i="6"/>
  <c r="H217" i="6"/>
  <c r="H232" i="6"/>
  <c r="H389" i="6"/>
  <c r="H300" i="6"/>
  <c r="H391" i="6"/>
  <c r="H302" i="6"/>
  <c r="H303" i="6"/>
  <c r="H394" i="6"/>
  <c r="H277" i="6"/>
  <c r="H396" i="6"/>
  <c r="H287" i="6"/>
  <c r="H398" i="6"/>
  <c r="H399" i="6"/>
  <c r="H349" i="6"/>
  <c r="H227" i="6"/>
  <c r="H290" i="6"/>
  <c r="H404" i="6"/>
  <c r="H369" i="6"/>
  <c r="H406" i="6"/>
  <c r="H407" i="6"/>
  <c r="H357" i="6"/>
  <c r="H358" i="6"/>
  <c r="H63" i="6"/>
  <c r="H312" i="6"/>
  <c r="H412" i="6"/>
  <c r="H267" i="6"/>
  <c r="H263" i="6"/>
  <c r="H270" i="6"/>
  <c r="H188" i="6"/>
  <c r="H414" i="6"/>
  <c r="H285" i="6"/>
  <c r="H400" i="6"/>
  <c r="H296" i="6"/>
  <c r="H291" i="6"/>
  <c r="H432" i="6"/>
  <c r="H433" i="6"/>
  <c r="H405" i="6"/>
  <c r="H373" i="6"/>
  <c r="H315" i="6"/>
  <c r="H437" i="6"/>
  <c r="H438" i="6"/>
  <c r="H439" i="6"/>
  <c r="H440" i="6"/>
  <c r="H441" i="6"/>
  <c r="H442" i="6"/>
  <c r="H443" i="6"/>
  <c r="H444" i="6"/>
  <c r="H455" i="6"/>
  <c r="H446" i="6"/>
  <c r="H456" i="6"/>
  <c r="H445" i="6"/>
  <c r="H447" i="6"/>
  <c r="H457" i="6"/>
  <c r="H448" i="6"/>
  <c r="H449" i="6"/>
  <c r="H450" i="6"/>
  <c r="H451" i="6"/>
  <c r="H452" i="6"/>
  <c r="H453" i="6"/>
  <c r="H464" i="6"/>
  <c r="H458" i="6"/>
  <c r="H459" i="6"/>
  <c r="H465" i="6"/>
  <c r="H460" i="6"/>
  <c r="H461" i="6"/>
  <c r="H462" i="6"/>
  <c r="H466" i="6"/>
  <c r="H463" i="6"/>
  <c r="H454" i="6"/>
  <c r="B458" i="6"/>
  <c r="E458" i="6"/>
  <c r="B462" i="6"/>
  <c r="E462" i="6"/>
  <c r="B461" i="6"/>
  <c r="E461" i="6"/>
  <c r="B464" i="6"/>
  <c r="E464" i="6"/>
  <c r="B459" i="6"/>
  <c r="E459" i="6"/>
  <c r="B465" i="6"/>
  <c r="E465" i="6"/>
  <c r="B466" i="6"/>
  <c r="E466" i="6"/>
  <c r="B460" i="6"/>
  <c r="E460" i="6"/>
  <c r="B463" i="6"/>
  <c r="E463" i="6"/>
  <c r="J29" i="3"/>
  <c r="K29" i="3"/>
  <c r="L29" i="3"/>
  <c r="J44" i="8"/>
  <c r="K44" i="8" s="1"/>
  <c r="H47" i="9" l="1"/>
  <c r="B449" i="6"/>
  <c r="E449" i="6"/>
  <c r="B450" i="6"/>
  <c r="E450" i="6"/>
  <c r="B447" i="6"/>
  <c r="E447" i="6"/>
  <c r="B452" i="6"/>
  <c r="E452" i="6"/>
  <c r="B451" i="6"/>
  <c r="E451" i="6"/>
  <c r="B456" i="6"/>
  <c r="E456" i="6"/>
  <c r="B455" i="6"/>
  <c r="E455" i="6"/>
  <c r="B457" i="6"/>
  <c r="E457" i="6"/>
  <c r="B448" i="6"/>
  <c r="E448" i="6"/>
  <c r="B453" i="6"/>
  <c r="E453" i="6"/>
  <c r="B445" i="6"/>
  <c r="E445" i="6"/>
  <c r="B454" i="6"/>
  <c r="E454" i="6"/>
  <c r="J58" i="3"/>
  <c r="K58" i="3"/>
  <c r="L58" i="3"/>
  <c r="B444" i="6"/>
  <c r="E444" i="6"/>
  <c r="B438" i="6"/>
  <c r="E438" i="6"/>
  <c r="B443" i="6"/>
  <c r="E443" i="6"/>
  <c r="B440" i="6"/>
  <c r="E440" i="6"/>
  <c r="B437" i="6"/>
  <c r="E437" i="6"/>
  <c r="B378" i="6"/>
  <c r="E378" i="6"/>
  <c r="B439" i="6"/>
  <c r="E439" i="6"/>
  <c r="B441" i="6"/>
  <c r="E441" i="6"/>
  <c r="B442" i="6"/>
  <c r="E442" i="6"/>
  <c r="B446" i="6"/>
  <c r="E446" i="6"/>
  <c r="J41" i="3"/>
  <c r="K41" i="3"/>
  <c r="L41" i="3"/>
  <c r="J33" i="8" l="1"/>
  <c r="K33" i="8" s="1"/>
  <c r="B41" i="6" l="1"/>
  <c r="E41" i="6"/>
  <c r="B379" i="6"/>
  <c r="E379" i="6"/>
  <c r="B318" i="6"/>
  <c r="E318" i="6"/>
  <c r="B82" i="6"/>
  <c r="E82" i="6"/>
  <c r="B282" i="6"/>
  <c r="E282" i="6"/>
  <c r="B136" i="6"/>
  <c r="E136" i="6"/>
  <c r="B149" i="6"/>
  <c r="E149" i="6"/>
  <c r="B164" i="6"/>
  <c r="E164" i="6"/>
  <c r="B6" i="6"/>
  <c r="E6" i="6"/>
  <c r="B192" i="6"/>
  <c r="E192" i="6"/>
  <c r="B193" i="6"/>
  <c r="E193" i="6"/>
  <c r="J11" i="3"/>
  <c r="K11" i="3"/>
  <c r="L11" i="3"/>
  <c r="F18" i="1" l="1"/>
  <c r="G18" i="1" s="1"/>
  <c r="H18" i="1"/>
  <c r="I18" i="1"/>
  <c r="B363" i="6"/>
  <c r="E363" i="6"/>
  <c r="B120" i="6"/>
  <c r="E120" i="6"/>
  <c r="B317" i="6"/>
  <c r="E317" i="6"/>
  <c r="B279" i="6"/>
  <c r="E279" i="6"/>
  <c r="B191" i="6"/>
  <c r="E191" i="6"/>
  <c r="B148" i="6"/>
  <c r="E148" i="6"/>
  <c r="B81" i="6"/>
  <c r="E81" i="6"/>
  <c r="B280" i="6"/>
  <c r="E280" i="6"/>
  <c r="B281" i="6"/>
  <c r="E281" i="6"/>
  <c r="B18" i="6"/>
  <c r="E18" i="6"/>
  <c r="B381" i="6"/>
  <c r="E381" i="6"/>
  <c r="J25" i="3"/>
  <c r="K25" i="3"/>
  <c r="L25" i="3"/>
  <c r="J50" i="3"/>
  <c r="K50" i="3"/>
  <c r="L50" i="3"/>
  <c r="J61" i="3"/>
  <c r="K61" i="3"/>
  <c r="L61" i="3"/>
  <c r="B278" i="6"/>
  <c r="E278" i="6"/>
  <c r="E53" i="12"/>
  <c r="F53" i="12"/>
  <c r="G53" i="12"/>
  <c r="H53" i="12"/>
  <c r="B380" i="6"/>
  <c r="E380" i="6"/>
  <c r="B319" i="6"/>
  <c r="E319" i="6"/>
  <c r="B119" i="6"/>
  <c r="E119" i="6"/>
  <c r="B316" i="6"/>
  <c r="E316" i="6"/>
  <c r="B54" i="6"/>
  <c r="E54" i="6"/>
  <c r="B189" i="6"/>
  <c r="E189" i="6"/>
  <c r="B80" i="6"/>
  <c r="E80" i="6"/>
  <c r="B274" i="6"/>
  <c r="E274" i="6"/>
  <c r="B190" i="6"/>
  <c r="E190" i="6"/>
  <c r="B275" i="6"/>
  <c r="E275" i="6"/>
  <c r="J68" i="3"/>
  <c r="K68" i="3"/>
  <c r="L68" i="3"/>
  <c r="H18" i="12"/>
  <c r="G18" i="12"/>
  <c r="B345" i="6"/>
  <c r="E345" i="6"/>
  <c r="B395" i="6"/>
  <c r="E395" i="6"/>
  <c r="B305" i="6"/>
  <c r="E305" i="6"/>
  <c r="B346" i="6" l="1"/>
  <c r="E346" i="6"/>
  <c r="B397" i="6"/>
  <c r="E397" i="6"/>
  <c r="B271" i="6"/>
  <c r="E271" i="6"/>
  <c r="B147" i="6"/>
  <c r="E147" i="6"/>
  <c r="B27" i="6"/>
  <c r="E27" i="6"/>
  <c r="B118" i="6"/>
  <c r="E118" i="6"/>
  <c r="B65" i="6"/>
  <c r="E65" i="6"/>
  <c r="B79" i="6"/>
  <c r="E79" i="6"/>
  <c r="B163" i="6"/>
  <c r="E163" i="6"/>
  <c r="B53" i="6"/>
  <c r="E53" i="6"/>
  <c r="B188" i="6"/>
  <c r="E188" i="6"/>
  <c r="J67" i="3"/>
  <c r="K67" i="3"/>
  <c r="L67" i="3"/>
  <c r="H33" i="12" l="1"/>
  <c r="K92" i="7"/>
  <c r="M92" i="7" s="1"/>
  <c r="B17" i="6"/>
  <c r="E17" i="6"/>
  <c r="B269" i="6"/>
  <c r="E269" i="6"/>
  <c r="B117" i="6"/>
  <c r="E117" i="6"/>
  <c r="B268" i="6"/>
  <c r="E268" i="6"/>
  <c r="B134" i="6"/>
  <c r="E134" i="6"/>
  <c r="B64" i="6"/>
  <c r="E64" i="6"/>
  <c r="B162" i="6"/>
  <c r="E162" i="6"/>
  <c r="B40" i="6"/>
  <c r="E40" i="6"/>
  <c r="B270" i="6"/>
  <c r="E270" i="6"/>
  <c r="J48" i="3"/>
  <c r="K48" i="3"/>
  <c r="L48" i="3"/>
  <c r="B362" i="6"/>
  <c r="E362" i="6"/>
  <c r="B266" i="6"/>
  <c r="E266" i="6"/>
  <c r="B265" i="6"/>
  <c r="E265" i="6"/>
  <c r="B264" i="6"/>
  <c r="E264" i="6"/>
  <c r="B16" i="6"/>
  <c r="E16" i="6"/>
  <c r="B161" i="6"/>
  <c r="E161" i="6"/>
  <c r="B315" i="6"/>
  <c r="E315" i="6"/>
  <c r="B39" i="6"/>
  <c r="E39" i="6"/>
  <c r="B267" i="6"/>
  <c r="E267" i="6"/>
  <c r="B115" i="6"/>
  <c r="E115" i="6"/>
  <c r="J47" i="3"/>
  <c r="K47" i="3"/>
  <c r="L47" i="3"/>
  <c r="F26" i="12"/>
  <c r="E26" i="12"/>
  <c r="E33" i="12"/>
  <c r="F33" i="12"/>
  <c r="G33" i="12"/>
  <c r="E18" i="12"/>
  <c r="E47" i="9"/>
  <c r="G47" i="9"/>
  <c r="E75" i="9" l="1"/>
  <c r="F60" i="9"/>
  <c r="F47" i="9"/>
  <c r="E32" i="9"/>
  <c r="F32" i="9"/>
  <c r="G32" i="9"/>
  <c r="B116" i="6"/>
  <c r="E116" i="6"/>
  <c r="B146" i="6"/>
  <c r="E146" i="6"/>
  <c r="B187" i="6"/>
  <c r="E187" i="6"/>
  <c r="B78" i="6"/>
  <c r="E78" i="6"/>
  <c r="B262" i="6"/>
  <c r="E262" i="6"/>
  <c r="B261" i="6"/>
  <c r="E261" i="6"/>
  <c r="B413" i="6"/>
  <c r="E413" i="6"/>
  <c r="B361" i="6"/>
  <c r="E361" i="6"/>
  <c r="B314" i="6"/>
  <c r="E314" i="6"/>
  <c r="B26" i="6"/>
  <c r="E26" i="6"/>
  <c r="B263" i="6"/>
  <c r="E263" i="6"/>
  <c r="K59" i="7"/>
  <c r="K165" i="7"/>
  <c r="K94" i="7"/>
  <c r="K98" i="7"/>
  <c r="K72" i="7"/>
  <c r="K99" i="7"/>
  <c r="K13" i="7"/>
  <c r="K120" i="7"/>
  <c r="K29" i="7"/>
  <c r="K133" i="7"/>
  <c r="K155" i="7"/>
  <c r="K55" i="7"/>
  <c r="K58" i="7"/>
  <c r="J15" i="3"/>
  <c r="K15" i="3"/>
  <c r="L15" i="3"/>
  <c r="B360" i="6"/>
  <c r="E360" i="6"/>
  <c r="B114" i="6"/>
  <c r="E114" i="6"/>
  <c r="B412" i="6"/>
  <c r="E412" i="6"/>
  <c r="B313" i="6"/>
  <c r="E313" i="6"/>
  <c r="B259" i="6"/>
  <c r="E259" i="6"/>
  <c r="B260" i="6"/>
  <c r="E260" i="6"/>
  <c r="B15" i="6"/>
  <c r="E15" i="6"/>
  <c r="B133" i="6"/>
  <c r="E133" i="6"/>
  <c r="B52" i="6"/>
  <c r="E52" i="6"/>
  <c r="J21" i="3"/>
  <c r="K21" i="3"/>
  <c r="L21" i="3"/>
  <c r="B77" i="6"/>
  <c r="E77" i="6"/>
  <c r="B312" i="6"/>
  <c r="E312" i="6"/>
  <c r="B160" i="6"/>
  <c r="E160" i="6"/>
  <c r="B14" i="6"/>
  <c r="E14" i="6"/>
  <c r="B113" i="6"/>
  <c r="E113" i="6"/>
  <c r="B38" i="6"/>
  <c r="E38" i="6"/>
  <c r="B51" i="6"/>
  <c r="E51" i="6"/>
  <c r="B258" i="6"/>
  <c r="E258" i="6"/>
  <c r="B321" i="6"/>
  <c r="E321" i="6"/>
  <c r="B377" i="6"/>
  <c r="E377" i="6"/>
  <c r="B411" i="6"/>
  <c r="E411" i="6"/>
  <c r="B186" i="6"/>
  <c r="E186" i="6"/>
  <c r="J52" i="3"/>
  <c r="K52" i="3"/>
  <c r="L52" i="3"/>
  <c r="F197" i="1"/>
  <c r="G197" i="1" s="1"/>
  <c r="H197" i="1"/>
  <c r="I197" i="1"/>
  <c r="F78" i="1"/>
  <c r="G78" i="1" s="1"/>
  <c r="H78" i="1"/>
  <c r="I78" i="1"/>
  <c r="J39" i="3"/>
  <c r="K39" i="3"/>
  <c r="L39" i="3"/>
  <c r="J47" i="8"/>
  <c r="K47" i="8" s="1"/>
  <c r="J28" i="8"/>
  <c r="K28" i="8" s="1"/>
  <c r="J27" i="8"/>
  <c r="K27" i="8" s="1"/>
  <c r="J32" i="3"/>
  <c r="K32" i="3"/>
  <c r="L32" i="3"/>
  <c r="B71" i="6"/>
  <c r="E71" i="6"/>
  <c r="B33" i="6"/>
  <c r="E33" i="6"/>
  <c r="B196" i="6"/>
  <c r="E196" i="6"/>
  <c r="B43" i="6"/>
  <c r="E43" i="6"/>
  <c r="B150" i="6"/>
  <c r="E150" i="6"/>
  <c r="B95" i="6"/>
  <c r="E95" i="6"/>
  <c r="B197" i="6"/>
  <c r="E197" i="6"/>
  <c r="B137" i="6"/>
  <c r="E137" i="6"/>
  <c r="B198" i="6"/>
  <c r="E198" i="6"/>
  <c r="B283" i="6"/>
  <c r="E283" i="6"/>
  <c r="J59" i="3" l="1"/>
  <c r="K59" i="3"/>
  <c r="L59" i="3"/>
  <c r="B31" i="10" l="1"/>
  <c r="B30" i="10"/>
  <c r="B29" i="10"/>
  <c r="B28" i="10"/>
  <c r="B27" i="10"/>
  <c r="B26" i="10"/>
  <c r="B25" i="10"/>
  <c r="B24" i="10"/>
  <c r="B23" i="10"/>
  <c r="B22" i="10"/>
  <c r="B21" i="10"/>
  <c r="B20" i="10"/>
  <c r="B19" i="10"/>
  <c r="B18" i="10"/>
  <c r="B17" i="10"/>
  <c r="B16" i="10"/>
  <c r="B15" i="10"/>
  <c r="B11" i="10"/>
  <c r="B6" i="10"/>
  <c r="B14" i="10"/>
  <c r="B7" i="10"/>
  <c r="B12" i="10"/>
  <c r="B13" i="10"/>
  <c r="B8" i="10"/>
  <c r="B9" i="10"/>
  <c r="B10" i="10"/>
  <c r="B132" i="6" l="1"/>
  <c r="E132" i="6"/>
  <c r="B376" i="6"/>
  <c r="E376" i="6"/>
  <c r="B145" i="6"/>
  <c r="E145" i="6"/>
  <c r="B256" i="6"/>
  <c r="E256" i="6"/>
  <c r="B410" i="6"/>
  <c r="B359" i="6"/>
  <c r="B112" i="6"/>
  <c r="E112" i="6"/>
  <c r="B311" i="6"/>
  <c r="E311" i="6"/>
  <c r="B257" i="6"/>
  <c r="E257" i="6"/>
  <c r="B63" i="6"/>
  <c r="E63" i="6"/>
  <c r="J51" i="3"/>
  <c r="K51" i="3"/>
  <c r="L51" i="3"/>
  <c r="B111" i="6"/>
  <c r="E111" i="6"/>
  <c r="B358" i="6"/>
  <c r="E358" i="6"/>
  <c r="B255" i="6"/>
  <c r="E255" i="6"/>
  <c r="B25" i="6"/>
  <c r="E25" i="6"/>
  <c r="B144" i="6"/>
  <c r="E144" i="6"/>
  <c r="B185" i="6"/>
  <c r="E185" i="6"/>
  <c r="B253" i="6"/>
  <c r="E253" i="6"/>
  <c r="B254" i="6"/>
  <c r="E254" i="6"/>
  <c r="B409" i="6"/>
  <c r="E409" i="6"/>
  <c r="B310" i="6"/>
  <c r="E310" i="6"/>
  <c r="J76" i="3"/>
  <c r="K76" i="3"/>
  <c r="L76" i="3"/>
  <c r="B252" i="6"/>
  <c r="E252" i="6"/>
  <c r="B110" i="6"/>
  <c r="E110" i="6"/>
  <c r="B251" i="6"/>
  <c r="E251" i="6"/>
  <c r="B159" i="6"/>
  <c r="E159" i="6"/>
  <c r="B50" i="6"/>
  <c r="E50" i="6"/>
  <c r="B309" i="6"/>
  <c r="E309" i="6"/>
  <c r="B76" i="6"/>
  <c r="E76" i="6"/>
  <c r="B375" i="6"/>
  <c r="E375" i="6"/>
  <c r="B408" i="6"/>
  <c r="E408" i="6"/>
  <c r="B357" i="6"/>
  <c r="E357" i="6"/>
  <c r="J82" i="3"/>
  <c r="K82" i="3"/>
  <c r="L82" i="3"/>
  <c r="B374" i="6"/>
  <c r="E374" i="6"/>
  <c r="B62" i="6"/>
  <c r="E62" i="6"/>
  <c r="B131" i="6"/>
  <c r="E131" i="6"/>
  <c r="B184" i="6"/>
  <c r="E184" i="6"/>
  <c r="B75" i="6"/>
  <c r="E75" i="6"/>
  <c r="B109" i="6"/>
  <c r="E109" i="6"/>
  <c r="B356" i="6"/>
  <c r="E356" i="6"/>
  <c r="B308" i="6"/>
  <c r="E308" i="6"/>
  <c r="B183" i="6"/>
  <c r="E183" i="6"/>
  <c r="B249" i="6"/>
  <c r="E249" i="6"/>
  <c r="B250" i="6"/>
  <c r="E250" i="6"/>
  <c r="B396" i="6"/>
  <c r="E396" i="6"/>
  <c r="J60" i="3"/>
  <c r="K60" i="3"/>
  <c r="L60" i="3"/>
  <c r="F53" i="1"/>
  <c r="G53" i="1" s="1"/>
  <c r="H53" i="1"/>
  <c r="I53" i="1"/>
  <c r="K130" i="7"/>
  <c r="M130" i="7" s="1"/>
  <c r="F188" i="1"/>
  <c r="G188" i="1" s="1"/>
  <c r="H188" i="1"/>
  <c r="I188" i="1"/>
  <c r="B158" i="6"/>
  <c r="E158" i="6"/>
  <c r="B371" i="6"/>
  <c r="E371" i="6"/>
  <c r="B181" i="6"/>
  <c r="E181" i="6"/>
  <c r="B245" i="6"/>
  <c r="E245" i="6"/>
  <c r="B406" i="6"/>
  <c r="E406" i="6"/>
  <c r="B108" i="6"/>
  <c r="E108" i="6"/>
  <c r="B354" i="6"/>
  <c r="E354" i="6"/>
  <c r="B307" i="6"/>
  <c r="E307" i="6"/>
  <c r="B242" i="6"/>
  <c r="E242" i="6"/>
  <c r="B243" i="6"/>
  <c r="E243" i="6"/>
  <c r="B244" i="6"/>
  <c r="E244" i="6"/>
  <c r="J17" i="3"/>
  <c r="K17" i="3"/>
  <c r="L17" i="3"/>
  <c r="F16" i="1"/>
  <c r="G16" i="1" s="1"/>
  <c r="H16" i="1"/>
  <c r="I16" i="1"/>
  <c r="B4" i="10"/>
  <c r="B5" i="10"/>
  <c r="J43" i="3" l="1"/>
  <c r="K43" i="3"/>
  <c r="L43" i="3"/>
  <c r="J62" i="8"/>
  <c r="K62" i="8" s="1"/>
  <c r="J61" i="8"/>
  <c r="K61" i="8" s="1"/>
  <c r="J60" i="8"/>
  <c r="K60" i="8" s="1"/>
  <c r="J59" i="8"/>
  <c r="K59" i="8" s="1"/>
  <c r="J24" i="8"/>
  <c r="K24" i="8" s="1"/>
  <c r="J23" i="8"/>
  <c r="K23" i="8" s="1"/>
  <c r="J22" i="8"/>
  <c r="K22" i="8" s="1"/>
  <c r="J21" i="8"/>
  <c r="K21" i="8" s="1"/>
  <c r="J20" i="8"/>
  <c r="K20" i="8" s="1"/>
  <c r="J19" i="8"/>
  <c r="K19" i="8" s="1"/>
  <c r="J18" i="8"/>
  <c r="K18" i="8" s="1"/>
  <c r="J17" i="8"/>
  <c r="K17" i="8" s="1"/>
  <c r="K89" i="7" l="1"/>
  <c r="K125" i="7"/>
  <c r="K146" i="7"/>
  <c r="K136" i="7"/>
  <c r="K143" i="7"/>
  <c r="K15" i="7"/>
  <c r="K164" i="7"/>
  <c r="K82" i="7"/>
  <c r="K27" i="7"/>
  <c r="K69" i="7"/>
  <c r="M69" i="7" s="1"/>
  <c r="F110" i="1"/>
  <c r="G110" i="1" s="1"/>
  <c r="H110" i="1"/>
  <c r="I110" i="1"/>
  <c r="B32" i="6"/>
  <c r="E32" i="6"/>
  <c r="F187" i="1"/>
  <c r="G187" i="1" s="1"/>
  <c r="H187" i="1"/>
  <c r="I187" i="1"/>
  <c r="B11" i="6"/>
  <c r="E11" i="6"/>
  <c r="B34" i="6"/>
  <c r="E34" i="6"/>
  <c r="B429" i="6"/>
  <c r="E429" i="6"/>
  <c r="B383" i="6"/>
  <c r="E383" i="6"/>
  <c r="B436" i="6"/>
  <c r="E436" i="6"/>
  <c r="B199" i="6"/>
  <c r="E199" i="6"/>
  <c r="B373" i="6"/>
  <c r="E373" i="6"/>
  <c r="B372" i="6"/>
  <c r="E372" i="6"/>
  <c r="B153" i="6"/>
  <c r="E153" i="6"/>
  <c r="B55" i="6"/>
  <c r="E55" i="6"/>
  <c r="B247" i="6"/>
  <c r="E247" i="6"/>
  <c r="B246" i="6"/>
  <c r="E246" i="6"/>
  <c r="B327" i="6"/>
  <c r="E327" i="6"/>
  <c r="B298" i="6"/>
  <c r="E298" i="6"/>
  <c r="B392" i="6"/>
  <c r="E392" i="6"/>
  <c r="B342" i="6"/>
  <c r="E342" i="6"/>
  <c r="B370" i="6"/>
  <c r="E370" i="6"/>
  <c r="B430" i="6"/>
  <c r="E430" i="6"/>
  <c r="F55" i="1"/>
  <c r="G55" i="1" s="1"/>
  <c r="H55" i="1"/>
  <c r="I55" i="1"/>
  <c r="F215" i="1"/>
  <c r="G215" i="1" s="1"/>
  <c r="H215" i="1"/>
  <c r="I215" i="1"/>
  <c r="F66" i="1"/>
  <c r="G66" i="1" s="1"/>
  <c r="H66" i="1"/>
  <c r="I66" i="1"/>
  <c r="B239" i="6"/>
  <c r="E239" i="6"/>
  <c r="B7" i="6"/>
  <c r="E7" i="6"/>
  <c r="F213" i="1"/>
  <c r="G213" i="1" s="1"/>
  <c r="H213" i="1"/>
  <c r="I213" i="1"/>
  <c r="B387" i="6"/>
  <c r="E387" i="6"/>
  <c r="F176" i="1"/>
  <c r="G176" i="1" s="1"/>
  <c r="H176" i="1"/>
  <c r="I176" i="1"/>
  <c r="F41" i="1"/>
  <c r="G41" i="1" s="1"/>
  <c r="H41" i="1"/>
  <c r="I41" i="1"/>
  <c r="F229" i="1"/>
  <c r="G229" i="1" s="1"/>
  <c r="H229" i="1"/>
  <c r="I229" i="1"/>
  <c r="B143" i="6"/>
  <c r="E143" i="6"/>
  <c r="B121" i="6"/>
  <c r="E121" i="6"/>
  <c r="B28" i="6"/>
  <c r="E28" i="6"/>
  <c r="F220" i="1"/>
  <c r="G220" i="1" s="1"/>
  <c r="H220" i="1"/>
  <c r="I220" i="1"/>
  <c r="F86" i="1"/>
  <c r="G86" i="1" s="1"/>
  <c r="H86" i="1"/>
  <c r="I86" i="1"/>
  <c r="F99" i="1"/>
  <c r="G99" i="1" s="1"/>
  <c r="H99" i="1"/>
  <c r="I99" i="1"/>
  <c r="F92" i="1"/>
  <c r="G92" i="1" s="1"/>
  <c r="H92" i="1"/>
  <c r="I92" i="1"/>
  <c r="F63" i="1"/>
  <c r="G63" i="1" s="1"/>
  <c r="H63" i="1"/>
  <c r="I63" i="1"/>
  <c r="F125" i="1"/>
  <c r="G125" i="1" s="1"/>
  <c r="H125" i="1"/>
  <c r="I125" i="1"/>
  <c r="F116" i="1"/>
  <c r="G116" i="1" s="1"/>
  <c r="H116" i="1"/>
  <c r="I116" i="1"/>
  <c r="F93" i="1"/>
  <c r="G93" i="1" s="1"/>
  <c r="H93" i="1"/>
  <c r="I93" i="1"/>
  <c r="F79" i="1"/>
  <c r="G79" i="1" s="1"/>
  <c r="H79" i="1"/>
  <c r="I79" i="1"/>
  <c r="F163" i="1"/>
  <c r="G163" i="1" s="1"/>
  <c r="H163" i="1"/>
  <c r="I163" i="1"/>
  <c r="F121" i="1"/>
  <c r="G121" i="1" s="1"/>
  <c r="H121" i="1"/>
  <c r="I121" i="1"/>
  <c r="B393" i="6"/>
  <c r="E393" i="6"/>
  <c r="B343" i="6"/>
  <c r="E343" i="6"/>
  <c r="B13" i="6"/>
  <c r="E13" i="6"/>
  <c r="B237" i="6"/>
  <c r="E237" i="6"/>
  <c r="B36" i="6"/>
  <c r="E36" i="6"/>
  <c r="B238" i="6"/>
  <c r="E238" i="6"/>
  <c r="F148" i="1"/>
  <c r="G148" i="1" s="1"/>
  <c r="H148" i="1"/>
  <c r="I148" i="1"/>
  <c r="K19" i="7"/>
  <c r="M19" i="7" s="1"/>
  <c r="K20" i="7"/>
  <c r="M20" i="7" s="1"/>
  <c r="F37" i="1"/>
  <c r="G37" i="1" s="1"/>
  <c r="H37" i="1"/>
  <c r="I37" i="1"/>
  <c r="F38" i="1"/>
  <c r="G38" i="1" s="1"/>
  <c r="H38" i="1"/>
  <c r="I38" i="1"/>
  <c r="F36" i="1"/>
  <c r="G36" i="1" s="1"/>
  <c r="H36" i="1"/>
  <c r="I36" i="1"/>
  <c r="K18" i="7"/>
  <c r="M18" i="7" s="1"/>
  <c r="B340" i="6"/>
  <c r="E340" i="6"/>
  <c r="B390" i="6"/>
  <c r="E390" i="6"/>
  <c r="B350" i="6"/>
  <c r="E350" i="6"/>
  <c r="B401" i="6"/>
  <c r="E401" i="6"/>
  <c r="B431" i="6"/>
  <c r="E431" i="6"/>
  <c r="F166" i="1"/>
  <c r="G166" i="1" s="1"/>
  <c r="H166" i="1"/>
  <c r="I166" i="1"/>
  <c r="F122" i="1"/>
  <c r="G122" i="1" s="1"/>
  <c r="H122" i="1"/>
  <c r="I122" i="1"/>
  <c r="F155" i="1"/>
  <c r="G155" i="1" s="1"/>
  <c r="H155" i="1"/>
  <c r="I155" i="1"/>
  <c r="F67" i="1"/>
  <c r="G67" i="1" s="1"/>
  <c r="H67" i="1"/>
  <c r="I67" i="1"/>
  <c r="B385" i="6"/>
  <c r="E385" i="6"/>
  <c r="B367" i="6"/>
  <c r="E367" i="6"/>
  <c r="J41" i="8"/>
  <c r="K41" i="8" s="1"/>
  <c r="J40" i="8"/>
  <c r="K40" i="8" s="1"/>
  <c r="J39" i="8"/>
  <c r="K39" i="8" s="1"/>
  <c r="J38" i="8"/>
  <c r="K38" i="8" s="1"/>
  <c r="K47" i="7"/>
  <c r="M47" i="7" s="1"/>
  <c r="F76" i="1"/>
  <c r="G76" i="1" s="1"/>
  <c r="H76" i="1"/>
  <c r="I76" i="1"/>
  <c r="K149" i="7"/>
  <c r="M149" i="7" s="1"/>
  <c r="K100" i="7"/>
  <c r="K23" i="7"/>
  <c r="K115" i="7"/>
  <c r="K6" i="7"/>
  <c r="K167" i="7"/>
  <c r="K21" i="7"/>
  <c r="K119" i="7"/>
  <c r="K22" i="7"/>
  <c r="K137" i="7"/>
  <c r="K128" i="7"/>
  <c r="K31" i="7"/>
  <c r="K110" i="7"/>
  <c r="K152" i="7"/>
  <c r="K64" i="7"/>
  <c r="K140" i="7"/>
  <c r="K12" i="7"/>
  <c r="K142" i="7"/>
  <c r="K150" i="7"/>
  <c r="K8" i="7"/>
  <c r="K88" i="7"/>
  <c r="K67" i="7"/>
  <c r="K66" i="7"/>
  <c r="K113" i="7"/>
  <c r="K84" i="7"/>
  <c r="K116" i="7"/>
  <c r="K33" i="7"/>
  <c r="K159" i="7"/>
  <c r="K160" i="7"/>
  <c r="K131" i="7"/>
  <c r="K9" i="7"/>
  <c r="K141" i="7"/>
  <c r="K114" i="7"/>
  <c r="K105" i="7"/>
  <c r="K134" i="7"/>
  <c r="K45" i="7"/>
  <c r="K11" i="7"/>
  <c r="K61" i="7"/>
  <c r="K37" i="7"/>
  <c r="K74" i="7"/>
  <c r="K95" i="7"/>
  <c r="K10" i="7"/>
  <c r="K106" i="7"/>
  <c r="K157" i="7"/>
  <c r="K53" i="7"/>
  <c r="K49" i="7"/>
  <c r="K50" i="7"/>
  <c r="K71" i="7"/>
  <c r="K7" i="7"/>
  <c r="K78" i="7"/>
  <c r="K51" i="7"/>
  <c r="K52" i="7"/>
  <c r="K48" i="7"/>
  <c r="K104" i="7"/>
  <c r="K103" i="7"/>
  <c r="K16" i="7"/>
  <c r="K138" i="7"/>
  <c r="K124" i="7"/>
  <c r="K102" i="7"/>
  <c r="K101" i="7"/>
  <c r="K54" i="7"/>
  <c r="K3" i="7"/>
  <c r="K24" i="7"/>
  <c r="K32" i="7"/>
  <c r="K36" i="7"/>
  <c r="K38" i="7"/>
  <c r="K42" i="7"/>
  <c r="K43" i="7"/>
  <c r="K44" i="7"/>
  <c r="K46" i="7"/>
  <c r="K56" i="7"/>
  <c r="K57" i="7"/>
  <c r="K77" i="7"/>
  <c r="K79" i="7"/>
  <c r="K80" i="7"/>
  <c r="K85" i="7"/>
  <c r="K86" i="7"/>
  <c r="K109" i="7"/>
  <c r="K117" i="7"/>
  <c r="K118" i="7"/>
  <c r="K123" i="7"/>
  <c r="K127" i="7"/>
  <c r="K129" i="7"/>
  <c r="K135" i="7"/>
  <c r="K148" i="7"/>
  <c r="K154" i="7"/>
  <c r="J56" i="8"/>
  <c r="K56" i="8" s="1"/>
  <c r="J57" i="8"/>
  <c r="K57" i="8" s="1"/>
  <c r="J58" i="8"/>
  <c r="K58" i="8" s="1"/>
  <c r="J55" i="8"/>
  <c r="K55" i="8" s="1"/>
  <c r="K107" i="7"/>
  <c r="M107" i="7" s="1"/>
  <c r="J76" i="8"/>
  <c r="K76" i="8" s="1"/>
  <c r="J75" i="8"/>
  <c r="K75" i="8" s="1"/>
  <c r="J74" i="8"/>
  <c r="K74" i="8" s="1"/>
  <c r="J73" i="8"/>
  <c r="K73" i="8" s="1"/>
  <c r="K158" i="7"/>
  <c r="M158" i="7" s="1"/>
  <c r="F157" i="1"/>
  <c r="G157" i="1" s="1"/>
  <c r="H157" i="1"/>
  <c r="I157" i="1"/>
  <c r="F226" i="1"/>
  <c r="G226" i="1" s="1"/>
  <c r="H226" i="1"/>
  <c r="I226" i="1"/>
  <c r="K139" i="7"/>
  <c r="M139" i="7" s="1"/>
  <c r="F221" i="1"/>
  <c r="G221" i="1" s="1"/>
  <c r="H221" i="1"/>
  <c r="I221" i="1"/>
  <c r="L81" i="3"/>
  <c r="L9" i="3"/>
  <c r="L18" i="3"/>
  <c r="L46" i="3"/>
  <c r="L45" i="3"/>
  <c r="L56" i="3"/>
  <c r="L77" i="3"/>
  <c r="L78" i="3"/>
  <c r="L54" i="3"/>
  <c r="L73" i="3"/>
  <c r="L75" i="3"/>
  <c r="L7" i="3"/>
  <c r="L8" i="3"/>
  <c r="L38" i="3"/>
  <c r="L65" i="3"/>
  <c r="L69" i="3"/>
  <c r="L71" i="3"/>
  <c r="L6" i="3"/>
  <c r="L49" i="3"/>
  <c r="L27" i="3"/>
  <c r="L14" i="3"/>
  <c r="L57" i="3"/>
  <c r="L80" i="3"/>
  <c r="L31" i="3"/>
  <c r="L22" i="3"/>
  <c r="K81" i="3"/>
  <c r="K9" i="3"/>
  <c r="K18" i="3"/>
  <c r="K46" i="3"/>
  <c r="K45" i="3"/>
  <c r="K56" i="3"/>
  <c r="K77" i="3"/>
  <c r="K78" i="3"/>
  <c r="K54" i="3"/>
  <c r="K73" i="3"/>
  <c r="K75" i="3"/>
  <c r="K7" i="3"/>
  <c r="K8" i="3"/>
  <c r="K38" i="3"/>
  <c r="K65" i="3"/>
  <c r="K69" i="3"/>
  <c r="K71" i="3"/>
  <c r="K6" i="3"/>
  <c r="K49" i="3"/>
  <c r="K27" i="3"/>
  <c r="K14" i="3"/>
  <c r="K57" i="3"/>
  <c r="K80" i="3"/>
  <c r="K31" i="3"/>
  <c r="K22" i="3"/>
  <c r="J81" i="3"/>
  <c r="J9" i="3"/>
  <c r="J18" i="3"/>
  <c r="J46" i="3"/>
  <c r="J45" i="3"/>
  <c r="J56" i="3"/>
  <c r="J77" i="3"/>
  <c r="J78" i="3"/>
  <c r="J54" i="3"/>
  <c r="J73" i="3"/>
  <c r="J75" i="3"/>
  <c r="J7" i="3"/>
  <c r="J8" i="3"/>
  <c r="J38" i="3"/>
  <c r="J65" i="3"/>
  <c r="J69" i="3"/>
  <c r="J71" i="3"/>
  <c r="J6" i="3"/>
  <c r="J49" i="3"/>
  <c r="J27" i="3"/>
  <c r="J14" i="3"/>
  <c r="J57" i="3"/>
  <c r="J80" i="3"/>
  <c r="J31" i="3"/>
  <c r="J22" i="3"/>
  <c r="F153" i="1"/>
  <c r="G153" i="1" s="1"/>
  <c r="H153" i="1"/>
  <c r="I153" i="1"/>
  <c r="F203" i="1"/>
  <c r="G203" i="1" s="1"/>
  <c r="H203" i="1"/>
  <c r="I203" i="1"/>
  <c r="F164" i="1"/>
  <c r="G164" i="1" s="1"/>
  <c r="H164" i="1"/>
  <c r="I164" i="1"/>
  <c r="B221" i="6"/>
  <c r="E221" i="6"/>
  <c r="B365" i="6"/>
  <c r="E365" i="6"/>
  <c r="B219" i="6"/>
  <c r="E219" i="6"/>
  <c r="B123" i="6"/>
  <c r="E123" i="6"/>
  <c r="B139" i="6"/>
  <c r="E139" i="6"/>
  <c r="B107" i="6"/>
  <c r="E107" i="6"/>
  <c r="B172" i="6"/>
  <c r="E172" i="6"/>
  <c r="B156" i="6"/>
  <c r="E156" i="6"/>
  <c r="B21" i="6"/>
  <c r="E21" i="6"/>
  <c r="B235" i="6"/>
  <c r="E235" i="6"/>
  <c r="B364" i="6"/>
  <c r="E364" i="6"/>
  <c r="B347" i="6"/>
  <c r="E347" i="6"/>
  <c r="B220" i="6"/>
  <c r="E220" i="6"/>
  <c r="B398" i="6"/>
  <c r="E398" i="6"/>
  <c r="F198" i="1"/>
  <c r="G198" i="1" s="1"/>
  <c r="H198" i="1"/>
  <c r="I198" i="1"/>
  <c r="F204" i="1"/>
  <c r="G204" i="1" s="1"/>
  <c r="H204" i="1"/>
  <c r="I204" i="1"/>
  <c r="F160" i="1"/>
  <c r="G160" i="1" s="1"/>
  <c r="H160" i="1"/>
  <c r="I160" i="1"/>
  <c r="F207" i="1"/>
  <c r="G207" i="1" s="1"/>
  <c r="H207" i="1"/>
  <c r="I207" i="1"/>
  <c r="F114" i="1"/>
  <c r="G114" i="1" s="1"/>
  <c r="H114" i="1"/>
  <c r="I114" i="1"/>
  <c r="F132" i="1"/>
  <c r="G132" i="1" s="1"/>
  <c r="H132" i="1"/>
  <c r="I132" i="1"/>
  <c r="F158" i="1"/>
  <c r="G158" i="1" s="1"/>
  <c r="H158" i="1"/>
  <c r="I158" i="1"/>
  <c r="F75" i="1"/>
  <c r="G75" i="1" s="1"/>
  <c r="H75" i="1"/>
  <c r="I75" i="1"/>
  <c r="F39" i="1"/>
  <c r="G39" i="1" s="1"/>
  <c r="H39" i="1"/>
  <c r="I39" i="1"/>
  <c r="F65" i="1"/>
  <c r="G65" i="1" s="1"/>
  <c r="H65" i="1"/>
  <c r="I65" i="1"/>
  <c r="F239" i="1"/>
  <c r="G239" i="1" s="1"/>
  <c r="H239" i="1"/>
  <c r="I239" i="1"/>
  <c r="F123" i="1"/>
  <c r="G123" i="1" s="1"/>
  <c r="H123" i="1"/>
  <c r="I123" i="1"/>
  <c r="J70" i="8"/>
  <c r="K70" i="8" s="1"/>
  <c r="J69" i="8"/>
  <c r="K69" i="8" s="1"/>
  <c r="J68" i="8"/>
  <c r="K68" i="8" s="1"/>
  <c r="K132" i="7"/>
  <c r="M132" i="7" s="1"/>
  <c r="K96" i="7"/>
  <c r="M96" i="7" s="1"/>
  <c r="J81" i="8"/>
  <c r="K81" i="8" s="1"/>
  <c r="J80" i="8"/>
  <c r="K80" i="8" s="1"/>
  <c r="F147" i="1"/>
  <c r="G147" i="1" s="1"/>
  <c r="H147" i="1"/>
  <c r="I147" i="1"/>
  <c r="K162" i="7"/>
  <c r="M162" i="7" s="1"/>
  <c r="K26" i="7"/>
  <c r="M26" i="7" s="1"/>
  <c r="K14" i="7"/>
  <c r="M14" i="7" s="1"/>
  <c r="K39" i="7"/>
  <c r="M39" i="7" s="1"/>
  <c r="K151" i="7"/>
  <c r="M151" i="7" s="1"/>
  <c r="F231" i="1"/>
  <c r="G231" i="1" s="1"/>
  <c r="H231" i="1"/>
  <c r="I231" i="1"/>
  <c r="F47" i="1"/>
  <c r="G47" i="1" s="1"/>
  <c r="H47" i="1"/>
  <c r="I47" i="1"/>
  <c r="F190" i="1"/>
  <c r="G190" i="1" s="1"/>
  <c r="H190" i="1"/>
  <c r="I190" i="1"/>
  <c r="F49" i="1"/>
  <c r="G49" i="1" s="1"/>
  <c r="H49" i="1"/>
  <c r="I49" i="1"/>
  <c r="F222" i="1"/>
  <c r="G222" i="1" s="1"/>
  <c r="H222" i="1"/>
  <c r="I222" i="1"/>
  <c r="F68" i="1"/>
  <c r="G68" i="1" s="1"/>
  <c r="H68" i="1"/>
  <c r="I68" i="1"/>
  <c r="F34" i="1"/>
  <c r="G34" i="1" s="1"/>
  <c r="H34" i="1"/>
  <c r="I34" i="1"/>
  <c r="F191" i="1"/>
  <c r="G191" i="1" s="1"/>
  <c r="H191" i="1"/>
  <c r="I191" i="1"/>
  <c r="F71" i="1"/>
  <c r="G71" i="1" s="1"/>
  <c r="H71" i="1"/>
  <c r="I71" i="1"/>
  <c r="F240" i="1"/>
  <c r="G240" i="1" s="1"/>
  <c r="H240" i="1"/>
  <c r="I240" i="1"/>
  <c r="B105" i="6"/>
  <c r="E105" i="6"/>
  <c r="B348" i="6"/>
  <c r="E348" i="6"/>
  <c r="B289" i="6"/>
  <c r="E289" i="6"/>
  <c r="B45" i="6"/>
  <c r="E45" i="6"/>
  <c r="B171" i="6"/>
  <c r="E171" i="6"/>
  <c r="B8" i="6"/>
  <c r="E8" i="6"/>
  <c r="B399" i="6"/>
  <c r="E399" i="6"/>
  <c r="B414" i="6"/>
  <c r="E414" i="6"/>
  <c r="F59" i="1"/>
  <c r="G59" i="1" s="1"/>
  <c r="H59" i="1"/>
  <c r="I59" i="1"/>
  <c r="F20" i="1"/>
  <c r="G20" i="1" s="1"/>
  <c r="H20" i="1"/>
  <c r="I20" i="1"/>
  <c r="F88" i="1"/>
  <c r="G88" i="1" s="1"/>
  <c r="H88" i="1"/>
  <c r="I88" i="1"/>
  <c r="F218" i="1"/>
  <c r="G218" i="1" s="1"/>
  <c r="H218" i="1"/>
  <c r="I218" i="1"/>
  <c r="F12" i="1"/>
  <c r="G12" i="1" s="1"/>
  <c r="H12" i="1"/>
  <c r="I12" i="1"/>
  <c r="F233" i="1"/>
  <c r="G233" i="1" s="1"/>
  <c r="H233" i="1"/>
  <c r="I233" i="1"/>
  <c r="F196" i="1"/>
  <c r="G196" i="1" s="1"/>
  <c r="H196" i="1"/>
  <c r="I196" i="1"/>
  <c r="F194" i="1"/>
  <c r="G194" i="1" s="1"/>
  <c r="H194" i="1"/>
  <c r="I194" i="1"/>
  <c r="F140" i="1"/>
  <c r="G140" i="1" s="1"/>
  <c r="H140" i="1"/>
  <c r="I140" i="1"/>
  <c r="F129" i="1"/>
  <c r="G129" i="1" s="1"/>
  <c r="H129" i="1"/>
  <c r="I129" i="1"/>
  <c r="F113" i="1"/>
  <c r="G113" i="1" s="1"/>
  <c r="H113" i="1"/>
  <c r="I113" i="1"/>
  <c r="F80" i="1"/>
  <c r="G80" i="1" s="1"/>
  <c r="H80" i="1"/>
  <c r="I80" i="1"/>
  <c r="F69" i="1"/>
  <c r="G69" i="1" s="1"/>
  <c r="H69" i="1"/>
  <c r="I69" i="1"/>
  <c r="F64" i="1"/>
  <c r="G64" i="1" s="1"/>
  <c r="H64" i="1"/>
  <c r="I64" i="1"/>
  <c r="F29" i="1"/>
  <c r="G29" i="1" s="1"/>
  <c r="H29" i="1"/>
  <c r="I29" i="1"/>
  <c r="F28" i="1"/>
  <c r="G28" i="1" s="1"/>
  <c r="H28" i="1"/>
  <c r="I28" i="1"/>
  <c r="F26" i="1"/>
  <c r="G26" i="1" s="1"/>
  <c r="H26" i="1"/>
  <c r="I26" i="1"/>
  <c r="F31" i="1"/>
  <c r="F33" i="1"/>
  <c r="F35" i="1"/>
  <c r="G35" i="1" s="1"/>
  <c r="F42" i="1"/>
  <c r="F44" i="1"/>
  <c r="G44" i="1" s="1"/>
  <c r="F46" i="1"/>
  <c r="F50" i="1"/>
  <c r="F51" i="1"/>
  <c r="F54" i="1"/>
  <c r="F56" i="1"/>
  <c r="F57" i="1"/>
  <c r="F62" i="1"/>
  <c r="F70" i="1"/>
  <c r="F72" i="1"/>
  <c r="F73" i="1"/>
  <c r="G73" i="1" s="1"/>
  <c r="F74" i="1"/>
  <c r="G74" i="1" s="1"/>
  <c r="F9" i="1"/>
  <c r="F83" i="1"/>
  <c r="F10" i="1"/>
  <c r="F90" i="1"/>
  <c r="F95" i="1"/>
  <c r="F96" i="1"/>
  <c r="G96" i="1" s="1"/>
  <c r="F97" i="1"/>
  <c r="G97" i="1" s="1"/>
  <c r="F98" i="1"/>
  <c r="F102" i="1"/>
  <c r="F103" i="1"/>
  <c r="F105" i="1"/>
  <c r="G105" i="1" s="1"/>
  <c r="F106" i="1"/>
  <c r="G106" i="1" s="1"/>
  <c r="F111" i="1"/>
  <c r="G111" i="1" s="1"/>
  <c r="F120" i="1"/>
  <c r="G120" i="1" s="1"/>
  <c r="F124" i="1"/>
  <c r="F130" i="1"/>
  <c r="G130" i="1" s="1"/>
  <c r="F131" i="1"/>
  <c r="G131" i="1" s="1"/>
  <c r="F134" i="1"/>
  <c r="F142" i="1"/>
  <c r="F143" i="1"/>
  <c r="G143" i="1" s="1"/>
  <c r="F144" i="1"/>
  <c r="F150" i="1"/>
  <c r="G150" i="1" s="1"/>
  <c r="F156" i="1"/>
  <c r="F167" i="1"/>
  <c r="F169" i="1"/>
  <c r="F171" i="1"/>
  <c r="F174" i="1"/>
  <c r="F183" i="1"/>
  <c r="F185" i="1"/>
  <c r="F186" i="1"/>
  <c r="F189" i="1"/>
  <c r="G189" i="1" s="1"/>
  <c r="F199" i="1"/>
  <c r="F205" i="1"/>
  <c r="F206" i="1"/>
  <c r="F209" i="1"/>
  <c r="F200" i="1"/>
  <c r="G200" i="1" s="1"/>
  <c r="F154" i="1"/>
  <c r="G154" i="1" s="1"/>
  <c r="F210" i="1"/>
  <c r="F211" i="1"/>
  <c r="F214" i="1"/>
  <c r="F219" i="1"/>
  <c r="F101" i="1"/>
  <c r="F225" i="1"/>
  <c r="F227" i="1"/>
  <c r="F228" i="1"/>
  <c r="F232" i="1"/>
  <c r="F235" i="1"/>
  <c r="F236" i="1"/>
  <c r="G236" i="1" s="1"/>
  <c r="F237" i="1"/>
  <c r="G237" i="1" s="1"/>
  <c r="H150" i="1"/>
  <c r="I150" i="1"/>
  <c r="H189" i="1"/>
  <c r="I189" i="1"/>
  <c r="H74" i="1"/>
  <c r="I74" i="1"/>
  <c r="B106" i="6"/>
  <c r="E106" i="6"/>
  <c r="B273" i="6"/>
  <c r="E273" i="6"/>
  <c r="B272" i="6"/>
  <c r="E272" i="6"/>
  <c r="B222" i="6"/>
  <c r="E222" i="6"/>
  <c r="B23" i="6"/>
  <c r="E23" i="6"/>
  <c r="B173" i="6"/>
  <c r="E173" i="6"/>
  <c r="B287" i="6"/>
  <c r="E287" i="6"/>
  <c r="I27" i="1"/>
  <c r="H27" i="1"/>
  <c r="F27" i="1"/>
  <c r="G27" i="1" s="1"/>
  <c r="B141" i="6"/>
  <c r="E141" i="6"/>
  <c r="E85" i="6"/>
  <c r="E180" i="6"/>
  <c r="E5" i="6"/>
  <c r="E9" i="6"/>
  <c r="E12" i="6"/>
  <c r="E74" i="6"/>
  <c r="E66" i="6"/>
  <c r="E73" i="6"/>
  <c r="E72" i="6"/>
  <c r="E67" i="6"/>
  <c r="E68" i="6"/>
  <c r="E47" i="6"/>
  <c r="E70" i="6"/>
  <c r="E104" i="6"/>
  <c r="E83" i="6"/>
  <c r="E101" i="6"/>
  <c r="E99" i="6"/>
  <c r="E44" i="6"/>
  <c r="E102" i="6"/>
  <c r="E84" i="6"/>
  <c r="E58" i="6"/>
  <c r="E98" i="6"/>
  <c r="E22" i="6"/>
  <c r="E87" i="6"/>
  <c r="E57" i="6"/>
  <c r="E61" i="6"/>
  <c r="E60" i="6"/>
  <c r="E90" i="6"/>
  <c r="E91" i="6"/>
  <c r="E92" i="6"/>
  <c r="E93" i="6"/>
  <c r="E94" i="6"/>
  <c r="E96" i="6"/>
  <c r="E97" i="6"/>
  <c r="E155" i="6"/>
  <c r="E138" i="6"/>
  <c r="E151" i="6"/>
  <c r="E152" i="6"/>
  <c r="E174" i="6"/>
  <c r="E224" i="6"/>
  <c r="E202" i="6"/>
  <c r="E88" i="6"/>
  <c r="E382" i="6"/>
  <c r="E322" i="6"/>
  <c r="E290" i="6"/>
  <c r="E407" i="6"/>
  <c r="E349" i="6"/>
  <c r="E404" i="6"/>
  <c r="E384" i="6"/>
  <c r="E324" i="6"/>
  <c r="E369" i="6"/>
  <c r="E234" i="6"/>
  <c r="E326" i="6"/>
  <c r="E227" i="6"/>
  <c r="E217" i="6"/>
  <c r="E232" i="6"/>
  <c r="E389" i="6"/>
  <c r="E300" i="6"/>
  <c r="E391" i="6"/>
  <c r="E302" i="6"/>
  <c r="E303" i="6"/>
  <c r="E394" i="6"/>
  <c r="E277" i="6"/>
  <c r="E42" i="6"/>
  <c r="E46" i="6"/>
  <c r="E10" i="6"/>
  <c r="E48" i="6"/>
  <c r="E49" i="6"/>
  <c r="E29" i="6"/>
  <c r="E30" i="6"/>
  <c r="E31" i="6"/>
  <c r="E35" i="6"/>
  <c r="E37" i="6"/>
  <c r="E351" i="6"/>
  <c r="E69" i="6"/>
  <c r="E168" i="6"/>
  <c r="E169" i="6"/>
  <c r="E320" i="6"/>
  <c r="E292" i="6"/>
  <c r="E209" i="6"/>
  <c r="E355" i="6"/>
  <c r="E286" i="6"/>
  <c r="E353" i="6"/>
  <c r="E323" i="6"/>
  <c r="E223" i="6"/>
  <c r="E352" i="6"/>
  <c r="E175" i="6"/>
  <c r="E297" i="6"/>
  <c r="E226" i="6"/>
  <c r="E200" i="6"/>
  <c r="E182" i="6"/>
  <c r="E329" i="6"/>
  <c r="E236" i="6"/>
  <c r="E341" i="6"/>
  <c r="E241" i="6"/>
  <c r="E228" i="6"/>
  <c r="E344" i="6"/>
  <c r="E276" i="6"/>
  <c r="E201" i="6"/>
  <c r="E402" i="6"/>
  <c r="E194" i="6"/>
  <c r="E195" i="6"/>
  <c r="E103" i="6"/>
  <c r="E428" i="6"/>
  <c r="E157" i="6"/>
  <c r="E214" i="6"/>
  <c r="E215" i="6"/>
  <c r="E204" i="6"/>
  <c r="E154" i="6"/>
  <c r="E211" i="6"/>
  <c r="E218" i="6"/>
  <c r="E19" i="6"/>
  <c r="E325" i="6"/>
  <c r="E24" i="6"/>
  <c r="E100" i="6"/>
  <c r="E140" i="6"/>
  <c r="E135" i="6"/>
  <c r="E366" i="6"/>
  <c r="E295" i="6"/>
  <c r="E368" i="6"/>
  <c r="E231" i="6"/>
  <c r="E212" i="6"/>
  <c r="E177" i="6"/>
  <c r="E229" i="6"/>
  <c r="E203" i="6"/>
  <c r="E56" i="6"/>
  <c r="E20" i="6"/>
  <c r="E328" i="6"/>
  <c r="E59" i="6"/>
  <c r="E386" i="6"/>
  <c r="E125" i="6"/>
  <c r="E126" i="6"/>
  <c r="E127" i="6"/>
  <c r="E128" i="6"/>
  <c r="E130" i="6"/>
  <c r="E284" i="6"/>
  <c r="E248" i="6"/>
  <c r="E205" i="6"/>
  <c r="E306" i="6"/>
  <c r="E206" i="6"/>
  <c r="E293" i="6"/>
  <c r="E294" i="6"/>
  <c r="E210" i="6"/>
  <c r="E288" i="6"/>
  <c r="E142" i="6"/>
  <c r="E216" i="6"/>
  <c r="E225" i="6"/>
  <c r="E167" i="6"/>
  <c r="E89" i="6"/>
  <c r="E299" i="6"/>
  <c r="E213" i="6"/>
  <c r="E301" i="6"/>
  <c r="E240" i="6"/>
  <c r="E179" i="6"/>
  <c r="E304" i="6"/>
  <c r="E230" i="6"/>
  <c r="E122" i="6"/>
  <c r="E170" i="6"/>
  <c r="E165" i="6"/>
  <c r="E86" i="6"/>
  <c r="E388" i="6"/>
  <c r="E176" i="6"/>
  <c r="E129" i="6"/>
  <c r="E178" i="6"/>
  <c r="E433" i="6"/>
  <c r="E400" i="6"/>
  <c r="E405" i="6"/>
  <c r="E296" i="6"/>
  <c r="E291" i="6"/>
  <c r="E285" i="6"/>
  <c r="E432" i="6"/>
  <c r="E166" i="6"/>
  <c r="E207" i="6"/>
  <c r="E233" i="6"/>
  <c r="E208" i="6"/>
  <c r="E124" i="6"/>
  <c r="B182" i="6"/>
  <c r="B89" i="6"/>
  <c r="B328" i="6"/>
  <c r="B428" i="6"/>
  <c r="B388" i="6"/>
  <c r="B285" i="6"/>
  <c r="B60" i="6"/>
  <c r="B104" i="6"/>
  <c r="B320" i="6"/>
  <c r="B284" i="6"/>
  <c r="B201" i="6"/>
  <c r="B155" i="6"/>
  <c r="B204" i="6"/>
  <c r="B74" i="6"/>
  <c r="B66" i="6"/>
  <c r="B83" i="6"/>
  <c r="B174" i="6"/>
  <c r="B322" i="6"/>
  <c r="B292" i="6"/>
  <c r="B248" i="6"/>
  <c r="B122" i="6"/>
  <c r="B290" i="6"/>
  <c r="B101" i="6"/>
  <c r="B209" i="6"/>
  <c r="B205" i="6"/>
  <c r="B351" i="6"/>
  <c r="B433" i="6"/>
  <c r="B73" i="6"/>
  <c r="B402" i="6"/>
  <c r="B166" i="6"/>
  <c r="B42" i="6"/>
  <c r="B56" i="6"/>
  <c r="B29" i="6"/>
  <c r="B99" i="6"/>
  <c r="B224" i="6"/>
  <c r="B407" i="6"/>
  <c r="B30" i="6"/>
  <c r="B355" i="6"/>
  <c r="B231" i="6"/>
  <c r="B306" i="6"/>
  <c r="B170" i="6"/>
  <c r="B5" i="6"/>
  <c r="B72" i="6"/>
  <c r="B102" i="6"/>
  <c r="B404" i="6"/>
  <c r="B353" i="6"/>
  <c r="B293" i="6"/>
  <c r="B165" i="6"/>
  <c r="B207" i="6"/>
  <c r="B67" i="6"/>
  <c r="B349" i="6"/>
  <c r="B44" i="6"/>
  <c r="B286" i="6"/>
  <c r="B206" i="6"/>
  <c r="B138" i="6"/>
  <c r="B100" i="6"/>
  <c r="B400" i="6"/>
  <c r="B31" i="6"/>
  <c r="B154" i="6"/>
  <c r="B84" i="6"/>
  <c r="B151" i="6"/>
  <c r="B384" i="6"/>
  <c r="B323" i="6"/>
  <c r="B366" i="6"/>
  <c r="B294" i="6"/>
  <c r="B233" i="6"/>
  <c r="B324" i="6"/>
  <c r="B58" i="6"/>
  <c r="B223" i="6"/>
  <c r="B210" i="6"/>
  <c r="B194" i="6"/>
  <c r="B85" i="6"/>
  <c r="B295" i="6"/>
  <c r="B288" i="6"/>
  <c r="B98" i="6"/>
  <c r="B369" i="6"/>
  <c r="B405" i="6"/>
  <c r="B202" i="6"/>
  <c r="B19" i="6"/>
  <c r="B352" i="6"/>
  <c r="B208" i="6"/>
  <c r="B234" i="6"/>
  <c r="B22" i="6"/>
  <c r="B175" i="6"/>
  <c r="B142" i="6"/>
  <c r="B86" i="6"/>
  <c r="B124" i="6"/>
  <c r="B296" i="6"/>
  <c r="B9" i="6"/>
  <c r="B195" i="6"/>
  <c r="B211" i="6"/>
  <c r="B68" i="6"/>
  <c r="B180" i="6"/>
  <c r="B46" i="6"/>
  <c r="B326" i="6"/>
  <c r="B87" i="6"/>
  <c r="B297" i="6"/>
  <c r="B216" i="6"/>
  <c r="B227" i="6"/>
  <c r="B57" i="6"/>
  <c r="B226" i="6"/>
  <c r="B225" i="6"/>
  <c r="B20" i="6"/>
  <c r="B103" i="6"/>
  <c r="B291" i="6"/>
  <c r="B212" i="6"/>
  <c r="B47" i="6"/>
  <c r="B61" i="6"/>
  <c r="B88" i="6"/>
  <c r="B217" i="6"/>
  <c r="B10" i="6"/>
  <c r="B69" i="6"/>
  <c r="B200" i="6"/>
  <c r="B167" i="6"/>
  <c r="B90" i="6"/>
  <c r="B389" i="6"/>
  <c r="B168" i="6"/>
  <c r="B329" i="6"/>
  <c r="B218" i="6"/>
  <c r="B368" i="6"/>
  <c r="B59" i="6"/>
  <c r="B125" i="6"/>
  <c r="B299" i="6"/>
  <c r="B300" i="6"/>
  <c r="B91" i="6"/>
  <c r="B236" i="6"/>
  <c r="B213" i="6"/>
  <c r="B126" i="6"/>
  <c r="B35" i="6"/>
  <c r="B12" i="6"/>
  <c r="B157" i="6"/>
  <c r="B140" i="6"/>
  <c r="B391" i="6"/>
  <c r="B92" i="6"/>
  <c r="B341" i="6"/>
  <c r="B301" i="6"/>
  <c r="B127" i="6"/>
  <c r="B432" i="6"/>
  <c r="B214" i="6"/>
  <c r="B169" i="6"/>
  <c r="B93" i="6"/>
  <c r="B302" i="6"/>
  <c r="B48" i="6"/>
  <c r="B241" i="6"/>
  <c r="B215" i="6"/>
  <c r="B128" i="6"/>
  <c r="B240" i="6"/>
  <c r="B176" i="6"/>
  <c r="B303" i="6"/>
  <c r="B94" i="6"/>
  <c r="B228" i="6"/>
  <c r="B179" i="6"/>
  <c r="B37" i="6"/>
  <c r="B177" i="6"/>
  <c r="B129" i="6"/>
  <c r="B49" i="6"/>
  <c r="B70" i="6"/>
  <c r="B96" i="6"/>
  <c r="B152" i="6"/>
  <c r="B394" i="6"/>
  <c r="B344" i="6"/>
  <c r="B229" i="6"/>
  <c r="B130" i="6"/>
  <c r="B304" i="6"/>
  <c r="B178" i="6"/>
  <c r="B203" i="6"/>
  <c r="B97" i="6"/>
  <c r="B135" i="6"/>
  <c r="B277" i="6"/>
  <c r="B24" i="6"/>
  <c r="B230" i="6"/>
  <c r="B276" i="6"/>
  <c r="B386" i="6"/>
  <c r="B325" i="6"/>
  <c r="B232" i="6"/>
  <c r="H200" i="1"/>
  <c r="I200" i="1"/>
  <c r="H154" i="1"/>
  <c r="I154" i="1"/>
  <c r="I31" i="1"/>
  <c r="I33" i="1"/>
  <c r="I35" i="1"/>
  <c r="I42" i="1"/>
  <c r="I44" i="1"/>
  <c r="I46" i="1"/>
  <c r="I50" i="1"/>
  <c r="I51" i="1"/>
  <c r="I54" i="1"/>
  <c r="I56" i="1"/>
  <c r="I57" i="1"/>
  <c r="I62" i="1"/>
  <c r="I70" i="1"/>
  <c r="I72" i="1"/>
  <c r="I73" i="1"/>
  <c r="I9" i="1"/>
  <c r="I83" i="1"/>
  <c r="I10" i="1"/>
  <c r="I90" i="1"/>
  <c r="I95" i="1"/>
  <c r="I96" i="1"/>
  <c r="I97" i="1"/>
  <c r="I98" i="1"/>
  <c r="I102" i="1"/>
  <c r="I103" i="1"/>
  <c r="I105" i="1"/>
  <c r="I106" i="1"/>
  <c r="I111" i="1"/>
  <c r="I120" i="1"/>
  <c r="I124" i="1"/>
  <c r="I130" i="1"/>
  <c r="I131" i="1"/>
  <c r="I134" i="1"/>
  <c r="I142" i="1"/>
  <c r="I143" i="1"/>
  <c r="I144" i="1"/>
  <c r="I156" i="1"/>
  <c r="I167" i="1"/>
  <c r="I169" i="1"/>
  <c r="I171" i="1"/>
  <c r="I174" i="1"/>
  <c r="I183" i="1"/>
  <c r="I185" i="1"/>
  <c r="I186" i="1"/>
  <c r="I199" i="1"/>
  <c r="I205" i="1"/>
  <c r="I206" i="1"/>
  <c r="I209" i="1"/>
  <c r="I210" i="1"/>
  <c r="I211" i="1"/>
  <c r="I214" i="1"/>
  <c r="I219" i="1"/>
  <c r="I101" i="1"/>
  <c r="I225" i="1"/>
  <c r="I227" i="1"/>
  <c r="I228" i="1"/>
  <c r="I232" i="1"/>
  <c r="I235" i="1"/>
  <c r="I236" i="1"/>
  <c r="I237" i="1"/>
  <c r="H31" i="1"/>
  <c r="H33" i="1"/>
  <c r="H35" i="1"/>
  <c r="H42" i="1"/>
  <c r="H44" i="1"/>
  <c r="H46" i="1"/>
  <c r="H50" i="1"/>
  <c r="H51" i="1"/>
  <c r="H54" i="1"/>
  <c r="H56" i="1"/>
  <c r="H57" i="1"/>
  <c r="H62" i="1"/>
  <c r="H70" i="1"/>
  <c r="H72" i="1"/>
  <c r="H73" i="1"/>
  <c r="H9" i="1"/>
  <c r="H83" i="1"/>
  <c r="H10" i="1"/>
  <c r="H90" i="1"/>
  <c r="H95" i="1"/>
  <c r="H96" i="1"/>
  <c r="H97" i="1"/>
  <c r="H98" i="1"/>
  <c r="H102" i="1"/>
  <c r="H103" i="1"/>
  <c r="H105" i="1"/>
  <c r="H106" i="1"/>
  <c r="H111" i="1"/>
  <c r="H120" i="1"/>
  <c r="H124" i="1"/>
  <c r="H130" i="1"/>
  <c r="H131" i="1"/>
  <c r="H134" i="1"/>
  <c r="H142" i="1"/>
  <c r="H143" i="1"/>
  <c r="H144" i="1"/>
  <c r="H156" i="1"/>
  <c r="H167" i="1"/>
  <c r="H169" i="1"/>
  <c r="H171" i="1"/>
  <c r="H174" i="1"/>
  <c r="H183" i="1"/>
  <c r="H185" i="1"/>
  <c r="H186" i="1"/>
  <c r="H199" i="1"/>
  <c r="H205" i="1"/>
  <c r="H206" i="1"/>
  <c r="H209" i="1"/>
  <c r="H210" i="1"/>
  <c r="H211" i="1"/>
  <c r="H214" i="1"/>
  <c r="H219" i="1"/>
  <c r="H101" i="1"/>
  <c r="H225" i="1"/>
  <c r="H227" i="1"/>
  <c r="H228" i="1"/>
  <c r="H232" i="1"/>
  <c r="H235" i="1"/>
  <c r="H236" i="1"/>
  <c r="H237" i="1"/>
  <c r="J26" i="8"/>
  <c r="K26" i="8" s="1"/>
  <c r="J46" i="8"/>
  <c r="K46" i="8" s="1"/>
  <c r="J11" i="8"/>
  <c r="K11" i="8" s="1"/>
  <c r="J32" i="8"/>
  <c r="K32" i="8" s="1"/>
  <c r="J35" i="8"/>
  <c r="K35" i="8" s="1"/>
  <c r="J15" i="8"/>
  <c r="K15" i="8" s="1"/>
  <c r="J16" i="8"/>
  <c r="K16" i="8" s="1"/>
  <c r="J71" i="8"/>
  <c r="K71" i="8" s="1"/>
  <c r="J72" i="8"/>
  <c r="K72" i="8" s="1"/>
  <c r="J30" i="8"/>
  <c r="K30" i="8" s="1"/>
  <c r="J31" i="8"/>
  <c r="K31" i="8" s="1"/>
  <c r="J13" i="8"/>
  <c r="K13" i="8" s="1"/>
  <c r="J14" i="8"/>
  <c r="K14" i="8" s="1"/>
  <c r="J77" i="8"/>
  <c r="K77" i="8" s="1"/>
  <c r="J78" i="8"/>
  <c r="K78" i="8" s="1"/>
  <c r="J79" i="8"/>
  <c r="K79" i="8" s="1"/>
  <c r="J3" i="8"/>
  <c r="K3" i="8" s="1"/>
  <c r="J4" i="8"/>
  <c r="K4" i="8" s="1"/>
  <c r="J5" i="8"/>
  <c r="K5" i="8" s="1"/>
  <c r="J6" i="8"/>
  <c r="K6" i="8" s="1"/>
  <c r="J7" i="8"/>
  <c r="K7" i="8" s="1"/>
  <c r="J8" i="8"/>
  <c r="K8" i="8" s="1"/>
  <c r="J9" i="8"/>
  <c r="K9" i="8" s="1"/>
  <c r="J10" i="8"/>
  <c r="K10" i="8" s="1"/>
  <c r="J25" i="8"/>
  <c r="K25" i="8" s="1"/>
  <c r="K17" i="7"/>
  <c r="M17" i="7" s="1"/>
  <c r="K126" i="7"/>
  <c r="K81" i="7"/>
  <c r="K153" i="7"/>
  <c r="K76" i="7"/>
  <c r="K40" i="7"/>
  <c r="M40" i="7" s="1"/>
  <c r="K28" i="7"/>
  <c r="M28" i="7" s="1"/>
  <c r="C153" i="3"/>
  <c r="C93" i="3"/>
  <c r="B382" i="6"/>
  <c r="G124" i="1" l="1"/>
  <c r="G185" i="1"/>
  <c r="G134" i="1"/>
  <c r="G51" i="1"/>
  <c r="G56" i="1" l="1"/>
  <c r="G90" i="1"/>
  <c r="G186" i="1" l="1"/>
  <c r="G42" i="1"/>
  <c r="G72" i="1" l="1"/>
  <c r="G33" i="1"/>
  <c r="G50" i="1"/>
  <c r="G199" i="1"/>
  <c r="G232" i="1"/>
  <c r="G214" i="1"/>
  <c r="G95" i="1"/>
  <c r="G142" i="1"/>
  <c r="G169" i="1" l="1"/>
  <c r="G219" i="1" l="1"/>
  <c r="G171" i="1"/>
  <c r="G225" i="1"/>
  <c r="G183" i="1"/>
  <c r="G235" i="1"/>
  <c r="G103" i="1" l="1"/>
  <c r="G227" i="1"/>
  <c r="G102" i="1"/>
  <c r="G10" i="1"/>
  <c r="G156" i="1"/>
  <c r="G228" i="1"/>
  <c r="G206" i="1"/>
  <c r="G174" i="1"/>
  <c r="G62" i="1"/>
  <c r="G101" i="1"/>
  <c r="G205" i="1"/>
  <c r="G211" i="1"/>
  <c r="G98" i="1"/>
  <c r="G83" i="1"/>
  <c r="G210" i="1"/>
  <c r="G70" i="1"/>
  <c r="G31" i="1"/>
  <c r="G57" i="1"/>
  <c r="G54" i="1"/>
  <c r="G46" i="1"/>
  <c r="G144" i="1"/>
  <c r="G9" i="1"/>
  <c r="G167" i="1"/>
  <c r="G20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053D72-D59B-4F29-BB8A-A273FF4207F0}" keepAlive="1" name="Query - qryShoppingStops" description="Connection to the 'qryShoppingStops' query in the workbook." type="5" refreshedVersion="6" background="1" saveData="1">
    <dbPr connection="Provider=Microsoft.Mashup.OleDb.1;Data Source=$Workbook$;Location=qryShoppingStops;Extended Properties=&quot;&quot;" command="SELECT * FROM [qryShoppingStops]"/>
  </connection>
  <connection id="2" xr16:uid="{82F1DFC8-3CED-470A-B3F2-D4B598455B48}" keepAlive="1" name="Query - tbSellers" description="Connection to the 'tbSellers' query in the workbook." type="5" refreshedVersion="0" background="1">
    <dbPr connection="Provider=Microsoft.Mashup.OleDb.1;Data Source=$Workbook$;Location=tbSellers;Extended Properties=&quot;&quot;" command="SELECT * FROM [tbSellers]"/>
  </connection>
  <connection id="3" xr16:uid="{7137C5AB-BD9D-440B-934D-785E5B3E43DF}" keepAlive="1" name="Query - tbShoppingList" description="Connection to the 'tbShoppingList' query in the workbook." type="5" refreshedVersion="0" background="1">
    <dbPr connection="Provider=Microsoft.Mashup.OleDb.1;Data Source=$Workbook$;Location=tbShoppingList;Extended Properties=&quot;&quot;" command="SELECT * FROM [tbShoppingList]"/>
  </connection>
</connections>
</file>

<file path=xl/sharedStrings.xml><?xml version="1.0" encoding="utf-8"?>
<sst xmlns="http://schemas.openxmlformats.org/spreadsheetml/2006/main" count="5222" uniqueCount="1177">
  <si>
    <t>Item</t>
  </si>
  <si>
    <t>Value</t>
  </si>
  <si>
    <t>Max Stack</t>
  </si>
  <si>
    <t>Stack value</t>
  </si>
  <si>
    <t>Albumen Pearl</t>
  </si>
  <si>
    <t>Copper</t>
  </si>
  <si>
    <t>Cobalt</t>
  </si>
  <si>
    <t>Carbon</t>
  </si>
  <si>
    <t>Oxygen</t>
  </si>
  <si>
    <t>Sodium</t>
  </si>
  <si>
    <t>Di-Hydrogen</t>
  </si>
  <si>
    <t>Sodium Nitrate</t>
  </si>
  <si>
    <t>Ferrite Dust</t>
  </si>
  <si>
    <t>Geode</t>
  </si>
  <si>
    <t>Solanium</t>
  </si>
  <si>
    <t>Silicate Powder</t>
  </si>
  <si>
    <t>Sweetroot</t>
  </si>
  <si>
    <t>Crystal Fragment</t>
  </si>
  <si>
    <t>Platinum</t>
  </si>
  <si>
    <t>Silver</t>
  </si>
  <si>
    <t>Notes</t>
  </si>
  <si>
    <t>Nitrogen</t>
  </si>
  <si>
    <t>Fireberry</t>
  </si>
  <si>
    <t>Marrow Bulb</t>
  </si>
  <si>
    <t>Gold</t>
  </si>
  <si>
    <t>Tritium</t>
  </si>
  <si>
    <t>Gold nugget</t>
  </si>
  <si>
    <t>Decrypted User Data</t>
  </si>
  <si>
    <t>Planet</t>
  </si>
  <si>
    <t>System</t>
  </si>
  <si>
    <t>Coup's Land</t>
  </si>
  <si>
    <t>Yoperoc Colony</t>
  </si>
  <si>
    <t>Yoperoc</t>
  </si>
  <si>
    <t>TetraCobalt</t>
  </si>
  <si>
    <t>Phosphorus</t>
  </si>
  <si>
    <t>Sulphurine</t>
  </si>
  <si>
    <t>System Name</t>
  </si>
  <si>
    <t>Colony Name</t>
  </si>
  <si>
    <t>Planet Name</t>
  </si>
  <si>
    <t>Type</t>
  </si>
  <si>
    <t>Teleporter</t>
  </si>
  <si>
    <t>Yes</t>
  </si>
  <si>
    <t>Refiner</t>
  </si>
  <si>
    <t>Construction Research</t>
  </si>
  <si>
    <t>Edog 67/C3</t>
  </si>
  <si>
    <t>Resource 1</t>
  </si>
  <si>
    <t>Resource 2</t>
  </si>
  <si>
    <t>Resource 3</t>
  </si>
  <si>
    <t>Resource 4</t>
  </si>
  <si>
    <t>Climate</t>
  </si>
  <si>
    <t>Hot</t>
  </si>
  <si>
    <t>Minerals</t>
  </si>
  <si>
    <t>Yedexi VII</t>
  </si>
  <si>
    <t>New Yeovi</t>
  </si>
  <si>
    <t>Nancangz XV</t>
  </si>
  <si>
    <t>Gamma Root</t>
  </si>
  <si>
    <t>Salt</t>
  </si>
  <si>
    <t>Uranium</t>
  </si>
  <si>
    <t>Irradiated</t>
  </si>
  <si>
    <t>Storage</t>
  </si>
  <si>
    <t>No</t>
  </si>
  <si>
    <t>Paraffinium</t>
  </si>
  <si>
    <t>Signal Booster</t>
  </si>
  <si>
    <t>Save Point</t>
  </si>
  <si>
    <t>Race</t>
  </si>
  <si>
    <t>Vy'keen</t>
  </si>
  <si>
    <t>De-Scented Pheremone Bottle</t>
  </si>
  <si>
    <t>Neutron Microscope</t>
  </si>
  <si>
    <t>Gek</t>
  </si>
  <si>
    <t>Star Silk</t>
  </si>
  <si>
    <t>Verma XIV</t>
  </si>
  <si>
    <t>Frost Crystal</t>
  </si>
  <si>
    <t>Dioxite</t>
  </si>
  <si>
    <t>Hutahi</t>
  </si>
  <si>
    <t>Egarondo</t>
  </si>
  <si>
    <t>Arjorda-Kug</t>
  </si>
  <si>
    <t>Ierajev Suki</t>
  </si>
  <si>
    <t>New Yeovi I</t>
  </si>
  <si>
    <t>Ancity-Niyh</t>
  </si>
  <si>
    <t>Nalangni</t>
  </si>
  <si>
    <t>Dulve Alpha</t>
  </si>
  <si>
    <t>Suangi D31</t>
  </si>
  <si>
    <t>Star Bulb</t>
  </si>
  <si>
    <t>Chlorine</t>
  </si>
  <si>
    <t>Ammonia</t>
  </si>
  <si>
    <t>Gather some dioxite</t>
  </si>
  <si>
    <t>Gather some ammonia</t>
  </si>
  <si>
    <t>Discover the only planet in Egarondo</t>
  </si>
  <si>
    <t>Uixing</t>
  </si>
  <si>
    <t>Fix my Efficient Air Purifier (Exosuit)</t>
  </si>
  <si>
    <t>Discover the last fauna at Ierajev Suki (Rare Ground)</t>
  </si>
  <si>
    <t>x</t>
  </si>
  <si>
    <t>Rivorst Magoy</t>
  </si>
  <si>
    <t>Price expanding my ship</t>
  </si>
  <si>
    <t>Extend further into  galaxy</t>
  </si>
  <si>
    <t>Xishuai</t>
  </si>
  <si>
    <t>Get my survey device</t>
  </si>
  <si>
    <t>Place my medium refiner</t>
  </si>
  <si>
    <t>Xishuanq</t>
  </si>
  <si>
    <t>Paddoc-Keha</t>
  </si>
  <si>
    <t>Find a cadium source</t>
  </si>
  <si>
    <t>Place my signal booster in the other 2 spots</t>
  </si>
  <si>
    <t>Explore the remaining planets in Yadexi VII</t>
  </si>
  <si>
    <t>Ludonas</t>
  </si>
  <si>
    <t>Empty</t>
  </si>
  <si>
    <t>Rusted Metal</t>
  </si>
  <si>
    <t>Miyo 98/F3</t>
  </si>
  <si>
    <t>Spined</t>
  </si>
  <si>
    <t>Azio X</t>
  </si>
  <si>
    <t>Aamandran Tend</t>
  </si>
  <si>
    <t>Explore some planets in Padoc-Keha</t>
  </si>
  <si>
    <t>Ladfo Minor</t>
  </si>
  <si>
    <t>Flourishing</t>
  </si>
  <si>
    <t>Zopo</t>
  </si>
  <si>
    <t>Oqoide</t>
  </si>
  <si>
    <t>Wagorma</t>
  </si>
  <si>
    <t>Urumqi XV</t>
  </si>
  <si>
    <t>New Avidiu</t>
  </si>
  <si>
    <t>Cactus Flesh</t>
  </si>
  <si>
    <t>Pyrite</t>
  </si>
  <si>
    <t>Ubzhan-Reg V</t>
  </si>
  <si>
    <t>Unthreatening</t>
  </si>
  <si>
    <t>Peaceful</t>
  </si>
  <si>
    <t>Aggressive</t>
  </si>
  <si>
    <t>Medium</t>
  </si>
  <si>
    <t>Intermittent</t>
  </si>
  <si>
    <t>Economy</t>
  </si>
  <si>
    <t>Korvax</t>
  </si>
  <si>
    <t>Low</t>
  </si>
  <si>
    <t>Unstable</t>
  </si>
  <si>
    <t>Dangerous</t>
  </si>
  <si>
    <t>Relaxed</t>
  </si>
  <si>
    <t>Gentle</t>
  </si>
  <si>
    <t>Formidable</t>
  </si>
  <si>
    <t>High</t>
  </si>
  <si>
    <t>At war</t>
  </si>
  <si>
    <t>Wealth description</t>
  </si>
  <si>
    <t>Wealth level</t>
  </si>
  <si>
    <t>Declining</t>
  </si>
  <si>
    <t>Destitute</t>
  </si>
  <si>
    <t>Failing</t>
  </si>
  <si>
    <t>Fledgling</t>
  </si>
  <si>
    <t>Low supply</t>
  </si>
  <si>
    <t>Struggling</t>
  </si>
  <si>
    <t>Unsuccessful</t>
  </si>
  <si>
    <t>Unpromising</t>
  </si>
  <si>
    <t>Adequate</t>
  </si>
  <si>
    <t>Balanced</t>
  </si>
  <si>
    <t>Comfortable</t>
  </si>
  <si>
    <t>Developing</t>
  </si>
  <si>
    <t>Medium Supply</t>
  </si>
  <si>
    <t>Promising</t>
  </si>
  <si>
    <t>Satisfactory</t>
  </si>
  <si>
    <t>Sustainable</t>
  </si>
  <si>
    <t>Advanced</t>
  </si>
  <si>
    <t>Affluent</t>
  </si>
  <si>
    <t>Booming</t>
  </si>
  <si>
    <t>High Supply</t>
  </si>
  <si>
    <t>Opulent</t>
  </si>
  <si>
    <t>Prosperous</t>
  </si>
  <si>
    <t>Wealthy</t>
  </si>
  <si>
    <t>Wealth</t>
  </si>
  <si>
    <t>Economy description</t>
  </si>
  <si>
    <t>Economy type</t>
  </si>
  <si>
    <t>Mercantile</t>
  </si>
  <si>
    <t>Trading</t>
  </si>
  <si>
    <t>Shipping</t>
  </si>
  <si>
    <t>Commercial</t>
  </si>
  <si>
    <t>Buys from</t>
  </si>
  <si>
    <t>Scientific</t>
  </si>
  <si>
    <t>Sells to</t>
  </si>
  <si>
    <t>Advanced Materials</t>
  </si>
  <si>
    <t>Alchemical</t>
  </si>
  <si>
    <t>Material Fusion</t>
  </si>
  <si>
    <t>Metal Processing</t>
  </si>
  <si>
    <t>Ore Processing</t>
  </si>
  <si>
    <t>Research</t>
  </si>
  <si>
    <t>Experimental</t>
  </si>
  <si>
    <t>Mathematical</t>
  </si>
  <si>
    <t>Mining</t>
  </si>
  <si>
    <t>Ore Extraction</t>
  </si>
  <si>
    <t>Prospecting</t>
  </si>
  <si>
    <t>Manufacturing</t>
  </si>
  <si>
    <t>Power generation</t>
  </si>
  <si>
    <t>Demand level</t>
  </si>
  <si>
    <t>Spark Canister</t>
  </si>
  <si>
    <t>Industrial-Grade Battery</t>
  </si>
  <si>
    <t>Ohmic Gel</t>
  </si>
  <si>
    <t>Experimental Power Fluid</t>
  </si>
  <si>
    <t>Fusion Core</t>
  </si>
  <si>
    <t>Produce level</t>
  </si>
  <si>
    <t>Dirt</t>
  </si>
  <si>
    <t>Unrefined Purite Grease</t>
  </si>
  <si>
    <t>Bromide Salt</t>
  </si>
  <si>
    <t>Polychromatic Zirconium</t>
  </si>
  <si>
    <t>Re-latticed Arc Crystal</t>
  </si>
  <si>
    <t>Instability Injector</t>
  </si>
  <si>
    <t>Organic Piping</t>
  </si>
  <si>
    <t>Neural Duct</t>
  </si>
  <si>
    <t>Comet Droplets</t>
  </si>
  <si>
    <t>Ion Sphere</t>
  </si>
  <si>
    <t>Teleport Coordinators</t>
  </si>
  <si>
    <t>Nanotube Crate</t>
  </si>
  <si>
    <t>Self-Repairing Heridium</t>
  </si>
  <si>
    <t>Optical Solvent</t>
  </si>
  <si>
    <t>Five Dimensional Torus</t>
  </si>
  <si>
    <t>Superconducting Fibre</t>
  </si>
  <si>
    <t>Mass Production</t>
  </si>
  <si>
    <t>Construction</t>
  </si>
  <si>
    <t>Industrial</t>
  </si>
  <si>
    <t>Technology</t>
  </si>
  <si>
    <t>Enormous Metal Cog</t>
  </si>
  <si>
    <t>Non-Stick Piston</t>
  </si>
  <si>
    <t>Six-Pronged Mesh Decoupler</t>
  </si>
  <si>
    <t>Holographic Crankshaft</t>
  </si>
  <si>
    <t>High Capacity Vector Compression</t>
  </si>
  <si>
    <t>Power Generation</t>
  </si>
  <si>
    <t>High Voltage</t>
  </si>
  <si>
    <t>Fuel Generation</t>
  </si>
  <si>
    <t>Energy Supply</t>
  </si>
  <si>
    <t>Decommissioned Circuit Board</t>
  </si>
  <si>
    <t>Welding Soap</t>
  </si>
  <si>
    <t>Ion Capacitor</t>
  </si>
  <si>
    <t>Autonomous Positioning Unit</t>
  </si>
  <si>
    <t>Quantum Accelerator</t>
  </si>
  <si>
    <t>Engineering</t>
  </si>
  <si>
    <t>Economy Type</t>
  </si>
  <si>
    <t>Wealth Level</t>
  </si>
  <si>
    <t>High Tech</t>
  </si>
  <si>
    <t>Nano-construction</t>
  </si>
  <si>
    <t>Conflict</t>
  </si>
  <si>
    <t>Conflict Level</t>
  </si>
  <si>
    <t>Mild</t>
  </si>
  <si>
    <t>Belligerent</t>
  </si>
  <si>
    <t>Boisterous</t>
  </si>
  <si>
    <t>Alarming</t>
  </si>
  <si>
    <t>At War</t>
  </si>
  <si>
    <t>Critical</t>
  </si>
  <si>
    <t>Fractious</t>
  </si>
  <si>
    <t>Seogwip</t>
  </si>
  <si>
    <t>Tranquil</t>
  </si>
  <si>
    <t>Ealphu T25</t>
  </si>
  <si>
    <t>Laurar</t>
  </si>
  <si>
    <t>Blaythetf IV</t>
  </si>
  <si>
    <t>Rotting</t>
  </si>
  <si>
    <t>Fungal Mould</t>
  </si>
  <si>
    <t>Magnetised Ferrite</t>
  </si>
  <si>
    <t>Low Atmposphere</t>
  </si>
  <si>
    <t>Anxiex</t>
  </si>
  <si>
    <t>Stable</t>
  </si>
  <si>
    <t>Duenedona Jino</t>
  </si>
  <si>
    <t>Sedgew XIV</t>
  </si>
  <si>
    <t>Tucam Major</t>
  </si>
  <si>
    <t>Charred</t>
  </si>
  <si>
    <t>Kiheensbo XVII</t>
  </si>
  <si>
    <t>Luyne</t>
  </si>
  <si>
    <t>Giyth Delta</t>
  </si>
  <si>
    <t>Salvageable scrap</t>
  </si>
  <si>
    <t>Verdant</t>
  </si>
  <si>
    <t>Station</t>
  </si>
  <si>
    <t>Condensed Carbon</t>
  </si>
  <si>
    <t>Chromatic Metal</t>
  </si>
  <si>
    <t>Pugneum</t>
  </si>
  <si>
    <t>Unit value</t>
  </si>
  <si>
    <t>Lemmium</t>
  </si>
  <si>
    <t>Sellers (Buy tab) - Lower is better</t>
  </si>
  <si>
    <t>Pure Ferrite</t>
  </si>
  <si>
    <t>Ionised Cobalt</t>
  </si>
  <si>
    <t>Count</t>
  </si>
  <si>
    <t>Date Discovered</t>
  </si>
  <si>
    <t>Alhaim</t>
  </si>
  <si>
    <t>Nokungb</t>
  </si>
  <si>
    <t>Helkarsh V</t>
  </si>
  <si>
    <t>Untroubled</t>
  </si>
  <si>
    <t>SearchName</t>
  </si>
  <si>
    <t>Cuomul-Tos</t>
  </si>
  <si>
    <t>Resource Type</t>
  </si>
  <si>
    <t>Tradeable</t>
  </si>
  <si>
    <t>Resource</t>
  </si>
  <si>
    <t>Puningt</t>
  </si>
  <si>
    <t>Visit some systems near Yedexi VII</t>
  </si>
  <si>
    <t>Build a Cadmium drive</t>
  </si>
  <si>
    <t>Build an Indium drive</t>
  </si>
  <si>
    <t>Buy a star fighter</t>
  </si>
  <si>
    <t>Curiosity</t>
  </si>
  <si>
    <t>Vy'Keen Dagger</t>
  </si>
  <si>
    <t>Vy'Keen Effigy</t>
  </si>
  <si>
    <t>Korvax Casing</t>
  </si>
  <si>
    <t>Korvax Convergence Cube</t>
  </si>
  <si>
    <t>GekNip</t>
  </si>
  <si>
    <t>Gek Relic</t>
  </si>
  <si>
    <t>Consumable</t>
  </si>
  <si>
    <t>Tritium Hypercluster</t>
  </si>
  <si>
    <t>Gravitino Ball</t>
  </si>
  <si>
    <t>Sac Venom</t>
  </si>
  <si>
    <t>Indium</t>
  </si>
  <si>
    <t>Cadmium</t>
  </si>
  <si>
    <t>Status</t>
  </si>
  <si>
    <t>Task</t>
  </si>
  <si>
    <t>Location</t>
  </si>
  <si>
    <t>Comments</t>
  </si>
  <si>
    <t>n/a</t>
  </si>
  <si>
    <t>Acquire a freighter</t>
  </si>
  <si>
    <t>Yadexi VII</t>
  </si>
  <si>
    <t>Padoc-Keha</t>
  </si>
  <si>
    <t>Anomaly</t>
  </si>
  <si>
    <t>Buy the blueprint from Hyperion</t>
  </si>
  <si>
    <t>Herox</t>
  </si>
  <si>
    <t>Aronium</t>
  </si>
  <si>
    <t>Dirty Bronze</t>
  </si>
  <si>
    <t>Grantine</t>
  </si>
  <si>
    <t>Magno-Gold</t>
  </si>
  <si>
    <t>Sub-type</t>
  </si>
  <si>
    <t>Item 1</t>
  </si>
  <si>
    <t>Quantity 1</t>
  </si>
  <si>
    <t>Item 2</t>
  </si>
  <si>
    <t>Quantity 2</t>
  </si>
  <si>
    <t>Item 3</t>
  </si>
  <si>
    <t>Quantity 3</t>
  </si>
  <si>
    <t>Total Cost</t>
  </si>
  <si>
    <t>Stack Size</t>
  </si>
  <si>
    <t>Craftable</t>
  </si>
  <si>
    <t>Refinable</t>
  </si>
  <si>
    <t>Navigation Data</t>
  </si>
  <si>
    <t>Salvaged Data</t>
  </si>
  <si>
    <t>Misc</t>
  </si>
  <si>
    <t>Yartan-Awkin</t>
  </si>
  <si>
    <t>Moskirkesv Minor</t>
  </si>
  <si>
    <t>Activated Copper</t>
  </si>
  <si>
    <t>Output Qty</t>
  </si>
  <si>
    <t>Cost per Unit</t>
  </si>
  <si>
    <t>Collect some Activated Copper</t>
  </si>
  <si>
    <t>Emeril</t>
  </si>
  <si>
    <t>Radon</t>
  </si>
  <si>
    <t>Mordite</t>
  </si>
  <si>
    <t>Activated Cadmium</t>
  </si>
  <si>
    <t>Activated Emeril</t>
  </si>
  <si>
    <t>Activated Indium</t>
  </si>
  <si>
    <t>Stellar</t>
  </si>
  <si>
    <t>Localised</t>
  </si>
  <si>
    <t>Agricultural</t>
  </si>
  <si>
    <t>Organic</t>
  </si>
  <si>
    <t>Aquatic</t>
  </si>
  <si>
    <t>Subterranean</t>
  </si>
  <si>
    <t>Cyto-Phosphate</t>
  </si>
  <si>
    <t>High Energy</t>
  </si>
  <si>
    <t>Deuterium</t>
  </si>
  <si>
    <t>Faecium</t>
  </si>
  <si>
    <t>Metallic</t>
  </si>
  <si>
    <t>Asteroid</t>
  </si>
  <si>
    <t>Hexite</t>
  </si>
  <si>
    <t>Kelp Sac</t>
  </si>
  <si>
    <t>Living Slime</t>
  </si>
  <si>
    <t>Junk</t>
  </si>
  <si>
    <t>Harvested</t>
  </si>
  <si>
    <t>Gas</t>
  </si>
  <si>
    <t>Anomalous</t>
  </si>
  <si>
    <t>Residual Goop</t>
  </si>
  <si>
    <t>Runaway Mould</t>
  </si>
  <si>
    <t>Catalytic</t>
  </si>
  <si>
    <t>Viscous Fluids</t>
  </si>
  <si>
    <t>Frozen Tubers</t>
  </si>
  <si>
    <t>Raw Ingredient</t>
  </si>
  <si>
    <t>Storm Crystal</t>
  </si>
  <si>
    <t>Unique Valueable</t>
  </si>
  <si>
    <t>Storm crystals</t>
  </si>
  <si>
    <t>Leg Meat</t>
  </si>
  <si>
    <t>Creature Pellets</t>
  </si>
  <si>
    <t>Compressed Nutrients</t>
  </si>
  <si>
    <t>Pulse Engine</t>
  </si>
  <si>
    <t>Instability Drive</t>
  </si>
  <si>
    <t>Teleport Receiver</t>
  </si>
  <si>
    <t>Hyperdrive</t>
  </si>
  <si>
    <t>Launch Thruster</t>
  </si>
  <si>
    <t>Acquired?</t>
  </si>
  <si>
    <t>Deflector Shield</t>
  </si>
  <si>
    <t>Photon Cannon</t>
  </si>
  <si>
    <t>Sub-Light Amplifier</t>
  </si>
  <si>
    <t>Conflict Scanner</t>
  </si>
  <si>
    <t>Economy Scanner</t>
  </si>
  <si>
    <t>Cadmium Drive</t>
  </si>
  <si>
    <t>Efficient Thrusters</t>
  </si>
  <si>
    <t>Ablative Armour</t>
  </si>
  <si>
    <t>Emergency Warp Unit</t>
  </si>
  <si>
    <t>Nonlinear Optics</t>
  </si>
  <si>
    <t>Rocket Launcher</t>
  </si>
  <si>
    <t>Phase Beam</t>
  </si>
  <si>
    <t>Positron Ejector</t>
  </si>
  <si>
    <t>Infra-Knife Accelerator</t>
  </si>
  <si>
    <t>Cyclotron Ballista</t>
  </si>
  <si>
    <t>Large Rocket Tubes</t>
  </si>
  <si>
    <t>Fourier De-Limiter</t>
  </si>
  <si>
    <t>Fragment Supercharger</t>
  </si>
  <si>
    <t>Q-Resonator</t>
  </si>
  <si>
    <t>Dyson Pump</t>
  </si>
  <si>
    <t>Indium Drive</t>
  </si>
  <si>
    <t>Simple Translator</t>
  </si>
  <si>
    <t>Superior Translator</t>
  </si>
  <si>
    <t>Advanced Translator</t>
  </si>
  <si>
    <t>Life Support</t>
  </si>
  <si>
    <t>Haz-Mat Gauntlet</t>
  </si>
  <si>
    <t>Hazard Protection</t>
  </si>
  <si>
    <t>Oxygen Recycler</t>
  </si>
  <si>
    <t>Jetpack</t>
  </si>
  <si>
    <t>Personal Refiner</t>
  </si>
  <si>
    <t>Coolant Network</t>
  </si>
  <si>
    <t>Thermic Layer</t>
  </si>
  <si>
    <t>Toxic Suppressor</t>
  </si>
  <si>
    <t>Radiation Deflector</t>
  </si>
  <si>
    <t>Aeration Membrane</t>
  </si>
  <si>
    <t>Shield Lattice</t>
  </si>
  <si>
    <t>Oxygen Rerouter</t>
  </si>
  <si>
    <t>Neural Stimulatopr</t>
  </si>
  <si>
    <t>Rocket Boots</t>
  </si>
  <si>
    <t>Efficient Water Jets</t>
  </si>
  <si>
    <t>Airburst Engine</t>
  </si>
  <si>
    <t>Mining Beam</t>
  </si>
  <si>
    <t>Boltcaster</t>
  </si>
  <si>
    <t>Personal Forcefield</t>
  </si>
  <si>
    <t>Advanced Mining Laser</t>
  </si>
  <si>
    <t>Waveform Recycler</t>
  </si>
  <si>
    <t>Barrel Ioniser</t>
  </si>
  <si>
    <t>Plasma Launcher</t>
  </si>
  <si>
    <t>Blaze Javelin</t>
  </si>
  <si>
    <t>Scatter Blaster</t>
  </si>
  <si>
    <t>Pulse Splitter</t>
  </si>
  <si>
    <t>Combat Scope</t>
  </si>
  <si>
    <t>Optical Drill</t>
  </si>
  <si>
    <t>Survey Device</t>
  </si>
  <si>
    <t>Geology Cannon</t>
  </si>
  <si>
    <t>Shell Greaser</t>
  </si>
  <si>
    <t>Amplified Cartridges</t>
  </si>
  <si>
    <t>Fusion Engine</t>
  </si>
  <si>
    <t>Daedalus Engine</t>
  </si>
  <si>
    <t>Humboldt Drive</t>
  </si>
  <si>
    <t>Megawatt Heater</t>
  </si>
  <si>
    <t>Air Filtration Unit</t>
  </si>
  <si>
    <t>Neutron Shielding</t>
  </si>
  <si>
    <t>Thermal Buffer</t>
  </si>
  <si>
    <t>Exocraft Signal Booster</t>
  </si>
  <si>
    <t>Exocraft Acceleration Module</t>
  </si>
  <si>
    <t>Exocraft Mining Laser</t>
  </si>
  <si>
    <t>High-Power Sonar</t>
  </si>
  <si>
    <t>Advanced Signal Booster</t>
  </si>
  <si>
    <t>Icarus Fuel System</t>
  </si>
  <si>
    <t>Exocraft Mining Laser Upgrade Sigma</t>
  </si>
  <si>
    <t>Exocraft Mounted Cannon</t>
  </si>
  <si>
    <t>Environment Control Unit</t>
  </si>
  <si>
    <t>Minotaur Radar Array</t>
  </si>
  <si>
    <t>Minotaur Laser</t>
  </si>
  <si>
    <t>Ariadne's Flame</t>
  </si>
  <si>
    <t>Self-Greasing Servos</t>
  </si>
  <si>
    <t>Precision Minotaur Laser</t>
  </si>
  <si>
    <t>Minotaur Cannon</t>
  </si>
  <si>
    <t>Minotaur Bore</t>
  </si>
  <si>
    <t>Exocraft Signal Booster Tau</t>
  </si>
  <si>
    <t>Iijinc XV</t>
  </si>
  <si>
    <t>Rattle Spine</t>
  </si>
  <si>
    <t>Base Building</t>
  </si>
  <si>
    <t>Stabilised Reality Glitch</t>
  </si>
  <si>
    <t>Di-hydrogen Jelly</t>
  </si>
  <si>
    <t>Component</t>
  </si>
  <si>
    <t>Di-Hydrogen Jelly</t>
  </si>
  <si>
    <t>Portable Life Support Power</t>
  </si>
  <si>
    <t>Wiring Loom</t>
  </si>
  <si>
    <t>Universal Technology Platform</t>
  </si>
  <si>
    <t>Just break them down into Di-Hydrogen</t>
  </si>
  <si>
    <t>Just break them down into Gold</t>
  </si>
  <si>
    <t>Chloride Lattice</t>
  </si>
  <si>
    <t>Superoxide Crystal</t>
  </si>
  <si>
    <t>Destabilised Sodium</t>
  </si>
  <si>
    <t>Just break them down into Tritium</t>
  </si>
  <si>
    <t>Antimatter</t>
  </si>
  <si>
    <t>Just break them down into Ferrite or Cobalt</t>
  </si>
  <si>
    <t>Rare Metal Element</t>
  </si>
  <si>
    <t>Space</t>
  </si>
  <si>
    <t>Defend a freighter, speak to captain, refuse the freighter, then defend another and accept it the second time to get a Capital Freighter for free.</t>
  </si>
  <si>
    <t>Acquire an S Class Explorer</t>
  </si>
  <si>
    <t>Acquire an A-Class Hauler</t>
  </si>
  <si>
    <t>Carbon Crystal</t>
  </si>
  <si>
    <t>Unstable Plasma</t>
  </si>
  <si>
    <t>Crafting component.  Acquired from Submerged Relics.</t>
  </si>
  <si>
    <t>Crafted Technology Component</t>
  </si>
  <si>
    <t>Plasma Launcher Recharge</t>
  </si>
  <si>
    <t>Ammo for Plasma Launcher</t>
  </si>
  <si>
    <t>Metal Plating</t>
  </si>
  <si>
    <t>Discover a Cadmium system</t>
  </si>
  <si>
    <t>Larval Core</t>
  </si>
  <si>
    <t>Nitrogen Salt</t>
  </si>
  <si>
    <t>Semiconductor</t>
  </si>
  <si>
    <t>Gepohalih III</t>
  </si>
  <si>
    <t>Terminal</t>
  </si>
  <si>
    <t>Spectral Class</t>
  </si>
  <si>
    <t>Technology Parts</t>
  </si>
  <si>
    <t>Industrial Components</t>
  </si>
  <si>
    <t>Monstrosity</t>
  </si>
  <si>
    <t>Enhanced Gas Product</t>
  </si>
  <si>
    <t>Manufactured Gas Product</t>
  </si>
  <si>
    <t>Advanced Construction Materials</t>
  </si>
  <si>
    <t>Superconductor</t>
  </si>
  <si>
    <t>Thermic Condensate</t>
  </si>
  <si>
    <t>Enriched Carbon</t>
  </si>
  <si>
    <t>Get My AtlasPass v2</t>
  </si>
  <si>
    <t>AtlasPass v1</t>
  </si>
  <si>
    <t>Access Card</t>
  </si>
  <si>
    <t>AtlasPass v2</t>
  </si>
  <si>
    <t>AtlasPass v3</t>
  </si>
  <si>
    <t>Microprocessor</t>
  </si>
  <si>
    <t>Get it from Specialist Polo or Secure Facility missions</t>
  </si>
  <si>
    <t>Scientific Components</t>
  </si>
  <si>
    <t>Alloy Metal</t>
  </si>
  <si>
    <t>Vortex Cube</t>
  </si>
  <si>
    <t>Race Curiosity</t>
  </si>
  <si>
    <t>Concentrated Element Shard</t>
  </si>
  <si>
    <t>Hot Ice</t>
  </si>
  <si>
    <t>Iridesite</t>
  </si>
  <si>
    <t>Crystal Sulphide</t>
  </si>
  <si>
    <t>Fusion Accelerant</t>
  </si>
  <si>
    <t>Geodesite</t>
  </si>
  <si>
    <t>Five Dimernsional Torus</t>
  </si>
  <si>
    <t>Unrefined Pyrite Grease</t>
  </si>
  <si>
    <t>Spark Cannister</t>
  </si>
  <si>
    <t>Farm Nanites</t>
  </si>
  <si>
    <t>B or higher, 2.5 million or less</t>
  </si>
  <si>
    <t>Hermetic Seal</t>
  </si>
  <si>
    <t>Carbon Nanotubes</t>
  </si>
  <si>
    <t>Ion Battery</t>
  </si>
  <si>
    <t>Warp Cell</t>
  </si>
  <si>
    <t>Antimatter Housing</t>
  </si>
  <si>
    <t>Sodium Diode</t>
  </si>
  <si>
    <t>Salt Refractor</t>
  </si>
  <si>
    <t>Starship Launch Fuel</t>
  </si>
  <si>
    <t>Projectile Ammunition</t>
  </si>
  <si>
    <t>Life Support Gel</t>
  </si>
  <si>
    <t>Get rid of some of my large stacks of cheap minerals by refining them</t>
  </si>
  <si>
    <t>Enriched Alloy Metal</t>
  </si>
  <si>
    <t>Material Wanted</t>
  </si>
  <si>
    <t>Reason</t>
  </si>
  <si>
    <t>Get the blueprint for a Large Refiner</t>
  </si>
  <si>
    <t>Miryankho</t>
  </si>
  <si>
    <t>K8pf</t>
  </si>
  <si>
    <t>G6</t>
  </si>
  <si>
    <t>G0p</t>
  </si>
  <si>
    <t>G1p</t>
  </si>
  <si>
    <t>G8pf</t>
  </si>
  <si>
    <t>G2p</t>
  </si>
  <si>
    <t>G4</t>
  </si>
  <si>
    <t>G5pf</t>
  </si>
  <si>
    <t>Ewcas IV</t>
  </si>
  <si>
    <t>Scarlet</t>
  </si>
  <si>
    <t>Yakshanbu Nanak</t>
  </si>
  <si>
    <t>Hyelesme</t>
  </si>
  <si>
    <t>Very safe, lots of Cadmium</t>
  </si>
  <si>
    <t>Uncharted</t>
  </si>
  <si>
    <t>Arrive from Egarondo</t>
  </si>
  <si>
    <t>Tradable Energy Source</t>
  </si>
  <si>
    <t>Compressed Mineral</t>
  </si>
  <si>
    <t>Tradeable Minderals</t>
  </si>
  <si>
    <t>Tradeable Energy Source</t>
  </si>
  <si>
    <t>Trade Commodity</t>
  </si>
  <si>
    <t>Takshanbu Nanak</t>
  </si>
  <si>
    <t>Mamonakri XV</t>
  </si>
  <si>
    <t>Hexaberry</t>
  </si>
  <si>
    <t>Nice semi aquatic planet, heat storms.  Lots of mineral deposits incl Cadmium.</t>
  </si>
  <si>
    <t>Eeoocoma</t>
  </si>
  <si>
    <t>G7f</t>
  </si>
  <si>
    <t>Walanori Beta</t>
  </si>
  <si>
    <t>None</t>
  </si>
  <si>
    <t>Great flat area to build a base</t>
  </si>
  <si>
    <t>Quantum Processor</t>
  </si>
  <si>
    <t>Circuit Board</t>
  </si>
  <si>
    <t>Advanced Agricultural Product</t>
  </si>
  <si>
    <t>Advanced Crafted Product</t>
  </si>
  <si>
    <t>Ridunxi</t>
  </si>
  <si>
    <t>G4f</t>
  </si>
  <si>
    <t>Yendono</t>
  </si>
  <si>
    <t>Lawless</t>
  </si>
  <si>
    <t>Seruss-Edoga</t>
  </si>
  <si>
    <t>G4pf</t>
  </si>
  <si>
    <t>Nuswick-Paye</t>
  </si>
  <si>
    <t>Get My AtlasPass v3</t>
  </si>
  <si>
    <t>Collect 200 Emeril</t>
  </si>
  <si>
    <t>Name</t>
  </si>
  <si>
    <t>Class</t>
  </si>
  <si>
    <t>Damage Potential</t>
  </si>
  <si>
    <t>Shield Strength</t>
  </si>
  <si>
    <t>Hyperdrive Range</t>
  </si>
  <si>
    <t>Maneuverability</t>
  </si>
  <si>
    <t>A</t>
  </si>
  <si>
    <t>Fighter S</t>
  </si>
  <si>
    <t>Table of Contents</t>
  </si>
  <si>
    <t>Rekamadin</t>
  </si>
  <si>
    <t>G6pf</t>
  </si>
  <si>
    <t>Ikundalag</t>
  </si>
  <si>
    <t>K8f</t>
  </si>
  <si>
    <t>Laboro-Vuliai</t>
  </si>
  <si>
    <t>E9f</t>
  </si>
  <si>
    <t>Rerhe Omega</t>
  </si>
  <si>
    <t>Ancient Bones</t>
  </si>
  <si>
    <t>Artifact</t>
  </si>
  <si>
    <t>Excavated Bones</t>
  </si>
  <si>
    <t>Kaylseha Minor</t>
  </si>
  <si>
    <t>Wara 65/R1</t>
  </si>
  <si>
    <t>Harmless.  Emeril.  Whispering eggs.</t>
  </si>
  <si>
    <t>Odalero</t>
  </si>
  <si>
    <t>G5f</t>
  </si>
  <si>
    <t>Etcherra</t>
  </si>
  <si>
    <t>Ewiscun</t>
  </si>
  <si>
    <t>Dohoenia</t>
  </si>
  <si>
    <t>C</t>
  </si>
  <si>
    <t>Frigate Fuel</t>
  </si>
  <si>
    <t>Fuel Oxidiser</t>
  </si>
  <si>
    <t>Warp Core Resonator</t>
  </si>
  <si>
    <t>Matter Beam</t>
  </si>
  <si>
    <t>Mind Control Device</t>
  </si>
  <si>
    <t>Holographic Analyser</t>
  </si>
  <si>
    <t>Mineral Compressor</t>
  </si>
  <si>
    <t>Amplified Warp Shielding</t>
  </si>
  <si>
    <t>Plasmatic Warp Injector</t>
  </si>
  <si>
    <t>Chromatic Warp Shielding</t>
  </si>
  <si>
    <t>Reality De-Threader</t>
  </si>
  <si>
    <t>Temporal Warp Computer</t>
  </si>
  <si>
    <t>Explosive Drones</t>
  </si>
  <si>
    <t>Storage Maxed?</t>
  </si>
  <si>
    <t>Indium De-Limiter</t>
  </si>
  <si>
    <t>Upgrade name</t>
  </si>
  <si>
    <t>Installed In</t>
  </si>
  <si>
    <t>Fire Rate</t>
  </si>
  <si>
    <t>Heat Dispersion</t>
  </si>
  <si>
    <t>Damage</t>
  </si>
  <si>
    <t>Total</t>
  </si>
  <si>
    <t>Pulse Fuel Efficiency</t>
  </si>
  <si>
    <t>Pulse Boost</t>
  </si>
  <si>
    <t>Warp Cell Efficiency</t>
  </si>
  <si>
    <t>S</t>
  </si>
  <si>
    <t>Ship Upgrades - Photon Cannon</t>
  </si>
  <si>
    <t>Ship Upgrades - Pulse Engine</t>
  </si>
  <si>
    <t>Ship Upgrades - Hyperdrive</t>
  </si>
  <si>
    <t>Ship Upgrades - Shields</t>
  </si>
  <si>
    <t>B</t>
  </si>
  <si>
    <t>Hypersonic Neutrino Injector</t>
  </si>
  <si>
    <t>Hypersonic Thrust Controller</t>
  </si>
  <si>
    <t>Harmonic Vacuum Drive</t>
  </si>
  <si>
    <t>Harmonic Padding</t>
  </si>
  <si>
    <t>Systems</t>
  </si>
  <si>
    <t>Planets</t>
  </si>
  <si>
    <t>Volcanic Force Translator</t>
  </si>
  <si>
    <t>Scanner Range</t>
  </si>
  <si>
    <t>Accuracy</t>
  </si>
  <si>
    <t>Clip Size</t>
  </si>
  <si>
    <t>Superheated Solidifier</t>
  </si>
  <si>
    <t>Surge Projector</t>
  </si>
  <si>
    <t>Applied To</t>
  </si>
  <si>
    <t>Time to Full Power</t>
  </si>
  <si>
    <t>Nicleve-Ensk</t>
  </si>
  <si>
    <t>G9p</t>
  </si>
  <si>
    <t>Nikarep-Ets</t>
  </si>
  <si>
    <t>Rowdy</t>
  </si>
  <si>
    <t>Acid</t>
  </si>
  <si>
    <t>Lubricant</t>
  </si>
  <si>
    <t>Positron Accelerator</t>
  </si>
  <si>
    <t>Reload Time</t>
  </si>
  <si>
    <t>Find a portal</t>
  </si>
  <si>
    <t>Build an economy scanner</t>
  </si>
  <si>
    <t>Acquire an S-Exotic</t>
  </si>
  <si>
    <t>The Dojo</t>
  </si>
  <si>
    <t>Agriculture technician</t>
  </si>
  <si>
    <t>Max my exosuit slots</t>
  </si>
  <si>
    <t>Max my exosuit tech slots</t>
  </si>
  <si>
    <t>Max my exosuit cargo slots</t>
  </si>
  <si>
    <t>Refine a tonne of Platinum with Ferrite Dust, Oxygen, Chromatic Metal</t>
  </si>
  <si>
    <t>Refine a tonne of Ionised Cobalt with Ionised Cobalt and Oxygen</t>
  </si>
  <si>
    <t>Make sure all my ships have three S-Class Photon Cannon upgrades</t>
  </si>
  <si>
    <t>Make sure all my ships have three S-Class Shield upgrades</t>
  </si>
  <si>
    <t>Last Maxed</t>
  </si>
  <si>
    <t>Weapons technician</t>
  </si>
  <si>
    <t>Secret room requires a Remembrance.  Cadmium?</t>
  </si>
  <si>
    <t>Science technician</t>
  </si>
  <si>
    <t>Multi-Tools</t>
  </si>
  <si>
    <t>Multi Upgrades - Boltcaster</t>
  </si>
  <si>
    <t>Multi Upgrades - Blaze Javelin</t>
  </si>
  <si>
    <t>Multi Upgrades - Pulse Spitter</t>
  </si>
  <si>
    <t>Song of Fire</t>
  </si>
  <si>
    <t>Slots</t>
  </si>
  <si>
    <t>The End of Zeal</t>
  </si>
  <si>
    <t>Incandescent Dialectrics</t>
  </si>
  <si>
    <t>Multi Upgrades - Scanner</t>
  </si>
  <si>
    <t>Flora Analysis Rewards</t>
  </si>
  <si>
    <t>Fauna Analysis Rewards</t>
  </si>
  <si>
    <t>Scan Radius</t>
  </si>
  <si>
    <t>Non-Causal Detector</t>
  </si>
  <si>
    <t>Recharge time</t>
  </si>
  <si>
    <t>Supercharged Shells</t>
  </si>
  <si>
    <t>Multi Upgrades - Scatter Blaster</t>
  </si>
  <si>
    <t>Starlight Compressor</t>
  </si>
  <si>
    <t>Emeril Compression Unit</t>
  </si>
  <si>
    <t>Make sure my combat weapon has 3 S-Class upgrades on boltcaster, scatter blaster</t>
  </si>
  <si>
    <t>Get all the glyphs for a portal</t>
  </si>
  <si>
    <t>Tijoriesth XIV</t>
  </si>
  <si>
    <t>G9f</t>
  </si>
  <si>
    <t>Solid Gold Barrel</t>
  </si>
  <si>
    <t>Shell Greaser (Crafted)</t>
  </si>
  <si>
    <t>Barrel Ioniser (Crafted)</t>
  </si>
  <si>
    <t>Multi Upgrades - Mining Beam</t>
  </si>
  <si>
    <t>Brilliant Light Filter</t>
  </si>
  <si>
    <t>Fuel Efficiency</t>
  </si>
  <si>
    <t>Overheat Downtime</t>
  </si>
  <si>
    <t>Mining Speed</t>
  </si>
  <si>
    <t>Advanced Mining Laser (Crafted)</t>
  </si>
  <si>
    <t>Karlee Platinum ES-1</t>
  </si>
  <si>
    <t>Exotic S</t>
  </si>
  <si>
    <t>Karlee Iron HA-1</t>
  </si>
  <si>
    <t>Science technician, Construction overseer, Exocraft Technician</t>
  </si>
  <si>
    <t>Extreme Antimatter Injector</t>
  </si>
  <si>
    <t>Gyroscopic Fuel Pipes</t>
  </si>
  <si>
    <t>Specialist Fuel Pipes</t>
  </si>
  <si>
    <t>Ships</t>
  </si>
  <si>
    <t>Deionised Resonator</t>
  </si>
  <si>
    <t>Lumen Buffer</t>
  </si>
  <si>
    <t>M-Field Buffer</t>
  </si>
  <si>
    <t>Ultraviolet De-Limiter</t>
  </si>
  <si>
    <t>Karlee Steel FS-1</t>
  </si>
  <si>
    <t>Nonlinear Optics (Crafted)</t>
  </si>
  <si>
    <t>Cargo Slots</t>
  </si>
  <si>
    <t>Technology Slots</t>
  </si>
  <si>
    <t>Urrial J47</t>
  </si>
  <si>
    <t>Rithen-Nogan</t>
  </si>
  <si>
    <t>E9</t>
  </si>
  <si>
    <t>Mira A17</t>
  </si>
  <si>
    <t>Lots of Emeril.</t>
  </si>
  <si>
    <t>Arrive from Tijoriesth XIV</t>
  </si>
  <si>
    <t>Hadzanan</t>
  </si>
  <si>
    <t>B4</t>
  </si>
  <si>
    <t>Nudoyspr</t>
  </si>
  <si>
    <t>Ranoldh VII</t>
  </si>
  <si>
    <t>G3pf</t>
  </si>
  <si>
    <t>Incomparable Cooling System</t>
  </si>
  <si>
    <t>Asymmetric Accelerator</t>
  </si>
  <si>
    <t>Supercharged Shockwave Shield</t>
  </si>
  <si>
    <t>Extreme Warp Core</t>
  </si>
  <si>
    <t>Subaddieg</t>
  </si>
  <si>
    <t>Poisonous</t>
  </si>
  <si>
    <t>Jade Peas</t>
  </si>
  <si>
    <t>Container Colour Coding</t>
  </si>
  <si>
    <t>Materials I Want</t>
  </si>
  <si>
    <t>Catalyst for Refining</t>
  </si>
  <si>
    <t>Store some in every ship</t>
  </si>
  <si>
    <t>Conflict Levels</t>
  </si>
  <si>
    <t>Stack Sizes</t>
  </si>
  <si>
    <t>Items Produced</t>
  </si>
  <si>
    <t>Items Demanded</t>
  </si>
  <si>
    <t>Trading Partners by Economy Type</t>
  </si>
  <si>
    <t>Wealth Levels</t>
  </si>
  <si>
    <t>Colour</t>
  </si>
  <si>
    <t>Contents</t>
  </si>
  <si>
    <t>Resources</t>
  </si>
  <si>
    <t>White</t>
  </si>
  <si>
    <t>Red</t>
  </si>
  <si>
    <t>Technology-based Crafting Components</t>
  </si>
  <si>
    <t>Mineral-based Crafting Components</t>
  </si>
  <si>
    <t>Purple</t>
  </si>
  <si>
    <t>Misc and Race-based Items</t>
  </si>
  <si>
    <t>Bright yellow</t>
  </si>
  <si>
    <t>Light yellow</t>
  </si>
  <si>
    <t>Dark orange</t>
  </si>
  <si>
    <t>Dark blue</t>
  </si>
  <si>
    <t>Green</t>
  </si>
  <si>
    <t>Biological Components and Consumables</t>
  </si>
  <si>
    <t>Upgrade Modules</t>
  </si>
  <si>
    <t>Trading Stacks</t>
  </si>
  <si>
    <t>Giforde Yurih</t>
  </si>
  <si>
    <t>Axinwe</t>
  </si>
  <si>
    <t>Sacupi Yama</t>
  </si>
  <si>
    <t>Supercharged Distance Polariser</t>
  </si>
  <si>
    <t>Build a Nautilon engine recharger</t>
  </si>
  <si>
    <t>6 iving pearls and 2 Chloride lattices</t>
  </si>
  <si>
    <t>Karlee Diamond EXOS-1</t>
  </si>
  <si>
    <t>???</t>
  </si>
  <si>
    <t>Ship prospecting</t>
  </si>
  <si>
    <t>A, B only</t>
  </si>
  <si>
    <t>Blueberry</t>
  </si>
  <si>
    <t>A, B only.  Extremely low traffic.</t>
  </si>
  <si>
    <t>Reignhart</t>
  </si>
  <si>
    <t>Collect 50 frost crystals</t>
  </si>
  <si>
    <t>Use 50 frost crystals to grow frostwort</t>
  </si>
  <si>
    <t>Flawless Thrust Controller</t>
  </si>
  <si>
    <t>Lorentz Buffer</t>
  </si>
  <si>
    <t>Glorious Warp Core</t>
  </si>
  <si>
    <t>Ludonoss IV</t>
  </si>
  <si>
    <t>Qixiex</t>
  </si>
  <si>
    <t>G6f</t>
  </si>
  <si>
    <t>Esliet Tosuku</t>
  </si>
  <si>
    <t>Frozen</t>
  </si>
  <si>
    <t>Chromatic Amplifier</t>
  </si>
  <si>
    <t>Non-Linear Optics (Crafted)</t>
  </si>
  <si>
    <t>Pulse Drive Power</t>
  </si>
  <si>
    <t>Glass</t>
  </si>
  <si>
    <t>Humban-Yas X</t>
  </si>
  <si>
    <t>E4f</t>
  </si>
  <si>
    <t>Nehouset</t>
  </si>
  <si>
    <t>Lahamil I2</t>
  </si>
  <si>
    <t>Hexaberries, cool water and land planet.</t>
  </si>
  <si>
    <t>Arwa</t>
  </si>
  <si>
    <t>Photonics De-Limiter</t>
  </si>
  <si>
    <t>Karlee Diamond EXOS-2</t>
  </si>
  <si>
    <t>Sub-Light Amplifier (Crafted)</t>
  </si>
  <si>
    <t>Flawless Hydrogen Dynamo</t>
  </si>
  <si>
    <t>Flawless Frame Drag Limiter</t>
  </si>
  <si>
    <t>Harmonic Antimatter Injector</t>
  </si>
  <si>
    <t>Flawless Impulse Nozzle</t>
  </si>
  <si>
    <t>Harmonic Buffer</t>
  </si>
  <si>
    <t>Ablative Armour (Crafted)</t>
  </si>
  <si>
    <t>Lorentz Polariser</t>
  </si>
  <si>
    <t>Q-Field Resonator</t>
  </si>
  <si>
    <t>Harmonic Relativity Shield</t>
  </si>
  <si>
    <t>My Shopping List</t>
  </si>
  <si>
    <t>Wanted?</t>
  </si>
  <si>
    <t>Shopping Stops</t>
  </si>
  <si>
    <t>Chromatic Refractor</t>
  </si>
  <si>
    <t>Derived Stats</t>
  </si>
  <si>
    <t>Gamma Ray Refractor</t>
  </si>
  <si>
    <t>Gamma Ray Resonator</t>
  </si>
  <si>
    <t>Free Electron Oscillator</t>
  </si>
  <si>
    <t>Bungar</t>
  </si>
  <si>
    <t>G0f</t>
  </si>
  <si>
    <t>Silnoi-Wocest</t>
  </si>
  <si>
    <t>Asbeck XVII</t>
  </si>
  <si>
    <t>Exit of portal</t>
  </si>
  <si>
    <t>F4pf</t>
  </si>
  <si>
    <t>Jukuok</t>
  </si>
  <si>
    <t>F8pf</t>
  </si>
  <si>
    <t>Bootle</t>
  </si>
  <si>
    <t>B5p</t>
  </si>
  <si>
    <t>Unstable Gel</t>
  </si>
  <si>
    <t>Liquid Explosive</t>
  </si>
  <si>
    <t>Captured Nanode</t>
  </si>
  <si>
    <t>Advanced Ion Battery</t>
  </si>
  <si>
    <t>Mind Arc</t>
  </si>
  <si>
    <t>Soul Engine</t>
  </si>
  <si>
    <t>Living Glass</t>
  </si>
  <si>
    <t>Poly Fibre</t>
  </si>
  <si>
    <t>Heat Capacitor</t>
  </si>
  <si>
    <t>Cryo-Pump</t>
  </si>
  <si>
    <t>Just sell</t>
  </si>
  <si>
    <t>Granql</t>
  </si>
  <si>
    <t>Japariumh</t>
  </si>
  <si>
    <t>Profit %</t>
  </si>
  <si>
    <t>Profit Calculator</t>
  </si>
  <si>
    <t>Starting</t>
  </si>
  <si>
    <t>Closing</t>
  </si>
  <si>
    <t>Profit</t>
  </si>
  <si>
    <t>F8f</t>
  </si>
  <si>
    <t>Eluset</t>
  </si>
  <si>
    <t>M2</t>
  </si>
  <si>
    <t>Reachable from  Japariumh</t>
  </si>
  <si>
    <t>Wednest</t>
  </si>
  <si>
    <t>Viisitysit</t>
  </si>
  <si>
    <t>E9pf</t>
  </si>
  <si>
    <t>Liyluel</t>
  </si>
  <si>
    <t>F1</t>
  </si>
  <si>
    <t>Hovent</t>
  </si>
  <si>
    <t>F0pf</t>
  </si>
  <si>
    <t>Selegze</t>
  </si>
  <si>
    <t>G7p</t>
  </si>
  <si>
    <t>Star Type</t>
  </si>
  <si>
    <t>F</t>
  </si>
  <si>
    <t>Lots of Bs</t>
  </si>
  <si>
    <t>Not predictable but several S</t>
  </si>
  <si>
    <t>Complete the Atlas Path collecting all seeds</t>
  </si>
  <si>
    <t>Get a flame thrower</t>
  </si>
  <si>
    <t>Reach the galactic centre</t>
  </si>
  <si>
    <t>Get a living ship</t>
  </si>
  <si>
    <t>Get a top-damage multi-tool</t>
  </si>
  <si>
    <t>https://www.youtube.com/watch?v=CyXA6nUpUkk</t>
  </si>
  <si>
    <t>Use dupe glitch to max my storage containers</t>
  </si>
  <si>
    <t>Use dupe glitch to max my freighter</t>
  </si>
  <si>
    <t>Use dupe glitch to max my factory blueprints</t>
  </si>
  <si>
    <t>https://www.youtube.com/watch?v=k3tVPzb6hzU</t>
  </si>
  <si>
    <t>Max out all my secure site blueprints</t>
  </si>
  <si>
    <t>Get my entire fleet to S-Class</t>
  </si>
  <si>
    <t>Recruit 1 more Industrial frigate</t>
  </si>
  <si>
    <t>Recruit 1 more Trade frigate</t>
  </si>
  <si>
    <t>Recruit 1 more Combat frigate</t>
  </si>
  <si>
    <t>Fill my stack of cadmium</t>
  </si>
  <si>
    <t>Complete a duplication glitch</t>
  </si>
  <si>
    <t>1. Enable multi-player
2. Enter starship
3. Put item in Personal Refiner
4. Get out of startship
5. Put item back into exosuit
6. Give someone something
7. Reload autosave
8. Pull the duplicated unit out of personal refiner and into exosuit
9. Goto 2.</t>
  </si>
  <si>
    <t>Portable Energy Storage</t>
  </si>
  <si>
    <t>Hydrothermal Fuel Cell</t>
  </si>
  <si>
    <t>Submarine Reactor Fuel</t>
  </si>
  <si>
    <t>Living Pearl</t>
  </si>
  <si>
    <t>Semi-Conscious Gemstone</t>
  </si>
  <si>
    <t>Oxygen Filter</t>
  </si>
  <si>
    <t>Starshield Battery</t>
  </si>
  <si>
    <t>Warp Hypercore</t>
  </si>
  <si>
    <t>Hyperdrive Charging Unit</t>
  </si>
  <si>
    <t>Organic Catalyst</t>
  </si>
  <si>
    <t>Portable Reactor</t>
  </si>
  <si>
    <t>Cryogenic Chamber</t>
  </si>
  <si>
    <t>Fusion Ignitor</t>
  </si>
  <si>
    <t>Highly Refined Technology</t>
  </si>
  <si>
    <t>Stasis Device</t>
  </si>
  <si>
    <t>Supply Chains</t>
  </si>
  <si>
    <t>Desired Quantity</t>
  </si>
  <si>
    <t>Total Value</t>
  </si>
  <si>
    <t>Opening Credits</t>
  </si>
  <si>
    <t>Units Sold</t>
  </si>
  <si>
    <t>Mid-stage Credits</t>
  </si>
  <si>
    <t>Chlorine Demand</t>
  </si>
  <si>
    <t>Units bought</t>
  </si>
  <si>
    <t>Closing Credits</t>
  </si>
  <si>
    <t>Sell price</t>
  </si>
  <si>
    <t>Price Per Unit</t>
  </si>
  <si>
    <t>Actual Sell Price</t>
  </si>
  <si>
    <t>Actual Unit Price</t>
  </si>
  <si>
    <t>P/L</t>
  </si>
  <si>
    <t>Forecasted Unit Price</t>
  </si>
  <si>
    <t>Recipes</t>
  </si>
  <si>
    <t>Astaixo</t>
  </si>
  <si>
    <t>G2pf</t>
  </si>
  <si>
    <t>Enzyme Fluid</t>
  </si>
  <si>
    <t>Ingredient 1</t>
  </si>
  <si>
    <t>Cost</t>
  </si>
  <si>
    <t>Non-Toxic Mushroom</t>
  </si>
  <si>
    <t>Herbivore Bait</t>
  </si>
  <si>
    <t>Ingredient 2</t>
  </si>
  <si>
    <t>Harvested Agricultural Substance</t>
  </si>
  <si>
    <t>Cactus Nectar</t>
  </si>
  <si>
    <t>Impulse Beans</t>
  </si>
  <si>
    <t>Pulpy Roots</t>
  </si>
  <si>
    <t>Solartillo</t>
  </si>
  <si>
    <t>Fermented Fruit</t>
  </si>
  <si>
    <t>Grahberry</t>
  </si>
  <si>
    <t>Pilgrimberry</t>
  </si>
  <si>
    <t>Scented Herbs</t>
  </si>
  <si>
    <t>Aloe Flesh</t>
  </si>
  <si>
    <t>Glass Grains</t>
  </si>
  <si>
    <t>Heptaploid Wheat</t>
  </si>
  <si>
    <t>Sievert Beans</t>
  </si>
  <si>
    <t>Sweetened Compost</t>
  </si>
  <si>
    <t>Grown?</t>
  </si>
  <si>
    <t>Non-Ferrous Plate</t>
  </si>
  <si>
    <t>Voltaic Cell</t>
  </si>
  <si>
    <t>Abyssal Stew</t>
  </si>
  <si>
    <t>Horrifying Mush</t>
  </si>
  <si>
    <t>Hypnotic Eye</t>
  </si>
  <si>
    <t>Edible Product</t>
  </si>
  <si>
    <t>Horrific Sample</t>
  </si>
  <si>
    <t>Special</t>
  </si>
  <si>
    <t>Cheesy Vegetable Pie</t>
  </si>
  <si>
    <t>Ingredient 3</t>
  </si>
  <si>
    <t>Pie Case</t>
  </si>
  <si>
    <t>ProtoCheese</t>
  </si>
  <si>
    <t>Tangy Cheese</t>
  </si>
  <si>
    <t>Pastry</t>
  </si>
  <si>
    <t>Refined Flour</t>
  </si>
  <si>
    <t>Churned Butter</t>
  </si>
  <si>
    <t>Proto-Butter</t>
  </si>
  <si>
    <t>Kelp Rice</t>
  </si>
  <si>
    <t>Cream</t>
  </si>
  <si>
    <t>Fresh Milk</t>
  </si>
  <si>
    <t>Wild Milk</t>
  </si>
  <si>
    <t>Proto-Cream</t>
  </si>
  <si>
    <t>Warm Proto-Milk</t>
  </si>
  <si>
    <t>Wild Yeast</t>
  </si>
  <si>
    <t>Fire Water</t>
  </si>
  <si>
    <t>Root Juice</t>
  </si>
  <si>
    <t>Scorching Sauce</t>
  </si>
  <si>
    <t>Baits</t>
  </si>
  <si>
    <t>Bait</t>
  </si>
  <si>
    <t>Result</t>
  </si>
  <si>
    <t>Leopard Fruit</t>
  </si>
  <si>
    <t>Bloody Organ</t>
  </si>
  <si>
    <t>Feline Liver</t>
  </si>
  <si>
    <t>Offal Sac</t>
  </si>
  <si>
    <t>Carnivore Bait</t>
  </si>
  <si>
    <t>Leopard-Fruit</t>
  </si>
  <si>
    <t>Jellied Fur Tart</t>
  </si>
  <si>
    <t>Furball Jelly</t>
  </si>
  <si>
    <t>Processed Sugar</t>
  </si>
  <si>
    <t>Meaty Chunks</t>
  </si>
  <si>
    <t>Processed Meat</t>
  </si>
  <si>
    <t>Meat Flakes</t>
  </si>
  <si>
    <t>Ground Meat</t>
  </si>
  <si>
    <t>Mystery Meat Pie</t>
  </si>
  <si>
    <t>Smoked Meat</t>
  </si>
  <si>
    <t>Mystery Meat Stew</t>
  </si>
  <si>
    <t>Raw Steak</t>
  </si>
  <si>
    <t>Crab 'Apple'</t>
  </si>
  <si>
    <t>Creature Egg</t>
  </si>
  <si>
    <t>Cooked from Cactus Flesh</t>
  </si>
  <si>
    <t>Bait is Enzyme Fluid</t>
  </si>
  <si>
    <t>Dropped by crab-like creatures</t>
  </si>
  <si>
    <t>Diplo Chunks</t>
  </si>
  <si>
    <t>Kill quadrupedal dinosaurs</t>
  </si>
  <si>
    <t>Harvest from mammals without round bottoms</t>
  </si>
  <si>
    <t>Harvest from mammals with round bottoms</t>
  </si>
  <si>
    <t>Fiendish Roe</t>
  </si>
  <si>
    <t>Appears impossible to get</t>
  </si>
  <si>
    <t>Giant Egg</t>
  </si>
  <si>
    <t>Harvest from quadrupedal dinosaurs</t>
  </si>
  <si>
    <t>Cook from Frost Crystals</t>
  </si>
  <si>
    <t>Cook from Solanium</t>
  </si>
  <si>
    <t>Forager from desert planets</t>
  </si>
  <si>
    <t>Forage from frozen planets</t>
  </si>
  <si>
    <t>Kill felines</t>
  </si>
  <si>
    <t>Forage from scorched planets</t>
  </si>
  <si>
    <t>Forage from irradiated planets</t>
  </si>
  <si>
    <t>Forage from any planet type</t>
  </si>
  <si>
    <t>Forage from exotic planets</t>
  </si>
  <si>
    <t>Forage from lush planets</t>
  </si>
  <si>
    <t>Cook from Kelp Sac</t>
  </si>
  <si>
    <t>Kill crabs or spiders</t>
  </si>
  <si>
    <t>Harvest from large predatory mammals</t>
  </si>
  <si>
    <t>Cook from Mordite</t>
  </si>
  <si>
    <t>Meaty Wings</t>
  </si>
  <si>
    <t>Kill birds</t>
  </si>
  <si>
    <t>Cook from Meat Flakes</t>
  </si>
  <si>
    <t>Cook from Fungal Mould</t>
  </si>
  <si>
    <t>Kill blob-like creatures</t>
  </si>
  <si>
    <t>Cook from Star Bulbs</t>
  </si>
  <si>
    <t>ProtoSausage</t>
  </si>
  <si>
    <t>Kill humanoid creatures</t>
  </si>
  <si>
    <t>Kill quadrupedal mammals</t>
  </si>
  <si>
    <t>Regis Grease</t>
  </si>
  <si>
    <t>Harvest from bipedal dinosaurs</t>
  </si>
  <si>
    <t>Salty Fingers</t>
  </si>
  <si>
    <t>Kill underwater creatures</t>
  </si>
  <si>
    <t>Scaly Meat</t>
  </si>
  <si>
    <t>Kill bipedal dinosaurs</t>
  </si>
  <si>
    <t>Cook from Gamma Root</t>
  </si>
  <si>
    <t>Silicon Egg</t>
  </si>
  <si>
    <t>Cooked from Chromatic Metal</t>
  </si>
  <si>
    <t>Steamed Vegetables</t>
  </si>
  <si>
    <t>Cooked from Solartillo or Non-Toxic Mushroom</t>
  </si>
  <si>
    <t>Sticky 'Honey'</t>
  </si>
  <si>
    <t>Harvest from blob-like creatures</t>
  </si>
  <si>
    <t>Strider Sausage</t>
  </si>
  <si>
    <t>Harvest from striders</t>
  </si>
  <si>
    <t>Kill striders</t>
  </si>
  <si>
    <t>Tall Eggs</t>
  </si>
  <si>
    <t>Harvest from humanoid creatuires</t>
  </si>
  <si>
    <t>Cook from Faecium</t>
  </si>
  <si>
    <t>Cook from Feline Liver or Offal Sac</t>
  </si>
  <si>
    <t>Cook from Meaty Chunks or Raw Steak</t>
  </si>
  <si>
    <t>Pheremone Sac</t>
  </si>
  <si>
    <t>Cook from Enzyme fluid and Mordite</t>
  </si>
  <si>
    <t>Synthetic Worms</t>
  </si>
  <si>
    <t>Cook from Carbon Nanotubes and Mordite</t>
  </si>
  <si>
    <t>Cook from Fungal Mould and Faecium</t>
  </si>
  <si>
    <t>Cook from Star Bulb and Faecium</t>
  </si>
  <si>
    <t>Cook from Frost Crystals and Faecium</t>
  </si>
  <si>
    <t>Cook from Enzyme Fluid, Scented Herbs, or Fermented Fruit and Faecium</t>
  </si>
  <si>
    <t>Lush</t>
  </si>
  <si>
    <t>Weather</t>
  </si>
  <si>
    <t>Sentinels</t>
  </si>
  <si>
    <t>Flora</t>
  </si>
  <si>
    <t>Fauna</t>
  </si>
  <si>
    <t>Likirkb</t>
  </si>
  <si>
    <t>Inesosov</t>
  </si>
  <si>
    <t>E</t>
  </si>
  <si>
    <t>Exotic</t>
  </si>
  <si>
    <t>Desert</t>
  </si>
  <si>
    <t>Water World</t>
  </si>
  <si>
    <t>Dead</t>
  </si>
  <si>
    <t>Inescapable</t>
  </si>
  <si>
    <t>Extreme Storms</t>
  </si>
  <si>
    <t>Full</t>
  </si>
  <si>
    <t>Esgrover Delta</t>
  </si>
  <si>
    <t>Require Obedience</t>
  </si>
  <si>
    <t>Abundant</t>
  </si>
  <si>
    <t>Hotspots</t>
  </si>
  <si>
    <t>Silver, Nitrogen</t>
  </si>
  <si>
    <t>Spread Thin</t>
  </si>
  <si>
    <t>Generous</t>
  </si>
  <si>
    <t>Moderate</t>
  </si>
  <si>
    <t>www</t>
  </si>
  <si>
    <t>Solar panels operate at roughly a ratio of 1 panel to 3 batteries</t>
  </si>
  <si>
    <t>For every 60 kP used, you need 3 solar panels</t>
  </si>
  <si>
    <t>Haslemp Omega</t>
  </si>
  <si>
    <t>Bountiful</t>
  </si>
  <si>
    <t>You can't trade for more than 4,294,967,295 credits</t>
  </si>
  <si>
    <t>Irkama-Tuisu</t>
  </si>
  <si>
    <t>G4p</t>
  </si>
  <si>
    <t>Acheng</t>
  </si>
  <si>
    <t>G2</t>
  </si>
  <si>
    <t>Ombuth-Ien</t>
  </si>
  <si>
    <t>Hecang-Virgi</t>
  </si>
  <si>
    <t>G1f</t>
  </si>
  <si>
    <t>Dorkha-Aeon</t>
  </si>
  <si>
    <t>G3</t>
  </si>
  <si>
    <t>Oxogng</t>
  </si>
  <si>
    <t>Ruende-Cerwa</t>
  </si>
  <si>
    <t>Yablung-Ayosh</t>
  </si>
  <si>
    <t>Toxic Storms</t>
  </si>
  <si>
    <t>Ukuo 37/V2</t>
  </si>
  <si>
    <t>Ample</t>
  </si>
  <si>
    <t>Toxic</t>
  </si>
  <si>
    <t>Yutungo</t>
  </si>
  <si>
    <t>Sette XI</t>
  </si>
  <si>
    <t>Final interface portal</t>
  </si>
  <si>
    <t>Heat storms</t>
  </si>
  <si>
    <t>Frequent</t>
  </si>
  <si>
    <t>Savirsk-Pop</t>
  </si>
  <si>
    <t>Uneap Gamma</t>
  </si>
  <si>
    <t>This is unexplored</t>
  </si>
  <si>
    <t>G6p</t>
  </si>
  <si>
    <t>Mnemanovor</t>
  </si>
  <si>
    <t>Uinsarsen</t>
  </si>
  <si>
    <t>G9pf</t>
  </si>
  <si>
    <t>Miluko-Leh</t>
  </si>
  <si>
    <t>B0p</t>
  </si>
  <si>
    <t>Abandoned</t>
  </si>
  <si>
    <t>Iuboevu</t>
  </si>
  <si>
    <t>G7pf</t>
  </si>
  <si>
    <t>Eronetsk</t>
  </si>
  <si>
    <t>G7</t>
  </si>
  <si>
    <t>Urmano-Sumam</t>
  </si>
  <si>
    <t>Alasake-Kia</t>
  </si>
  <si>
    <t>Icians IV</t>
  </si>
  <si>
    <t>Core Distance</t>
  </si>
  <si>
    <t>Gisepp-Buze</t>
  </si>
  <si>
    <t>B1pf</t>
  </si>
  <si>
    <t>Put a new roof on my base</t>
  </si>
  <si>
    <t>Redo my storage containers</t>
  </si>
  <si>
    <t>Get some Star Silk to make furniture</t>
  </si>
  <si>
    <t>Furnish my Great Hall</t>
  </si>
  <si>
    <t>Complete a weekend challenge</t>
  </si>
  <si>
    <t>Complete a Nexus mission</t>
  </si>
  <si>
    <t>Asoiliu</t>
  </si>
  <si>
    <t>Defortn Delta</t>
  </si>
  <si>
    <t>Tropical</t>
  </si>
  <si>
    <t>Achen</t>
  </si>
  <si>
    <t>Volatile Winds</t>
  </si>
  <si>
    <t>Disintegrator Gun</t>
  </si>
  <si>
    <t>Recoil</t>
  </si>
  <si>
    <t>Shots per Burst</t>
  </si>
  <si>
    <t>Burst Cooldown</t>
  </si>
  <si>
    <t>Indium  Injectors</t>
  </si>
  <si>
    <t>Ancient Energy Lattice</t>
  </si>
  <si>
    <t>Neutrino Ioniser</t>
  </si>
  <si>
    <t>Elemental Supercapacitor</t>
  </si>
  <si>
    <t>Antimatter Injectors</t>
  </si>
  <si>
    <t>Antimatter Mass Chamber</t>
  </si>
  <si>
    <t>Mass Accelerator</t>
  </si>
  <si>
    <t>Karlee Class FA-2</t>
  </si>
  <si>
    <t>Fighter A</t>
  </si>
  <si>
    <t>Get 2 more S-Class upgrades for FA-2 Cannon</t>
  </si>
  <si>
    <t>Get 1 more S-Class upgrades for FA-2 Hyperdrive</t>
  </si>
  <si>
    <t>Wisvil-Haz</t>
  </si>
  <si>
    <t>G3f</t>
  </si>
  <si>
    <t>Ersiss-Deg X</t>
  </si>
  <si>
    <t>Ligalits</t>
  </si>
  <si>
    <t>Fairly isolated</t>
  </si>
  <si>
    <t>Complete The Farmer missions</t>
  </si>
  <si>
    <t>Complete Base Archives missions</t>
  </si>
  <si>
    <t>Ragxiang</t>
  </si>
  <si>
    <t>G5</t>
  </si>
  <si>
    <t>Ewquay-Usla</t>
  </si>
  <si>
    <t>Remote</t>
  </si>
  <si>
    <t>Furthest point on Atlas Path</t>
  </si>
  <si>
    <t>Get all Hyperdrive upgrades for Freighter</t>
  </si>
  <si>
    <t>Get 6 S-class upgrades for Freighter</t>
  </si>
  <si>
    <t>Max out my fleet size</t>
  </si>
  <si>
    <t>Upgrade FA-2 to S Class using 50k nanites</t>
  </si>
  <si>
    <t>Govoch-Kebeg IX</t>
  </si>
  <si>
    <t>F0f</t>
  </si>
  <si>
    <t>Eroneho-Pan</t>
  </si>
  <si>
    <t>Nimitr</t>
  </si>
  <si>
    <t>G1pf</t>
  </si>
  <si>
    <t>Gears</t>
  </si>
  <si>
    <t>Watch</t>
  </si>
  <si>
    <t>DNA</t>
  </si>
  <si>
    <t>Beaker</t>
  </si>
  <si>
    <t>Pickaxe</t>
  </si>
  <si>
    <t>Nanites</t>
  </si>
  <si>
    <t>Battery</t>
  </si>
  <si>
    <t>Test the Anomaly nanites glitch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</si>
</sst>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0.0%;[Red]\(0.0%\)"/>
    <numFmt numFmtId="165" formatCode="[Red]0.0%;\(0.0%\)"/>
    <numFmt numFmtId="166" formatCode="[$-409]dd/mmm/yy;@"/>
    <numFmt numFmtId="167" formatCode="_(* #,##0_);_(* \(#,##0\);_(* &quot;-&quot;??_);_(@_)"/>
    <numFmt numFmtId="168" formatCode="0.000"/>
  </numFmts>
  <fonts count="14" x14ac:knownFonts="1">
    <font>
      <sz val="11"/>
      <color theme="1"/>
      <name val="Calibri"/>
      <family val="2"/>
      <scheme val="minor"/>
    </font>
    <font>
      <sz val="10"/>
      <color theme="1"/>
      <name val="Segoe UI Light"/>
      <family val="2"/>
    </font>
    <font>
      <sz val="11"/>
      <color theme="1"/>
      <name val="Calibri"/>
      <family val="2"/>
      <scheme val="minor"/>
    </font>
    <font>
      <b/>
      <sz val="10"/>
      <color theme="1"/>
      <name val="Segoe UI Light"/>
      <family val="2"/>
    </font>
    <font>
      <sz val="8"/>
      <name val="Calibri"/>
      <family val="2"/>
      <scheme val="minor"/>
    </font>
    <font>
      <sz val="14"/>
      <color theme="1"/>
      <name val="Segoe UI Light"/>
      <family val="2"/>
    </font>
    <font>
      <sz val="16"/>
      <color theme="1"/>
      <name val="Segoe UI Light"/>
      <family val="2"/>
    </font>
    <font>
      <u/>
      <sz val="10"/>
      <color theme="8"/>
      <name val="Segoe UI Light"/>
      <family val="2"/>
    </font>
    <font>
      <sz val="10"/>
      <name val="Segoe UI Light"/>
      <family val="2"/>
    </font>
    <font>
      <b/>
      <sz val="10"/>
      <color rgb="FF00B050"/>
      <name val="Segoe UI Light"/>
      <family val="2"/>
    </font>
    <font>
      <b/>
      <sz val="10"/>
      <color rgb="FFFF0000"/>
      <name val="Segoe UI Light"/>
      <family val="2"/>
    </font>
    <font>
      <u/>
      <sz val="11"/>
      <color theme="10"/>
      <name val="Calibri"/>
      <family val="2"/>
      <scheme val="minor"/>
    </font>
    <font>
      <b/>
      <sz val="12"/>
      <color theme="1"/>
      <name val="Segoe UI Light"/>
      <family val="2"/>
    </font>
    <font>
      <sz val="10"/>
      <color rgb="FFFF0000"/>
      <name val="Segoe UI Light"/>
      <family val="2"/>
    </font>
  </fonts>
  <fills count="10">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5"/>
        <bgColor indexed="64"/>
      </patternFill>
    </fill>
    <fill>
      <patternFill patternType="solid">
        <fgColor rgb="FFCC99FF"/>
        <bgColor indexed="64"/>
      </patternFill>
    </fill>
    <fill>
      <patternFill patternType="solid">
        <fgColor theme="7" tint="0.59999389629810485"/>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s>
  <borders count="4">
    <border>
      <left/>
      <right/>
      <top/>
      <bottom/>
      <diagonal/>
    </border>
    <border>
      <left/>
      <right/>
      <top/>
      <bottom style="thin">
        <color auto="1"/>
      </bottom>
      <diagonal/>
    </border>
    <border>
      <left/>
      <right/>
      <top style="hair">
        <color auto="1"/>
      </top>
      <bottom/>
      <diagonal/>
    </border>
    <border>
      <left/>
      <right/>
      <top style="hair">
        <color auto="1"/>
      </top>
      <bottom style="hair">
        <color auto="1"/>
      </bottom>
      <diagonal/>
    </border>
  </borders>
  <cellStyleXfs count="4">
    <xf numFmtId="0" fontId="0" fillId="0" borderId="0"/>
    <xf numFmtId="9" fontId="2" fillId="0" borderId="0" applyFont="0" applyFill="0" applyBorder="0" applyAlignment="0" applyProtection="0"/>
    <xf numFmtId="43" fontId="2" fillId="0" borderId="0" applyFont="0" applyFill="0" applyBorder="0" applyAlignment="0" applyProtection="0"/>
    <xf numFmtId="0" fontId="11" fillId="0" borderId="0" applyNumberFormat="0" applyFill="0" applyBorder="0" applyAlignment="0" applyProtection="0"/>
  </cellStyleXfs>
  <cellXfs count="102">
    <xf numFmtId="0" fontId="0" fillId="0" borderId="0" xfId="0"/>
    <xf numFmtId="0" fontId="1" fillId="0" borderId="0" xfId="0" applyFont="1"/>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xf>
    <xf numFmtId="3" fontId="1" fillId="0" borderId="0" xfId="0" applyNumberFormat="1" applyFont="1" applyAlignment="1">
      <alignment horizontal="center" vertical="center"/>
    </xf>
    <xf numFmtId="0" fontId="1" fillId="0" borderId="0" xfId="0" applyFont="1" applyAlignment="1">
      <alignment horizontal="left" vertical="center"/>
    </xf>
    <xf numFmtId="3" fontId="1" fillId="0" borderId="0" xfId="0" applyNumberFormat="1" applyFont="1" applyAlignment="1">
      <alignment horizontal="center" vertical="center" wrapText="1"/>
    </xf>
    <xf numFmtId="9" fontId="1" fillId="0" borderId="0" xfId="0" applyNumberFormat="1" applyFont="1" applyAlignment="1">
      <alignment horizontal="center" vertical="center"/>
    </xf>
    <xf numFmtId="1" fontId="1" fillId="0" borderId="0" xfId="0" applyNumberFormat="1" applyFont="1" applyAlignment="1">
      <alignment horizontal="center" vertical="center"/>
    </xf>
    <xf numFmtId="0" fontId="1" fillId="0" borderId="0" xfId="0" applyFont="1" applyAlignment="1">
      <alignment wrapText="1"/>
    </xf>
    <xf numFmtId="0" fontId="1" fillId="2" borderId="0" xfId="0" applyFont="1" applyFill="1" applyAlignment="1">
      <alignment vertical="center"/>
    </xf>
    <xf numFmtId="3" fontId="1" fillId="0" borderId="0" xfId="0" applyNumberFormat="1" applyFont="1" applyAlignment="1">
      <alignment horizontal="left" vertical="center"/>
    </xf>
    <xf numFmtId="0" fontId="1" fillId="2" borderId="0" xfId="0" applyNumberFormat="1" applyFont="1" applyFill="1" applyAlignment="1">
      <alignment vertical="center"/>
    </xf>
    <xf numFmtId="0" fontId="1" fillId="2" borderId="0" xfId="0" applyNumberFormat="1" applyFont="1" applyFill="1" applyAlignment="1">
      <alignment horizontal="center" vertical="center"/>
    </xf>
    <xf numFmtId="0" fontId="1" fillId="0" borderId="0" xfId="0" applyNumberFormat="1" applyFont="1" applyAlignment="1">
      <alignment horizontal="center" vertical="center"/>
    </xf>
    <xf numFmtId="0" fontId="5" fillId="0" borderId="0" xfId="0" applyFont="1" applyAlignment="1">
      <alignment horizontal="left" vertical="center"/>
    </xf>
    <xf numFmtId="0" fontId="3" fillId="0" borderId="1" xfId="0" applyFont="1" applyBorder="1" applyAlignment="1">
      <alignment horizontal="left" vertical="center"/>
    </xf>
    <xf numFmtId="3" fontId="3" fillId="0" borderId="1" xfId="0" applyNumberFormat="1" applyFont="1" applyBorder="1" applyAlignment="1">
      <alignment horizontal="center" vertical="center"/>
    </xf>
    <xf numFmtId="0" fontId="3" fillId="0" borderId="1" xfId="0" applyFont="1" applyBorder="1" applyAlignment="1">
      <alignment horizontal="center" vertical="center"/>
    </xf>
    <xf numFmtId="164" fontId="1" fillId="0" borderId="0" xfId="0" applyNumberFormat="1" applyFont="1" applyAlignment="1">
      <alignment horizontal="center" vertical="center"/>
    </xf>
    <xf numFmtId="165" fontId="1" fillId="0" borderId="0" xfId="0" applyNumberFormat="1" applyFont="1" applyAlignment="1">
      <alignment horizontal="center" vertical="center"/>
    </xf>
    <xf numFmtId="0" fontId="1" fillId="0" borderId="1" xfId="0" applyFont="1" applyBorder="1" applyAlignment="1">
      <alignment horizontal="center" vertical="center"/>
    </xf>
    <xf numFmtId="166" fontId="1" fillId="0" borderId="0" xfId="0" applyNumberFormat="1" applyFont="1" applyAlignment="1">
      <alignment vertical="center"/>
    </xf>
    <xf numFmtId="0" fontId="1" fillId="0" borderId="0" xfId="0" applyNumberFormat="1" applyFont="1" applyFill="1" applyAlignment="1">
      <alignment vertical="center"/>
    </xf>
    <xf numFmtId="0" fontId="1" fillId="0" borderId="1" xfId="0" applyFont="1" applyBorder="1"/>
    <xf numFmtId="3" fontId="1" fillId="2" borderId="0" xfId="0" applyNumberFormat="1" applyFont="1" applyFill="1" applyAlignment="1">
      <alignment horizontal="center" vertical="center"/>
    </xf>
    <xf numFmtId="3" fontId="1" fillId="0" borderId="0" xfId="0" applyNumberFormat="1" applyFont="1" applyAlignment="1">
      <alignment horizontal="center"/>
    </xf>
    <xf numFmtId="0" fontId="1" fillId="0" borderId="0" xfId="0" applyFont="1" applyFill="1" applyAlignment="1">
      <alignment vertical="center"/>
    </xf>
    <xf numFmtId="0" fontId="1" fillId="0" borderId="0" xfId="0" applyFont="1" applyFill="1" applyAlignment="1">
      <alignment horizontal="center" vertical="center"/>
    </xf>
    <xf numFmtId="0" fontId="3" fillId="0" borderId="1" xfId="0" applyFont="1" applyBorder="1" applyAlignment="1">
      <alignment vertical="center"/>
    </xf>
    <xf numFmtId="37" fontId="1" fillId="0" borderId="0" xfId="2" applyNumberFormat="1" applyFont="1" applyAlignment="1">
      <alignment horizontal="center" vertical="center"/>
    </xf>
    <xf numFmtId="0" fontId="3" fillId="0" borderId="0" xfId="0" applyFont="1" applyBorder="1" applyAlignment="1">
      <alignment horizontal="center" vertical="center"/>
    </xf>
    <xf numFmtId="0" fontId="3" fillId="0" borderId="0" xfId="0" applyFont="1" applyAlignment="1">
      <alignment vertical="center"/>
    </xf>
    <xf numFmtId="0" fontId="1" fillId="0" borderId="2" xfId="0" applyFont="1" applyBorder="1" applyAlignment="1">
      <alignment vertical="center"/>
    </xf>
    <xf numFmtId="0" fontId="1" fillId="0" borderId="0" xfId="0" applyFont="1" applyBorder="1" applyAlignment="1">
      <alignment horizontal="center" vertical="center"/>
    </xf>
    <xf numFmtId="0" fontId="1" fillId="0" borderId="0" xfId="0" applyFont="1" applyBorder="1" applyAlignment="1">
      <alignment vertical="center"/>
    </xf>
    <xf numFmtId="0" fontId="1" fillId="0" borderId="0" xfId="0" applyFont="1" applyBorder="1" applyAlignment="1">
      <alignment horizontal="center" vertical="center" wrapText="1"/>
    </xf>
    <xf numFmtId="0" fontId="1" fillId="0" borderId="0" xfId="1" applyNumberFormat="1" applyFont="1" applyAlignment="1">
      <alignment horizontal="center" vertical="center"/>
    </xf>
    <xf numFmtId="0" fontId="1" fillId="2" borderId="0" xfId="0" applyFont="1" applyFill="1" applyAlignment="1">
      <alignment horizontal="center" vertical="center" wrapText="1"/>
    </xf>
    <xf numFmtId="0" fontId="3" fillId="0" borderId="0" xfId="0" applyFont="1" applyAlignment="1">
      <alignment horizontal="center" vertical="center"/>
    </xf>
    <xf numFmtId="3" fontId="3" fillId="2" borderId="0" xfId="0" applyNumberFormat="1" applyFont="1" applyFill="1" applyAlignment="1">
      <alignment horizontal="center" vertical="center"/>
    </xf>
    <xf numFmtId="167" fontId="1" fillId="0" borderId="0" xfId="2" applyNumberFormat="1" applyFont="1" applyAlignment="1">
      <alignment vertical="center"/>
    </xf>
    <xf numFmtId="0" fontId="6" fillId="0" borderId="0" xfId="0" applyFont="1" applyAlignment="1">
      <alignment vertical="center"/>
    </xf>
    <xf numFmtId="0" fontId="7" fillId="0" borderId="0" xfId="0" applyFont="1" applyAlignment="1">
      <alignment vertical="center"/>
    </xf>
    <xf numFmtId="166" fontId="1" fillId="0" borderId="0" xfId="0" applyNumberFormat="1" applyFont="1" applyAlignment="1">
      <alignment horizontal="center" vertical="center"/>
    </xf>
    <xf numFmtId="0" fontId="8" fillId="0" borderId="0" xfId="0" applyFont="1" applyAlignment="1">
      <alignment vertical="center"/>
    </xf>
    <xf numFmtId="9" fontId="1" fillId="0" borderId="0" xfId="0" applyNumberFormat="1" applyFont="1" applyBorder="1" applyAlignment="1">
      <alignment horizontal="center" vertical="center"/>
    </xf>
    <xf numFmtId="0" fontId="6" fillId="0" borderId="0" xfId="0" applyFont="1" applyBorder="1" applyAlignment="1">
      <alignment vertical="center"/>
    </xf>
    <xf numFmtId="1" fontId="1" fillId="0" borderId="0" xfId="0" applyNumberFormat="1" applyFont="1" applyBorder="1" applyAlignment="1">
      <alignment horizontal="center" vertical="center"/>
    </xf>
    <xf numFmtId="0" fontId="1" fillId="0" borderId="0" xfId="0" applyFont="1" applyBorder="1" applyAlignment="1">
      <alignment vertical="center" wrapText="1"/>
    </xf>
    <xf numFmtId="0" fontId="1" fillId="0" borderId="0" xfId="0" applyFont="1" applyBorder="1"/>
    <xf numFmtId="9" fontId="1" fillId="0" borderId="0" xfId="1" applyFont="1" applyAlignment="1">
      <alignment horizontal="center" vertical="center"/>
    </xf>
    <xf numFmtId="1" fontId="1" fillId="0" borderId="0" xfId="1" applyNumberFormat="1" applyFont="1" applyAlignment="1">
      <alignment horizontal="center" vertical="center"/>
    </xf>
    <xf numFmtId="9" fontId="0" fillId="0" borderId="0" xfId="0" applyNumberFormat="1"/>
    <xf numFmtId="0" fontId="1" fillId="0" borderId="2" xfId="0" applyFont="1" applyBorder="1" applyAlignment="1">
      <alignment horizontal="center" vertical="center"/>
    </xf>
    <xf numFmtId="0" fontId="1" fillId="3" borderId="0" xfId="0" applyFont="1" applyFill="1" applyAlignment="1">
      <alignment vertical="center"/>
    </xf>
    <xf numFmtId="0" fontId="1" fillId="4" borderId="0" xfId="0" applyFont="1" applyFill="1" applyAlignment="1">
      <alignment vertical="center"/>
    </xf>
    <xf numFmtId="0" fontId="1" fillId="5" borderId="0" xfId="0" applyFont="1" applyFill="1" applyAlignment="1">
      <alignment vertical="center"/>
    </xf>
    <xf numFmtId="0" fontId="1" fillId="6" borderId="0" xfId="0" applyFont="1" applyFill="1" applyAlignment="1">
      <alignment vertical="center"/>
    </xf>
    <xf numFmtId="0" fontId="1" fillId="7" borderId="0" xfId="0" applyFont="1" applyFill="1" applyAlignment="1">
      <alignment vertical="center"/>
    </xf>
    <xf numFmtId="0" fontId="1" fillId="8" borderId="0" xfId="0" applyFont="1" applyFill="1" applyAlignment="1">
      <alignment vertical="center"/>
    </xf>
    <xf numFmtId="0" fontId="1" fillId="9" borderId="0" xfId="0" applyFont="1" applyFill="1" applyAlignment="1">
      <alignment vertical="center"/>
    </xf>
    <xf numFmtId="1" fontId="9" fillId="0" borderId="0" xfId="0" applyNumberFormat="1" applyFont="1" applyAlignment="1">
      <alignment horizontal="center" vertical="center"/>
    </xf>
    <xf numFmtId="0" fontId="1" fillId="0" borderId="0" xfId="0" applyFont="1" applyAlignment="1">
      <alignment vertical="center"/>
    </xf>
    <xf numFmtId="0" fontId="3" fillId="0" borderId="0" xfId="0" applyFont="1" applyAlignment="1">
      <alignment vertical="center"/>
    </xf>
    <xf numFmtId="0" fontId="1" fillId="0" borderId="3" xfId="0" applyFont="1" applyBorder="1" applyAlignment="1">
      <alignment vertical="center"/>
    </xf>
    <xf numFmtId="9" fontId="1" fillId="0" borderId="0" xfId="0" applyNumberFormat="1" applyFont="1"/>
    <xf numFmtId="0" fontId="10" fillId="0" borderId="0" xfId="0" applyFont="1" applyAlignment="1">
      <alignment horizontal="center" vertical="center"/>
    </xf>
    <xf numFmtId="0" fontId="1" fillId="0" borderId="0" xfId="0" applyNumberFormat="1" applyFont="1" applyAlignment="1">
      <alignment vertical="center"/>
    </xf>
    <xf numFmtId="0" fontId="3" fillId="0" borderId="1" xfId="0" applyFont="1" applyBorder="1" applyAlignment="1">
      <alignment vertical="center" wrapText="1"/>
    </xf>
    <xf numFmtId="0" fontId="3" fillId="0" borderId="1" xfId="0" applyFont="1" applyBorder="1" applyAlignment="1">
      <alignment horizontal="center" vertical="center" wrapText="1"/>
    </xf>
    <xf numFmtId="0" fontId="1" fillId="0" borderId="3" xfId="0" applyFont="1" applyBorder="1" applyAlignment="1">
      <alignment horizontal="center" vertical="center"/>
    </xf>
    <xf numFmtId="0" fontId="1" fillId="0" borderId="2" xfId="0" applyFont="1" applyBorder="1" applyAlignment="1">
      <alignment vertical="center" wrapText="1"/>
    </xf>
    <xf numFmtId="9" fontId="1" fillId="2" borderId="0" xfId="1" applyFont="1" applyFill="1" applyAlignment="1">
      <alignment horizontal="center" vertical="center"/>
    </xf>
    <xf numFmtId="167" fontId="1" fillId="0" borderId="1" xfId="2" applyNumberFormat="1" applyFont="1" applyBorder="1" applyAlignment="1">
      <alignment vertical="center"/>
    </xf>
    <xf numFmtId="0" fontId="11" fillId="0" borderId="0" xfId="3" applyAlignment="1">
      <alignment vertical="center" wrapText="1"/>
    </xf>
    <xf numFmtId="3" fontId="1" fillId="2" borderId="3" xfId="0" applyNumberFormat="1" applyFont="1" applyFill="1" applyBorder="1" applyAlignment="1">
      <alignment horizontal="center" vertical="center"/>
    </xf>
    <xf numFmtId="9" fontId="1" fillId="2" borderId="3" xfId="1" applyNumberFormat="1" applyFont="1" applyFill="1" applyBorder="1" applyAlignment="1">
      <alignment horizontal="center" vertical="center"/>
    </xf>
    <xf numFmtId="3" fontId="1" fillId="0" borderId="3" xfId="0" applyNumberFormat="1" applyFont="1" applyBorder="1" applyAlignment="1">
      <alignment horizontal="center" vertical="center"/>
    </xf>
    <xf numFmtId="0" fontId="5" fillId="0" borderId="0" xfId="0" applyFont="1" applyAlignment="1">
      <alignment vertical="center"/>
    </xf>
    <xf numFmtId="0" fontId="12" fillId="0" borderId="0" xfId="0" applyFont="1" applyAlignment="1">
      <alignment vertical="center"/>
    </xf>
    <xf numFmtId="0" fontId="1" fillId="0" borderId="3" xfId="0" applyFont="1" applyBorder="1" applyAlignment="1">
      <alignment vertical="center" wrapText="1"/>
    </xf>
    <xf numFmtId="3" fontId="1" fillId="0" borderId="0" xfId="0" applyNumberFormat="1" applyFont="1" applyBorder="1" applyAlignment="1">
      <alignment horizontal="center" vertical="center"/>
    </xf>
    <xf numFmtId="3" fontId="1" fillId="2" borderId="0" xfId="0" applyNumberFormat="1" applyFont="1" applyFill="1" applyBorder="1" applyAlignment="1">
      <alignment horizontal="center" vertical="center"/>
    </xf>
    <xf numFmtId="9" fontId="1" fillId="2" borderId="3" xfId="1" applyFont="1" applyFill="1" applyBorder="1" applyAlignment="1">
      <alignment horizontal="center" vertical="center"/>
    </xf>
    <xf numFmtId="9" fontId="1" fillId="2" borderId="0" xfId="1" applyNumberFormat="1" applyFont="1" applyFill="1" applyBorder="1" applyAlignment="1">
      <alignment horizontal="center" vertical="center"/>
    </xf>
    <xf numFmtId="167" fontId="1" fillId="0" borderId="0" xfId="2" applyNumberFormat="1" applyFont="1" applyAlignment="1">
      <alignment horizontal="center" vertical="center"/>
    </xf>
    <xf numFmtId="167" fontId="1" fillId="0" borderId="0" xfId="2" applyNumberFormat="1" applyFont="1" applyAlignment="1">
      <alignment horizontal="right" vertical="center"/>
    </xf>
    <xf numFmtId="10" fontId="1" fillId="0" borderId="0" xfId="0" applyNumberFormat="1" applyFont="1" applyAlignment="1">
      <alignment horizontal="right" vertical="center"/>
    </xf>
    <xf numFmtId="167" fontId="1" fillId="0" borderId="0" xfId="0" applyNumberFormat="1" applyFont="1" applyAlignment="1">
      <alignment horizontal="right" vertical="center"/>
    </xf>
    <xf numFmtId="1" fontId="1" fillId="0" borderId="0" xfId="0" applyNumberFormat="1" applyFont="1" applyAlignment="1">
      <alignment horizontal="right" vertical="center"/>
    </xf>
    <xf numFmtId="2" fontId="1" fillId="0" borderId="0" xfId="2" applyNumberFormat="1" applyFont="1" applyAlignment="1">
      <alignment horizontal="right" vertical="center"/>
    </xf>
    <xf numFmtId="0" fontId="3" fillId="0" borderId="0" xfId="0" applyNumberFormat="1" applyFont="1" applyAlignment="1">
      <alignment horizontal="center" vertical="center"/>
    </xf>
    <xf numFmtId="3" fontId="3" fillId="0" borderId="0" xfId="0" applyNumberFormat="1" applyFont="1" applyAlignment="1">
      <alignment horizontal="center" vertical="center"/>
    </xf>
    <xf numFmtId="0" fontId="0" fillId="0" borderId="0" xfId="0" applyFont="1" applyAlignment="1">
      <alignment vertical="center"/>
    </xf>
    <xf numFmtId="0" fontId="8" fillId="0" borderId="0" xfId="0" applyFont="1" applyAlignment="1">
      <alignment horizontal="center" vertical="center"/>
    </xf>
    <xf numFmtId="167" fontId="13" fillId="0" borderId="0" xfId="2" applyNumberFormat="1" applyFont="1" applyAlignment="1">
      <alignment horizontal="right" vertical="center"/>
    </xf>
    <xf numFmtId="168" fontId="1" fillId="0" borderId="0" xfId="0" applyNumberFormat="1" applyFont="1" applyFill="1" applyAlignment="1">
      <alignment horizontal="center" vertical="center"/>
    </xf>
    <xf numFmtId="0" fontId="3" fillId="0" borderId="2" xfId="0" applyFont="1" applyBorder="1" applyAlignment="1">
      <alignment vertical="center"/>
    </xf>
  </cellXfs>
  <cellStyles count="4">
    <cellStyle name="Comma" xfId="2" builtinId="3"/>
    <cellStyle name="Hyperlink" xfId="3" builtinId="8"/>
    <cellStyle name="Normal" xfId="0" builtinId="0"/>
    <cellStyle name="Percent" xfId="1" builtinId="5"/>
  </cellStyles>
  <dxfs count="394">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i val="0"/>
        <color rgb="FFFF0000"/>
      </font>
    </dxf>
    <dxf>
      <font>
        <b/>
        <i val="0"/>
        <color rgb="FF00B050"/>
      </font>
    </dxf>
    <dxf>
      <font>
        <b/>
        <i val="0"/>
        <color rgb="FF00B050"/>
      </font>
    </dxf>
    <dxf>
      <font>
        <b/>
        <i val="0"/>
        <color rgb="FFFF0000"/>
      </font>
    </dxf>
    <dxf>
      <font>
        <b/>
        <i val="0"/>
        <color rgb="FFFF0000"/>
      </font>
    </dxf>
    <dxf>
      <font>
        <b/>
        <i val="0"/>
        <color rgb="FFFF0000"/>
      </font>
    </dxf>
    <dxf>
      <font>
        <b/>
        <i val="0"/>
        <color rgb="FF00B050"/>
      </font>
    </dxf>
    <dxf>
      <font>
        <b/>
        <i val="0"/>
        <color rgb="FF00B050"/>
      </font>
    </dxf>
    <dxf>
      <font>
        <b/>
        <i val="0"/>
        <color rgb="FFFF0000"/>
      </font>
    </dxf>
    <dxf>
      <font>
        <b/>
        <i val="0"/>
        <color rgb="FFFF0000"/>
      </font>
    </dxf>
    <dxf>
      <font>
        <b/>
        <i val="0"/>
        <color rgb="FF00B050"/>
      </font>
    </dxf>
    <dxf>
      <font>
        <b/>
        <i val="0"/>
        <color rgb="FF00B050"/>
      </font>
    </dxf>
    <dxf>
      <font>
        <b/>
        <i val="0"/>
        <color rgb="FFFF0000"/>
      </font>
    </dxf>
    <dxf>
      <font>
        <b/>
        <i val="0"/>
        <color rgb="FFFF0000"/>
      </font>
    </dxf>
    <dxf>
      <font>
        <b/>
        <i val="0"/>
        <color rgb="FF00B050"/>
      </font>
    </dxf>
    <dxf>
      <font>
        <b/>
        <i val="0"/>
        <color rgb="FF00B050"/>
      </font>
    </dxf>
    <dxf>
      <font>
        <b/>
        <i val="0"/>
        <color rgb="FFFF0000"/>
      </font>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5" formatCode="#,##0_);\(#,##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strike val="0"/>
        <outline val="0"/>
        <shadow val="0"/>
        <u val="none"/>
        <vertAlign val="baseline"/>
        <sz val="10"/>
        <color theme="1"/>
        <name val="Segoe UI Light"/>
        <family val="2"/>
        <scheme val="none"/>
      </font>
      <alignmen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border diagonalUp="0" diagonalDown="0">
        <left/>
        <right/>
        <top style="hair">
          <color auto="1"/>
        </top>
        <bottom style="hair">
          <color auto="1"/>
        </bottom>
        <vertical/>
        <horizontal/>
      </border>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left/>
        <right/>
        <top style="hair">
          <color auto="1"/>
        </top>
        <bottom style="hair">
          <color auto="1"/>
        </bottom>
        <vertical/>
        <horizontal/>
      </border>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0"/>
        <color theme="1"/>
        <name val="Segoe UI Light"/>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left/>
        <right/>
        <top style="hair">
          <color auto="1"/>
        </top>
        <bottom style="hair">
          <color auto="1"/>
        </bottom>
        <vertical/>
        <horizontal/>
      </border>
    </dxf>
    <dxf>
      <font>
        <b/>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numFmt numFmtId="13" formatCode="0%"/>
    </dxf>
    <dxf>
      <font>
        <strike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left/>
        <right/>
        <top style="hair">
          <color auto="1"/>
        </top>
        <bottom/>
        <vertical/>
        <horizontal/>
      </border>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border diagonalUp="0" diagonalDown="0">
        <left/>
        <right/>
        <top style="hair">
          <color auto="1"/>
        </top>
        <bottom/>
        <vertical/>
        <horizontal/>
      </border>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left/>
        <right/>
        <top style="hair">
          <color auto="1"/>
        </top>
        <bottom/>
        <vertical/>
        <horizontal/>
      </border>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border diagonalUp="0" diagonalDown="0">
        <left/>
        <right/>
        <top style="hair">
          <color auto="1"/>
        </top>
        <bottom/>
        <vertical/>
        <horizontal/>
      </border>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1"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68" formatCode="0.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solid">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166" formatCode="[$-409]dd/mmm/yy;@"/>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strike val="0"/>
        <outline val="0"/>
        <shadow val="0"/>
        <u val="none"/>
        <vertAlign val="baseline"/>
        <sz val="10"/>
        <color rgb="FFFF0000"/>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name val="Segoe UI Light"/>
        <family val="2"/>
        <scheme val="none"/>
      </font>
      <numFmt numFmtId="166" formatCode="[$-409]dd/mmm/yy;@"/>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dxf>
    <dxf>
      <font>
        <strike val="0"/>
        <outline val="0"/>
        <shadow val="0"/>
        <u val="none"/>
        <vertAlign val="baseline"/>
        <sz val="10"/>
        <name val="Segoe UI Light"/>
        <family val="2"/>
        <scheme val="none"/>
      </font>
      <alignment horizontal="general" vertical="center" textRotation="0" wrapText="0" indent="0" justifyLastLine="0" shrinkToFit="0" readingOrder="0"/>
    </dxf>
    <dxf>
      <font>
        <strike val="0"/>
        <outline val="0"/>
        <shadow val="0"/>
        <u val="none"/>
        <vertAlign val="baseline"/>
        <sz val="10"/>
        <name val="Segoe UI Light"/>
        <family val="2"/>
        <scheme val="none"/>
      </font>
    </dxf>
    <dxf>
      <font>
        <strike val="0"/>
        <outline val="0"/>
        <shadow val="0"/>
        <u val="none"/>
        <vertAlign val="baseline"/>
        <sz val="10"/>
        <name val="Segoe UI Light"/>
        <family val="2"/>
        <scheme val="none"/>
      </font>
    </dxf>
    <dxf>
      <border outline="0">
        <bottom style="thin">
          <color auto="1"/>
        </bottom>
      </border>
    </dxf>
    <dxf>
      <font>
        <strike val="0"/>
        <outline val="0"/>
        <shadow val="0"/>
        <u val="none"/>
        <vertAlign val="baseline"/>
        <sz val="10"/>
        <name val="Segoe UI Light"/>
        <family val="2"/>
        <scheme val="none"/>
      </font>
    </dxf>
    <dxf>
      <font>
        <b val="0"/>
        <i val="0"/>
        <strike val="0"/>
        <condense val="0"/>
        <extend val="0"/>
        <outline val="0"/>
        <shadow val="0"/>
        <u val="none"/>
        <vertAlign val="baseline"/>
        <sz val="10"/>
        <color theme="1"/>
        <name val="Segoe UI Light"/>
        <family val="2"/>
        <scheme val="none"/>
      </font>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general" vertical="center" textRotation="0" wrapText="0" indent="0" justifyLastLine="0" shrinkToFit="0" readingOrder="0"/>
    </dxf>
    <dxf>
      <border outline="0">
        <bottom style="thin">
          <color auto="1"/>
        </bottom>
      </border>
    </dxf>
    <dxf>
      <font>
        <strike val="0"/>
        <outline val="0"/>
        <shadow val="0"/>
        <u val="none"/>
        <vertAlign val="baseline"/>
        <sz val="10"/>
        <color theme="1"/>
        <name val="Segoe UI Light"/>
        <family val="2"/>
        <scheme val="none"/>
      </font>
      <numFmt numFmtId="13" formatCode="0%"/>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0"/>
        <color theme="1"/>
        <name val="Segoe UI Light"/>
        <family val="2"/>
        <scheme val="none"/>
      </font>
      <numFmt numFmtId="3" formatCode="#,##0"/>
      <fill>
        <patternFill patternType="solid">
          <fgColor indexed="64"/>
          <bgColor theme="0" tint="-4.9989318521683403E-2"/>
        </patternFill>
      </fill>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Segoe UI Light"/>
        <family val="2"/>
        <scheme val="none"/>
      </font>
      <alignment horizontal="center"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color theme="1"/>
        <name val="Segoe UI Light"/>
        <family val="2"/>
        <scheme val="none"/>
      </font>
      <alignment horizontal="general" vertical="center" textRotation="0" wrapText="0" indent="0" justifyLastLine="0" shrinkToFit="0" readingOrder="0"/>
    </dxf>
    <dxf>
      <font>
        <strike val="0"/>
        <outline val="0"/>
        <shadow val="0"/>
        <u val="none"/>
        <vertAlign val="baseline"/>
        <sz val="10"/>
        <name val="Segoe UI Light"/>
        <family val="2"/>
        <scheme val="none"/>
      </font>
      <alignment horizontal="general" vertical="center" textRotation="0" wrapText="1" indent="0" justifyLastLine="0" shrinkToFit="0" readingOrder="0"/>
    </dxf>
    <dxf>
      <font>
        <strike val="0"/>
        <outline val="0"/>
        <shadow val="0"/>
        <u val="none"/>
        <vertAlign val="baseline"/>
        <sz val="10"/>
        <name val="Segoe UI Light"/>
        <family val="2"/>
        <scheme val="none"/>
      </font>
      <alignment vertical="center" textRotation="0" wrapText="0" indent="0" justifyLastLine="0" shrinkToFit="0" readingOrder="0"/>
    </dxf>
    <dxf>
      <font>
        <strike val="0"/>
        <outline val="0"/>
        <shadow val="0"/>
        <u val="none"/>
        <vertAlign val="baseline"/>
        <sz val="10"/>
        <name val="Segoe UI Light"/>
        <family val="2"/>
        <scheme val="none"/>
      </font>
      <alignment horizontal="general" vertical="center" textRotation="0" wrapText="1" indent="0" justifyLastLine="0" shrinkToFit="0" readingOrder="0"/>
    </dxf>
    <dxf>
      <font>
        <strike val="0"/>
        <outline val="0"/>
        <shadow val="0"/>
        <u val="none"/>
        <vertAlign val="baseline"/>
        <sz val="10"/>
        <name val="Segoe UI Light"/>
        <family val="2"/>
        <scheme val="none"/>
      </font>
      <alignment horizontal="center" vertical="center" textRotation="0" wrapText="0" indent="0" justifyLastLine="0" shrinkToFit="0" readingOrder="0"/>
    </dxf>
    <dxf>
      <font>
        <strike val="0"/>
        <outline val="0"/>
        <shadow val="0"/>
        <u val="none"/>
        <vertAlign val="baseline"/>
        <sz val="10"/>
        <name val="Segoe UI Light"/>
        <family val="2"/>
        <scheme val="none"/>
      </font>
      <alignment vertical="center" textRotation="0" wrapText="0" indent="0" justifyLastLine="0" shrinkToFit="0" readingOrder="0"/>
    </dxf>
    <dxf>
      <font>
        <strike val="0"/>
        <outline val="0"/>
        <shadow val="0"/>
        <u val="none"/>
        <vertAlign val="baseline"/>
        <sz val="10"/>
        <name val="Segoe UI Light"/>
        <family val="2"/>
        <scheme val="none"/>
      </font>
      <alignment vertical="center" textRotation="0" wrapText="0" indent="0" justifyLastLine="0" shrinkToFit="0" readingOrder="0"/>
    </dxf>
    <dxf>
      <font>
        <b/>
        <i val="0"/>
      </font>
      <border>
        <top style="thin">
          <color auto="1"/>
        </top>
      </border>
    </dxf>
    <dxf>
      <font>
        <b/>
        <i val="0"/>
      </font>
      <border diagonalUp="1">
        <bottom style="thin">
          <color auto="1"/>
        </bottom>
        <diagonal style="thin">
          <color auto="1"/>
        </diagonal>
        <horizontal/>
      </border>
    </dxf>
    <dxf>
      <border>
        <horizontal style="hair">
          <color auto="1"/>
        </horizontal>
      </border>
    </dxf>
  </dxfs>
  <tableStyles count="1" defaultTableStyle="TableStyleMedium2" defaultPivotStyle="PivotStyleLight16">
    <tableStyle name="Simple" pivot="0" count="3" xr9:uid="{F68AABF8-3784-47FC-8181-7893C11F22BE}">
      <tableStyleElement type="wholeTable" dxfId="393"/>
      <tableStyleElement type="headerRow" dxfId="392"/>
      <tableStyleElement type="totalRow" dxfId="391"/>
    </tableStyle>
  </tableStyles>
  <colors>
    <mruColors>
      <color rgb="FFFFFF00"/>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177800</xdr:colOff>
      <xdr:row>204</xdr:row>
      <xdr:rowOff>0</xdr:rowOff>
    </xdr:from>
    <xdr:to>
      <xdr:col>12</xdr:col>
      <xdr:colOff>871702</xdr:colOff>
      <xdr:row>206</xdr:row>
      <xdr:rowOff>263404</xdr:rowOff>
    </xdr:to>
    <xdr:pic>
      <xdr:nvPicPr>
        <xdr:cNvPr id="2" name="Picture 1">
          <a:extLst>
            <a:ext uri="{FF2B5EF4-FFF2-40B4-BE49-F238E27FC236}">
              <a16:creationId xmlns:a16="http://schemas.microsoft.com/office/drawing/2014/main" id="{12C246A0-1A8A-4113-AAE4-046DAAF80F03}"/>
            </a:ext>
          </a:extLst>
        </xdr:cNvPr>
        <xdr:cNvPicPr>
          <a:picLocks noChangeAspect="1"/>
        </xdr:cNvPicPr>
      </xdr:nvPicPr>
      <xdr:blipFill>
        <a:blip xmlns:r="http://schemas.openxmlformats.org/officeDocument/2006/relationships" r:embed="rId1"/>
        <a:stretch>
          <a:fillRect/>
        </a:stretch>
      </xdr:blipFill>
      <xdr:spPr>
        <a:xfrm>
          <a:off x="273050" y="69792850"/>
          <a:ext cx="11380952" cy="974604"/>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36063FF4-5847-46F4-A506-E95DFE84185E}" autoFormatId="16" applyNumberFormats="0" applyBorderFormats="0" applyFontFormats="0" applyPatternFormats="0" applyAlignmentFormats="0" applyWidthHeightFormats="0">
  <queryTableRefresh nextId="4">
    <queryTableFields count="3">
      <queryTableField id="1" name="Station" tableColumnId="1"/>
      <queryTableField id="2" name="Item" tableColumnId="2"/>
      <queryTableField id="3" name="Terminal" tableColumnId="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0ACCBF-2B73-4825-A229-4BA260E1F20D}" name="Table7" displayName="Table7" ref="B2:E77" totalsRowShown="0" headerRowDxfId="390" dataDxfId="389">
  <autoFilter ref="B2:E77" xr:uid="{E3E7C695-EC05-42B6-8E70-CFC77177648D}"/>
  <sortState xmlns:xlrd2="http://schemas.microsoft.com/office/spreadsheetml/2017/richdata2" ref="B3:E76">
    <sortCondition ref="B2:B76"/>
  </sortState>
  <tableColumns count="4">
    <tableColumn id="1" xr3:uid="{6C3C68C8-6A7C-4E0C-AA54-9DBC89AA04AC}" name="Status" dataDxfId="388"/>
    <tableColumn id="2" xr3:uid="{647FABE0-1ECF-4B72-A4AA-017D5BA47AF3}" name="Task" dataDxfId="387"/>
    <tableColumn id="3" xr3:uid="{5B3C2764-F67F-4735-9787-8924A77AE93F}" name="Location" dataDxfId="386"/>
    <tableColumn id="4" xr3:uid="{317BF596-1245-4814-BCB5-4F78996014D7}" name="Comments" dataDxfId="385"/>
  </tableColumns>
  <tableStyleInfo name="Simp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03DEDE7-CBB6-4A23-8898-F58EA41AE68B}" name="tbBlueprints" displayName="tbBlueprints" ref="B2:M167" totalsRowShown="0" headerRowDxfId="384" dataDxfId="383">
  <autoFilter ref="B2:M167" xr:uid="{77744AD1-C6AD-47FD-A93E-1F5357FDA66C}"/>
  <sortState xmlns:xlrd2="http://schemas.microsoft.com/office/spreadsheetml/2017/richdata2" ref="B3:M167">
    <sortCondition ref="B2:B167"/>
  </sortState>
  <tableColumns count="12">
    <tableColumn id="1" xr3:uid="{51F07490-0680-4B40-9C4E-3541D60F990A}" name="Item" dataDxfId="382"/>
    <tableColumn id="10" xr3:uid="{5D7A0699-E7DC-46D4-BD15-F90A368A8D2B}" name="Acquired?" dataDxfId="381"/>
    <tableColumn id="11" xr3:uid="{4673A421-40FF-4812-BC12-E2291CE7500B}" name="Type" dataDxfId="380"/>
    <tableColumn id="3" xr3:uid="{E0DFC7B7-F67F-4DA9-A3F6-C6D847F61478}" name="Item 1" dataDxfId="379"/>
    <tableColumn id="4" xr3:uid="{D15BBCDB-0305-4AB2-9ADE-59F547538B1C}" name="Quantity 1" dataDxfId="378"/>
    <tableColumn id="5" xr3:uid="{DA2A9168-361C-4241-A88F-0381FD6899E3}" name="Item 2" dataDxfId="377"/>
    <tableColumn id="6" xr3:uid="{23954321-C8B2-4E24-9970-E2D0057398F7}" name="Quantity 2" dataDxfId="376"/>
    <tableColumn id="7" xr3:uid="{AB15A9CB-1D8E-447B-AFC1-6BF856304432}" name="Item 3" dataDxfId="375"/>
    <tableColumn id="8" xr3:uid="{876BB4D3-44AB-4BA9-B2BB-6948B69F22A0}" name="Quantity 3" dataDxfId="374"/>
    <tableColumn id="9" xr3:uid="{DED59DBB-7F1D-4C52-82CB-2373A41393D2}" name="Total Cost" dataDxfId="373">
      <calculatedColumnFormula>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calculatedColumnFormula>
    </tableColumn>
    <tableColumn id="2" xr3:uid="{1ACD2657-0FD8-4C33-9AC1-D04B855706A4}" name="Value" dataDxfId="372">
      <calculatedColumnFormula>IFERROR(VLOOKUP(tbBlueprints[[#This Row],[Item]],tbMaterials[],4,FALSE),"")</calculatedColumnFormula>
    </tableColumn>
    <tableColumn id="12" xr3:uid="{9E00261F-02F6-471C-83B6-A063A50D378F}" name="Profit %" dataDxfId="371" dataCellStyle="Percent">
      <calculatedColumnFormula>IF(ISNUMBER(tbBlueprints[[#This Row],[Value]]),((tbBlueprints[[#This Row],[Value]]-tbBlueprints[[#This Row],[Total Cost]])/tbBlueprints[[#This Row],[Total Cost]]),0)</calculatedColumnFormula>
    </tableColumn>
  </tableColumns>
  <tableStyleInfo name="Simp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E033D2E-0343-466F-830C-9E304B3BCD45}" name="tbFusionIgnitor" displayName="tbFusionIgnitor" ref="B171:M191" totalsRowShown="0" headerRowBorderDxfId="370">
  <autoFilter ref="B171:M191" xr:uid="{C054BB2D-FBF2-41F4-B15D-2D319DFAA51B}"/>
  <sortState xmlns:xlrd2="http://schemas.microsoft.com/office/spreadsheetml/2017/richdata2" ref="B172:M191">
    <sortCondition ref="E171:E191"/>
  </sortState>
  <tableColumns count="12">
    <tableColumn id="1" xr3:uid="{15BFFAB7-80E5-49FF-A89B-5D9157E68B3F}" name="Item" dataDxfId="369"/>
    <tableColumn id="2" xr3:uid="{E46E19D1-A1F3-4261-B394-C4C35729FDB3}" name="Acquired?" dataDxfId="368"/>
    <tableColumn id="3" xr3:uid="{DF053280-ABEF-4452-882D-47223379F9D4}" name="Type" dataDxfId="367"/>
    <tableColumn id="4" xr3:uid="{E6AA8017-9A75-4CA9-BF33-A259383D22D3}" name="Item 1" dataDxfId="366"/>
    <tableColumn id="5" xr3:uid="{5ACD3BA0-B022-4A45-9378-5139691750F1}" name="Quantity 1" dataDxfId="365"/>
    <tableColumn id="6" xr3:uid="{887912DA-A48A-4C71-A6BA-62745B60098D}" name="Item 2" dataDxfId="364"/>
    <tableColumn id="7" xr3:uid="{D1C34786-5CDC-44C5-B538-15DA757143F0}" name="Quantity 2" dataDxfId="363"/>
    <tableColumn id="8" xr3:uid="{95CA721E-DB0A-4277-95F0-C665A095F8AD}" name="Item 3" dataDxfId="362"/>
    <tableColumn id="9" xr3:uid="{0212C3CC-D76E-4BB3-A7DB-A171A6D5958E}" name="Quantity 3" dataDxfId="361"/>
    <tableColumn id="10" xr3:uid="{8567FDC3-2C43-4D6F-8178-CACDFBD3F4C1}" name="Total Cost" dataDxfId="360">
      <calculatedColumnFormula>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calculatedColumnFormula>
    </tableColumn>
    <tableColumn id="11" xr3:uid="{F93801C9-C1E3-4922-A0BD-EF934C1B1207}" name="Value" dataDxfId="359">
      <calculatedColumnFormula>IFERROR(VLOOKUP(tbBlueprints[[#This Row],[Item]],tbMaterials[],4,FALSE),"")</calculatedColumnFormula>
    </tableColumn>
    <tableColumn id="12" xr3:uid="{E8373B25-92C9-418D-95BC-EFC3B655F6C8}" name="Profit %" dataDxfId="358" dataCellStyle="Percent">
      <calculatedColumnFormula>IF(ISNUMBER(tbBlueprints[[#This Row],[Value]]),((tbBlueprints[[#This Row],[Value]]-tbBlueprints[[#This Row],[Total Cost]])/tbBlueprints[[#This Row],[Total Cost]]),0)</calculatedColumnFormula>
    </tableColumn>
  </tableColumns>
  <tableStyleInfo name="Simp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020412B-E5B5-49FD-96F0-63141584839D}" name="tbSellers" displayName="tbSellers" ref="B4:H578" totalsRowCount="1" headerRowDxfId="357" dataDxfId="355" totalsRowDxfId="354" headerRowBorderDxfId="356">
  <autoFilter ref="B4:H577" xr:uid="{53D6BE49-6291-45E0-9268-168D49EB10C5}">
    <filterColumn colId="1">
      <filters>
        <filter val="Bootle"/>
      </filters>
    </filterColumn>
  </autoFilter>
  <sortState xmlns:xlrd2="http://schemas.microsoft.com/office/spreadsheetml/2017/richdata2" ref="B12:H390">
    <sortCondition ref="F4:F577"/>
  </sortState>
  <tableColumns count="7">
    <tableColumn id="6" xr3:uid="{E37A0DD5-905B-4B3F-B3E2-EA09E87D06EA}" name="SearchName" dataDxfId="353" totalsRowDxfId="352">
      <calculatedColumnFormula>_xlfn.CONCAT(tbSellers[[#This Row],[Station]],tbSellers[[#This Row],[Item]])</calculatedColumnFormula>
    </tableColumn>
    <tableColumn id="1" xr3:uid="{4589B66C-FE63-4DE4-86FE-6F24F057AC11}" name="Station" totalsRowLabel="Count" dataDxfId="351" totalsRowDxfId="350"/>
    <tableColumn id="2" xr3:uid="{96E82534-96EF-41FD-ADED-EDE88F7E4AEF}" name="Item" dataDxfId="349" totalsRowDxfId="348"/>
    <tableColumn id="5" xr3:uid="{0695666D-D4AB-4AB3-A39E-AE18DAEA769F}" name="Unit value" dataDxfId="347" totalsRowDxfId="346">
      <calculatedColumnFormula>VLOOKUP(tbSellers[[#This Row],[Item]],tbMaterials[],4,FALSE)</calculatedColumnFormula>
    </tableColumn>
    <tableColumn id="3" xr3:uid="{332FFBC2-DCA9-492C-9B83-538FDEDB8C11}" name="Terminal" dataDxfId="345" totalsRowDxfId="344" dataCellStyle="Percent"/>
    <tableColumn id="7" xr3:uid="{DB253024-5880-45A2-BF5E-84955AB0F9E7}" name="Last Maxed" dataDxfId="343" totalsRowDxfId="342"/>
    <tableColumn id="4" xr3:uid="{82F2C028-9E1F-4DD3-9A91-F5C2F43153AF}" name="Wanted?" dataDxfId="341" totalsRowDxfId="340">
      <calculatedColumnFormula>IF(_xlfn.IFNA(VLOOKUP(tbSellers[[#This Row],[Item]],tbShoppingList[],1,FALSE),"")&lt;&gt;"","Yes","")</calculatedColumnFormula>
    </tableColumn>
  </tableColumns>
  <tableStyleInfo name="Simp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2964F0B-659A-46BD-B27F-47A30CCB1857}" name="tbShoppingList" displayName="tbShoppingList" ref="B3:B4" totalsRowShown="0" headerRowDxfId="339" dataDxfId="338">
  <autoFilter ref="B3:B4" xr:uid="{111033CE-7164-438B-9F70-99D3DEFF3A03}"/>
  <tableColumns count="1">
    <tableColumn id="1" xr3:uid="{4FF8A266-559E-429A-8A36-07973F0F899B}" name="Resource" dataDxfId="337"/>
  </tableColumns>
  <tableStyleInfo name="Simp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07780A6-1ACD-499E-8BFD-05E34F969A1B}" name="qryShoppingStops" displayName="qryShoppingStops" ref="B7:D32" tableType="queryTable" totalsRowCount="1" headerRowDxfId="336" dataDxfId="335" totalsRowDxfId="334">
  <autoFilter ref="B7:D31" xr:uid="{CC8FAF83-5966-4E4D-A7CB-B181CC68F41B}"/>
  <tableColumns count="3">
    <tableColumn id="1" xr3:uid="{3C2F8502-ACE4-46B4-9120-A0E86149C6F4}" uniqueName="1" name="Station" totalsRowFunction="count" queryTableFieldId="1" dataDxfId="333" totalsRowDxfId="332"/>
    <tableColumn id="2" xr3:uid="{C48EED9C-34F4-43B3-AA17-F452A3F2D627}" uniqueName="2" name="Item" queryTableFieldId="2" dataDxfId="331" totalsRowDxfId="330"/>
    <tableColumn id="3" xr3:uid="{4D5653EB-4DA6-4DA5-93F7-223763388519}" uniqueName="3" name="Terminal" queryTableFieldId="3" dataDxfId="329" totalsRowDxfId="328"/>
  </tableColumns>
  <tableStyleInfo name="Simp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E37DA5-1273-4580-A885-26F89DCE11B6}" name="tbColonies" displayName="tbColonies" ref="B155:J158" totalsRowShown="0" headerRowDxfId="327" dataDxfId="326">
  <autoFilter ref="B155:J158" xr:uid="{C0FC5851-C033-4095-BE88-7B69D6DF7FC0}"/>
  <tableColumns count="9">
    <tableColumn id="1" xr3:uid="{6D3FE36D-6964-4677-B40C-A87CE61963B8}" name="Colony Name" dataDxfId="325"/>
    <tableColumn id="2" xr3:uid="{78ECD60E-A36D-4760-B547-0E15808375D9}" name="Planet" dataDxfId="324"/>
    <tableColumn id="3" xr3:uid="{B88A242A-BF66-45BB-8F66-070DEA49F8AF}" name="System" dataDxfId="323"/>
    <tableColumn id="4" xr3:uid="{E0F983F9-6448-4C51-AED9-489E14A1D7D0}" name="Teleporter" dataDxfId="322"/>
    <tableColumn id="5" xr3:uid="{E42EB243-96D7-41B7-91E1-4548DFA89DE5}" name="Refiner" dataDxfId="321"/>
    <tableColumn id="6" xr3:uid="{CE9D77C9-2A9E-467E-8CE3-42652478C26E}" name="Construction Research" dataDxfId="320"/>
    <tableColumn id="7" xr3:uid="{F1B89426-EF68-4BEF-901D-01BC2F65E9F0}" name="Signal Booster" dataDxfId="319"/>
    <tableColumn id="8" xr3:uid="{C2E010D2-3383-4625-B4CB-CB6CB25D4798}" name="Storage" dataDxfId="318"/>
    <tableColumn id="9" xr3:uid="{4EBF4729-0018-4DFB-B346-55719A9D0767}" name="Save Point" dataDxfId="317"/>
  </tableColumns>
  <tableStyleInfo name="Simp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858B35-EF24-4CE6-8396-315F733BF048}" name="tbSystems" displayName="tbSystems" ref="B3:N93" totalsRowCount="1" headerRowDxfId="316" dataDxfId="315">
  <autoFilter ref="B3:N92" xr:uid="{1FC4DA1E-775A-4296-B395-52F09FC72D04}"/>
  <sortState xmlns:xlrd2="http://schemas.microsoft.com/office/spreadsheetml/2017/richdata2" ref="B4:N83">
    <sortCondition ref="B3:B83"/>
  </sortState>
  <tableColumns count="13">
    <tableColumn id="1" xr3:uid="{C275D492-0B2D-4117-BB88-7B9467DADB52}" name="System Name" totalsRowLabel="Count" dataDxfId="314" totalsRowDxfId="12"/>
    <tableColumn id="2" xr3:uid="{62A42349-0532-4AAB-B3F5-1D7644ADD415}" name="Date Discovered" totalsRowFunction="count" dataDxfId="313" totalsRowDxfId="11"/>
    <tableColumn id="4" xr3:uid="{AF505542-AC4C-4DA5-B586-1CECD9543CD3}" name="Race" dataDxfId="312" totalsRowDxfId="10"/>
    <tableColumn id="5" xr3:uid="{8AC46C45-CBA1-4CC0-809B-F59759023101}" name="Spectral Class" dataDxfId="311" totalsRowDxfId="9"/>
    <tableColumn id="3" xr3:uid="{DADCFF29-F111-4745-8EA8-985B4A713F42}" name="Star Type" dataDxfId="310" totalsRowDxfId="8">
      <calculatedColumnFormula>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calculatedColumnFormula>
    </tableColumn>
    <tableColumn id="6" xr3:uid="{5D8BF5B5-4633-40AD-BA04-FB5E74FD2141}" name="Economy" dataDxfId="309" totalsRowDxfId="7"/>
    <tableColumn id="7" xr3:uid="{A4E7881A-5D2E-43E6-9E3C-4EA9BAB1D54F}" name="Wealth" dataDxfId="308" totalsRowDxfId="6"/>
    <tableColumn id="8" xr3:uid="{4BBFBB8A-63A9-48DD-8C93-C4F723C6D04D}" name="Conflict" dataDxfId="307" totalsRowDxfId="5"/>
    <tableColumn id="9" xr3:uid="{43560CBB-85C9-43C6-99BC-EDB24546E4BB}" name="Economy Type" dataDxfId="306" totalsRowDxfId="4">
      <calculatedColumnFormula>VLOOKUP(tbSystems[[#This Row],[Economy]],tbEconomyTypes[],2,FALSE)</calculatedColumnFormula>
    </tableColumn>
    <tableColumn id="10" xr3:uid="{003DD748-3372-4382-98F8-925EA43AC0A2}" name="Wealth Level" dataDxfId="305" totalsRowDxfId="3">
      <calculatedColumnFormula>VLOOKUP(tbSystems[[#This Row],[Wealth]],tbWealthLevels[],2,FALSE)</calculatedColumnFormula>
    </tableColumn>
    <tableColumn id="11" xr3:uid="{13833D90-04ED-4A05-AC38-116FD8716029}" name="Conflict Level" dataDxfId="304" totalsRowDxfId="2">
      <calculatedColumnFormula>VLOOKUP(tbSystems[[#This Row],[Conflict]],tbConflictLevels[],2,FALSE)</calculatedColumnFormula>
    </tableColumn>
    <tableColumn id="14" xr3:uid="{4314DF7D-D8F9-4418-BF23-BB665E028C35}" name="Core Distance" dataDxfId="303" totalsRowDxfId="1"/>
    <tableColumn id="12" xr3:uid="{FBC0BAC9-D420-4D6D-89A1-90DF53BB0EB3}" name="Notes" dataDxfId="302" totalsRowDxfId="0"/>
  </tableColumns>
  <tableStyleInfo name="Simp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335FDC-9B31-4DD8-BDAE-154EFBF3510C}" name="tbPlanets" displayName="tbPlanets" ref="B96:N153" totalsRowCount="1" headerRowDxfId="301" dataDxfId="300">
  <autoFilter ref="B96:N152" xr:uid="{AB315804-38D5-454C-A589-9BF48AE05B5F}"/>
  <sortState xmlns:xlrd2="http://schemas.microsoft.com/office/spreadsheetml/2017/richdata2" ref="B97:N147">
    <sortCondition ref="B96:B147"/>
  </sortState>
  <tableColumns count="13">
    <tableColumn id="1" xr3:uid="{06E4F659-AFA6-4DC9-93B7-D42A5E7718E5}" name="Planet Name" totalsRowLabel="Count" dataDxfId="299" totalsRowDxfId="298"/>
    <tableColumn id="2" xr3:uid="{76D80B65-B02D-4887-BA58-47DAC54807B3}" name="System" totalsRowFunction="count" dataDxfId="297" totalsRowDxfId="296"/>
    <tableColumn id="3" xr3:uid="{BA2583E5-8C02-454C-B07B-3B163FA25BAE}" name="Climate" dataDxfId="295" totalsRowDxfId="294"/>
    <tableColumn id="4" xr3:uid="{29E0080E-A36D-4814-A32B-F06ED3C4FAD7}" name="Weather" dataDxfId="293" totalsRowDxfId="292"/>
    <tableColumn id="9" xr3:uid="{7713F2CB-5726-406E-9DAF-1777CE4EEDDC}" name="Sentinels" dataDxfId="291" totalsRowDxfId="290"/>
    <tableColumn id="10" xr3:uid="{610AC9E2-D286-405C-9E31-7CBBD6D11397}" name="Flora" dataDxfId="289" totalsRowDxfId="288"/>
    <tableColumn id="11" xr3:uid="{7961B987-4FF1-4D99-B1A4-D1098C708F92}" name="Fauna" dataDxfId="287" totalsRowDxfId="286"/>
    <tableColumn id="5" xr3:uid="{40A51F6C-D5D4-4FAF-AD8E-C1ADEA1295C9}" name="Resource 1" dataDxfId="285" totalsRowDxfId="284"/>
    <tableColumn id="6" xr3:uid="{F84CE246-EEAC-4E8F-86A3-605D2BA89E11}" name="Resource 2" dataDxfId="283" totalsRowDxfId="282"/>
    <tableColumn id="7" xr3:uid="{248A90DF-0D64-44A7-A96F-667F488A593A}" name="Resource 3" dataDxfId="281" totalsRowDxfId="280"/>
    <tableColumn id="8" xr3:uid="{C41DBE2B-A58D-48CF-A422-E305A2E434D8}" name="Resource 4" dataDxfId="279" totalsRowDxfId="278"/>
    <tableColumn id="13" xr3:uid="{8AB2D72C-C346-4749-BDFB-85106A7D7582}" name="Hotspots" dataDxfId="277" totalsRowDxfId="276"/>
    <tableColumn id="12" xr3:uid="{651BAD30-EF8D-4FBA-93FB-BB040C80F1AC}" name="Notes" dataDxfId="275" totalsRowDxfId="274"/>
  </tableColumns>
  <tableStyleInfo name="Simpl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45B546-1412-4D08-8894-D9F8C651C882}" name="tbMaterials" displayName="tbMaterials" ref="B2:J242" totalsRowShown="0" headerRowDxfId="273" dataDxfId="272">
  <autoFilter ref="B2:J242" xr:uid="{4DB5A524-9521-43EA-A66B-6BCF9BCD70BB}">
    <filterColumn colId="1">
      <filters>
        <filter val="Resource"/>
      </filters>
    </filterColumn>
  </autoFilter>
  <sortState xmlns:xlrd2="http://schemas.microsoft.com/office/spreadsheetml/2017/richdata2" ref="B26:J233">
    <sortCondition ref="B2:B242"/>
  </sortState>
  <tableColumns count="9">
    <tableColumn id="1" xr3:uid="{BCEF04BA-A28D-4EDD-98F7-C01D89F0D6BC}" name="Item" dataDxfId="271"/>
    <tableColumn id="2" xr3:uid="{49820882-698E-41A7-B444-1BA0E16FBA31}" name="Type" dataDxfId="270"/>
    <tableColumn id="6" xr3:uid="{91B0BBEE-7F98-41E9-AAE4-B2BDA28BA7E9}" name="Sub-type" dataDxfId="269"/>
    <tableColumn id="3" xr3:uid="{3B103B95-0498-4D95-8376-E02B6CC65526}" name="Value" dataDxfId="268"/>
    <tableColumn id="4" xr3:uid="{3D347AB8-A309-443A-8A2A-04A051C770B8}" name="Max Stack" dataDxfId="267">
      <calculatedColumnFormula>VLOOKUP(tbMaterials[[#This Row],[Type]],tbStackSizes[],2,FALSE)</calculatedColumnFormula>
    </tableColumn>
    <tableColumn id="5" xr3:uid="{A8DF1C51-8111-44BC-B06F-A06E4B5AFB11}" name="Stack value" dataDxfId="266">
      <calculatedColumnFormula>tbMaterials[[#This Row],[Value]]*tbMaterials[[#This Row],[Max Stack]]</calculatedColumnFormula>
    </tableColumn>
    <tableColumn id="8" xr3:uid="{7DBCC7D0-5138-4139-8CB6-7746C6FEF944}" name="Craftable" dataDxfId="265">
      <calculatedColumnFormula>IF(ISTEXT(VLOOKUP(tbMaterials[[#This Row],[Item]],tbBlueprints[],1,FALSE)),"Yes","No")</calculatedColumnFormula>
    </tableColumn>
    <tableColumn id="9" xr3:uid="{ADE7AFE4-7C1C-4629-9EDE-819A79050C3C}" name="Refinable" dataDxfId="264">
      <calculatedColumnFormula>IF(ISTEXT(VLOOKUP(tbMaterials[[#This Row],[Item]],tbRefining[],1,FALSE)),"Yes","No")</calculatedColumnFormula>
    </tableColumn>
    <tableColumn id="7" xr3:uid="{12D72AF5-9E0A-4D63-A1A1-6A9D8843307E}" name="Notes" dataDxfId="263"/>
  </tableColumns>
  <tableStyleInfo name="Simp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49248D7-0EDD-40D6-9E45-7367626C8BF7}" name="tbMiningTools" displayName="tbMiningTools" ref="B3:F6" totalsRowShown="0" headerRowDxfId="262" dataDxfId="261">
  <autoFilter ref="B3:F6" xr:uid="{1D577579-D7A0-4636-9F0E-F51EBDAE96C2}"/>
  <tableColumns count="5">
    <tableColumn id="1" xr3:uid="{327AD862-29D7-475F-A8C0-89EC82567573}" name="Name" dataDxfId="260"/>
    <tableColumn id="2" xr3:uid="{0350AB8A-721E-44FF-B286-E7C79105CA5F}" name="Class" dataDxfId="259"/>
    <tableColumn id="5" xr3:uid="{ADA29788-D4FF-4438-B07B-1C6326287BB8}" name="Slots" dataDxfId="258"/>
    <tableColumn id="3" xr3:uid="{063030CD-A162-4E44-BA74-5C5EAC19FAEC}" name="Damage Potential" dataDxfId="257"/>
    <tableColumn id="4" xr3:uid="{7B1A9584-C6E9-4D20-ABD7-3D54BDAF77DE}" name="Scanner Range" dataDxfId="256"/>
  </tableColumns>
  <tableStyleInfo name="Simp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E4F835F-623C-48BD-9604-4EC301928124}" name="tbMU_Boltcaster" displayName="tbMU_Boltcaster" ref="B9:L18" totalsRowCount="1" headerRowDxfId="255" dataDxfId="254">
  <autoFilter ref="B9:L17" xr:uid="{FD890EC8-22F8-4EA9-AFC2-71EB0C85A886}"/>
  <tableColumns count="11">
    <tableColumn id="1" xr3:uid="{E2043FDA-4ACC-40F3-B289-B9F7B14EC039}" name="Name" totalsRowLabel="Total" dataDxfId="253" totalsRowDxfId="252"/>
    <tableColumn id="4" xr3:uid="{C4E11268-C3EB-4A46-B519-39797B3E50D7}" name="Applied To" dataDxfId="251" totalsRowDxfId="250"/>
    <tableColumn id="2" xr3:uid="{AD4955FF-1FE0-4A29-B211-DA3F3BF2A141}" name="Class" dataDxfId="249" totalsRowDxfId="248"/>
    <tableColumn id="3" xr3:uid="{2D4AE280-EF12-417A-B8B6-1AE12A213672}" name="Accuracy" totalsRowFunction="sum" dataDxfId="247" totalsRowDxfId="246"/>
    <tableColumn id="8" xr3:uid="{1DF28E55-BAE3-4C7B-848A-536502866A63}" name="Fire Rate" dataDxfId="245" totalsRowDxfId="244"/>
    <tableColumn id="5" xr3:uid="{85639F46-A6EF-45E1-8B4A-E20F2CA1A4A2}" name="Reload Time" totalsRowFunction="sum" dataDxfId="243" totalsRowDxfId="242"/>
    <tableColumn id="6" xr3:uid="{824C0E87-4E7C-4051-845C-5000C76A9737}" name="Damage" totalsRowFunction="sum" dataDxfId="241" totalsRowDxfId="240"/>
    <tableColumn id="7" xr3:uid="{E37C3172-CC51-4FBA-9143-E07DBE2538BF}" name="Clip Size" totalsRowFunction="sum" dataDxfId="239" totalsRowDxfId="238"/>
    <tableColumn id="9" xr3:uid="{CE547219-A58C-4EFC-A7C1-5FEF64C8DB56}" name="Recoil" totalsRowFunction="sum" dataDxfId="237" totalsRowDxfId="236"/>
    <tableColumn id="10" xr3:uid="{ED801DC8-ADB8-4231-8C27-6D09E7938721}" name="Shots per Burst" totalsRowFunction="sum" dataDxfId="235" totalsRowDxfId="234"/>
    <tableColumn id="11" xr3:uid="{9DFB116E-EFC7-47EF-8FAD-C2A9829B3E03}" name="Burst Cooldown" totalsRowFunction="sum" dataDxfId="233" totalsRowDxfId="232"/>
  </tableColumns>
  <tableStyleInfo name="Simp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7403E83-C7A1-4EA5-970E-FFE66409D2DC}" name="tbMU_Boltcaster28" displayName="tbMU_Boltcaster28" ref="B21:F26" totalsRowCount="1" headerRowDxfId="231" dataDxfId="230">
  <autoFilter ref="B21:F25" xr:uid="{8E61C495-1662-4AB8-989B-92777F1218AC}"/>
  <tableColumns count="5">
    <tableColumn id="1" xr3:uid="{BEF050F7-8C35-4556-B009-715BE9A1CBBE}" name="Name" totalsRowLabel="Total" dataDxfId="229" totalsRowDxfId="228"/>
    <tableColumn id="4" xr3:uid="{6BB4D297-8187-4F48-97B8-F3DB1AE2C70C}" name="Applied To" dataDxfId="227" totalsRowDxfId="226"/>
    <tableColumn id="2" xr3:uid="{61B8A609-6B6F-49C4-991F-42C9F6DAD92C}" name="Class" dataDxfId="225" totalsRowDxfId="224"/>
    <tableColumn id="3" xr3:uid="{AF51787E-270E-41B5-BE52-67361DE9F49C}" name="Damage" totalsRowFunction="sum" dataDxfId="223" totalsRowDxfId="222"/>
    <tableColumn id="5" xr3:uid="{FAD32960-1DEC-4ED0-AE07-28EED8A3FECD}" name="Time to Full Power" totalsRowFunction="sum" dataDxfId="221" totalsRowDxfId="220"/>
  </tableColumns>
  <tableStyleInfo name="Simp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970312D-C74F-488D-B76A-161A852BBC1A}" name="tbMU_Boltcaster29" displayName="tbMU_Boltcaster29" ref="B29:H33" totalsRowCount="1" headerRowDxfId="219" dataDxfId="218">
  <autoFilter ref="B29:H32" xr:uid="{78B80F9A-2F3E-4C7F-A278-137E756647EF}"/>
  <tableColumns count="7">
    <tableColumn id="1" xr3:uid="{D58E8ADC-5287-49AF-9733-9E8571AECFD5}" name="Name" totalsRowLabel="Total" dataDxfId="217" totalsRowDxfId="216"/>
    <tableColumn id="6" xr3:uid="{D7EFB8B3-F0BD-40AF-AF31-BEDE3AB64E64}" name="Applied To" dataDxfId="215" totalsRowDxfId="214"/>
    <tableColumn id="2" xr3:uid="{8BC95781-32CE-457D-A1AB-7AF895D2F2B5}" name="Class" dataDxfId="213" totalsRowDxfId="212"/>
    <tableColumn id="3" xr3:uid="{4B854861-627B-401D-9DF7-F5ED4BA01E18}" name="Damage" totalsRowFunction="sum" dataDxfId="211" totalsRowDxfId="210"/>
    <tableColumn id="4" xr3:uid="{CC0E84BB-6390-41DE-88F1-FB3F1F28DDA3}" name="Clip Size" totalsRowFunction="sum" dataDxfId="209" totalsRowDxfId="208" dataCellStyle="Percent"/>
    <tableColumn id="5" xr3:uid="{5564CE3F-CAD8-4D09-80C4-72018AC104F5}" name="Fire Rate" totalsRowFunction="sum" dataDxfId="207" totalsRowDxfId="206"/>
    <tableColumn id="7" xr3:uid="{468B8075-2E38-47B6-886D-4A50B955864F}" name="Reload Time" totalsRowFunction="sum" dataDxfId="205"/>
  </tableColumns>
  <tableStyleInfo name="Simp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960F617-6613-42EB-8D63-3AD6B614A9A1}" name="tbMU_ShellGreaser" displayName="tbMU_ShellGreaser" ref="B36:H41" totalsRowShown="0" headerRowDxfId="204" headerRowBorderDxfId="203">
  <autoFilter ref="B36:H41" xr:uid="{420F8375-7EB0-4CDC-8921-630D29CC6065}"/>
  <tableColumns count="7">
    <tableColumn id="1" xr3:uid="{4185A9C1-D57E-4D13-8A8E-025F26A5C3AB}" name="Name" dataDxfId="202"/>
    <tableColumn id="2" xr3:uid="{8EBEEE59-4819-46BA-BD07-BE92F9014D7E}" name="Applied To" dataDxfId="201"/>
    <tableColumn id="3" xr3:uid="{0DFB16CD-768C-4214-A525-861208A70495}" name="Class" dataDxfId="200"/>
    <tableColumn id="4" xr3:uid="{CC94E13E-E212-4595-A27D-BE3BFA4D1DA2}" name="Reload Time" dataDxfId="199"/>
    <tableColumn id="5" xr3:uid="{7DD38E7D-A56A-4537-A32A-43E84924727F}" name="Damage" dataDxfId="198"/>
    <tableColumn id="6" xr3:uid="{3D51AA48-B6DD-4C14-B0AD-D2BABD29FADF}" name="Fire Rate" dataDxfId="197"/>
    <tableColumn id="7" xr3:uid="{7595AFD3-5F7D-4DDE-87EA-3A561F0CF530}" name="Clip Size" dataDxfId="196"/>
  </tableColumns>
  <tableStyleInfo name="Simp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96A728F-56E3-4B9B-96F1-60C22FEDE68D}" name="tbMU_Scanner" displayName="tbMU_Scanner" ref="B44:H46" totalsRowShown="0" headerRowDxfId="195" dataDxfId="194" dataCellStyle="Percent">
  <autoFilter ref="B44:H46" xr:uid="{387F61D2-A2FE-445F-9BF0-3B66C3B0F198}"/>
  <tableColumns count="7">
    <tableColumn id="1" xr3:uid="{1C69C169-6F0C-41E9-92BD-FD65A1F5F6CB}" name="Name" dataDxfId="193"/>
    <tableColumn id="2" xr3:uid="{3E86CBB7-96D6-4535-85EB-6697A6F7F4D1}" name="Applied To" dataDxfId="192"/>
    <tableColumn id="3" xr3:uid="{5B31153B-5A21-4921-9CFB-CBD58F2BAAB9}" name="Class" dataDxfId="191"/>
    <tableColumn id="4" xr3:uid="{DC98DA62-29CF-450D-BF3E-3568CD3ED14E}" name="Flora Analysis Rewards" dataDxfId="190" dataCellStyle="Percent"/>
    <tableColumn id="5" xr3:uid="{EB9F45A5-E6AE-4DFA-9C64-D74E7BC764E8}" name="Fauna Analysis Rewards" dataDxfId="189" dataCellStyle="Percent"/>
    <tableColumn id="6" xr3:uid="{A0F719A6-55FF-42F5-89C2-17072CF53DC6}" name="Scan Radius" dataDxfId="188" dataCellStyle="Percent"/>
    <tableColumn id="7" xr3:uid="{58B392A5-4222-49BD-A613-996A6E5FC3E3}" name="Recharge time" dataDxfId="187" dataCellStyle="Percent"/>
  </tableColumns>
  <tableStyleInfo name="Simp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25C727A-0E2C-4A68-85F0-96E90BC4D03D}" name="tbMU_Mining" displayName="tbMU_Mining" ref="B49:H53" totalsRowCount="1" headerRowDxfId="186" dataDxfId="185" dataCellStyle="Percent">
  <autoFilter ref="B49:H52" xr:uid="{F78C6FD6-94D6-44BD-B4EF-CB509AF2F7B9}"/>
  <tableColumns count="7">
    <tableColumn id="1" xr3:uid="{C636D8E4-6AF7-4638-BED2-19F416A38B11}" name="Name" totalsRowLabel="Total" dataDxfId="184" totalsRowDxfId="183"/>
    <tableColumn id="2" xr3:uid="{296B5576-A308-493B-AB54-8D3F4B0253EA}" name="Applied To" dataDxfId="182" totalsRowDxfId="181"/>
    <tableColumn id="3" xr3:uid="{4C8796A9-9246-4E10-84BA-C17A2B1A3F64}" name="Class" dataDxfId="180" totalsRowDxfId="179"/>
    <tableColumn id="4" xr3:uid="{ADFFB86B-2DBD-40FD-B4FB-8D34FCD3A161}" name="Fuel Efficiency" totalsRowFunction="sum" dataDxfId="178" totalsRowDxfId="177" dataCellStyle="Percent"/>
    <tableColumn id="5" xr3:uid="{CC866007-9681-402A-83C1-6C6D559AE582}" name="Overheat Downtime" totalsRowFunction="sum" dataDxfId="176" totalsRowDxfId="175" dataCellStyle="Percent"/>
    <tableColumn id="6" xr3:uid="{5CCB11BE-B3AC-40DE-9930-2B6FE94242AC}" name="Heat Dispersion" totalsRowFunction="sum" dataDxfId="174" totalsRowDxfId="173" dataCellStyle="Percent"/>
    <tableColumn id="7" xr3:uid="{2F3992AE-F819-44A4-BC20-7EC2955F7995}" name="Mining Speed" totalsRowFunction="sum" dataDxfId="172" totalsRowDxfId="171" dataCellStyle="Percent"/>
  </tableColumns>
  <tableStyleInfo name="Simp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3C5A754-6967-41D0-BD42-08476EA0739E}" name="tbRefining" displayName="tbRefining" ref="B2:K88" totalsRowShown="0" headerRowDxfId="170" dataDxfId="169">
  <autoFilter ref="B2:K88" xr:uid="{79BBC247-A8B4-4912-9A21-60CB768BB009}"/>
  <sortState xmlns:xlrd2="http://schemas.microsoft.com/office/spreadsheetml/2017/richdata2" ref="B3:K88">
    <sortCondition ref="B2:B88"/>
  </sortState>
  <tableColumns count="10">
    <tableColumn id="1" xr3:uid="{D9BC1002-0663-4EC5-B48A-6636D869A145}" name="Item" dataDxfId="168"/>
    <tableColumn id="2" xr3:uid="{98992F4E-DCEC-4CEE-A9AB-A823502FAD8F}" name="Item 1" dataDxfId="167"/>
    <tableColumn id="3" xr3:uid="{01C1203E-F817-4F15-8E8D-153FD26BBA9E}" name="Quantity 1" dataDxfId="166"/>
    <tableColumn id="4" xr3:uid="{D4B3C722-BB87-498F-B441-43C9DD1AA6AE}" name="Item 2" dataDxfId="165"/>
    <tableColumn id="5" xr3:uid="{913FD033-E02C-4FE6-939F-13D6018A9842}" name="Quantity 2" dataDxfId="164"/>
    <tableColumn id="6" xr3:uid="{14B891BC-97A3-46EC-8DFF-8BF5812D615B}" name="Item 3" dataDxfId="163"/>
    <tableColumn id="7" xr3:uid="{16381BC5-0A5C-49B0-AFFD-4D52261163A8}" name="Quantity 3" dataDxfId="162"/>
    <tableColumn id="9" xr3:uid="{F5F8F22F-B6E6-47D2-9854-E20312989E60}" name="Output Qty" dataDxfId="161"/>
    <tableColumn id="8" xr3:uid="{8A984B4E-1EDF-430A-864E-55D0A2AB7372}" name="Total Cost" dataDxfId="160">
      <calculatedColumnFormula>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calculatedColumnFormula>
    </tableColumn>
    <tableColumn id="10" xr3:uid="{7F318196-DCB6-4D73-93BF-76FE230A8083}" name="Cost per Unit" dataDxfId="159">
      <calculatedColumnFormula>IF(ISNUMBER(tbRefining[[#This Row],[Total Cost]]),tbRefining[[#This Row],[Total Cost]]/tbRefining[[#This Row],[Output Qty]],"")</calculatedColumnFormula>
    </tableColumn>
  </tableColumns>
  <tableStyleInfo name="Simp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63D1763-E9F6-43A8-BA51-64D3AC0707D1}" name="tbRecipes" displayName="tbRecipes" ref="B3:H96" totalsRowShown="0" headerRowDxfId="158" dataDxfId="157">
  <autoFilter ref="B3:H96" xr:uid="{42EF7919-4048-466B-9EA2-AD451488B553}"/>
  <sortState xmlns:xlrd2="http://schemas.microsoft.com/office/spreadsheetml/2017/richdata2" ref="B4:H93">
    <sortCondition ref="B3:B93"/>
  </sortState>
  <tableColumns count="7">
    <tableColumn id="1" xr3:uid="{20585290-1398-45DA-88C4-29D3773F5C88}" name="Item" dataDxfId="156"/>
    <tableColumn id="2" xr3:uid="{384804FB-568E-49DF-AB5E-B5CE8F0AC72D}" name="Ingredient 1" dataDxfId="155"/>
    <tableColumn id="3" xr3:uid="{4CD85EE2-B0E0-4FE6-AD70-C087E4B42FE1}" name="Ingredient 2" dataDxfId="154"/>
    <tableColumn id="7" xr3:uid="{09CE8201-6D1F-4E9F-9FF8-BBCB6D2E4E2D}" name="Ingredient 3" dataDxfId="153"/>
    <tableColumn id="4" xr3:uid="{62182397-9C32-41CA-AE46-97CC2D07B294}" name="Value" dataDxfId="152">
      <calculatedColumnFormula>VLOOKUP(tbRecipes[[#This Row],[Item]],tbMaterials[],4,FALSE)</calculatedColumnFormula>
    </tableColumn>
    <tableColumn id="5" xr3:uid="{175543D1-6210-4957-B4C8-F1DC6D38B88F}" name="Cost" dataDxfId="151">
      <calculatedColumnFormula>VLOOKUP(tbRecipes[[#This Row],[Ingredient 1]],tbMaterials[],4,FALSE)+_xlfn.IFNA(VLOOKUP(tbRecipes[[#This Row],[Ingredient 2]],tbMaterials[],4,FALSE),0)+_xlfn.IFNA(VLOOKUP(tbRecipes[[#This Row],[Ingredient 3]],tbMaterials[],4,FALSE),0)</calculatedColumnFormula>
    </tableColumn>
    <tableColumn id="6" xr3:uid="{D5CC712E-C7A7-4D74-96D5-B5E9EA4E876B}" name="Grown?" dataDxfId="150"/>
  </tableColumns>
  <tableStyleInfo name="Simple"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9F9518A-872B-4440-8BF2-0047484D85AF}" name="tbShips" displayName="tbShips" ref="B3:M8" totalsRowShown="0" headerRowDxfId="149" dataDxfId="148">
  <autoFilter ref="B3:M8" xr:uid="{421E54D2-A9B9-4830-9ABA-BB48C675BE95}">
    <filterColumn colId="0">
      <filters>
        <filter val="Blueberry"/>
        <filter val="Karlee Diamond EXOS-2"/>
        <filter val="Karlee Iron HA-1"/>
        <filter val="Karlee Platinum ES-1"/>
        <filter val="Karlee Steel FS-1"/>
      </filters>
    </filterColumn>
  </autoFilter>
  <sortState xmlns:xlrd2="http://schemas.microsoft.com/office/spreadsheetml/2017/richdata2" ref="B4:M8">
    <sortCondition ref="B3:B8"/>
  </sortState>
  <tableColumns count="12">
    <tableColumn id="1" xr3:uid="{19206910-48EE-4575-9B78-641419BF3586}" name="Name" dataDxfId="147"/>
    <tableColumn id="2" xr3:uid="{156A1535-642B-4509-A723-5A35A1A84C82}" name="Class" dataDxfId="146"/>
    <tableColumn id="3" xr3:uid="{7442B98B-2F0F-4343-816C-ACB35B4D5810}" name="Damage Potential" dataDxfId="145"/>
    <tableColumn id="4" xr3:uid="{38335201-B247-4CBD-A0D1-38A4A6CAFBCC}" name="Shield Strength" dataDxfId="144"/>
    <tableColumn id="5" xr3:uid="{C19B3513-8B67-484C-A08C-1F3B4B1FC1A6}" name="Hyperdrive Range" dataDxfId="143"/>
    <tableColumn id="6" xr3:uid="{04DF4589-EFF1-4C2B-9573-D2348C200335}" name="Maneuverability" dataDxfId="142"/>
    <tableColumn id="8" xr3:uid="{4E6AAB46-3650-41F9-936B-8FD33F8149E1}" name="Cargo Slots" dataDxfId="141"/>
    <tableColumn id="7" xr3:uid="{813DE544-4015-4086-9C41-D55D81A55020}" name="Technology Slots" dataDxfId="140"/>
    <tableColumn id="10" xr3:uid="{11076F15-61DB-4522-9147-802590641AA9}" name="Cadmium" dataDxfId="139"/>
    <tableColumn id="11" xr3:uid="{70077C4E-38CD-480E-B86B-26B1D71FB06A}" name="Emeril" dataDxfId="138"/>
    <tableColumn id="12" xr3:uid="{7DE90678-9C7A-4BC0-B307-574C5DBF5012}" name="Indium" dataDxfId="137"/>
    <tableColumn id="14" xr3:uid="{A5809B3F-BC65-49B6-A981-C4EADA04785D}" name="Storage Maxed?" dataDxfId="136"/>
  </tableColumns>
  <tableStyleInfo name="Simple"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AA7FC6-4A7C-44A7-9163-282B44EC4D13}" name="tbSU_Photon" displayName="tbSU_Photon" ref="B17:G32" totalsRowCount="1" headerRowDxfId="135" dataDxfId="134" totalsRowDxfId="133">
  <autoFilter ref="B17:G31" xr:uid="{BE96888B-666A-4A64-ADC6-09DAC92760CF}">
    <filterColumn colId="1">
      <filters>
        <filter val="Karlee Diamond EXOS-2"/>
        <filter val="Karlee Steel FS-1"/>
      </filters>
    </filterColumn>
  </autoFilter>
  <tableColumns count="6">
    <tableColumn id="1" xr3:uid="{B4AF31F0-906C-4657-9459-2A0DFACF5211}" name="Upgrade name" totalsRowLabel="Total" dataDxfId="132" totalsRowDxfId="131"/>
    <tableColumn id="2" xr3:uid="{E74CFC1C-1CEF-4264-84DD-C92BFB152823}" name="Installed In" dataDxfId="130" totalsRowDxfId="129"/>
    <tableColumn id="4" xr3:uid="{A1F77227-9999-4BAA-AC6C-CBEC77C2A2BC}" name="Class" dataDxfId="128" totalsRowDxfId="127"/>
    <tableColumn id="5" xr3:uid="{578A7065-7567-45FB-9412-AC6A41D1EC28}" name="Fire Rate" totalsRowFunction="sum" dataDxfId="126" totalsRowDxfId="125"/>
    <tableColumn id="6" xr3:uid="{39AD195D-FBE2-4ED1-9D7A-988262E0012B}" name="Heat Dispersion" totalsRowFunction="sum" dataDxfId="124" totalsRowDxfId="123"/>
    <tableColumn id="7" xr3:uid="{86FBD049-1DAA-41B4-AC68-86D6B51691E7}" name="Damage" totalsRowFunction="sum" dataDxfId="122" totalsRowDxfId="121"/>
  </tableColumns>
  <tableStyleInfo name="Simple" showFirstColumn="0" showLastColumn="0" showRowStripes="0"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DEFED17-D106-4C13-8228-06D4A116A028}" name="tbSU_Pulse" displayName="tbSU_Pulse" ref="B35:H47" totalsRowCount="1" headerRowDxfId="120" dataDxfId="119" totalsRowDxfId="118">
  <autoFilter ref="B35:H46" xr:uid="{51213460-82FA-438B-B44E-6D38BBA74499}"/>
  <tableColumns count="7">
    <tableColumn id="1" xr3:uid="{CAC97AFB-278C-4569-B6DB-CAFCBBE8CDAE}" name="Upgrade name" totalsRowLabel="Total" dataDxfId="117" totalsRowDxfId="116"/>
    <tableColumn id="2" xr3:uid="{F8164ADB-A1FD-4DD0-A771-AE1422F9CBF1}" name="Installed In" dataDxfId="115" totalsRowDxfId="114"/>
    <tableColumn id="8" xr3:uid="{E5F8A6D0-3F68-4595-9E86-2F6604438F08}" name="Class" dataDxfId="113" totalsRowDxfId="112"/>
    <tableColumn id="5" xr3:uid="{E3380FB7-10BF-405B-BF17-B1B79F006331}" name="Pulse Fuel Efficiency" totalsRowFunction="sum" dataDxfId="111" totalsRowDxfId="110"/>
    <tableColumn id="6" xr3:uid="{69AF4EE2-F994-437E-904B-20E9CA2369A8}" name="Pulse Boost" totalsRowFunction="sum" dataDxfId="109" totalsRowDxfId="108"/>
    <tableColumn id="7" xr3:uid="{9F10EDD9-C3FD-4800-99D8-C387D2135E2D}" name="Maneuverability" totalsRowFunction="sum" dataDxfId="107" totalsRowDxfId="106"/>
    <tableColumn id="3" xr3:uid="{D7B57172-4FB0-418C-A114-67080F6B48D7}" name="Pulse Drive Power" totalsRowFunction="sum" dataDxfId="105" totalsRowDxfId="104"/>
  </tableColumns>
  <tableStyleInfo name="Simple" showFirstColumn="0" showLastColumn="0" showRowStripes="0"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80024C5-CD65-4085-AF60-75E3869E99BC}" name="tbSU_Hyperdrive" displayName="tbSU_Hyperdrive" ref="B50:F60" totalsRowCount="1" headerRowDxfId="103" dataDxfId="102">
  <autoFilter ref="B50:F59" xr:uid="{F76D2919-3731-45FB-8BB2-82F3EF18CA2F}"/>
  <tableColumns count="5">
    <tableColumn id="1" xr3:uid="{EAF7EFFD-91E0-4691-8119-AD8A65ABC386}" name="Upgrade name" totalsRowLabel="Total" dataDxfId="101" totalsRowDxfId="100"/>
    <tableColumn id="2" xr3:uid="{43FBC940-9FE5-4F8F-8AD4-56F879E08079}" name="Installed In" dataDxfId="99" totalsRowDxfId="98"/>
    <tableColumn id="4" xr3:uid="{1861CC97-AD33-4857-84BE-443EC3B532EA}" name="Class" dataDxfId="97" totalsRowDxfId="96"/>
    <tableColumn id="5" xr3:uid="{A52CD53A-1B1A-4CB4-AC2D-486214485A01}" name="Warp Cell Efficiency" dataDxfId="95" totalsRowDxfId="94"/>
    <tableColumn id="6" xr3:uid="{A81BF12B-2CF7-4E77-B15A-A46E6E4E553F}" name="Hyperdrive Range" totalsRowFunction="sum" dataDxfId="93" totalsRowDxfId="92"/>
  </tableColumns>
  <tableStyleInfo name="Simple"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D823E161-2718-4E23-9FEB-114E0572F50C}" name="tbSU_Shields" displayName="tbSU_Shields" ref="B63:E75" totalsRowCount="1" headerRowDxfId="91" dataDxfId="90">
  <autoFilter ref="B63:E74" xr:uid="{E5C33DE0-DDE0-4185-9631-C21A18742F0F}"/>
  <tableColumns count="4">
    <tableColumn id="1" xr3:uid="{87CC4157-B2E9-476D-810F-4FFEB77DC33D}" name="Upgrade name" totalsRowLabel="Total" dataDxfId="89" totalsRowDxfId="88"/>
    <tableColumn id="2" xr3:uid="{9104045D-3658-4BD3-B500-7A01A64D43BD}" name="Installed In" dataDxfId="87" totalsRowDxfId="86"/>
    <tableColumn id="4" xr3:uid="{1C6E75D4-5632-4D29-945F-C13D733CE9D9}" name="Class" dataDxfId="85" totalsRowDxfId="84"/>
    <tableColumn id="5" xr3:uid="{0638A9D1-BD0A-47FC-AC65-5B425088ED64}" name="Shield Strength" totalsRowFunction="sum" dataDxfId="83" totalsRowDxfId="82"/>
  </tableColumns>
  <tableStyleInfo name="Simple"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56CDDFA-2538-4B18-B3F0-309FE41F2167}" name="tbShipProspecting" displayName="tbShipProspecting" ref="B78:C88" totalsRowShown="0" headerRowDxfId="81">
  <autoFilter ref="B78:C88" xr:uid="{57461CF1-3727-4D59-9396-484AF7702E9E}"/>
  <tableColumns count="2">
    <tableColumn id="1" xr3:uid="{471F7BFF-F574-4434-B6DD-399DDA05E8DC}" name="Station" dataDxfId="80"/>
    <tableColumn id="2" xr3:uid="{D1274668-C94B-4F65-BB3A-BDFDC376BFE4}" name="Comments" dataDxfId="79"/>
  </tableColumns>
  <tableStyleInfo name="Simpl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83C3010-53F2-48E8-8CB7-2F1479820BB2}" name="tbDerivedStats" displayName="tbDerivedStats" ref="B11:G14" totalsRowShown="0" headerRowDxfId="78" dataDxfId="76" headerRowBorderDxfId="77">
  <autoFilter ref="B11:G14" xr:uid="{6C0B49CE-EFD5-4F62-83CA-87D91C7FD1E6}"/>
  <sortState xmlns:xlrd2="http://schemas.microsoft.com/office/spreadsheetml/2017/richdata2" ref="B12:G14">
    <sortCondition ref="B11:B14"/>
  </sortState>
  <tableColumns count="6">
    <tableColumn id="1" xr3:uid="{6BF11EAC-1141-4016-B041-923AC0BE6AA4}" name="Name" dataDxfId="75"/>
    <tableColumn id="2" xr3:uid="{0E63F2EA-E90C-4015-819C-C16D234C07DA}" name="Class" dataDxfId="74"/>
    <tableColumn id="3" xr3:uid="{C7FBA114-631A-4558-922B-59538D28C667}" name="Damage Potential" dataDxfId="73"/>
    <tableColumn id="4" xr3:uid="{F689C1ED-FF8F-41AB-BB3F-DB35D62A7250}" name="Shield Strength" dataDxfId="72"/>
    <tableColumn id="5" xr3:uid="{2E5FB770-9DF9-4CC2-B338-073F934BB70C}" name="Hyperdrive Range" dataDxfId="71"/>
    <tableColumn id="6" xr3:uid="{4A97A522-148A-4E62-9CA9-D6D3E8FD87A7}" name="Maneuverability" dataDxfId="70"/>
  </tableColumns>
  <tableStyleInfo name="Simple"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6CA504-5A11-4279-94E0-F605166C8D5B}" name="tbWealthLevels" displayName="tbWealthLevels" ref="B3:C32" totalsRowShown="0" headerRowDxfId="69" dataDxfId="68">
  <autoFilter ref="B3:C32" xr:uid="{2598DA56-1868-4AFC-870A-2443819B86BA}"/>
  <sortState xmlns:xlrd2="http://schemas.microsoft.com/office/spreadsheetml/2017/richdata2" ref="B4:C32">
    <sortCondition ref="B3:B32"/>
  </sortState>
  <tableColumns count="2">
    <tableColumn id="1" xr3:uid="{C534A6EA-1174-40C9-ACDC-61CB7881520E}" name="Wealth description" dataDxfId="67"/>
    <tableColumn id="2" xr3:uid="{343D04D4-D767-4F27-97D2-2FDAF24CE49D}" name="Wealth level" dataDxfId="66"/>
  </tableColumns>
  <tableStyleInfo name="Simple"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D7EC2-0B9E-4E31-A18B-650960CE5705}" name="tbDemandLEvels" displayName="tbDemandLEvels" ref="B75:D110" totalsRowShown="0" headerRowDxfId="65" dataDxfId="64">
  <autoFilter ref="B75:D110" xr:uid="{05F6BAC1-664D-427D-B323-0284362373B4}"/>
  <tableColumns count="3">
    <tableColumn id="1" xr3:uid="{5282192B-58B2-46FF-ABB4-D13D8DAE1675}" name="Economy type" dataDxfId="63"/>
    <tableColumn id="2" xr3:uid="{9F86CABF-3665-41C9-BB52-907632E6AFA8}" name="Item" dataDxfId="62"/>
    <tableColumn id="3" xr3:uid="{54E2C5FD-989F-4E8D-9FB7-46F01D25AAAA}" name="Demand level" dataDxfId="61"/>
  </tableColumns>
  <tableStyleInfo name="Simple"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40FD5D-5C49-4C63-AFB8-3B69EDCAE369}" name="tbProduceLevels" displayName="tbProduceLevels" ref="B113:D148" totalsRowShown="0" headerRowDxfId="60" dataDxfId="59">
  <autoFilter ref="B113:D148" xr:uid="{88C7F9FA-F45D-4E18-B00B-CDF4AB833408}"/>
  <tableColumns count="3">
    <tableColumn id="1" xr3:uid="{1AC237BE-B656-4964-B7F3-FDC7CAAA6117}" name="Economy type" dataDxfId="58"/>
    <tableColumn id="2" xr3:uid="{97763112-D2ED-4DD0-A59F-C9A5F2C74614}" name="Item" dataDxfId="57"/>
    <tableColumn id="3" xr3:uid="{E7906B9E-31A8-4979-ACD5-F3EAB958F2EE}" name="Produce level" dataDxfId="56"/>
  </tableColumns>
  <tableStyleInfo name="Simple"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B7CE12B-B75F-4563-9156-372BEA402E80}" name="tbEconomyTypes" displayName="tbEconomyTypes" ref="B35:E72" totalsRowShown="0" headerRowDxfId="55" dataDxfId="54">
  <autoFilter ref="B35:E72" xr:uid="{1DA000CC-2C69-41BB-A456-F1A4D9B4C845}"/>
  <tableColumns count="4">
    <tableColumn id="1" xr3:uid="{CD66DF14-DA42-41C1-A0D5-FC3DFD740800}" name="Economy description" dataDxfId="53"/>
    <tableColumn id="2" xr3:uid="{A0FF893A-048C-4CEB-B977-8A8D45CFD2AF}" name="Economy type" dataDxfId="52"/>
    <tableColumn id="3" xr3:uid="{6BD37DB8-7D37-49F9-9463-99D4544393B5}" name="Buys from" dataDxfId="51"/>
    <tableColumn id="4" xr3:uid="{48E35785-66A4-4716-9B7E-33DFF6D22BD4}" name="Sells to" dataDxfId="50"/>
  </tableColumns>
  <tableStyleInfo name="Simpl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13A5D34-99C8-4DE0-8184-2CFCCF596583}" name="tbConflictLevels" displayName="tbConflictLevels" ref="B151:C176" totalsRowShown="0" headerRowDxfId="49" dataDxfId="48">
  <autoFilter ref="B151:C176" xr:uid="{4372D3D5-B63A-48BA-8A4C-0C7F230366CE}"/>
  <tableColumns count="2">
    <tableColumn id="1" xr3:uid="{E704B8FC-5511-42FA-A33E-1B04DBA5B82C}" name="Conflict" dataDxfId="47"/>
    <tableColumn id="2" xr3:uid="{E1FA5246-C4A5-4977-B44B-C7E8948281B8}" name="Conflict Level" dataDxfId="46"/>
  </tableColumns>
  <tableStyleInfo name="Simple"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61CF02E-5376-4EFE-8C38-A35ED1D6FC17}" name="tbStackSizes" displayName="tbStackSizes" ref="B179:C186" totalsRowShown="0" headerRowDxfId="45" dataDxfId="44">
  <autoFilter ref="B179:C186" xr:uid="{16E8B4BF-C301-4B3A-8EFD-6BF25EF98F57}"/>
  <sortState xmlns:xlrd2="http://schemas.microsoft.com/office/spreadsheetml/2017/richdata2" ref="B180:C186">
    <sortCondition ref="B179:B186"/>
  </sortState>
  <tableColumns count="2">
    <tableColumn id="1" xr3:uid="{51F30982-0B39-46C6-BFFF-7CB145AA4653}" name="Resource Type" dataDxfId="43"/>
    <tableColumn id="2" xr3:uid="{D7C89B4F-DD96-4B47-BAB7-56F2EAE02D87}" name="Stack Size" dataDxfId="42" dataCellStyle="Comma"/>
  </tableColumns>
  <tableStyleInfo name="Simple"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FDF421D-7FDD-486D-B12A-D9F7C52A1FB3}" name="Table19" displayName="Table19" ref="B189:C191" totalsRowShown="0" headerRowDxfId="41" dataDxfId="40">
  <autoFilter ref="B189:C191" xr:uid="{241CEB18-AF73-4B6B-847C-D477292A5756}"/>
  <tableColumns count="2">
    <tableColumn id="1" xr3:uid="{FA79356F-938F-4E6E-86C4-FE1E7C403A84}" name="Material Wanted" dataDxfId="39"/>
    <tableColumn id="2" xr3:uid="{D420CD95-DDA4-4544-BB53-78D151DD8E35}" name="Reason" dataDxfId="38"/>
  </tableColumns>
  <tableStyleInfo name="Simp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B287724-A904-4106-AC3D-7F0E89939D24}" name="tbContainerColourCoding" displayName="tbContainerColourCoding" ref="B194:C202" totalsRowShown="0" headerRowDxfId="37" dataDxfId="36">
  <autoFilter ref="B194:C202" xr:uid="{70CB8375-03F0-49D5-8C56-5B2639C21274}"/>
  <tableColumns count="2">
    <tableColumn id="1" xr3:uid="{040A226A-0F62-4417-88C3-092C6467E6CD}" name="Colour" dataDxfId="35"/>
    <tableColumn id="2" xr3:uid="{C5DD75B8-B188-48FD-859C-A73404F0671B}" name="Contents" dataDxfId="34"/>
  </tableColumns>
  <tableStyleInfo name="Simple"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1BAD454-5E35-498A-ADD2-2414B91ACF51}" name="tbBaits" displayName="tbBaits" ref="B210:C216" totalsRowShown="0" headerRowDxfId="33" dataDxfId="32">
  <autoFilter ref="B210:C216" xr:uid="{E5900A0C-36C9-4B28-B708-E14F6681A819}"/>
  <tableColumns count="2">
    <tableColumn id="1" xr3:uid="{41384DDE-8E9D-48C1-9456-1001E38242BC}" name="Bait" dataDxfId="31"/>
    <tableColumn id="2" xr3:uid="{8DAC369A-2BFB-4790-A952-C6FE3C66E557}" name="Result" dataDxfId="30"/>
  </tableColumns>
  <tableStyleInfo name="Simp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www.youtube.com/watch?v=k3tVPzb6hzU" TargetMode="External"/><Relationship Id="rId2" Type="http://schemas.openxmlformats.org/officeDocument/2006/relationships/hyperlink" Target="https://www.youtube.com/watch?v=k3tVPzb6hzU" TargetMode="External"/><Relationship Id="rId1" Type="http://schemas.openxmlformats.org/officeDocument/2006/relationships/hyperlink" Target="https://www.youtube.com/watch?v=CyXA6nUpUkk" TargetMode="External"/><Relationship Id="rId5" Type="http://schemas.openxmlformats.org/officeDocument/2006/relationships/table" Target="../tables/table1.xml"/><Relationship Id="rId4" Type="http://schemas.openxmlformats.org/officeDocument/2006/relationships/hyperlink" Target="https://www.youtube.com/watch?v=k3tVPzb6hzU"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table" Target="../tables/table11.xml"/><Relationship Id="rId1" Type="http://schemas.openxmlformats.org/officeDocument/2006/relationships/printerSettings" Target="../printerSettings/printerSettings5.bin"/><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table" Target="../tables/table21.xml"/><Relationship Id="rId7" Type="http://schemas.openxmlformats.org/officeDocument/2006/relationships/table" Target="../tables/table25.xml"/><Relationship Id="rId2" Type="http://schemas.openxmlformats.org/officeDocument/2006/relationships/table" Target="../tables/table20.xml"/><Relationship Id="rId1" Type="http://schemas.openxmlformats.org/officeDocument/2006/relationships/printerSettings" Target="../printerSettings/printerSettings8.bin"/><Relationship Id="rId6" Type="http://schemas.openxmlformats.org/officeDocument/2006/relationships/table" Target="../tables/table24.xml"/><Relationship Id="rId5" Type="http://schemas.openxmlformats.org/officeDocument/2006/relationships/table" Target="../tables/table23.xml"/><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table" Target="../tables/table27.xml"/><Relationship Id="rId7" Type="http://schemas.openxmlformats.org/officeDocument/2006/relationships/table" Target="../tables/table31.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table" Target="../tables/table30.xml"/><Relationship Id="rId11" Type="http://schemas.openxmlformats.org/officeDocument/2006/relationships/table" Target="../tables/table35.xml"/><Relationship Id="rId5" Type="http://schemas.openxmlformats.org/officeDocument/2006/relationships/table" Target="../tables/table29.xml"/><Relationship Id="rId10" Type="http://schemas.openxmlformats.org/officeDocument/2006/relationships/table" Target="../tables/table34.xml"/><Relationship Id="rId4" Type="http://schemas.openxmlformats.org/officeDocument/2006/relationships/table" Target="../tables/table28.xml"/><Relationship Id="rId9" Type="http://schemas.openxmlformats.org/officeDocument/2006/relationships/table" Target="../tables/table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80A4E-06B2-4E34-8A98-F77B2C3FDB50}">
  <sheetPr codeName="Sheet1">
    <tabColor theme="5"/>
  </sheetPr>
  <dimension ref="B1:B41"/>
  <sheetViews>
    <sheetView showGridLines="0" workbookViewId="0">
      <selection activeCell="B13" sqref="B13"/>
    </sheetView>
  </sheetViews>
  <sheetFormatPr defaultRowHeight="14.25" x14ac:dyDescent="0.25"/>
  <cols>
    <col min="1" max="1" width="1.42578125" style="1" customWidth="1"/>
    <col min="2" max="2" width="23.140625" style="1" customWidth="1"/>
    <col min="3" max="16384" width="9.140625" style="1"/>
  </cols>
  <sheetData>
    <row r="1" spans="2:2" ht="7.5" customHeight="1" x14ac:dyDescent="0.25"/>
    <row r="2" spans="2:2" s="2" customFormat="1" ht="27.95" customHeight="1" x14ac:dyDescent="0.25">
      <c r="B2" s="45" t="s">
        <v>590</v>
      </c>
    </row>
    <row r="3" spans="2:2" s="2" customFormat="1" ht="8.25" customHeight="1" x14ac:dyDescent="0.25"/>
    <row r="4" spans="2:2" s="2" customFormat="1" ht="27.95" customHeight="1" x14ac:dyDescent="0.25">
      <c r="B4" s="46" t="str">
        <f ca="1">IF(ROW(A1)&gt;_xlfn.SHEETS(),REPT(NOW(),),SUBSTITUTE(HYPERLINK("#'"&amp;TRIM(RIGHT(SUBSTITUTE(SUBSTITUTE(INDEX(TabNames,ROW(A1))," ",CHAR(255)),"]",REPT(" ",32)),32))&amp;"'!A1",TRIM(RIGHT(SUBSTITUTE(SUBSTITUTE(INDEX(TabNames,ROW(A1))," ",CHAR(255)),"]",REPT(" ",32)),32))),CHAR(255)," "))</f>
        <v>Contents</v>
      </c>
    </row>
    <row r="5" spans="2:2" s="2" customFormat="1" ht="27.95" customHeight="1" x14ac:dyDescent="0.25">
      <c r="B5" s="46" t="str">
        <f ca="1">IF(ROW(A2)&gt;_xlfn.SHEETS(),REPT(NOW(),),SUBSTITUTE(HYPERLINK("#'"&amp;TRIM(RIGHT(SUBSTITUTE(SUBSTITUTE(INDEX(TabNames,ROW(A2))," ",CHAR(255)),"]",REPT(" ",32)),32))&amp;"'!A1",TRIM(RIGHT(SUBSTITUTE(SUBSTITUTE(INDEX(TabNames,ROW(A2))," ",CHAR(255)),"]",REPT(" ",32)),32))),CHAR(255)," "))</f>
        <v>To-do</v>
      </c>
    </row>
    <row r="6" spans="2:2" s="2" customFormat="1" ht="27.95" customHeight="1" x14ac:dyDescent="0.25">
      <c r="B6" s="46" t="str">
        <f ca="1">IF(ROW(A4)&gt;_xlfn.SHEETS(),REPT(NOW(),),SUBSTITUTE(HYPERLINK("#'"&amp;TRIM(RIGHT(SUBSTITUTE(SUBSTITUTE(INDEX(TabNames,ROW(A4))," ",CHAR(255)),"]",REPT(" ",32)),32))&amp;"'!A1",TRIM(RIGHT(SUBSTITUTE(SUBSTITUTE(INDEX(TabNames,ROW(A4))," ",CHAR(255)),"]",REPT(" ",32)),32))),CHAR(255)," "))</f>
        <v>Commodities</v>
      </c>
    </row>
    <row r="7" spans="2:2" s="2" customFormat="1" ht="27.95" customHeight="1" x14ac:dyDescent="0.25">
      <c r="B7" s="46" t="str">
        <f ca="1">IF(ROW(A5)&gt;_xlfn.SHEETS(),REPT(NOW(),),SUBSTITUTE(HYPERLINK("#'"&amp;TRIM(RIGHT(SUBSTITUTE(SUBSTITUTE(INDEX(TabNames,ROW(A5))," ",CHAR(255)),"]",REPT(" ",32)),32))&amp;"'!A1",TRIM(RIGHT(SUBSTITUTE(SUBSTITUTE(INDEX(TabNames,ROW(A5))," ",CHAR(255)),"]",REPT(" ",32)),32))),CHAR(255)," "))</f>
        <v>Shopping</v>
      </c>
    </row>
    <row r="8" spans="2:2" s="2" customFormat="1" ht="27.95" customHeight="1" x14ac:dyDescent="0.25">
      <c r="B8" s="46" t="str">
        <f ca="1">IF(ROW(A6)&gt;_xlfn.SHEETS(),REPT(NOW(),),SUBSTITUTE(HYPERLINK("#'"&amp;TRIM(RIGHT(SUBSTITUTE(SUBSTITUTE(INDEX(TabNames,ROW(A6))," ",CHAR(255)),"]",REPT(" ",32)),32))&amp;"'!A1",TRIM(RIGHT(SUBSTITUTE(SUBSTITUTE(INDEX(TabNames,ROW(A6))," ",CHAR(255)),"]",REPT(" ",32)),32))),CHAR(255)," "))</f>
        <v>Exploration</v>
      </c>
    </row>
    <row r="9" spans="2:2" s="2" customFormat="1" ht="27.95" customHeight="1" x14ac:dyDescent="0.25">
      <c r="B9" s="46" t="str">
        <f ca="1">IF(ROW(A7)&gt;_xlfn.SHEETS(),REPT(NOW(),),SUBSTITUTE(HYPERLINK("#'"&amp;TRIM(RIGHT(SUBSTITUTE(SUBSTITUTE(INDEX(TabNames,ROW(A7))," ",CHAR(255)),"]",REPT(" ",32)),32))&amp;"'!A1",TRIM(RIGHT(SUBSTITUTE(SUBSTITUTE(INDEX(TabNames,ROW(A7))," ",CHAR(255)),"]",REPT(" ",32)),32))),CHAR(255)," "))</f>
        <v>Materials</v>
      </c>
    </row>
    <row r="10" spans="2:2" s="2" customFormat="1" ht="27.95" customHeight="1" x14ac:dyDescent="0.25">
      <c r="B10" s="46" t="str">
        <f ca="1">IF(ROW(A8)&gt;_xlfn.SHEETS(),REPT(NOW(),),SUBSTITUTE(HYPERLINK("#'"&amp;TRIM(RIGHT(SUBSTITUTE(SUBSTITUTE(INDEX(TabNames,ROW(A8))," ",CHAR(255)),"]",REPT(" ",32)),32))&amp;"'!A1",TRIM(RIGHT(SUBSTITUTE(SUBSTITUTE(INDEX(TabNames,ROW(A8))," ",CHAR(255)),"]",REPT(" ",32)),32))),CHAR(255)," "))</f>
        <v>Multi-Tools</v>
      </c>
    </row>
    <row r="11" spans="2:2" s="2" customFormat="1" ht="27.95" customHeight="1" x14ac:dyDescent="0.25">
      <c r="B11" s="46" t="str">
        <f ca="1">IF(ROW(A9)&gt;_xlfn.SHEETS(),REPT(NOW(),),SUBSTITUTE(HYPERLINK("#'"&amp;TRIM(RIGHT(SUBSTITUTE(SUBSTITUTE(INDEX(TabNames,ROW(A9))," ",CHAR(255)),"]",REPT(" ",32)),32))&amp;"'!A1",TRIM(RIGHT(SUBSTITUTE(SUBSTITUTE(INDEX(TabNames,ROW(A9))," ",CHAR(255)),"]",REPT(" ",32)),32))),CHAR(255)," "))</f>
        <v>Refiner</v>
      </c>
    </row>
    <row r="12" spans="2:2" s="2" customFormat="1" ht="27.95" customHeight="1" x14ac:dyDescent="0.25">
      <c r="B12" s="46" t="str">
        <f ca="1">IF(ROW(A10)&gt;_xlfn.SHEETS(),REPT(NOW(),),SUBSTITUTE(HYPERLINK("#'"&amp;TRIM(RIGHT(SUBSTITUTE(SUBSTITUTE(INDEX(TabNames,ROW(A10))," ",CHAR(255)),"]",REPT(" ",32)),32))&amp;"'!A1",TRIM(RIGHT(SUBSTITUTE(SUBSTITUTE(INDEX(TabNames,ROW(A10))," ",CHAR(255)),"]",REPT(" ",32)),32))),CHAR(255)," "))</f>
        <v>Cooking</v>
      </c>
    </row>
    <row r="13" spans="2:2" s="2" customFormat="1" ht="27.95" customHeight="1" x14ac:dyDescent="0.25">
      <c r="B13" s="46" t="str">
        <f ca="1">IF(ROW(A11)&gt;_xlfn.SHEETS(),REPT(NOW(),),SUBSTITUTE(HYPERLINK("#'"&amp;TRIM(RIGHT(SUBSTITUTE(SUBSTITUTE(INDEX(TabNames,ROW(A11))," ",CHAR(255)),"]",REPT(" ",32)),32))&amp;"'!A1",TRIM(RIGHT(SUBSTITUTE(SUBSTITUTE(INDEX(TabNames,ROW(A11))," ",CHAR(255)),"]",REPT(" ",32)),32))),CHAR(255)," "))</f>
        <v>Ships</v>
      </c>
    </row>
    <row r="14" spans="2:2" s="2" customFormat="1" ht="27.95" customHeight="1" x14ac:dyDescent="0.25">
      <c r="B14" s="46" t="str">
        <f ca="1">IF(ROW(A12)&gt;_xlfn.SHEETS(),REPT(NOW(),),SUBSTITUTE(HYPERLINK("#'"&amp;TRIM(RIGHT(SUBSTITUTE(SUBSTITUTE(INDEX(TabNames,ROW(A12))," ",CHAR(255)),"]",REPT(" ",32)),32))&amp;"'!A1",TRIM(RIGHT(SUBSTITUTE(SUBSTITUTE(INDEX(TabNames,ROW(A12))," ",CHAR(255)),"]",REPT(" ",32)),32))),CHAR(255)," "))</f>
        <v>Lookups</v>
      </c>
    </row>
    <row r="15" spans="2:2" s="2" customFormat="1" ht="27.95" customHeight="1" x14ac:dyDescent="0.25">
      <c r="B15" s="46" t="str">
        <f ca="1">IF(ROW(A13)&gt;_xlfn.SHEETS(),REPT(NOW(),),SUBSTITUTE(HYPERLINK("#'"&amp;TRIM(RIGHT(SUBSTITUTE(SUBSTITUTE(INDEX(TabNames,ROW(A13))," ",CHAR(255)),"]",REPT(" ",32)),32))&amp;"'!A1",TRIM(RIGHT(SUBSTITUTE(SUBSTITUTE(INDEX(TabNames,ROW(A13))," ",CHAR(255)),"]",REPT(" ",32)),32))),CHAR(255)," "))</f>
        <v/>
      </c>
    </row>
    <row r="16" spans="2:2" s="2" customFormat="1" ht="27.95" customHeight="1" x14ac:dyDescent="0.25">
      <c r="B16" s="46" t="str">
        <f ca="1">IF(ROW(A14)&gt;_xlfn.SHEETS(),REPT(NOW(),),SUBSTITUTE(HYPERLINK("#'"&amp;TRIM(RIGHT(SUBSTITUTE(SUBSTITUTE(INDEX(TabNames,ROW(A14))," ",CHAR(255)),"]",REPT(" ",32)),32))&amp;"'!A1",TRIM(RIGHT(SUBSTITUTE(SUBSTITUTE(INDEX(TabNames,ROW(A14))," ",CHAR(255)),"]",REPT(" ",32)),32))),CHAR(255)," "))</f>
        <v/>
      </c>
    </row>
    <row r="17" spans="2:2" s="2" customFormat="1" ht="27.95" customHeight="1" x14ac:dyDescent="0.25">
      <c r="B17" s="46" t="str">
        <f ca="1">IF(ROW(A15)&gt;_xlfn.SHEETS(),REPT(NOW(),),SUBSTITUTE(HYPERLINK("#'"&amp;TRIM(RIGHT(SUBSTITUTE(SUBSTITUTE(INDEX(TabNames,ROW(A15))," ",CHAR(255)),"]",REPT(" ",32)),32))&amp;"'!A1",TRIM(RIGHT(SUBSTITUTE(SUBSTITUTE(INDEX(TabNames,ROW(A15))," ",CHAR(255)),"]",REPT(" ",32)),32))),CHAR(255)," "))</f>
        <v/>
      </c>
    </row>
    <row r="18" spans="2:2" s="2" customFormat="1" ht="27.95" customHeight="1" x14ac:dyDescent="0.25">
      <c r="B18" s="46" t="str">
        <f ca="1">IF(ROW(A16)&gt;_xlfn.SHEETS(),REPT(NOW(),),SUBSTITUTE(HYPERLINK("#'"&amp;TRIM(RIGHT(SUBSTITUTE(SUBSTITUTE(INDEX(TabNames,ROW(A16))," ",CHAR(255)),"]",REPT(" ",32)),32))&amp;"'!A1",TRIM(RIGHT(SUBSTITUTE(SUBSTITUTE(INDEX(TabNames,ROW(A16))," ",CHAR(255)),"]",REPT(" ",32)),32))),CHAR(255)," "))</f>
        <v/>
      </c>
    </row>
    <row r="19" spans="2:2" s="2" customFormat="1" ht="27.95" customHeight="1" x14ac:dyDescent="0.25">
      <c r="B19" s="46" t="str">
        <f ca="1">IF(ROW(A17)&gt;_xlfn.SHEETS(),REPT(NOW(),),SUBSTITUTE(HYPERLINK("#'"&amp;TRIM(RIGHT(SUBSTITUTE(SUBSTITUTE(INDEX(TabNames,ROW(A17))," ",CHAR(255)),"]",REPT(" ",32)),32))&amp;"'!A1",TRIM(RIGHT(SUBSTITUTE(SUBSTITUTE(INDEX(TabNames,ROW(A17))," ",CHAR(255)),"]",REPT(" ",32)),32))),CHAR(255)," "))</f>
        <v/>
      </c>
    </row>
    <row r="20" spans="2:2" s="2" customFormat="1" ht="27.95" customHeight="1" x14ac:dyDescent="0.25">
      <c r="B20" s="46" t="str">
        <f ca="1">IF(ROW(A18)&gt;_xlfn.SHEETS(),REPT(NOW(),),SUBSTITUTE(HYPERLINK("#'"&amp;TRIM(RIGHT(SUBSTITUTE(SUBSTITUTE(INDEX(TabNames,ROW(A18))," ",CHAR(255)),"]",REPT(" ",32)),32))&amp;"'!A1",TRIM(RIGHT(SUBSTITUTE(SUBSTITUTE(INDEX(TabNames,ROW(A18))," ",CHAR(255)),"]",REPT(" ",32)),32))),CHAR(255)," "))</f>
        <v/>
      </c>
    </row>
    <row r="21" spans="2:2" s="2" customFormat="1" ht="27.95" customHeight="1" x14ac:dyDescent="0.25">
      <c r="B21" s="46" t="str">
        <f ca="1">IF(ROW(A19)&gt;_xlfn.SHEETS(),REPT(NOW(),),SUBSTITUTE(HYPERLINK("#'"&amp;TRIM(RIGHT(SUBSTITUTE(SUBSTITUTE(INDEX(TabNames,ROW(A19))," ",CHAR(255)),"]",REPT(" ",32)),32))&amp;"'!A1",TRIM(RIGHT(SUBSTITUTE(SUBSTITUTE(INDEX(TabNames,ROW(A19))," ",CHAR(255)),"]",REPT(" ",32)),32))),CHAR(255)," "))</f>
        <v/>
      </c>
    </row>
    <row r="22" spans="2:2" s="2" customFormat="1" ht="27.95" customHeight="1" x14ac:dyDescent="0.25">
      <c r="B22" s="46" t="str">
        <f ca="1">IF(ROW(A20)&gt;_xlfn.SHEETS(),REPT(NOW(),),SUBSTITUTE(HYPERLINK("#'"&amp;TRIM(RIGHT(SUBSTITUTE(SUBSTITUTE(INDEX(TabNames,ROW(A20))," ",CHAR(255)),"]",REPT(" ",32)),32))&amp;"'!A1",TRIM(RIGHT(SUBSTITUTE(SUBSTITUTE(INDEX(TabNames,ROW(A20))," ",CHAR(255)),"]",REPT(" ",32)),32))),CHAR(255)," "))</f>
        <v/>
      </c>
    </row>
    <row r="23" spans="2:2" s="2" customFormat="1" ht="27.95" customHeight="1" x14ac:dyDescent="0.25">
      <c r="B23" s="46" t="str">
        <f ca="1">IF(ROW(A21)&gt;_xlfn.SHEETS(),REPT(NOW(),),SUBSTITUTE(HYPERLINK("#'"&amp;TRIM(RIGHT(SUBSTITUTE(SUBSTITUTE(INDEX(TabNames,ROW(A21))," ",CHAR(255)),"]",REPT(" ",32)),32))&amp;"'!A1",TRIM(RIGHT(SUBSTITUTE(SUBSTITUTE(INDEX(TabNames,ROW(A21))," ",CHAR(255)),"]",REPT(" ",32)),32))),CHAR(255)," "))</f>
        <v/>
      </c>
    </row>
    <row r="24" spans="2:2" s="2" customFormat="1" ht="27.95" customHeight="1" x14ac:dyDescent="0.25">
      <c r="B24" s="46" t="str">
        <f ca="1">IF(ROW(A22)&gt;_xlfn.SHEETS(),REPT(NOW(),),SUBSTITUTE(HYPERLINK("#'"&amp;TRIM(RIGHT(SUBSTITUTE(SUBSTITUTE(INDEX(TabNames,ROW(A22))," ",CHAR(255)),"]",REPT(" ",32)),32))&amp;"'!A1",TRIM(RIGHT(SUBSTITUTE(SUBSTITUTE(INDEX(TabNames,ROW(A22))," ",CHAR(255)),"]",REPT(" ",32)),32))),CHAR(255)," "))</f>
        <v/>
      </c>
    </row>
    <row r="25" spans="2:2" s="2" customFormat="1" ht="27.95" customHeight="1" x14ac:dyDescent="0.25">
      <c r="B25" s="46" t="str">
        <f ca="1">IF(ROW(A23)&gt;_xlfn.SHEETS(),REPT(NOW(),),SUBSTITUTE(HYPERLINK("#'"&amp;TRIM(RIGHT(SUBSTITUTE(SUBSTITUTE(INDEX(TabNames,ROW(A23))," ",CHAR(255)),"]",REPT(" ",32)),32))&amp;"'!A1",TRIM(RIGHT(SUBSTITUTE(SUBSTITUTE(INDEX(TabNames,ROW(A23))," ",CHAR(255)),"]",REPT(" ",32)),32))),CHAR(255)," "))</f>
        <v/>
      </c>
    </row>
    <row r="26" spans="2:2" s="2" customFormat="1" ht="27.95" customHeight="1" x14ac:dyDescent="0.25">
      <c r="B26" s="46" t="str">
        <f ca="1">IF(ROW(A24)&gt;_xlfn.SHEETS(),REPT(NOW(),),SUBSTITUTE(HYPERLINK("#'"&amp;TRIM(RIGHT(SUBSTITUTE(SUBSTITUTE(INDEX(TabNames,ROW(A24))," ",CHAR(255)),"]",REPT(" ",32)),32))&amp;"'!A1",TRIM(RIGHT(SUBSTITUTE(SUBSTITUTE(INDEX(TabNames,ROW(A24))," ",CHAR(255)),"]",REPT(" ",32)),32))),CHAR(255)," "))</f>
        <v/>
      </c>
    </row>
    <row r="27" spans="2:2" s="2" customFormat="1" ht="27.95" customHeight="1" x14ac:dyDescent="0.25">
      <c r="B27" s="46" t="str">
        <f ca="1">IF(ROW(A25)&gt;_xlfn.SHEETS(),REPT(NOW(),),SUBSTITUTE(HYPERLINK("#'"&amp;TRIM(RIGHT(SUBSTITUTE(SUBSTITUTE(INDEX(TabNames,ROW(A25))," ",CHAR(255)),"]",REPT(" ",32)),32))&amp;"'!A1",TRIM(RIGHT(SUBSTITUTE(SUBSTITUTE(INDEX(TabNames,ROW(A25))," ",CHAR(255)),"]",REPT(" ",32)),32))),CHAR(255)," "))</f>
        <v/>
      </c>
    </row>
    <row r="28" spans="2:2" s="2" customFormat="1" ht="27.95" customHeight="1" x14ac:dyDescent="0.25">
      <c r="B28" s="46" t="str">
        <f ca="1">IF(ROW(A26)&gt;_xlfn.SHEETS(),REPT(NOW(),),SUBSTITUTE(HYPERLINK("#'"&amp;TRIM(RIGHT(SUBSTITUTE(SUBSTITUTE(INDEX(TabNames,ROW(A26))," ",CHAR(255)),"]",REPT(" ",32)),32))&amp;"'!A1",TRIM(RIGHT(SUBSTITUTE(SUBSTITUTE(INDEX(TabNames,ROW(A26))," ",CHAR(255)),"]",REPT(" ",32)),32))),CHAR(255)," "))</f>
        <v/>
      </c>
    </row>
    <row r="29" spans="2:2" s="2" customFormat="1" ht="27.95" customHeight="1" x14ac:dyDescent="0.25">
      <c r="B29" s="46" t="str">
        <f ca="1">IF(ROW(A27)&gt;_xlfn.SHEETS(),REPT(NOW(),),SUBSTITUTE(HYPERLINK("#'"&amp;TRIM(RIGHT(SUBSTITUTE(SUBSTITUTE(INDEX(TabNames,ROW(A27))," ",CHAR(255)),"]",REPT(" ",32)),32))&amp;"'!A1",TRIM(RIGHT(SUBSTITUTE(SUBSTITUTE(INDEX(TabNames,ROW(A27))," ",CHAR(255)),"]",REPT(" ",32)),32))),CHAR(255)," "))</f>
        <v/>
      </c>
    </row>
    <row r="30" spans="2:2" s="2" customFormat="1" ht="27.95" customHeight="1" x14ac:dyDescent="0.25">
      <c r="B30" s="46" t="str">
        <f ca="1">IF(ROW(A28)&gt;_xlfn.SHEETS(),REPT(NOW(),),SUBSTITUTE(HYPERLINK("#'"&amp;TRIM(RIGHT(SUBSTITUTE(SUBSTITUTE(INDEX(TabNames,ROW(A28))," ",CHAR(255)),"]",REPT(" ",32)),32))&amp;"'!A1",TRIM(RIGHT(SUBSTITUTE(SUBSTITUTE(INDEX(TabNames,ROW(A28))," ",CHAR(255)),"]",REPT(" ",32)),32))),CHAR(255)," "))</f>
        <v/>
      </c>
    </row>
    <row r="31" spans="2:2" s="2" customFormat="1" ht="27.95" customHeight="1" x14ac:dyDescent="0.25">
      <c r="B31" s="46" t="str">
        <f ca="1">IF(ROW(A29)&gt;_xlfn.SHEETS(),REPT(NOW(),),SUBSTITUTE(HYPERLINK("#'"&amp;TRIM(RIGHT(SUBSTITUTE(SUBSTITUTE(INDEX(TabNames,ROW(A29))," ",CHAR(255)),"]",REPT(" ",32)),32))&amp;"'!A1",TRIM(RIGHT(SUBSTITUTE(SUBSTITUTE(INDEX(TabNames,ROW(A29))," ",CHAR(255)),"]",REPT(" ",32)),32))),CHAR(255)," "))</f>
        <v/>
      </c>
    </row>
    <row r="32" spans="2:2" s="2" customFormat="1" ht="27.95" customHeight="1" x14ac:dyDescent="0.25"/>
    <row r="33" s="2" customFormat="1" ht="27.95" customHeight="1" x14ac:dyDescent="0.25"/>
    <row r="34" s="2" customFormat="1" ht="27.95" customHeight="1" x14ac:dyDescent="0.25"/>
    <row r="35" s="2" customFormat="1" ht="27.95" customHeight="1" x14ac:dyDescent="0.25"/>
    <row r="36" s="2" customFormat="1" ht="27.95" customHeight="1" x14ac:dyDescent="0.25"/>
    <row r="37" s="2" customFormat="1" ht="27.95" customHeight="1" x14ac:dyDescent="0.25"/>
    <row r="38" s="2" customFormat="1" ht="27.95" customHeight="1" x14ac:dyDescent="0.25"/>
    <row r="39" s="2" customFormat="1" ht="27.95" customHeight="1" x14ac:dyDescent="0.25"/>
    <row r="40" s="2" customFormat="1" ht="27.95" customHeight="1" x14ac:dyDescent="0.25"/>
    <row r="41" s="2" customFormat="1" ht="27.95" customHeight="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776A3-7321-43D5-990D-4E235D171019}">
  <sheetPr codeName="Sheet2"/>
  <dimension ref="B1:E107"/>
  <sheetViews>
    <sheetView showGridLines="0" tabSelected="1" topLeftCell="A48" zoomScaleNormal="100" workbookViewId="0">
      <selection activeCell="B67" sqref="B67"/>
    </sheetView>
  </sheetViews>
  <sheetFormatPr defaultRowHeight="14.25" x14ac:dyDescent="0.25"/>
  <cols>
    <col min="1" max="1" width="1.5703125" style="1" customWidth="1"/>
    <col min="2" max="2" width="8.42578125" style="6" customWidth="1"/>
    <col min="3" max="3" width="39.5703125" style="12" customWidth="1"/>
    <col min="4" max="4" width="26.7109375" style="1" customWidth="1"/>
    <col min="5" max="5" width="62.140625" style="12" customWidth="1"/>
    <col min="6" max="16384" width="9.140625" style="1"/>
  </cols>
  <sheetData>
    <row r="1" spans="2:5" ht="7.5" customHeight="1" x14ac:dyDescent="0.25"/>
    <row r="2" spans="2:5" s="2" customFormat="1" ht="27.95" customHeight="1" x14ac:dyDescent="0.25">
      <c r="B2" s="98" t="s">
        <v>297</v>
      </c>
      <c r="C2" s="3" t="s">
        <v>298</v>
      </c>
      <c r="D2" s="2" t="s">
        <v>299</v>
      </c>
      <c r="E2" s="3" t="s">
        <v>300</v>
      </c>
    </row>
    <row r="3" spans="2:5" s="2" customFormat="1" ht="27.95" customHeight="1" x14ac:dyDescent="0.25">
      <c r="B3" s="4" t="s">
        <v>91</v>
      </c>
      <c r="C3" s="3" t="s">
        <v>85</v>
      </c>
      <c r="D3" s="2" t="s">
        <v>301</v>
      </c>
      <c r="E3" s="3"/>
    </row>
    <row r="4" spans="2:5" s="2" customFormat="1" ht="27.95" customHeight="1" x14ac:dyDescent="0.25">
      <c r="B4" s="4" t="s">
        <v>91</v>
      </c>
      <c r="C4" s="3" t="s">
        <v>86</v>
      </c>
      <c r="D4" s="2" t="s">
        <v>301</v>
      </c>
      <c r="E4" s="3"/>
    </row>
    <row r="5" spans="2:5" s="2" customFormat="1" ht="27.95" customHeight="1" x14ac:dyDescent="0.25">
      <c r="B5" s="4" t="s">
        <v>91</v>
      </c>
      <c r="C5" s="3" t="s">
        <v>87</v>
      </c>
      <c r="D5" s="2" t="s">
        <v>74</v>
      </c>
      <c r="E5" s="3"/>
    </row>
    <row r="6" spans="2:5" s="2" customFormat="1" ht="27.95" customHeight="1" x14ac:dyDescent="0.25">
      <c r="B6" s="4" t="s">
        <v>91</v>
      </c>
      <c r="C6" s="3" t="s">
        <v>89</v>
      </c>
      <c r="D6" s="2" t="s">
        <v>301</v>
      </c>
      <c r="E6" s="3"/>
    </row>
    <row r="7" spans="2:5" s="2" customFormat="1" ht="27.95" customHeight="1" x14ac:dyDescent="0.25">
      <c r="B7" s="4" t="s">
        <v>91</v>
      </c>
      <c r="C7" s="3" t="s">
        <v>93</v>
      </c>
      <c r="D7" s="2" t="s">
        <v>301</v>
      </c>
      <c r="E7" s="3"/>
    </row>
    <row r="8" spans="2:5" s="2" customFormat="1" ht="27.95" customHeight="1" x14ac:dyDescent="0.25">
      <c r="B8" s="4" t="s">
        <v>91</v>
      </c>
      <c r="C8" s="3" t="s">
        <v>94</v>
      </c>
      <c r="D8" s="2" t="s">
        <v>301</v>
      </c>
      <c r="E8" s="3"/>
    </row>
    <row r="9" spans="2:5" s="2" customFormat="1" ht="27.95" customHeight="1" x14ac:dyDescent="0.25">
      <c r="B9" s="4" t="s">
        <v>91</v>
      </c>
      <c r="C9" s="3" t="s">
        <v>97</v>
      </c>
      <c r="D9" s="2" t="s">
        <v>301</v>
      </c>
      <c r="E9" s="3"/>
    </row>
    <row r="10" spans="2:5" s="2" customFormat="1" ht="27.95" customHeight="1" x14ac:dyDescent="0.25">
      <c r="B10" s="4" t="s">
        <v>91</v>
      </c>
      <c r="C10" s="3" t="s">
        <v>96</v>
      </c>
      <c r="D10" s="2" t="s">
        <v>301</v>
      </c>
      <c r="E10" s="3"/>
    </row>
    <row r="11" spans="2:5" s="2" customFormat="1" ht="27.95" customHeight="1" x14ac:dyDescent="0.25">
      <c r="B11" s="4" t="s">
        <v>91</v>
      </c>
      <c r="C11" s="3" t="s">
        <v>101</v>
      </c>
      <c r="D11" s="2" t="s">
        <v>301</v>
      </c>
      <c r="E11" s="3"/>
    </row>
    <row r="12" spans="2:5" s="2" customFormat="1" ht="27.95" customHeight="1" x14ac:dyDescent="0.25">
      <c r="B12" s="4" t="s">
        <v>91</v>
      </c>
      <c r="C12" s="3" t="s">
        <v>102</v>
      </c>
      <c r="D12" s="2" t="s">
        <v>303</v>
      </c>
      <c r="E12" s="3"/>
    </row>
    <row r="13" spans="2:5" s="2" customFormat="1" ht="27.95" customHeight="1" x14ac:dyDescent="0.25">
      <c r="B13" s="4" t="s">
        <v>91</v>
      </c>
      <c r="C13" s="3" t="s">
        <v>110</v>
      </c>
      <c r="D13" s="2" t="s">
        <v>304</v>
      </c>
      <c r="E13" s="3"/>
    </row>
    <row r="14" spans="2:5" s="2" customFormat="1" ht="27.95" customHeight="1" x14ac:dyDescent="0.25">
      <c r="B14" s="4" t="s">
        <v>91</v>
      </c>
      <c r="C14" s="3" t="s">
        <v>281</v>
      </c>
      <c r="D14" s="2" t="s">
        <v>305</v>
      </c>
      <c r="E14" s="3" t="s">
        <v>306</v>
      </c>
    </row>
    <row r="15" spans="2:5" s="2" customFormat="1" ht="27.95" customHeight="1" x14ac:dyDescent="0.25">
      <c r="B15" s="4" t="s">
        <v>91</v>
      </c>
      <c r="C15" s="3" t="s">
        <v>486</v>
      </c>
      <c r="E15" s="3"/>
    </row>
    <row r="16" spans="2:5" s="2" customFormat="1" ht="27.95" customHeight="1" x14ac:dyDescent="0.25">
      <c r="B16" s="4" t="s">
        <v>91</v>
      </c>
      <c r="C16" s="3" t="s">
        <v>302</v>
      </c>
      <c r="D16" s="2" t="s">
        <v>475</v>
      </c>
      <c r="E16" s="3" t="s">
        <v>476</v>
      </c>
    </row>
    <row r="17" spans="2:5" s="2" customFormat="1" ht="27.95" customHeight="1" x14ac:dyDescent="0.25">
      <c r="B17" s="4" t="s">
        <v>91</v>
      </c>
      <c r="C17" s="3" t="s">
        <v>100</v>
      </c>
      <c r="D17" s="2" t="s">
        <v>301</v>
      </c>
      <c r="E17" s="3"/>
    </row>
    <row r="18" spans="2:5" s="2" customFormat="1" ht="27.95" customHeight="1" x14ac:dyDescent="0.25">
      <c r="B18" s="4" t="s">
        <v>91</v>
      </c>
      <c r="C18" s="3" t="s">
        <v>280</v>
      </c>
      <c r="D18" s="2" t="s">
        <v>303</v>
      </c>
      <c r="E18" s="3"/>
    </row>
    <row r="19" spans="2:5" s="2" customFormat="1" ht="27.95" customHeight="1" x14ac:dyDescent="0.25">
      <c r="B19" s="4" t="s">
        <v>91</v>
      </c>
      <c r="C19" s="3" t="s">
        <v>477</v>
      </c>
      <c r="D19" s="2" t="s">
        <v>301</v>
      </c>
      <c r="E19" s="3"/>
    </row>
    <row r="20" spans="2:5" s="2" customFormat="1" ht="27.95" customHeight="1" x14ac:dyDescent="0.25">
      <c r="B20" s="4" t="s">
        <v>91</v>
      </c>
      <c r="C20" s="3" t="s">
        <v>283</v>
      </c>
      <c r="D20" s="2" t="s">
        <v>301</v>
      </c>
      <c r="E20" s="3"/>
    </row>
    <row r="21" spans="2:5" s="2" customFormat="1" ht="27.95" customHeight="1" x14ac:dyDescent="0.25">
      <c r="B21" s="4" t="s">
        <v>91</v>
      </c>
      <c r="C21" s="3" t="s">
        <v>331</v>
      </c>
      <c r="D21" s="2" t="s">
        <v>327</v>
      </c>
      <c r="E21" s="3"/>
    </row>
    <row r="22" spans="2:5" s="2" customFormat="1" ht="27.95" customHeight="1" x14ac:dyDescent="0.25">
      <c r="B22" s="4" t="s">
        <v>91</v>
      </c>
      <c r="C22" s="3" t="s">
        <v>478</v>
      </c>
      <c r="D22" s="2" t="s">
        <v>301</v>
      </c>
      <c r="E22" s="3"/>
    </row>
    <row r="23" spans="2:5" s="2" customFormat="1" ht="27.95" customHeight="1" x14ac:dyDescent="0.25">
      <c r="B23" s="4" t="s">
        <v>91</v>
      </c>
      <c r="C23" s="3" t="s">
        <v>502</v>
      </c>
      <c r="D23" s="2" t="s">
        <v>305</v>
      </c>
      <c r="E23" s="3" t="s">
        <v>508</v>
      </c>
    </row>
    <row r="24" spans="2:5" s="2" customFormat="1" ht="27.95" customHeight="1" x14ac:dyDescent="0.25">
      <c r="B24" s="4" t="s">
        <v>91</v>
      </c>
      <c r="C24" s="3" t="s">
        <v>522</v>
      </c>
      <c r="E24" s="3" t="s">
        <v>523</v>
      </c>
    </row>
    <row r="25" spans="2:5" s="2" customFormat="1" ht="27.95" customHeight="1" x14ac:dyDescent="0.25">
      <c r="B25" s="4" t="s">
        <v>91</v>
      </c>
      <c r="C25" s="3" t="s">
        <v>534</v>
      </c>
      <c r="E25" s="3"/>
    </row>
    <row r="26" spans="2:5" s="2" customFormat="1" ht="27.95" customHeight="1" x14ac:dyDescent="0.25">
      <c r="B26" s="4" t="s">
        <v>91</v>
      </c>
      <c r="C26" s="3" t="s">
        <v>538</v>
      </c>
      <c r="E26" s="3"/>
    </row>
    <row r="27" spans="2:5" s="2" customFormat="1" ht="27.95" customHeight="1" x14ac:dyDescent="0.25">
      <c r="B27" s="4" t="s">
        <v>91</v>
      </c>
      <c r="C27" s="3" t="s">
        <v>580</v>
      </c>
      <c r="E27" s="3" t="s">
        <v>581</v>
      </c>
    </row>
    <row r="28" spans="2:5" s="2" customFormat="1" ht="27.95" customHeight="1" x14ac:dyDescent="0.25">
      <c r="B28" s="4" t="s">
        <v>91</v>
      </c>
      <c r="C28" s="3" t="s">
        <v>663</v>
      </c>
      <c r="E28" s="3"/>
    </row>
    <row r="29" spans="2:5" s="2" customFormat="1" ht="27.95" customHeight="1" x14ac:dyDescent="0.25">
      <c r="B29" s="4" t="s">
        <v>91</v>
      </c>
      <c r="C29" s="3" t="s">
        <v>90</v>
      </c>
      <c r="D29" s="2" t="s">
        <v>76</v>
      </c>
      <c r="E29" s="3"/>
    </row>
    <row r="30" spans="2:5" s="2" customFormat="1" ht="27.95" customHeight="1" x14ac:dyDescent="0.25">
      <c r="B30" s="4" t="s">
        <v>91</v>
      </c>
      <c r="C30" s="3" t="s">
        <v>282</v>
      </c>
      <c r="D30" s="2" t="s">
        <v>305</v>
      </c>
      <c r="E30" s="3" t="s">
        <v>306</v>
      </c>
    </row>
    <row r="31" spans="2:5" s="2" customFormat="1" ht="27.95" customHeight="1" x14ac:dyDescent="0.25">
      <c r="B31" s="4" t="s">
        <v>91</v>
      </c>
      <c r="C31" s="3" t="s">
        <v>664</v>
      </c>
      <c r="D31" s="2" t="s">
        <v>301</v>
      </c>
      <c r="E31" s="3"/>
    </row>
    <row r="32" spans="2:5" s="2" customFormat="1" ht="27.95" customHeight="1" x14ac:dyDescent="0.25">
      <c r="B32" s="4" t="s">
        <v>91</v>
      </c>
      <c r="C32" s="3" t="s">
        <v>672</v>
      </c>
      <c r="E32" s="3"/>
    </row>
    <row r="33" spans="2:5" s="2" customFormat="1" ht="27.95" customHeight="1" x14ac:dyDescent="0.25">
      <c r="B33" s="4" t="s">
        <v>91</v>
      </c>
      <c r="C33" s="3" t="s">
        <v>673</v>
      </c>
      <c r="E33" s="3"/>
    </row>
    <row r="34" spans="2:5" s="2" customFormat="1" ht="27.95" customHeight="1" x14ac:dyDescent="0.25">
      <c r="B34" s="4" t="s">
        <v>91</v>
      </c>
      <c r="C34" s="3" t="s">
        <v>662</v>
      </c>
      <c r="E34" s="3"/>
    </row>
    <row r="35" spans="2:5" s="2" customFormat="1" ht="27.95" customHeight="1" x14ac:dyDescent="0.25">
      <c r="B35" s="4" t="s">
        <v>91</v>
      </c>
      <c r="C35" s="3" t="s">
        <v>667</v>
      </c>
      <c r="E35" s="3"/>
    </row>
    <row r="36" spans="2:5" s="2" customFormat="1" ht="27.95" customHeight="1" x14ac:dyDescent="0.25">
      <c r="B36" s="4" t="s">
        <v>91</v>
      </c>
      <c r="C36" s="3" t="s">
        <v>670</v>
      </c>
      <c r="E36" s="3"/>
    </row>
    <row r="37" spans="2:5" s="2" customFormat="1" ht="27.95" customHeight="1" x14ac:dyDescent="0.25">
      <c r="B37" s="4" t="s">
        <v>91</v>
      </c>
      <c r="C37" s="3" t="s">
        <v>671</v>
      </c>
      <c r="E37" s="3"/>
    </row>
    <row r="38" spans="2:5" s="2" customFormat="1" ht="27.95" customHeight="1" x14ac:dyDescent="0.25">
      <c r="B38" s="4" t="s">
        <v>91</v>
      </c>
      <c r="C38" s="3" t="s">
        <v>696</v>
      </c>
      <c r="E38" s="3"/>
    </row>
    <row r="39" spans="2:5" s="2" customFormat="1" ht="27.95" customHeight="1" x14ac:dyDescent="0.25">
      <c r="B39" s="4" t="s">
        <v>91</v>
      </c>
      <c r="C39" s="3" t="s">
        <v>697</v>
      </c>
      <c r="E39" s="3"/>
    </row>
    <row r="40" spans="2:5" s="2" customFormat="1" ht="27.95" customHeight="1" x14ac:dyDescent="0.25">
      <c r="B40" s="4" t="s">
        <v>91</v>
      </c>
      <c r="C40" s="3" t="s">
        <v>774</v>
      </c>
      <c r="E40" s="3" t="s">
        <v>775</v>
      </c>
    </row>
    <row r="41" spans="2:5" s="2" customFormat="1" ht="27.95" customHeight="1" x14ac:dyDescent="0.25">
      <c r="B41" s="4" t="s">
        <v>91</v>
      </c>
      <c r="C41" s="3" t="s">
        <v>783</v>
      </c>
      <c r="E41" s="3"/>
    </row>
    <row r="42" spans="2:5" s="2" customFormat="1" ht="27.95" customHeight="1" x14ac:dyDescent="0.25">
      <c r="B42" s="4" t="s">
        <v>91</v>
      </c>
      <c r="C42" s="3" t="s">
        <v>784</v>
      </c>
      <c r="E42" s="3"/>
    </row>
    <row r="43" spans="2:5" s="2" customFormat="1" ht="27.95" customHeight="1" x14ac:dyDescent="0.25">
      <c r="B43" s="4" t="s">
        <v>91</v>
      </c>
      <c r="C43" s="3" t="s">
        <v>878</v>
      </c>
      <c r="E43" s="3"/>
    </row>
    <row r="44" spans="2:5" s="2" customFormat="1" ht="27.95" customHeight="1" x14ac:dyDescent="0.25">
      <c r="B44" s="4" t="s">
        <v>91</v>
      </c>
      <c r="C44" s="3" t="s">
        <v>869</v>
      </c>
      <c r="D44" s="66"/>
      <c r="E44" s="3"/>
    </row>
    <row r="45" spans="2:5" s="2" customFormat="1" ht="27.95" customHeight="1" x14ac:dyDescent="0.25">
      <c r="B45" s="4" t="s">
        <v>91</v>
      </c>
      <c r="C45" s="3" t="s">
        <v>874</v>
      </c>
      <c r="D45" s="66"/>
      <c r="E45" s="78" t="s">
        <v>877</v>
      </c>
    </row>
    <row r="46" spans="2:5" s="2" customFormat="1" ht="27.95" customHeight="1" x14ac:dyDescent="0.25">
      <c r="B46" s="4" t="s">
        <v>91</v>
      </c>
      <c r="C46" s="3" t="s">
        <v>875</v>
      </c>
      <c r="D46" s="66"/>
      <c r="E46" s="78" t="s">
        <v>877</v>
      </c>
    </row>
    <row r="47" spans="2:5" s="2" customFormat="1" ht="27.95" customHeight="1" x14ac:dyDescent="0.25">
      <c r="B47" s="4" t="s">
        <v>91</v>
      </c>
      <c r="C47" s="3" t="s">
        <v>876</v>
      </c>
      <c r="D47" s="66"/>
      <c r="E47" s="78" t="s">
        <v>877</v>
      </c>
    </row>
    <row r="48" spans="2:5" s="2" customFormat="1" ht="27.95" customHeight="1" x14ac:dyDescent="0.25">
      <c r="B48" s="4" t="s">
        <v>91</v>
      </c>
      <c r="C48" s="3" t="s">
        <v>880</v>
      </c>
      <c r="D48" s="66"/>
      <c r="E48" s="3"/>
    </row>
    <row r="49" spans="2:5" s="2" customFormat="1" ht="27.95" customHeight="1" x14ac:dyDescent="0.25">
      <c r="B49" s="4" t="s">
        <v>91</v>
      </c>
      <c r="C49" s="3" t="s">
        <v>881</v>
      </c>
      <c r="D49" s="66"/>
      <c r="E49" s="3"/>
    </row>
    <row r="50" spans="2:5" s="2" customFormat="1" ht="27.95" customHeight="1" x14ac:dyDescent="0.25">
      <c r="B50" s="4" t="s">
        <v>91</v>
      </c>
      <c r="C50" s="3" t="s">
        <v>883</v>
      </c>
      <c r="D50" s="66"/>
      <c r="E50" s="3"/>
    </row>
    <row r="51" spans="2:5" s="2" customFormat="1" ht="27.95" customHeight="1" x14ac:dyDescent="0.25">
      <c r="B51" s="4" t="s">
        <v>91</v>
      </c>
      <c r="C51" s="3" t="s">
        <v>884</v>
      </c>
      <c r="D51" s="66"/>
      <c r="E51" s="3" t="s">
        <v>885</v>
      </c>
    </row>
    <row r="52" spans="2:5" s="2" customFormat="1" ht="27.95" customHeight="1" x14ac:dyDescent="0.25">
      <c r="B52" s="4" t="s">
        <v>91</v>
      </c>
      <c r="C52" s="3" t="s">
        <v>1076</v>
      </c>
      <c r="D52" s="66"/>
      <c r="E52" s="3"/>
    </row>
    <row r="53" spans="2:5" s="2" customFormat="1" ht="27.95" customHeight="1" x14ac:dyDescent="0.25">
      <c r="B53" s="4" t="s">
        <v>91</v>
      </c>
      <c r="C53" s="3" t="s">
        <v>1077</v>
      </c>
      <c r="D53" s="66"/>
      <c r="E53" s="3"/>
    </row>
    <row r="54" spans="2:5" s="2" customFormat="1" ht="27.95" customHeight="1" x14ac:dyDescent="0.25">
      <c r="B54" s="4" t="s">
        <v>91</v>
      </c>
      <c r="C54" s="3" t="s">
        <v>1080</v>
      </c>
      <c r="D54" s="66"/>
      <c r="E54" s="3"/>
    </row>
    <row r="55" spans="2:5" s="2" customFormat="1" ht="27.95" customHeight="1" x14ac:dyDescent="0.25">
      <c r="B55" s="4" t="s">
        <v>91</v>
      </c>
      <c r="C55" s="3" t="s">
        <v>668</v>
      </c>
      <c r="D55" s="66"/>
      <c r="E55" s="3"/>
    </row>
    <row r="56" spans="2:5" s="2" customFormat="1" ht="27.95" customHeight="1" x14ac:dyDescent="0.25">
      <c r="B56" s="4" t="s">
        <v>91</v>
      </c>
      <c r="C56" s="3" t="s">
        <v>872</v>
      </c>
      <c r="D56" s="66"/>
      <c r="E56" s="3"/>
    </row>
    <row r="57" spans="2:5" s="2" customFormat="1" ht="27.95" customHeight="1" x14ac:dyDescent="0.25">
      <c r="B57" s="4" t="s">
        <v>91</v>
      </c>
      <c r="C57" s="3" t="s">
        <v>882</v>
      </c>
      <c r="D57" s="66"/>
      <c r="E57" s="3"/>
    </row>
    <row r="58" spans="2:5" s="2" customFormat="1" ht="27.95" customHeight="1" x14ac:dyDescent="0.25">
      <c r="B58" s="4" t="s">
        <v>91</v>
      </c>
      <c r="C58" s="3" t="s">
        <v>1122</v>
      </c>
      <c r="D58" s="66"/>
      <c r="E58" s="3"/>
    </row>
    <row r="59" spans="2:5" s="2" customFormat="1" ht="27.95" customHeight="1" x14ac:dyDescent="0.25">
      <c r="B59" s="4" t="s">
        <v>91</v>
      </c>
      <c r="C59" s="3" t="s">
        <v>1123</v>
      </c>
      <c r="D59" s="66"/>
      <c r="E59" s="3"/>
    </row>
    <row r="60" spans="2:5" s="2" customFormat="1" ht="27.95" customHeight="1" x14ac:dyDescent="0.25">
      <c r="B60" s="4" t="s">
        <v>91</v>
      </c>
      <c r="C60" s="3" t="s">
        <v>1124</v>
      </c>
      <c r="D60" s="66"/>
      <c r="E60" s="3"/>
    </row>
    <row r="61" spans="2:5" s="2" customFormat="1" ht="27.95" customHeight="1" x14ac:dyDescent="0.25">
      <c r="B61" s="4" t="s">
        <v>91</v>
      </c>
      <c r="C61" s="3" t="s">
        <v>1126</v>
      </c>
      <c r="D61" s="66"/>
      <c r="E61" s="3"/>
    </row>
    <row r="62" spans="2:5" s="2" customFormat="1" ht="27.95" customHeight="1" x14ac:dyDescent="0.25">
      <c r="B62" s="4" t="s">
        <v>91</v>
      </c>
      <c r="C62" s="3" t="s">
        <v>1127</v>
      </c>
      <c r="D62" s="66"/>
      <c r="E62" s="3"/>
    </row>
    <row r="63" spans="2:5" s="2" customFormat="1" ht="27.95" customHeight="1" x14ac:dyDescent="0.25">
      <c r="B63" s="4" t="s">
        <v>91</v>
      </c>
      <c r="C63" s="3" t="s">
        <v>1146</v>
      </c>
      <c r="D63" s="66"/>
      <c r="E63" s="3"/>
    </row>
    <row r="64" spans="2:5" s="2" customFormat="1" ht="27.95" customHeight="1" x14ac:dyDescent="0.25">
      <c r="B64" s="4" t="s">
        <v>91</v>
      </c>
      <c r="C64" s="3" t="s">
        <v>1153</v>
      </c>
      <c r="D64" s="66"/>
      <c r="E64" s="3"/>
    </row>
    <row r="65" spans="2:5" s="2" customFormat="1" ht="27.95" customHeight="1" x14ac:dyDescent="0.25">
      <c r="B65" s="4" t="s">
        <v>91</v>
      </c>
      <c r="C65" s="3" t="s">
        <v>1160</v>
      </c>
      <c r="D65" s="66"/>
      <c r="E65" s="3"/>
    </row>
    <row r="66" spans="2:5" s="2" customFormat="1" ht="27.95" customHeight="1" x14ac:dyDescent="0.25">
      <c r="B66" s="4" t="s">
        <v>91</v>
      </c>
      <c r="C66" s="3" t="s">
        <v>669</v>
      </c>
      <c r="D66" s="66"/>
      <c r="E66" s="3"/>
    </row>
    <row r="67" spans="2:5" s="2" customFormat="1" ht="27.95" customHeight="1" x14ac:dyDescent="0.25">
      <c r="B67" s="4"/>
      <c r="C67" s="3" t="s">
        <v>868</v>
      </c>
      <c r="D67" s="66"/>
      <c r="E67" s="78" t="s">
        <v>873</v>
      </c>
    </row>
    <row r="68" spans="2:5" s="2" customFormat="1" ht="27.95" customHeight="1" x14ac:dyDescent="0.25">
      <c r="B68" s="4"/>
      <c r="C68" s="3" t="s">
        <v>870</v>
      </c>
      <c r="D68" s="66"/>
      <c r="E68" s="3"/>
    </row>
    <row r="69" spans="2:5" s="2" customFormat="1" ht="27.95" customHeight="1" x14ac:dyDescent="0.25">
      <c r="B69" s="4"/>
      <c r="C69" s="3" t="s">
        <v>871</v>
      </c>
      <c r="D69" s="66"/>
      <c r="E69" s="3"/>
    </row>
    <row r="70" spans="2:5" s="2" customFormat="1" ht="27.95" customHeight="1" x14ac:dyDescent="0.25">
      <c r="B70" s="4"/>
      <c r="C70" s="3" t="s">
        <v>879</v>
      </c>
      <c r="D70" s="66"/>
      <c r="E70" s="3"/>
    </row>
    <row r="71" spans="2:5" s="66" customFormat="1" ht="27.95" customHeight="1" x14ac:dyDescent="0.25">
      <c r="B71" s="4"/>
      <c r="C71" s="3" t="s">
        <v>1125</v>
      </c>
      <c r="E71" s="3"/>
    </row>
    <row r="72" spans="2:5" s="2" customFormat="1" ht="27.95" customHeight="1" x14ac:dyDescent="0.25">
      <c r="B72" s="4" t="s">
        <v>91</v>
      </c>
      <c r="C72" s="3" t="s">
        <v>1147</v>
      </c>
      <c r="D72" s="66"/>
      <c r="E72" s="3"/>
    </row>
    <row r="73" spans="2:5" s="2" customFormat="1" ht="27.95" customHeight="1" x14ac:dyDescent="0.25">
      <c r="B73" s="4"/>
      <c r="C73" s="3" t="s">
        <v>1163</v>
      </c>
      <c r="D73" s="66"/>
      <c r="E73" s="3"/>
    </row>
    <row r="74" spans="2:5" s="2" customFormat="1" ht="27.95" customHeight="1" x14ac:dyDescent="0.25">
      <c r="B74" s="4"/>
      <c r="C74" s="3" t="s">
        <v>1154</v>
      </c>
      <c r="D74" s="66"/>
      <c r="E74" s="3"/>
    </row>
    <row r="75" spans="2:5" s="2" customFormat="1" ht="27.95" customHeight="1" x14ac:dyDescent="0.25">
      <c r="B75" s="4"/>
      <c r="C75" s="3" t="s">
        <v>1161</v>
      </c>
      <c r="D75" s="66"/>
      <c r="E75" s="3"/>
    </row>
    <row r="76" spans="2:5" s="2" customFormat="1" ht="27.95" customHeight="1" x14ac:dyDescent="0.25">
      <c r="B76" s="4"/>
      <c r="C76" s="3" t="s">
        <v>1162</v>
      </c>
      <c r="D76" s="66"/>
      <c r="E76" s="3"/>
    </row>
    <row r="77" spans="2:5" s="2" customFormat="1" ht="27.95" customHeight="1" x14ac:dyDescent="0.25">
      <c r="B77" s="4" t="s">
        <v>91</v>
      </c>
      <c r="C77" s="3" t="s">
        <v>1176</v>
      </c>
      <c r="D77" s="66"/>
      <c r="E77" s="3"/>
    </row>
    <row r="78" spans="2:5" s="2" customFormat="1" ht="27.95" customHeight="1" x14ac:dyDescent="0.25">
      <c r="B78" s="4"/>
      <c r="C78" s="3"/>
      <c r="E78" s="3"/>
    </row>
    <row r="79" spans="2:5" s="2" customFormat="1" ht="27.95" customHeight="1" x14ac:dyDescent="0.25">
      <c r="B79" s="4"/>
      <c r="C79" s="3"/>
      <c r="E79" s="3"/>
    </row>
    <row r="80" spans="2:5" s="2" customFormat="1" ht="27.95" customHeight="1" x14ac:dyDescent="0.25">
      <c r="B80" s="4"/>
      <c r="C80" s="3"/>
      <c r="E80" s="3"/>
    </row>
    <row r="81" spans="2:5" s="2" customFormat="1" ht="27.95" customHeight="1" x14ac:dyDescent="0.25">
      <c r="B81" s="4"/>
      <c r="C81" s="3"/>
      <c r="E81" s="3"/>
    </row>
    <row r="82" spans="2:5" s="2" customFormat="1" ht="27.95" customHeight="1" x14ac:dyDescent="0.25">
      <c r="B82" s="4"/>
      <c r="C82" s="3"/>
      <c r="E82" s="3"/>
    </row>
    <row r="83" spans="2:5" s="2" customFormat="1" ht="27.95" customHeight="1" x14ac:dyDescent="0.25">
      <c r="B83" s="4"/>
      <c r="C83" s="3"/>
      <c r="E83" s="3"/>
    </row>
    <row r="84" spans="2:5" s="2" customFormat="1" ht="27.95" customHeight="1" x14ac:dyDescent="0.25">
      <c r="B84" s="4"/>
      <c r="C84" s="3"/>
      <c r="E84" s="3"/>
    </row>
    <row r="85" spans="2:5" s="2" customFormat="1" ht="27.95" customHeight="1" x14ac:dyDescent="0.25">
      <c r="B85" s="4"/>
      <c r="C85" s="3"/>
      <c r="E85" s="3"/>
    </row>
    <row r="86" spans="2:5" s="2" customFormat="1" ht="27.95" customHeight="1" x14ac:dyDescent="0.25">
      <c r="B86" s="4"/>
      <c r="C86" s="3"/>
      <c r="E86" s="3"/>
    </row>
    <row r="87" spans="2:5" s="2" customFormat="1" ht="27.95" customHeight="1" x14ac:dyDescent="0.25">
      <c r="B87" s="4"/>
      <c r="C87" s="3"/>
      <c r="E87" s="3"/>
    </row>
    <row r="88" spans="2:5" s="2" customFormat="1" ht="27.95" customHeight="1" x14ac:dyDescent="0.25">
      <c r="B88" s="4"/>
      <c r="C88" s="3"/>
      <c r="E88" s="3"/>
    </row>
    <row r="89" spans="2:5" s="2" customFormat="1" ht="27.95" customHeight="1" x14ac:dyDescent="0.25">
      <c r="B89" s="4"/>
      <c r="C89" s="3"/>
      <c r="E89" s="3"/>
    </row>
    <row r="90" spans="2:5" s="2" customFormat="1" ht="27.95" customHeight="1" x14ac:dyDescent="0.25">
      <c r="B90" s="4"/>
      <c r="C90" s="3"/>
      <c r="E90" s="3"/>
    </row>
    <row r="91" spans="2:5" s="2" customFormat="1" ht="27.95" customHeight="1" x14ac:dyDescent="0.25">
      <c r="B91" s="4"/>
      <c r="C91" s="3"/>
      <c r="E91" s="3"/>
    </row>
    <row r="92" spans="2:5" s="2" customFormat="1" ht="27.95" customHeight="1" x14ac:dyDescent="0.25">
      <c r="B92" s="4"/>
      <c r="C92" s="3"/>
      <c r="E92" s="3"/>
    </row>
    <row r="93" spans="2:5" s="2" customFormat="1" ht="27.95" customHeight="1" x14ac:dyDescent="0.25">
      <c r="B93" s="4"/>
      <c r="C93" s="3"/>
      <c r="E93" s="3"/>
    </row>
    <row r="94" spans="2:5" s="2" customFormat="1" ht="27.95" customHeight="1" x14ac:dyDescent="0.25">
      <c r="B94" s="4"/>
      <c r="C94" s="3"/>
      <c r="E94" s="3"/>
    </row>
    <row r="95" spans="2:5" s="2" customFormat="1" ht="27.95" customHeight="1" x14ac:dyDescent="0.25">
      <c r="B95" s="4"/>
      <c r="C95" s="3"/>
      <c r="E95" s="3"/>
    </row>
    <row r="96" spans="2:5" s="2" customFormat="1" ht="27.95" customHeight="1" x14ac:dyDescent="0.25">
      <c r="B96" s="4"/>
      <c r="C96" s="3"/>
      <c r="E96" s="3"/>
    </row>
    <row r="97" spans="2:5" s="2" customFormat="1" ht="27.95" customHeight="1" x14ac:dyDescent="0.25">
      <c r="B97" s="4"/>
      <c r="C97" s="3"/>
      <c r="E97" s="3"/>
    </row>
    <row r="98" spans="2:5" s="2" customFormat="1" ht="27.95" customHeight="1" x14ac:dyDescent="0.25">
      <c r="B98" s="4"/>
      <c r="C98" s="3"/>
      <c r="E98" s="3"/>
    </row>
    <row r="99" spans="2:5" s="2" customFormat="1" ht="27.95" customHeight="1" x14ac:dyDescent="0.25">
      <c r="B99" s="4"/>
      <c r="C99" s="3"/>
      <c r="E99" s="3"/>
    </row>
    <row r="100" spans="2:5" s="2" customFormat="1" ht="27.95" customHeight="1" x14ac:dyDescent="0.25">
      <c r="B100" s="4"/>
      <c r="C100" s="3"/>
      <c r="E100" s="3"/>
    </row>
    <row r="101" spans="2:5" s="2" customFormat="1" ht="27.95" customHeight="1" x14ac:dyDescent="0.25">
      <c r="B101" s="4"/>
      <c r="C101" s="3"/>
      <c r="E101" s="3"/>
    </row>
    <row r="102" spans="2:5" s="2" customFormat="1" ht="27.95" customHeight="1" x14ac:dyDescent="0.25">
      <c r="B102" s="4"/>
      <c r="C102" s="3"/>
      <c r="E102" s="3"/>
    </row>
    <row r="103" spans="2:5" s="2" customFormat="1" ht="27.95" customHeight="1" x14ac:dyDescent="0.25">
      <c r="B103" s="4"/>
      <c r="C103" s="3"/>
      <c r="E103" s="3"/>
    </row>
    <row r="104" spans="2:5" s="2" customFormat="1" ht="27.95" customHeight="1" x14ac:dyDescent="0.25">
      <c r="B104" s="4"/>
      <c r="C104" s="3"/>
      <c r="E104" s="3"/>
    </row>
    <row r="105" spans="2:5" s="2" customFormat="1" ht="27.95" customHeight="1" x14ac:dyDescent="0.25">
      <c r="B105" s="4"/>
      <c r="C105" s="3"/>
      <c r="E105" s="3"/>
    </row>
    <row r="106" spans="2:5" s="2" customFormat="1" ht="27.95" customHeight="1" x14ac:dyDescent="0.25">
      <c r="B106" s="4"/>
      <c r="C106" s="3"/>
      <c r="E106" s="3"/>
    </row>
    <row r="107" spans="2:5" s="2" customFormat="1" ht="27.95" customHeight="1" x14ac:dyDescent="0.25">
      <c r="B107" s="4"/>
      <c r="C107" s="3"/>
      <c r="E107" s="3"/>
    </row>
  </sheetData>
  <hyperlinks>
    <hyperlink ref="E67" r:id="rId1" xr:uid="{32D49F63-E294-4791-8472-E7073E12C4E7}"/>
    <hyperlink ref="E45" r:id="rId2" xr:uid="{79F760E9-25FE-4D54-96BC-78ED4A2D4C05}"/>
    <hyperlink ref="E46" r:id="rId3" xr:uid="{737A6BB5-49D9-4F74-9C65-5EF63AB2515F}"/>
    <hyperlink ref="E47" r:id="rId4" xr:uid="{A8C729BE-EAD1-4788-B074-6A933158DAA8}"/>
  </hyperlinks>
  <pageMargins left="0.7" right="0.7" top="0.75" bottom="0.75" header="0.3" footer="0.3"/>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45FEC-4DF3-4DA9-A1B4-2A37D574DA2A}">
  <sheetPr codeName="Sheet3"/>
  <dimension ref="B1:N283"/>
  <sheetViews>
    <sheetView showGridLines="0" topLeftCell="A138" zoomScaleNormal="100" workbookViewId="0">
      <selection activeCell="F163" sqref="F163"/>
    </sheetView>
  </sheetViews>
  <sheetFormatPr defaultRowHeight="14.25" x14ac:dyDescent="0.25"/>
  <cols>
    <col min="1" max="1" width="1.42578125" style="1" customWidth="1"/>
    <col min="2" max="2" width="18.7109375" style="1" customWidth="1"/>
    <col min="3" max="3" width="12" style="6" customWidth="1"/>
    <col min="4" max="4" width="13.140625" style="6" customWidth="1"/>
    <col min="5" max="5" width="13.140625" style="4" customWidth="1"/>
    <col min="6" max="6" width="13.140625" style="1" customWidth="1"/>
    <col min="7" max="7" width="13.140625" style="4" customWidth="1"/>
    <col min="8" max="8" width="13.140625" style="1" customWidth="1"/>
    <col min="9" max="9" width="13.140625" style="6" customWidth="1"/>
    <col min="10" max="10" width="13.140625" style="29" customWidth="1"/>
    <col min="11" max="11" width="11.85546875" style="1" customWidth="1"/>
    <col min="12" max="12" width="9.140625" style="1"/>
    <col min="13" max="13" width="11.140625" style="6" customWidth="1"/>
    <col min="14" max="16384" width="9.140625" style="1"/>
  </cols>
  <sheetData>
    <row r="1" spans="2:13" ht="7.5" customHeight="1" x14ac:dyDescent="0.25"/>
    <row r="2" spans="2:13" s="2" customFormat="1" ht="27.95" customHeight="1" x14ac:dyDescent="0.25">
      <c r="B2" s="2" t="s">
        <v>0</v>
      </c>
      <c r="C2" s="4" t="s">
        <v>374</v>
      </c>
      <c r="D2" s="4" t="s">
        <v>39</v>
      </c>
      <c r="E2" s="2" t="s">
        <v>313</v>
      </c>
      <c r="F2" s="4" t="s">
        <v>314</v>
      </c>
      <c r="G2" s="2" t="s">
        <v>315</v>
      </c>
      <c r="H2" s="4" t="s">
        <v>316</v>
      </c>
      <c r="I2" s="2" t="s">
        <v>317</v>
      </c>
      <c r="J2" s="4" t="s">
        <v>318</v>
      </c>
      <c r="K2" s="7" t="s">
        <v>319</v>
      </c>
      <c r="L2" s="66" t="s">
        <v>1</v>
      </c>
      <c r="M2" s="4" t="s">
        <v>846</v>
      </c>
    </row>
    <row r="3" spans="2:13" s="2" customFormat="1" ht="27.95" customHeight="1" x14ac:dyDescent="0.25">
      <c r="B3" s="66" t="s">
        <v>382</v>
      </c>
      <c r="C3" s="4" t="s">
        <v>41</v>
      </c>
      <c r="D3" s="4" t="str">
        <f>_xlfn.IFNA(VLOOKUP(tbBlueprints[[#This Row],[Item]],tbMaterials[],2,FALSE),"")</f>
        <v/>
      </c>
      <c r="E3" s="66"/>
      <c r="F3" s="4"/>
      <c r="H3" s="4"/>
      <c r="J3" s="4"/>
      <c r="K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3" s="28" t="str">
        <f>IFERROR(VLOOKUP(tbBlueprints[[#This Row],[Item]],tbMaterials[],4,FALSE),"")</f>
        <v/>
      </c>
      <c r="M3" s="76">
        <f>IF(ISNUMBER(tbBlueprints[[#This Row],[Value]]),((tbBlueprints[[#This Row],[Value]]-tbBlueprints[[#This Row],[Total Cost]])/tbBlueprints[[#This Row],[Total Cost]]),0)</f>
        <v>0</v>
      </c>
    </row>
    <row r="4" spans="2:13" s="66" customFormat="1" ht="27.95" customHeight="1" x14ac:dyDescent="0.25">
      <c r="B4" s="66" t="s">
        <v>658</v>
      </c>
      <c r="C4" s="4" t="s">
        <v>41</v>
      </c>
      <c r="D4" s="4" t="str">
        <f>_xlfn.IFNA(VLOOKUP(tbBlueprints[[#This Row],[Item]],tbMaterials[],2,FALSE),"")</f>
        <v>Tradeable</v>
      </c>
      <c r="E4" s="66" t="s">
        <v>334</v>
      </c>
      <c r="F4" s="4">
        <v>25</v>
      </c>
      <c r="G4" s="66" t="s">
        <v>245</v>
      </c>
      <c r="H4" s="4">
        <v>600</v>
      </c>
      <c r="J4" s="4"/>
      <c r="K4"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10600</v>
      </c>
      <c r="L4" s="28">
        <f>IFERROR(VLOOKUP(tbBlueprints[[#This Row],[Item]],tbMaterials[],4,FALSE),"")</f>
        <v>188000</v>
      </c>
      <c r="M4" s="76">
        <f>IF(ISNUMBER(tbBlueprints[[#This Row],[Value]]),((tbBlueprints[[#This Row],[Value]]-tbBlueprints[[#This Row],[Total Cost]])/tbBlueprints[[#This Row],[Total Cost]]),0)</f>
        <v>16.735849056603772</v>
      </c>
    </row>
    <row r="5" spans="2:13" s="66" customFormat="1" ht="27.95" customHeight="1" x14ac:dyDescent="0.25">
      <c r="B5" s="66" t="s">
        <v>836</v>
      </c>
      <c r="C5" s="4" t="s">
        <v>41</v>
      </c>
      <c r="D5" s="4" t="s">
        <v>886</v>
      </c>
      <c r="E5" s="66" t="s">
        <v>267</v>
      </c>
      <c r="F5" s="4">
        <v>10</v>
      </c>
      <c r="G5" s="66" t="s">
        <v>266</v>
      </c>
      <c r="H5" s="4">
        <v>20</v>
      </c>
      <c r="J5" s="4"/>
      <c r="K5"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4570</v>
      </c>
      <c r="L5" s="28">
        <f>IFERROR(VLOOKUP(tbBlueprints[[#This Row],[Item]],tbMaterials[],4,FALSE),"")</f>
        <v>500</v>
      </c>
      <c r="M5" s="76">
        <f>IF(ISNUMBER(tbBlueprints[[#This Row],[Value]]),((tbBlueprints[[#This Row],[Value]]-tbBlueprints[[#This Row],[Total Cost]])/tbBlueprints[[#This Row],[Total Cost]]),0)</f>
        <v>-0.89059080962800874</v>
      </c>
    </row>
    <row r="6" spans="2:13" s="66" customFormat="1" ht="27.95" customHeight="1" x14ac:dyDescent="0.25">
      <c r="B6" s="3" t="s">
        <v>419</v>
      </c>
      <c r="C6" s="5" t="s">
        <v>41</v>
      </c>
      <c r="D6" s="4" t="str">
        <f>_xlfn.IFNA(VLOOKUP(tbBlueprints[[#This Row],[Item]],tbMaterials[],2,FALSE),"")</f>
        <v/>
      </c>
      <c r="F6" s="4"/>
      <c r="H6" s="4"/>
      <c r="J6" s="4"/>
      <c r="K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6" s="28" t="str">
        <f>IFERROR(VLOOKUP(tbBlueprints[[#This Row],[Item]],tbMaterials[],4,FALSE),"")</f>
        <v/>
      </c>
      <c r="M6" s="76">
        <f>IF(ISNUMBER(tbBlueprints[[#This Row],[Value]]),((tbBlueprints[[#This Row],[Value]]-tbBlueprints[[#This Row],[Total Cost]])/tbBlueprints[[#This Row],[Total Cost]]),0)</f>
        <v>0</v>
      </c>
    </row>
    <row r="7" spans="2:13" s="66" customFormat="1" ht="27.95" customHeight="1" x14ac:dyDescent="0.25">
      <c r="B7" s="66" t="s">
        <v>443</v>
      </c>
      <c r="C7" s="4" t="s">
        <v>41</v>
      </c>
      <c r="D7" s="4" t="str">
        <f>_xlfn.IFNA(VLOOKUP(tbBlueprints[[#This Row],[Item]],tbMaterials[],2,FALSE),"")</f>
        <v/>
      </c>
      <c r="F7" s="4"/>
      <c r="H7" s="4"/>
      <c r="J7" s="4"/>
      <c r="K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 s="28" t="str">
        <f>IFERROR(VLOOKUP(tbBlueprints[[#This Row],[Item]],tbMaterials[],4,FALSE),"")</f>
        <v/>
      </c>
      <c r="M7" s="76">
        <f>IF(ISNUMBER(tbBlueprints[[#This Row],[Value]]),((tbBlueprints[[#This Row],[Value]]-tbBlueprints[[#This Row],[Total Cost]])/tbBlueprints[[#This Row],[Total Cost]]),0)</f>
        <v>0</v>
      </c>
    </row>
    <row r="8" spans="2:13" s="66" customFormat="1" ht="27.95" customHeight="1" x14ac:dyDescent="0.25">
      <c r="B8" s="66" t="s">
        <v>398</v>
      </c>
      <c r="C8" s="4" t="s">
        <v>41</v>
      </c>
      <c r="D8" s="4" t="str">
        <f>_xlfn.IFNA(VLOOKUP(tbBlueprints[[#This Row],[Item]],tbMaterials[],2,FALSE),"")</f>
        <v/>
      </c>
      <c r="F8" s="4"/>
      <c r="H8" s="4"/>
      <c r="J8" s="4"/>
      <c r="K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8" s="28" t="str">
        <f>IFERROR(VLOOKUP(tbBlueprints[[#This Row],[Item]],tbMaterials[],4,FALSE),"")</f>
        <v/>
      </c>
      <c r="M8" s="76">
        <f>IF(ISNUMBER(tbBlueprints[[#This Row],[Value]]),((tbBlueprints[[#This Row],[Value]]-tbBlueprints[[#This Row],[Total Cost]])/tbBlueprints[[#This Row],[Total Cost]]),0)</f>
        <v>0</v>
      </c>
    </row>
    <row r="9" spans="2:13" s="66" customFormat="1" ht="27.95" customHeight="1" x14ac:dyDescent="0.25">
      <c r="B9" s="66" t="s">
        <v>409</v>
      </c>
      <c r="C9" s="4" t="s">
        <v>41</v>
      </c>
      <c r="D9" s="4" t="str">
        <f>_xlfn.IFNA(VLOOKUP(tbBlueprints[[#This Row],[Item]],tbMaterials[],2,FALSE),"")</f>
        <v/>
      </c>
      <c r="F9" s="4"/>
      <c r="H9" s="4"/>
      <c r="J9" s="4"/>
      <c r="K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9" s="28" t="str">
        <f>IFERROR(VLOOKUP(tbBlueprints[[#This Row],[Item]],tbMaterials[],4,FALSE),"")</f>
        <v/>
      </c>
      <c r="M9" s="76">
        <f>IF(ISNUMBER(tbBlueprints[[#This Row],[Value]]),((tbBlueprints[[#This Row],[Value]]-tbBlueprints[[#This Row],[Total Cost]])/tbBlueprints[[#This Row],[Total Cost]]),0)</f>
        <v>0</v>
      </c>
    </row>
    <row r="10" spans="2:13" s="66" customFormat="1" ht="27.95" customHeight="1" x14ac:dyDescent="0.25">
      <c r="B10" s="66" t="s">
        <v>436</v>
      </c>
      <c r="C10" s="4" t="s">
        <v>41</v>
      </c>
      <c r="D10" s="4" t="str">
        <f>_xlfn.IFNA(VLOOKUP(tbBlueprints[[#This Row],[Item]],tbMaterials[],2,FALSE),"")</f>
        <v/>
      </c>
      <c r="F10" s="4"/>
      <c r="H10" s="4"/>
      <c r="J10" s="4"/>
      <c r="K1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 s="28" t="str">
        <f>IFERROR(VLOOKUP(tbBlueprints[[#This Row],[Item]],tbMaterials[],4,FALSE),"")</f>
        <v/>
      </c>
      <c r="M10" s="76">
        <f>IF(ISNUMBER(tbBlueprints[[#This Row],[Value]]),((tbBlueprints[[#This Row],[Value]]-tbBlueprints[[#This Row],[Total Cost]])/tbBlueprints[[#This Row],[Total Cost]]),0)</f>
        <v>0</v>
      </c>
    </row>
    <row r="11" spans="2:13" s="66" customFormat="1" ht="27.95" customHeight="1" x14ac:dyDescent="0.25">
      <c r="B11" s="66" t="s">
        <v>415</v>
      </c>
      <c r="C11" s="4" t="s">
        <v>41</v>
      </c>
      <c r="D11" s="4" t="str">
        <f>_xlfn.IFNA(VLOOKUP(tbBlueprints[[#This Row],[Item]],tbMaterials[],2,FALSE),"")</f>
        <v/>
      </c>
      <c r="F11" s="4"/>
      <c r="H11" s="4"/>
      <c r="J11" s="4"/>
      <c r="K1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 s="28" t="str">
        <f>IFERROR(VLOOKUP(tbBlueprints[[#This Row],[Item]],tbMaterials[],4,FALSE),"")</f>
        <v/>
      </c>
      <c r="M11" s="76">
        <f>IF(ISNUMBER(tbBlueprints[[#This Row],[Value]]),((tbBlueprints[[#This Row],[Value]]-tbBlueprints[[#This Row],[Total Cost]])/tbBlueprints[[#This Row],[Total Cost]]),0)</f>
        <v>0</v>
      </c>
    </row>
    <row r="12" spans="2:13" s="66" customFormat="1" ht="27.95" customHeight="1" x14ac:dyDescent="0.25">
      <c r="B12" s="3" t="s">
        <v>431</v>
      </c>
      <c r="C12" s="5" t="s">
        <v>41</v>
      </c>
      <c r="D12" s="4" t="str">
        <f>_xlfn.IFNA(VLOOKUP(tbBlueprints[[#This Row],[Item]],tbMaterials[],2,FALSE),"")</f>
        <v/>
      </c>
      <c r="F12" s="4"/>
      <c r="H12" s="4"/>
      <c r="J12" s="4"/>
      <c r="K1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 s="28" t="str">
        <f>IFERROR(VLOOKUP(tbBlueprints[[#This Row],[Item]],tbMaterials[],4,FALSE),"")</f>
        <v/>
      </c>
      <c r="M12" s="76">
        <f>IF(ISNUMBER(tbBlueprints[[#This Row],[Value]]),((tbBlueprints[[#This Row],[Value]]-tbBlueprints[[#This Row],[Total Cost]])/tbBlueprints[[#This Row],[Total Cost]]),0)</f>
        <v>0</v>
      </c>
    </row>
    <row r="13" spans="2:13" s="2" customFormat="1" ht="27.95" customHeight="1" x14ac:dyDescent="0.25">
      <c r="B13" s="38" t="s">
        <v>617</v>
      </c>
      <c r="C13" s="4" t="s">
        <v>60</v>
      </c>
      <c r="D13" s="4" t="str">
        <f>_xlfn.IFNA(VLOOKUP(tbBlueprints[[#This Row],[Item]],tbMaterials[],2,FALSE),"")</f>
        <v/>
      </c>
      <c r="F13" s="4"/>
      <c r="H13" s="4"/>
      <c r="J13" s="7"/>
      <c r="K1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3" s="28" t="str">
        <f>IFERROR(VLOOKUP(tbBlueprints[[#This Row],[Item]],tbMaterials[],4,FALSE),"")</f>
        <v/>
      </c>
      <c r="M13" s="76">
        <f>IF(ISNUMBER(tbBlueprints[[#This Row],[Value]]),((tbBlueprints[[#This Row],[Value]]-tbBlueprints[[#This Row],[Total Cost]])/tbBlueprints[[#This Row],[Total Cost]]),0)</f>
        <v>0</v>
      </c>
    </row>
    <row r="14" spans="2:13" s="2" customFormat="1" ht="27.95" customHeight="1" x14ac:dyDescent="0.25">
      <c r="B14" s="38" t="s">
        <v>472</v>
      </c>
      <c r="C14" s="37" t="s">
        <v>41</v>
      </c>
      <c r="D14" s="4" t="str">
        <f>_xlfn.IFNA(VLOOKUP(tbBlueprints[[#This Row],[Item]],tbMaterials[],2,FALSE),"")</f>
        <v>Component</v>
      </c>
      <c r="E14" s="2" t="s">
        <v>261</v>
      </c>
      <c r="F14" s="4">
        <v>25</v>
      </c>
      <c r="G14" s="2" t="s">
        <v>260</v>
      </c>
      <c r="H14" s="4">
        <v>20</v>
      </c>
      <c r="J14" s="4"/>
      <c r="K14"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6605</v>
      </c>
      <c r="L14" s="28">
        <f>IFERROR(VLOOKUP(tbBlueprints[[#This Row],[Item]],tbMaterials[],4,FALSE),"")</f>
        <v>5233</v>
      </c>
      <c r="M14" s="76">
        <f>IF(ISNUMBER(tbBlueprints[[#This Row],[Value]]),((tbBlueprints[[#This Row],[Value]]-tbBlueprints[[#This Row],[Total Cost]])/tbBlueprints[[#This Row],[Total Cost]]),0)</f>
        <v>-0.2077214231642695</v>
      </c>
    </row>
    <row r="15" spans="2:13" s="2" customFormat="1" ht="27.95" customHeight="1" x14ac:dyDescent="0.25">
      <c r="B15" s="38" t="s">
        <v>528</v>
      </c>
      <c r="C15" s="4" t="s">
        <v>41</v>
      </c>
      <c r="D15" s="4" t="str">
        <f>_xlfn.IFNA(VLOOKUP(tbBlueprints[[#This Row],[Item]],tbMaterials[],2,FALSE),"")</f>
        <v/>
      </c>
      <c r="F15" s="4"/>
      <c r="H15" s="4"/>
      <c r="J15" s="7"/>
      <c r="K1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 s="28" t="str">
        <f>IFERROR(VLOOKUP(tbBlueprints[[#This Row],[Item]],tbMaterials[],4,FALSE),"")</f>
        <v/>
      </c>
      <c r="M15" s="76">
        <f>IF(ISNUMBER(tbBlueprints[[#This Row],[Value]]),((tbBlueprints[[#This Row],[Value]]-tbBlueprints[[#This Row],[Total Cost]])/tbBlueprints[[#This Row],[Total Cost]]),0)</f>
        <v>0</v>
      </c>
    </row>
    <row r="16" spans="2:13" s="2" customFormat="1" ht="27.95" customHeight="1" x14ac:dyDescent="0.25">
      <c r="B16" s="66" t="s">
        <v>450</v>
      </c>
      <c r="C16" s="4" t="s">
        <v>41</v>
      </c>
      <c r="D16" s="4" t="str">
        <f>_xlfn.IFNA(VLOOKUP(tbBlueprints[[#This Row],[Item]],tbMaterials[],2,FALSE),"")</f>
        <v/>
      </c>
      <c r="F16" s="4"/>
      <c r="G16" s="66"/>
      <c r="H16" s="4"/>
      <c r="J16" s="4"/>
      <c r="K1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6" s="28" t="str">
        <f>IFERROR(VLOOKUP(tbBlueprints[[#This Row],[Item]],tbMaterials[],4,FALSE),"")</f>
        <v/>
      </c>
      <c r="M16" s="76">
        <f>IF(ISNUMBER(tbBlueprints[[#This Row],[Value]]),((tbBlueprints[[#This Row],[Value]]-tbBlueprints[[#This Row],[Total Cost]])/tbBlueprints[[#This Row],[Total Cost]]),0)</f>
        <v>0</v>
      </c>
    </row>
    <row r="17" spans="2:13" s="2" customFormat="1" ht="27.95" customHeight="1" x14ac:dyDescent="0.25">
      <c r="B17" s="66" t="s">
        <v>308</v>
      </c>
      <c r="C17" s="4" t="s">
        <v>41</v>
      </c>
      <c r="D17" s="4" t="str">
        <f>_xlfn.IFNA(VLOOKUP(tbBlueprints[[#This Row],[Item]],tbMaterials[],2,FALSE),"")</f>
        <v>Tradeable</v>
      </c>
      <c r="E17" s="2" t="s">
        <v>61</v>
      </c>
      <c r="F17" s="4">
        <v>50</v>
      </c>
      <c r="G17" s="66" t="s">
        <v>267</v>
      </c>
      <c r="H17" s="4">
        <v>50</v>
      </c>
      <c r="J17" s="4"/>
      <c r="K17"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23150</v>
      </c>
      <c r="L17" s="28">
        <f>IFERROR(VLOOKUP(tbBlueprints[[#This Row],[Item]],tbMaterials[],4,FALSE),"")</f>
        <v>25000</v>
      </c>
      <c r="M17" s="76">
        <f>IF(ISNUMBER(tbBlueprints[[#This Row],[Value]]),((tbBlueprints[[#This Row],[Value]]-tbBlueprints[[#This Row],[Total Cost]])/tbBlueprints[[#This Row],[Total Cost]]),0)</f>
        <v>7.9913606911447083E-2</v>
      </c>
    </row>
    <row r="18" spans="2:13" s="2" customFormat="1" ht="27.95" customHeight="1" x14ac:dyDescent="0.25">
      <c r="B18" s="3" t="s">
        <v>503</v>
      </c>
      <c r="C18" s="37" t="s">
        <v>41</v>
      </c>
      <c r="D18" s="4" t="str">
        <f>_xlfn.IFNA(VLOOKUP(tbBlueprints[[#This Row],[Item]],tbMaterials[],2,FALSE),"")</f>
        <v>Curiosity</v>
      </c>
      <c r="E18" s="3" t="s">
        <v>5</v>
      </c>
      <c r="F18" s="4">
        <v>200</v>
      </c>
      <c r="G18" s="2" t="s">
        <v>507</v>
      </c>
      <c r="H18" s="4">
        <v>1</v>
      </c>
      <c r="J18" s="4"/>
      <c r="K18"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26200</v>
      </c>
      <c r="L18" s="28">
        <f>IFERROR(VLOOKUP(tbBlueprints[[#This Row],[Item]],tbMaterials[],4,FALSE),"")</f>
        <v>825</v>
      </c>
      <c r="M18" s="76">
        <f>IF(ISNUMBER(tbBlueprints[[#This Row],[Value]]),((tbBlueprints[[#This Row],[Value]]-tbBlueprints[[#This Row],[Total Cost]])/tbBlueprints[[#This Row],[Total Cost]]),0)</f>
        <v>-0.96851145038167941</v>
      </c>
    </row>
    <row r="19" spans="2:13" s="2" customFormat="1" ht="27.95" customHeight="1" x14ac:dyDescent="0.25">
      <c r="B19" s="3" t="s">
        <v>505</v>
      </c>
      <c r="C19" s="37" t="s">
        <v>60</v>
      </c>
      <c r="D19" s="4" t="str">
        <f>_xlfn.IFNA(VLOOKUP(tbBlueprints[[#This Row],[Item]],tbMaterials[],2,FALSE),"")</f>
        <v>Curiosity</v>
      </c>
      <c r="E19" s="3" t="s">
        <v>296</v>
      </c>
      <c r="F19" s="4">
        <v>200</v>
      </c>
      <c r="G19" s="66" t="s">
        <v>507</v>
      </c>
      <c r="H19" s="4">
        <v>1</v>
      </c>
      <c r="J19" s="4"/>
      <c r="K19"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48800</v>
      </c>
      <c r="L19" s="28">
        <f>IFERROR(VLOOKUP(tbBlueprints[[#This Row],[Item]],tbMaterials[],4,FALSE),"")</f>
        <v>1856</v>
      </c>
      <c r="M19" s="76">
        <f>IF(ISNUMBER(tbBlueprints[[#This Row],[Value]]),((tbBlueprints[[#This Row],[Value]]-tbBlueprints[[#This Row],[Total Cost]])/tbBlueprints[[#This Row],[Total Cost]]),0)</f>
        <v>-0.96196721311475408</v>
      </c>
    </row>
    <row r="20" spans="2:13" s="2" customFormat="1" ht="27.95" customHeight="1" x14ac:dyDescent="0.25">
      <c r="B20" s="3" t="s">
        <v>506</v>
      </c>
      <c r="C20" s="37" t="s">
        <v>60</v>
      </c>
      <c r="D20" s="4" t="str">
        <f>_xlfn.IFNA(VLOOKUP(tbBlueprints[[#This Row],[Item]],tbMaterials[],2,FALSE),"")</f>
        <v>Curiosity</v>
      </c>
      <c r="E20" s="3" t="s">
        <v>332</v>
      </c>
      <c r="F20" s="4">
        <v>200</v>
      </c>
      <c r="G20" s="2" t="s">
        <v>507</v>
      </c>
      <c r="H20" s="4">
        <v>1</v>
      </c>
      <c r="J20" s="4"/>
      <c r="K20"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57000</v>
      </c>
      <c r="L20" s="28">
        <f>IFERROR(VLOOKUP(tbBlueprints[[#This Row],[Item]],tbMaterials[],4,FALSE),"")</f>
        <v>2613</v>
      </c>
      <c r="M20" s="76">
        <f>IF(ISNUMBER(tbBlueprints[[#This Row],[Value]]),((tbBlueprints[[#This Row],[Value]]-tbBlueprints[[#This Row],[Total Cost]])/tbBlueprints[[#This Row],[Total Cost]]),0)</f>
        <v>-0.95415789473684209</v>
      </c>
    </row>
    <row r="21" spans="2:13" s="2" customFormat="1" ht="27.95" customHeight="1" x14ac:dyDescent="0.25">
      <c r="B21" s="3" t="s">
        <v>421</v>
      </c>
      <c r="C21" s="5" t="s">
        <v>41</v>
      </c>
      <c r="D21" s="4" t="str">
        <f>_xlfn.IFNA(VLOOKUP(tbBlueprints[[#This Row],[Item]],tbMaterials[],2,FALSE),"")</f>
        <v/>
      </c>
      <c r="E21" s="66"/>
      <c r="F21" s="4"/>
      <c r="H21" s="4"/>
      <c r="J21" s="4"/>
      <c r="K2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21" s="28" t="str">
        <f>IFERROR(VLOOKUP(tbBlueprints[[#This Row],[Item]],tbMaterials[],4,FALSE),"")</f>
        <v/>
      </c>
      <c r="M21" s="76">
        <f>IF(ISNUMBER(tbBlueprints[[#This Row],[Value]]),((tbBlueprints[[#This Row],[Value]]-tbBlueprints[[#This Row],[Total Cost]])/tbBlueprints[[#This Row],[Total Cost]]),0)</f>
        <v>0</v>
      </c>
    </row>
    <row r="22" spans="2:13" s="2" customFormat="1" ht="27.95" customHeight="1" x14ac:dyDescent="0.25">
      <c r="B22" s="3" t="s">
        <v>423</v>
      </c>
      <c r="C22" s="5" t="s">
        <v>41</v>
      </c>
      <c r="D22" s="4" t="str">
        <f>_xlfn.IFNA(VLOOKUP(tbBlueprints[[#This Row],[Item]],tbMaterials[],2,FALSE),"")</f>
        <v/>
      </c>
      <c r="E22" s="66"/>
      <c r="F22" s="4"/>
      <c r="H22" s="4"/>
      <c r="J22" s="4"/>
      <c r="K2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22" s="28" t="str">
        <f>IFERROR(VLOOKUP(tbBlueprints[[#This Row],[Item]],tbMaterials[],4,FALSE),"")</f>
        <v/>
      </c>
      <c r="M22" s="76">
        <f>IF(ISNUMBER(tbBlueprints[[#This Row],[Value]]),((tbBlueprints[[#This Row],[Value]]-tbBlueprints[[#This Row],[Total Cost]])/tbBlueprints[[#This Row],[Total Cost]]),0)</f>
        <v>0</v>
      </c>
    </row>
    <row r="23" spans="2:13" s="2" customFormat="1" ht="27.95" customHeight="1" x14ac:dyDescent="0.25">
      <c r="B23" s="3" t="s">
        <v>417</v>
      </c>
      <c r="C23" s="5" t="s">
        <v>41</v>
      </c>
      <c r="D23" s="4" t="str">
        <f>_xlfn.IFNA(VLOOKUP(tbBlueprints[[#This Row],[Item]],tbMaterials[],2,FALSE),"")</f>
        <v/>
      </c>
      <c r="F23" s="4"/>
      <c r="H23" s="4"/>
      <c r="J23" s="4"/>
      <c r="K2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23" s="28" t="str">
        <f>IFERROR(VLOOKUP(tbBlueprints[[#This Row],[Item]],tbMaterials[],4,FALSE),"")</f>
        <v/>
      </c>
      <c r="M23" s="76">
        <f>IF(ISNUMBER(tbBlueprints[[#This Row],[Value]]),((tbBlueprints[[#This Row],[Value]]-tbBlueprints[[#This Row],[Total Cost]])/tbBlueprints[[#This Row],[Total Cost]]),0)</f>
        <v>0</v>
      </c>
    </row>
    <row r="24" spans="2:13" s="2" customFormat="1" ht="27.95" customHeight="1" x14ac:dyDescent="0.25">
      <c r="B24" s="66" t="s">
        <v>380</v>
      </c>
      <c r="C24" s="4" t="s">
        <v>41</v>
      </c>
      <c r="D24" s="4" t="str">
        <f>_xlfn.IFNA(VLOOKUP(tbBlueprints[[#This Row],[Item]],tbMaterials[],2,FALSE),"")</f>
        <v/>
      </c>
      <c r="F24" s="4"/>
      <c r="H24" s="4"/>
      <c r="J24" s="4"/>
      <c r="K2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24" s="28" t="str">
        <f>IFERROR(VLOOKUP(tbBlueprints[[#This Row],[Item]],tbMaterials[],4,FALSE),"")</f>
        <v/>
      </c>
      <c r="M24" s="76">
        <f>IF(ISNUMBER(tbBlueprints[[#This Row],[Value]]),((tbBlueprints[[#This Row],[Value]]-tbBlueprints[[#This Row],[Total Cost]])/tbBlueprints[[#This Row],[Total Cost]]),0)</f>
        <v>0</v>
      </c>
    </row>
    <row r="25" spans="2:13" s="2" customFormat="1" ht="27.95" customHeight="1" x14ac:dyDescent="0.25">
      <c r="B25" s="66" t="s">
        <v>835</v>
      </c>
      <c r="C25" s="4" t="s">
        <v>41</v>
      </c>
      <c r="D25" s="4" t="str">
        <f>_xlfn.IFNA(VLOOKUP(tbBlueprints[[#This Row],[Item]],tbMaterials[],2,FALSE),"")</f>
        <v>Curiosity</v>
      </c>
      <c r="E25" s="2" t="s">
        <v>261</v>
      </c>
      <c r="F25" s="4">
        <v>100</v>
      </c>
      <c r="H25" s="4"/>
      <c r="J25" s="4"/>
      <c r="K25"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24500</v>
      </c>
      <c r="L25" s="28">
        <f>IFERROR(VLOOKUP(tbBlueprints[[#This Row],[Item]],tbMaterials[],4,FALSE),"")</f>
        <v>1000</v>
      </c>
      <c r="M25" s="76">
        <f>IF(ISNUMBER(tbBlueprints[[#This Row],[Value]]),((tbBlueprints[[#This Row],[Value]]-tbBlueprints[[#This Row],[Total Cost]])/tbBlueprints[[#This Row],[Total Cost]]),0)</f>
        <v>-0.95918367346938771</v>
      </c>
    </row>
    <row r="26" spans="2:13" s="2" customFormat="1" ht="27.95" customHeight="1" x14ac:dyDescent="0.25">
      <c r="B26" s="38" t="s">
        <v>479</v>
      </c>
      <c r="C26" s="37" t="s">
        <v>41</v>
      </c>
      <c r="D26" s="4" t="str">
        <f>_xlfn.IFNA(VLOOKUP(tbBlueprints[[#This Row],[Item]],tbMaterials[],2,FALSE),"")</f>
        <v>Curiosity</v>
      </c>
      <c r="E26" s="2" t="s">
        <v>260</v>
      </c>
      <c r="F26" s="4">
        <v>150</v>
      </c>
      <c r="H26" s="4"/>
      <c r="J26" s="4"/>
      <c r="K26"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3600</v>
      </c>
      <c r="L26" s="28">
        <f>IFERROR(VLOOKUP(tbBlueprints[[#This Row],[Item]],tbMaterials[],4,FALSE),"")</f>
        <v>3600</v>
      </c>
      <c r="M26" s="76">
        <f>IF(ISNUMBER(tbBlueprints[[#This Row],[Value]]),((tbBlueprints[[#This Row],[Value]]-tbBlueprints[[#This Row],[Total Cost]])/tbBlueprints[[#This Row],[Total Cost]]),0)</f>
        <v>0</v>
      </c>
    </row>
    <row r="27" spans="2:13" s="2" customFormat="1" ht="27.95" customHeight="1" x14ac:dyDescent="0.25">
      <c r="B27" s="38" t="s">
        <v>525</v>
      </c>
      <c r="C27" s="4" t="s">
        <v>41</v>
      </c>
      <c r="D27" s="4" t="str">
        <f>_xlfn.IFNA(VLOOKUP(tbBlueprints[[#This Row],[Item]],tbMaterials[],2,FALSE),"")</f>
        <v/>
      </c>
      <c r="F27" s="4"/>
      <c r="H27" s="4"/>
      <c r="J27" s="7"/>
      <c r="K2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27" s="28" t="str">
        <f>IFERROR(VLOOKUP(tbBlueprints[[#This Row],[Item]],tbMaterials[],4,FALSE),"")</f>
        <v/>
      </c>
      <c r="M27" s="76">
        <f>IF(ISNUMBER(tbBlueprints[[#This Row],[Value]]),((tbBlueprints[[#This Row],[Value]]-tbBlueprints[[#This Row],[Total Cost]])/tbBlueprints[[#This Row],[Total Cost]]),0)</f>
        <v>0</v>
      </c>
    </row>
    <row r="28" spans="2:13" s="2" customFormat="1" ht="27.95" customHeight="1" x14ac:dyDescent="0.25">
      <c r="B28" s="3" t="s">
        <v>468</v>
      </c>
      <c r="C28" s="37" t="s">
        <v>41</v>
      </c>
      <c r="D28" s="4" t="str">
        <f>_xlfn.IFNA(VLOOKUP(tbBlueprints[[#This Row],[Item]],tbMaterials[],2,FALSE),"")</f>
        <v>Curiosity</v>
      </c>
      <c r="E28" s="2" t="s">
        <v>83</v>
      </c>
      <c r="F28" s="4">
        <v>150</v>
      </c>
      <c r="H28" s="4"/>
      <c r="J28" s="4"/>
      <c r="K28"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90300</v>
      </c>
      <c r="L28" s="28">
        <f>IFERROR(VLOOKUP(tbBlueprints[[#This Row],[Item]],tbMaterials[],4,FALSE),"")</f>
        <v>6150</v>
      </c>
      <c r="M28" s="76">
        <f>IF(ISNUMBER(tbBlueprints[[#This Row],[Value]]),((tbBlueprints[[#This Row],[Value]]-tbBlueprints[[#This Row],[Total Cost]])/tbBlueprints[[#This Row],[Total Cost]]),0)</f>
        <v>-0.93189368770764125</v>
      </c>
    </row>
    <row r="29" spans="2:13" s="2" customFormat="1" ht="27.95" customHeight="1" x14ac:dyDescent="0.25">
      <c r="B29" s="38" t="s">
        <v>619</v>
      </c>
      <c r="C29" s="4" t="s">
        <v>60</v>
      </c>
      <c r="D29" s="4" t="str">
        <f>_xlfn.IFNA(VLOOKUP(tbBlueprints[[#This Row],[Item]],tbMaterials[],2,FALSE),"")</f>
        <v/>
      </c>
      <c r="F29" s="4"/>
      <c r="H29" s="4"/>
      <c r="J29" s="7"/>
      <c r="K2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29" s="28" t="str">
        <f>IFERROR(VLOOKUP(tbBlueprints[[#This Row],[Item]],tbMaterials[],4,FALSE),"")</f>
        <v/>
      </c>
      <c r="M29" s="76">
        <f>IF(ISNUMBER(tbBlueprints[[#This Row],[Value]]),((tbBlueprints[[#This Row],[Value]]-tbBlueprints[[#This Row],[Total Cost]])/tbBlueprints[[#This Row],[Total Cost]]),0)</f>
        <v>0</v>
      </c>
    </row>
    <row r="30" spans="2:13" s="66" customFormat="1" ht="27.95" customHeight="1" x14ac:dyDescent="0.25">
      <c r="B30" s="38" t="s">
        <v>570</v>
      </c>
      <c r="C30" s="4" t="s">
        <v>41</v>
      </c>
      <c r="D30" s="4" t="str">
        <f>_xlfn.IFNA(VLOOKUP(tbBlueprints[[#This Row],[Item]],tbMaterials[],2,FALSE),"")</f>
        <v>Tradeable</v>
      </c>
      <c r="E30" s="66" t="s">
        <v>841</v>
      </c>
      <c r="F30" s="4">
        <v>1</v>
      </c>
      <c r="G30" s="66" t="s">
        <v>840</v>
      </c>
      <c r="H30" s="4">
        <v>1</v>
      </c>
      <c r="J30" s="7"/>
      <c r="K30"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310000</v>
      </c>
      <c r="L30" s="28">
        <f>IFERROR(VLOOKUP(tbBlueprints[[#This Row],[Item]],tbMaterials[],4,FALSE),"")</f>
        <v>916250</v>
      </c>
      <c r="M30" s="76">
        <f>IF(ISNUMBER(tbBlueprints[[#This Row],[Value]]),((tbBlueprints[[#This Row],[Value]]-tbBlueprints[[#This Row],[Total Cost]])/tbBlueprints[[#This Row],[Total Cost]]),0)</f>
        <v>1.9556451612903225</v>
      </c>
    </row>
    <row r="31" spans="2:13" s="2" customFormat="1" ht="27.95" customHeight="1" x14ac:dyDescent="0.25">
      <c r="B31" s="3" t="s">
        <v>426</v>
      </c>
      <c r="C31" s="5" t="s">
        <v>41</v>
      </c>
      <c r="D31" s="4" t="str">
        <f>_xlfn.IFNA(VLOOKUP(tbBlueprints[[#This Row],[Item]],tbMaterials[],2,FALSE),"")</f>
        <v/>
      </c>
      <c r="F31" s="4"/>
      <c r="H31" s="4"/>
      <c r="J31" s="4"/>
      <c r="K3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31" s="28" t="str">
        <f>IFERROR(VLOOKUP(tbBlueprints[[#This Row],[Item]],tbMaterials[],4,FALSE),"")</f>
        <v/>
      </c>
      <c r="M31" s="76">
        <f>IF(ISNUMBER(tbBlueprints[[#This Row],[Value]]),((tbBlueprints[[#This Row],[Value]]-tbBlueprints[[#This Row],[Total Cost]])/tbBlueprints[[#This Row],[Total Cost]]),0)</f>
        <v>0</v>
      </c>
    </row>
    <row r="32" spans="2:13" s="2" customFormat="1" ht="27.95" customHeight="1" x14ac:dyDescent="0.25">
      <c r="B32" s="66" t="s">
        <v>378</v>
      </c>
      <c r="C32" s="4" t="s">
        <v>41</v>
      </c>
      <c r="D32" s="4" t="str">
        <f>_xlfn.IFNA(VLOOKUP(tbBlueprints[[#This Row],[Item]],tbMaterials[],2,FALSE),"")</f>
        <v/>
      </c>
      <c r="F32" s="4"/>
      <c r="H32" s="4"/>
      <c r="J32" s="4"/>
      <c r="K3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32" s="28" t="str">
        <f>IFERROR(VLOOKUP(tbBlueprints[[#This Row],[Item]],tbMaterials[],4,FALSE),"")</f>
        <v/>
      </c>
      <c r="M32" s="76">
        <f>IF(ISNUMBER(tbBlueprints[[#This Row],[Value]]),((tbBlueprints[[#This Row],[Value]]-tbBlueprints[[#This Row],[Total Cost]])/tbBlueprints[[#This Row],[Total Cost]]),0)</f>
        <v>0</v>
      </c>
    </row>
    <row r="33" spans="2:13" s="2" customFormat="1" ht="27.95" customHeight="1" x14ac:dyDescent="0.25">
      <c r="B33" s="66" t="s">
        <v>405</v>
      </c>
      <c r="C33" s="4" t="s">
        <v>41</v>
      </c>
      <c r="D33" s="4" t="str">
        <f>_xlfn.IFNA(VLOOKUP(tbBlueprints[[#This Row],[Item]],tbMaterials[],2,FALSE),"")</f>
        <v/>
      </c>
      <c r="F33" s="4"/>
      <c r="H33" s="4"/>
      <c r="J33" s="4"/>
      <c r="K3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33" s="28" t="str">
        <f>IFERROR(VLOOKUP(tbBlueprints[[#This Row],[Item]],tbMaterials[],4,FALSE),"")</f>
        <v/>
      </c>
      <c r="M33" s="76">
        <f>IF(ISNUMBER(tbBlueprints[[#This Row],[Value]]),((tbBlueprints[[#This Row],[Value]]-tbBlueprints[[#This Row],[Total Cost]])/tbBlueprints[[#This Row],[Total Cost]]),0)</f>
        <v>0</v>
      </c>
    </row>
    <row r="34" spans="2:13" s="66" customFormat="1" ht="27.95" customHeight="1" x14ac:dyDescent="0.25">
      <c r="B34" s="66" t="s">
        <v>842</v>
      </c>
      <c r="C34" s="4" t="s">
        <v>41</v>
      </c>
      <c r="D34" s="4" t="s">
        <v>277</v>
      </c>
      <c r="E34" s="66" t="s">
        <v>514</v>
      </c>
      <c r="F34" s="4">
        <v>1</v>
      </c>
      <c r="G34" s="66" t="s">
        <v>500</v>
      </c>
      <c r="H34" s="4">
        <v>1</v>
      </c>
      <c r="J34" s="4"/>
      <c r="K34"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370000</v>
      </c>
      <c r="L34" s="28">
        <f>IFERROR(VLOOKUP(tbBlueprints[[#This Row],[Item]],tbMaterials[],4,FALSE),"")</f>
        <v>1500000</v>
      </c>
      <c r="M34" s="76">
        <f>IF(ISNUMBER(tbBlueprints[[#This Row],[Value]]),((tbBlueprints[[#This Row],[Value]]-tbBlueprints[[#This Row],[Total Cost]])/tbBlueprints[[#This Row],[Total Cost]]),0)</f>
        <v>3.0540540540540539</v>
      </c>
    </row>
    <row r="35" spans="2:13" s="66" customFormat="1" ht="27.95" customHeight="1" x14ac:dyDescent="0.25">
      <c r="B35" s="66" t="s">
        <v>897</v>
      </c>
      <c r="C35" s="4" t="s">
        <v>41</v>
      </c>
      <c r="D35" s="4" t="s">
        <v>277</v>
      </c>
      <c r="E35" s="66" t="s">
        <v>839</v>
      </c>
      <c r="F35" s="4">
        <v>1</v>
      </c>
      <c r="G35" s="66" t="s">
        <v>842</v>
      </c>
      <c r="H35" s="4">
        <v>1</v>
      </c>
      <c r="J35" s="4"/>
      <c r="K35"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2066000</v>
      </c>
      <c r="L35" s="28">
        <f>IFERROR(VLOOKUP(tbBlueprints[[#This Row],[Item]],tbMaterials[],4,FALSE),"")</f>
        <v>3800000</v>
      </c>
      <c r="M35" s="76">
        <f>IF(ISNUMBER(tbBlueprints[[#This Row],[Value]]),((tbBlueprints[[#This Row],[Value]]-tbBlueprints[[#This Row],[Total Cost]])/tbBlueprints[[#This Row],[Total Cost]]),0)</f>
        <v>0.83930300096805421</v>
      </c>
    </row>
    <row r="36" spans="2:13" s="2" customFormat="1" ht="27.95" customHeight="1" x14ac:dyDescent="0.25">
      <c r="B36" s="66" t="s">
        <v>389</v>
      </c>
      <c r="C36" s="4" t="s">
        <v>41</v>
      </c>
      <c r="D36" s="4" t="str">
        <f>_xlfn.IFNA(VLOOKUP(tbBlueprints[[#This Row],[Item]],tbMaterials[],2,FALSE),"")</f>
        <v/>
      </c>
      <c r="F36" s="4"/>
      <c r="H36" s="4"/>
      <c r="J36" s="4"/>
      <c r="K3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36" s="28" t="str">
        <f>IFERROR(VLOOKUP(tbBlueprints[[#This Row],[Item]],tbMaterials[],4,FALSE),"")</f>
        <v/>
      </c>
      <c r="M36" s="76">
        <f>IF(ISNUMBER(tbBlueprints[[#This Row],[Value]]),((tbBlueprints[[#This Row],[Value]]-tbBlueprints[[#This Row],[Total Cost]])/tbBlueprints[[#This Row],[Total Cost]]),0)</f>
        <v>0</v>
      </c>
    </row>
    <row r="37" spans="2:13" s="2" customFormat="1" ht="27.95" customHeight="1" x14ac:dyDescent="0.25">
      <c r="B37" s="2" t="s">
        <v>433</v>
      </c>
      <c r="C37" s="4" t="s">
        <v>41</v>
      </c>
      <c r="D37" s="4" t="str">
        <f>_xlfn.IFNA(VLOOKUP(tbBlueprints[[#This Row],[Item]],tbMaterials[],2,FALSE),"")</f>
        <v/>
      </c>
      <c r="F37" s="4"/>
      <c r="H37" s="4"/>
      <c r="J37" s="4"/>
      <c r="K3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37" s="28" t="str">
        <f>IFERROR(VLOOKUP(tbBlueprints[[#This Row],[Item]],tbMaterials[],4,FALSE),"")</f>
        <v/>
      </c>
      <c r="M37" s="76">
        <f>IF(ISNUMBER(tbBlueprints[[#This Row],[Value]]),((tbBlueprints[[#This Row],[Value]]-tbBlueprints[[#This Row],[Total Cost]])/tbBlueprints[[#This Row],[Total Cost]]),0)</f>
        <v>0</v>
      </c>
    </row>
    <row r="38" spans="2:13" s="2" customFormat="1" ht="27.95" customHeight="1" x14ac:dyDescent="0.25">
      <c r="B38" s="66" t="s">
        <v>375</v>
      </c>
      <c r="C38" s="4" t="s">
        <v>41</v>
      </c>
      <c r="D38" s="4" t="str">
        <f>_xlfn.IFNA(VLOOKUP(tbBlueprints[[#This Row],[Item]],tbMaterials[],2,FALSE),"")</f>
        <v/>
      </c>
      <c r="F38" s="4"/>
      <c r="H38" s="4"/>
      <c r="J38" s="4"/>
      <c r="K3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38" s="28" t="str">
        <f>IFERROR(VLOOKUP(tbBlueprints[[#This Row],[Item]],tbMaterials[],4,FALSE),"")</f>
        <v/>
      </c>
      <c r="M38" s="76">
        <f>IF(ISNUMBER(tbBlueprints[[#This Row],[Value]]),((tbBlueprints[[#This Row],[Value]]-tbBlueprints[[#This Row],[Total Cost]])/tbBlueprints[[#This Row],[Total Cost]]),0)</f>
        <v>0</v>
      </c>
    </row>
    <row r="39" spans="2:13" s="2" customFormat="1" ht="27.95" customHeight="1" x14ac:dyDescent="0.25">
      <c r="B39" s="38" t="s">
        <v>470</v>
      </c>
      <c r="C39" s="37" t="s">
        <v>41</v>
      </c>
      <c r="D39" s="4" t="str">
        <f>_xlfn.IFNA(VLOOKUP(tbBlueprints[[#This Row],[Item]],tbMaterials[],2,FALSE),"")</f>
        <v>Curiosity</v>
      </c>
      <c r="E39" s="2" t="s">
        <v>11</v>
      </c>
      <c r="F39" s="4">
        <v>150</v>
      </c>
      <c r="H39" s="4"/>
      <c r="J39" s="4"/>
      <c r="K39"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12300</v>
      </c>
      <c r="L39" s="28">
        <f>IFERROR(VLOOKUP(tbBlueprints[[#This Row],[Item]],tbMaterials[],4,FALSE),"")</f>
        <v>12300</v>
      </c>
      <c r="M39" s="76">
        <f>IF(ISNUMBER(tbBlueprints[[#This Row],[Value]]),((tbBlueprints[[#This Row],[Value]]-tbBlueprints[[#This Row],[Total Cost]])/tbBlueprints[[#This Row],[Total Cost]]),0)</f>
        <v>0</v>
      </c>
    </row>
    <row r="40" spans="2:13" s="2" customFormat="1" ht="27.95" customHeight="1" x14ac:dyDescent="0.25">
      <c r="B40" s="38" t="s">
        <v>462</v>
      </c>
      <c r="C40" s="37" t="s">
        <v>41</v>
      </c>
      <c r="D40" s="4" t="str">
        <f>_xlfn.IFNA(VLOOKUP(tbBlueprints[[#This Row],[Item]],tbMaterials[],2,FALSE),"")</f>
        <v>Component</v>
      </c>
      <c r="E40" s="2" t="s">
        <v>10</v>
      </c>
      <c r="F40" s="4">
        <v>40</v>
      </c>
      <c r="H40" s="4"/>
      <c r="J40" s="4"/>
      <c r="K40"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1360</v>
      </c>
      <c r="L40" s="28">
        <f>IFERROR(VLOOKUP(tbBlueprints[[#This Row],[Item]],tbMaterials[],4,FALSE),"")</f>
        <v>200</v>
      </c>
      <c r="M40" s="76">
        <f>IF(ISNUMBER(tbBlueprints[[#This Row],[Value]]),((tbBlueprints[[#This Row],[Value]]-tbBlueprints[[#This Row],[Total Cost]])/tbBlueprints[[#This Row],[Total Cost]]),0)</f>
        <v>-0.8529411764705882</v>
      </c>
    </row>
    <row r="41" spans="2:13" s="66" customFormat="1" ht="27.95" customHeight="1" x14ac:dyDescent="0.25">
      <c r="B41" s="38" t="s">
        <v>309</v>
      </c>
      <c r="C41" s="37" t="s">
        <v>41</v>
      </c>
      <c r="D41" s="4" t="s">
        <v>277</v>
      </c>
      <c r="E41" s="66" t="s">
        <v>119</v>
      </c>
      <c r="F41" s="4">
        <v>50</v>
      </c>
      <c r="G41" s="66" t="s">
        <v>266</v>
      </c>
      <c r="H41" s="4">
        <v>100</v>
      </c>
      <c r="J41" s="4"/>
      <c r="K41"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5900</v>
      </c>
      <c r="L41" s="28">
        <f>IFERROR(VLOOKUP(tbBlueprints[[#This Row],[Item]],tbMaterials[],4,FALSE),"")</f>
        <v>25000</v>
      </c>
      <c r="M41" s="76">
        <f>IF(ISNUMBER(tbBlueprints[[#This Row],[Value]]),((tbBlueprints[[#This Row],[Value]]-tbBlueprints[[#This Row],[Total Cost]])/tbBlueprints[[#This Row],[Total Cost]]),0)</f>
        <v>3.2372881355932202</v>
      </c>
    </row>
    <row r="42" spans="2:13" s="2" customFormat="1" ht="27.95" customHeight="1" x14ac:dyDescent="0.25">
      <c r="B42" s="66" t="s">
        <v>394</v>
      </c>
      <c r="C42" s="4" t="s">
        <v>41</v>
      </c>
      <c r="D42" s="4" t="str">
        <f>_xlfn.IFNA(VLOOKUP(tbBlueprints[[#This Row],[Item]],tbMaterials[],2,FALSE),"")</f>
        <v/>
      </c>
      <c r="F42" s="4"/>
      <c r="H42" s="4"/>
      <c r="J42" s="4"/>
      <c r="K4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42" s="28" t="str">
        <f>IFERROR(VLOOKUP(tbBlueprints[[#This Row],[Item]],tbMaterials[],4,FALSE),"")</f>
        <v/>
      </c>
      <c r="M42" s="76">
        <f>IF(ISNUMBER(tbBlueprints[[#This Row],[Value]]),((tbBlueprints[[#This Row],[Value]]-tbBlueprints[[#This Row],[Total Cost]])/tbBlueprints[[#This Row],[Total Cost]]),0)</f>
        <v>0</v>
      </c>
    </row>
    <row r="43" spans="2:13" s="2" customFormat="1" ht="27.95" customHeight="1" x14ac:dyDescent="0.25">
      <c r="B43" s="66" t="s">
        <v>379</v>
      </c>
      <c r="C43" s="4" t="s">
        <v>41</v>
      </c>
      <c r="D43" s="4" t="str">
        <f>_xlfn.IFNA(VLOOKUP(tbBlueprints[[#This Row],[Item]],tbMaterials[],2,FALSE),"")</f>
        <v/>
      </c>
      <c r="F43" s="4"/>
      <c r="H43" s="4"/>
      <c r="J43" s="4"/>
      <c r="K4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43" s="28" t="str">
        <f>IFERROR(VLOOKUP(tbBlueprints[[#This Row],[Item]],tbMaterials[],4,FALSE),"")</f>
        <v/>
      </c>
      <c r="M43" s="76">
        <f>IF(ISNUMBER(tbBlueprints[[#This Row],[Value]]),((tbBlueprints[[#This Row],[Value]]-tbBlueprints[[#This Row],[Total Cost]])/tbBlueprints[[#This Row],[Total Cost]]),0)</f>
        <v>0</v>
      </c>
    </row>
    <row r="44" spans="2:13" s="2" customFormat="1" ht="27.95" customHeight="1" x14ac:dyDescent="0.25">
      <c r="B44" s="66" t="s">
        <v>381</v>
      </c>
      <c r="C44" s="4" t="s">
        <v>41</v>
      </c>
      <c r="D44" s="4" t="str">
        <f>_xlfn.IFNA(VLOOKUP(tbBlueprints[[#This Row],[Item]],tbMaterials[],2,FALSE),"")</f>
        <v/>
      </c>
      <c r="F44" s="4"/>
      <c r="H44" s="4"/>
      <c r="J44" s="4"/>
      <c r="K4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44" s="28" t="str">
        <f>IFERROR(VLOOKUP(tbBlueprints[[#This Row],[Item]],tbMaterials[],4,FALSE),"")</f>
        <v/>
      </c>
      <c r="M44" s="76">
        <f>IF(ISNUMBER(tbBlueprints[[#This Row],[Value]]),((tbBlueprints[[#This Row],[Value]]-tbBlueprints[[#This Row],[Total Cost]])/tbBlueprints[[#This Row],[Total Cost]]),0)</f>
        <v>0</v>
      </c>
    </row>
    <row r="45" spans="2:13" s="2" customFormat="1" ht="27.95" customHeight="1" x14ac:dyDescent="0.25">
      <c r="B45" s="66" t="s">
        <v>414</v>
      </c>
      <c r="C45" s="4" t="s">
        <v>41</v>
      </c>
      <c r="D45" s="4" t="str">
        <f>_xlfn.IFNA(VLOOKUP(tbBlueprints[[#This Row],[Item]],tbMaterials[],2,FALSE),"")</f>
        <v/>
      </c>
      <c r="F45" s="4"/>
      <c r="H45" s="4"/>
      <c r="J45" s="4"/>
      <c r="K4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45" s="28" t="str">
        <f>IFERROR(VLOOKUP(tbBlueprints[[#This Row],[Item]],tbMaterials[],4,FALSE),"")</f>
        <v/>
      </c>
      <c r="M45" s="76">
        <f>IF(ISNUMBER(tbBlueprints[[#This Row],[Value]]),((tbBlueprints[[#This Row],[Value]]-tbBlueprints[[#This Row],[Total Cost]])/tbBlueprints[[#This Row],[Total Cost]]),0)</f>
        <v>0</v>
      </c>
    </row>
    <row r="46" spans="2:13" s="2" customFormat="1" ht="27.95" customHeight="1" x14ac:dyDescent="0.25">
      <c r="B46" s="66" t="s">
        <v>383</v>
      </c>
      <c r="C46" s="4" t="s">
        <v>41</v>
      </c>
      <c r="D46" s="4" t="str">
        <f>_xlfn.IFNA(VLOOKUP(tbBlueprints[[#This Row],[Item]],tbMaterials[],2,FALSE),"")</f>
        <v/>
      </c>
      <c r="F46" s="4"/>
      <c r="H46" s="4"/>
      <c r="J46" s="4"/>
      <c r="K4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46" s="28" t="str">
        <f>IFERROR(VLOOKUP(tbBlueprints[[#This Row],[Item]],tbMaterials[],4,FALSE),"")</f>
        <v/>
      </c>
      <c r="M46" s="76">
        <f>IF(ISNUMBER(tbBlueprints[[#This Row],[Value]]),((tbBlueprints[[#This Row],[Value]]-tbBlueprints[[#This Row],[Total Cost]])/tbBlueprints[[#This Row],[Total Cost]]),0)</f>
        <v>0</v>
      </c>
    </row>
    <row r="47" spans="2:13" s="2" customFormat="1" ht="27.95" customHeight="1" x14ac:dyDescent="0.25">
      <c r="B47" s="66" t="s">
        <v>501</v>
      </c>
      <c r="C47" s="4" t="s">
        <v>41</v>
      </c>
      <c r="D47" s="4" t="str">
        <f>_xlfn.IFNA(VLOOKUP(tbBlueprints[[#This Row],[Item]],tbMaterials[],2,FALSE),"")</f>
        <v>Tradeable</v>
      </c>
      <c r="E47" s="2" t="s">
        <v>333</v>
      </c>
      <c r="F47" s="4">
        <v>250</v>
      </c>
      <c r="G47" s="2" t="s">
        <v>260</v>
      </c>
      <c r="H47" s="4">
        <v>50</v>
      </c>
      <c r="J47" s="7"/>
      <c r="K47"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6200</v>
      </c>
      <c r="L47" s="28">
        <f>IFERROR(VLOOKUP(tbBlueprints[[#This Row],[Item]],tbMaterials[],4,FALSE),"")</f>
        <v>50000</v>
      </c>
      <c r="M47" s="76">
        <f>IF(ISNUMBER(tbBlueprints[[#This Row],[Value]]),((tbBlueprints[[#This Row],[Value]]-tbBlueprints[[#This Row],[Total Cost]])/tbBlueprints[[#This Row],[Total Cost]]),0)</f>
        <v>7.064516129032258</v>
      </c>
    </row>
    <row r="48" spans="2:13" s="2" customFormat="1" ht="27.95" customHeight="1" x14ac:dyDescent="0.25">
      <c r="B48" s="2" t="s">
        <v>447</v>
      </c>
      <c r="C48" s="4" t="s">
        <v>41</v>
      </c>
      <c r="D48" s="4" t="str">
        <f>_xlfn.IFNA(VLOOKUP(tbBlueprints[[#This Row],[Item]],tbMaterials[],2,FALSE),"")</f>
        <v/>
      </c>
      <c r="F48" s="4"/>
      <c r="H48" s="4"/>
      <c r="J48" s="4"/>
      <c r="K4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48" s="28" t="str">
        <f>IFERROR(VLOOKUP(tbBlueprints[[#This Row],[Item]],tbMaterials[],4,FALSE),"")</f>
        <v/>
      </c>
      <c r="M48" s="76">
        <f>IF(ISNUMBER(tbBlueprints[[#This Row],[Value]]),((tbBlueprints[[#This Row],[Value]]-tbBlueprints[[#This Row],[Total Cost]])/tbBlueprints[[#This Row],[Total Cost]]),0)</f>
        <v>0</v>
      </c>
    </row>
    <row r="49" spans="2:13" s="2" customFormat="1" ht="27.95" customHeight="1" x14ac:dyDescent="0.25">
      <c r="B49" s="66" t="s">
        <v>440</v>
      </c>
      <c r="C49" s="4" t="s">
        <v>41</v>
      </c>
      <c r="D49" s="4" t="str">
        <f>_xlfn.IFNA(VLOOKUP(tbBlueprints[[#This Row],[Item]],tbMaterials[],2,FALSE),"")</f>
        <v/>
      </c>
      <c r="F49" s="4"/>
      <c r="H49" s="4"/>
      <c r="J49" s="4"/>
      <c r="K4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49" s="28" t="str">
        <f>IFERROR(VLOOKUP(tbBlueprints[[#This Row],[Item]],tbMaterials[],4,FALSE),"")</f>
        <v/>
      </c>
      <c r="M49" s="76">
        <f>IF(ISNUMBER(tbBlueprints[[#This Row],[Value]]),((tbBlueprints[[#This Row],[Value]]-tbBlueprints[[#This Row],[Total Cost]])/tbBlueprints[[#This Row],[Total Cost]]),0)</f>
        <v>0</v>
      </c>
    </row>
    <row r="50" spans="2:13" s="2" customFormat="1" ht="27.95" customHeight="1" x14ac:dyDescent="0.25">
      <c r="B50" s="66" t="s">
        <v>441</v>
      </c>
      <c r="C50" s="4" t="s">
        <v>41</v>
      </c>
      <c r="D50" s="4" t="str">
        <f>_xlfn.IFNA(VLOOKUP(tbBlueprints[[#This Row],[Item]],tbMaterials[],2,FALSE),"")</f>
        <v/>
      </c>
      <c r="F50" s="4"/>
      <c r="H50" s="4"/>
      <c r="J50" s="4"/>
      <c r="K5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0" s="28" t="str">
        <f>IFERROR(VLOOKUP(tbBlueprints[[#This Row],[Item]],tbMaterials[],4,FALSE),"")</f>
        <v/>
      </c>
      <c r="M50" s="76">
        <f>IF(ISNUMBER(tbBlueprints[[#This Row],[Value]]),((tbBlueprints[[#This Row],[Value]]-tbBlueprints[[#This Row],[Total Cost]])/tbBlueprints[[#This Row],[Total Cost]]),0)</f>
        <v>0</v>
      </c>
    </row>
    <row r="51" spans="2:13" s="2" customFormat="1" ht="27.95" customHeight="1" x14ac:dyDescent="0.25">
      <c r="B51" s="66" t="s">
        <v>445</v>
      </c>
      <c r="C51" s="4" t="s">
        <v>41</v>
      </c>
      <c r="D51" s="4" t="str">
        <f>_xlfn.IFNA(VLOOKUP(tbBlueprints[[#This Row],[Item]],tbMaterials[],2,FALSE),"")</f>
        <v/>
      </c>
      <c r="F51" s="4"/>
      <c r="H51" s="4"/>
      <c r="J51" s="4"/>
      <c r="K5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1" s="28" t="str">
        <f>IFERROR(VLOOKUP(tbBlueprints[[#This Row],[Item]],tbMaterials[],4,FALSE),"")</f>
        <v/>
      </c>
      <c r="M51" s="76">
        <f>IF(ISNUMBER(tbBlueprints[[#This Row],[Value]]),((tbBlueprints[[#This Row],[Value]]-tbBlueprints[[#This Row],[Total Cost]])/tbBlueprints[[#This Row],[Total Cost]]),0)</f>
        <v>0</v>
      </c>
    </row>
    <row r="52" spans="2:13" s="2" customFormat="1" ht="27.95" customHeight="1" x14ac:dyDescent="0.25">
      <c r="B52" s="66" t="s">
        <v>446</v>
      </c>
      <c r="C52" s="4" t="s">
        <v>41</v>
      </c>
      <c r="D52" s="4" t="str">
        <f>_xlfn.IFNA(VLOOKUP(tbBlueprints[[#This Row],[Item]],tbMaterials[],2,FALSE),"")</f>
        <v/>
      </c>
      <c r="F52" s="4"/>
      <c r="H52" s="4"/>
      <c r="J52" s="4"/>
      <c r="K5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2" s="28" t="str">
        <f>IFERROR(VLOOKUP(tbBlueprints[[#This Row],[Item]],tbMaterials[],4,FALSE),"")</f>
        <v/>
      </c>
      <c r="M52" s="76">
        <f>IF(ISNUMBER(tbBlueprints[[#This Row],[Value]]),((tbBlueprints[[#This Row],[Value]]-tbBlueprints[[#This Row],[Total Cost]])/tbBlueprints[[#This Row],[Total Cost]]),0)</f>
        <v>0</v>
      </c>
    </row>
    <row r="53" spans="2:13" s="2" customFormat="1" ht="27.95" customHeight="1" x14ac:dyDescent="0.25">
      <c r="B53" s="66" t="s">
        <v>439</v>
      </c>
      <c r="C53" s="4" t="s">
        <v>41</v>
      </c>
      <c r="D53" s="4" t="str">
        <f>_xlfn.IFNA(VLOOKUP(tbBlueprints[[#This Row],[Item]],tbMaterials[],2,FALSE),"")</f>
        <v/>
      </c>
      <c r="F53" s="4"/>
      <c r="H53" s="4"/>
      <c r="J53" s="4"/>
      <c r="K5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3" s="28" t="str">
        <f>IFERROR(VLOOKUP(tbBlueprints[[#This Row],[Item]],tbMaterials[],4,FALSE),"")</f>
        <v/>
      </c>
      <c r="M53" s="76">
        <f>IF(ISNUMBER(tbBlueprints[[#This Row],[Value]]),((tbBlueprints[[#This Row],[Value]]-tbBlueprints[[#This Row],[Total Cost]])/tbBlueprints[[#This Row],[Total Cost]]),0)</f>
        <v>0</v>
      </c>
    </row>
    <row r="54" spans="2:13" s="2" customFormat="1" ht="27.95" customHeight="1" x14ac:dyDescent="0.25">
      <c r="B54" s="2" t="s">
        <v>455</v>
      </c>
      <c r="C54" s="4" t="s">
        <v>41</v>
      </c>
      <c r="D54" s="4" t="str">
        <f>_xlfn.IFNA(VLOOKUP(tbBlueprints[[#This Row],[Item]],tbMaterials[],2,FALSE),"")</f>
        <v/>
      </c>
      <c r="F54" s="4"/>
      <c r="H54" s="4"/>
      <c r="J54" s="4"/>
      <c r="K5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4" s="28" t="str">
        <f>IFERROR(VLOOKUP(tbBlueprints[[#This Row],[Item]],tbMaterials[],4,FALSE),"")</f>
        <v/>
      </c>
      <c r="M54" s="76">
        <f>IF(ISNUMBER(tbBlueprints[[#This Row],[Value]]),((tbBlueprints[[#This Row],[Value]]-tbBlueprints[[#This Row],[Total Cost]])/tbBlueprints[[#This Row],[Total Cost]]),0)</f>
        <v>0</v>
      </c>
    </row>
    <row r="55" spans="2:13" s="2" customFormat="1" ht="27.95" customHeight="1" x14ac:dyDescent="0.25">
      <c r="B55" s="38" t="s">
        <v>622</v>
      </c>
      <c r="C55" s="4" t="s">
        <v>60</v>
      </c>
      <c r="D55" s="4" t="str">
        <f>_xlfn.IFNA(VLOOKUP(tbBlueprints[[#This Row],[Item]],tbMaterials[],2,FALSE),"")</f>
        <v/>
      </c>
      <c r="F55" s="4"/>
      <c r="H55" s="4"/>
      <c r="J55" s="7"/>
      <c r="K5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5" s="28" t="str">
        <f>IFERROR(VLOOKUP(tbBlueprints[[#This Row],[Item]],tbMaterials[],4,FALSE),"")</f>
        <v/>
      </c>
      <c r="M55" s="76">
        <f>IF(ISNUMBER(tbBlueprints[[#This Row],[Value]]),((tbBlueprints[[#This Row],[Value]]-tbBlueprints[[#This Row],[Total Cost]])/tbBlueprints[[#This Row],[Total Cost]]),0)</f>
        <v>0</v>
      </c>
    </row>
    <row r="56" spans="2:13" s="2" customFormat="1" ht="27.95" customHeight="1" x14ac:dyDescent="0.25">
      <c r="B56" s="2" t="s">
        <v>391</v>
      </c>
      <c r="C56" s="4" t="s">
        <v>41</v>
      </c>
      <c r="D56" s="4" t="str">
        <f>_xlfn.IFNA(VLOOKUP(tbBlueprints[[#This Row],[Item]],tbMaterials[],2,FALSE),"")</f>
        <v/>
      </c>
      <c r="F56" s="4"/>
      <c r="H56" s="4"/>
      <c r="J56" s="4"/>
      <c r="K5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6" s="28" t="str">
        <f>IFERROR(VLOOKUP(tbBlueprints[[#This Row],[Item]],tbMaterials[],4,FALSE),"")</f>
        <v/>
      </c>
      <c r="M56" s="76">
        <f>IF(ISNUMBER(tbBlueprints[[#This Row],[Value]]),((tbBlueprints[[#This Row],[Value]]-tbBlueprints[[#This Row],[Total Cost]])/tbBlueprints[[#This Row],[Total Cost]]),0)</f>
        <v>0</v>
      </c>
    </row>
    <row r="57" spans="2:13" s="2" customFormat="1" ht="27.95" customHeight="1" x14ac:dyDescent="0.25">
      <c r="B57" s="38" t="s">
        <v>392</v>
      </c>
      <c r="C57" s="4" t="s">
        <v>41</v>
      </c>
      <c r="D57" s="4" t="str">
        <f>_xlfn.IFNA(VLOOKUP(tbBlueprints[[#This Row],[Item]],tbMaterials[],2,FALSE),"")</f>
        <v/>
      </c>
      <c r="F57" s="4"/>
      <c r="H57" s="4"/>
      <c r="J57" s="4"/>
      <c r="K5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7" s="28" t="str">
        <f>IFERROR(VLOOKUP(tbBlueprints[[#This Row],[Item]],tbMaterials[],4,FALSE),"")</f>
        <v/>
      </c>
      <c r="M57" s="76">
        <f>IF(ISNUMBER(tbBlueprints[[#This Row],[Value]]),((tbBlueprints[[#This Row],[Value]]-tbBlueprints[[#This Row],[Total Cost]])/tbBlueprints[[#This Row],[Total Cost]]),0)</f>
        <v>0</v>
      </c>
    </row>
    <row r="58" spans="2:13" s="2" customFormat="1" ht="27.95" customHeight="1" x14ac:dyDescent="0.25">
      <c r="B58" s="38" t="s">
        <v>610</v>
      </c>
      <c r="C58" s="4" t="s">
        <v>60</v>
      </c>
      <c r="D58" s="4" t="str">
        <f>_xlfn.IFNA(VLOOKUP(tbBlueprints[[#This Row],[Item]],tbMaterials[],2,FALSE),"")</f>
        <v/>
      </c>
      <c r="F58" s="4"/>
      <c r="H58" s="4"/>
      <c r="J58" s="7"/>
      <c r="K5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8" s="28" t="str">
        <f>IFERROR(VLOOKUP(tbBlueprints[[#This Row],[Item]],tbMaterials[],4,FALSE),"")</f>
        <v/>
      </c>
      <c r="M58" s="76">
        <f>IF(ISNUMBER(tbBlueprints[[#This Row],[Value]]),((tbBlueprints[[#This Row],[Value]]-tbBlueprints[[#This Row],[Total Cost]])/tbBlueprints[[#This Row],[Total Cost]]),0)</f>
        <v>0</v>
      </c>
    </row>
    <row r="59" spans="2:13" s="2" customFormat="1" ht="27.95" customHeight="1" x14ac:dyDescent="0.25">
      <c r="B59" s="38" t="s">
        <v>611</v>
      </c>
      <c r="C59" s="4" t="s">
        <v>60</v>
      </c>
      <c r="D59" s="4" t="str">
        <f>_xlfn.IFNA(VLOOKUP(tbBlueprints[[#This Row],[Item]],tbMaterials[],2,FALSE),"")</f>
        <v/>
      </c>
      <c r="F59" s="4"/>
      <c r="H59" s="4"/>
      <c r="J59" s="7"/>
      <c r="K5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59" s="28" t="str">
        <f>IFERROR(VLOOKUP(tbBlueprints[[#This Row],[Item]],tbMaterials[],4,FALSE),"")</f>
        <v/>
      </c>
      <c r="M59" s="76">
        <f>IF(ISNUMBER(tbBlueprints[[#This Row],[Value]]),((tbBlueprints[[#This Row],[Value]]-tbBlueprints[[#This Row],[Total Cost]])/tbBlueprints[[#This Row],[Total Cost]]),0)</f>
        <v>0</v>
      </c>
    </row>
    <row r="60" spans="2:13" s="66" customFormat="1" ht="27.95" customHeight="1" x14ac:dyDescent="0.25">
      <c r="B60" s="38" t="s">
        <v>517</v>
      </c>
      <c r="C60" s="4" t="s">
        <v>41</v>
      </c>
      <c r="D60" s="4" t="s">
        <v>277</v>
      </c>
      <c r="E60" s="66" t="s">
        <v>895</v>
      </c>
      <c r="F60" s="4">
        <v>1</v>
      </c>
      <c r="G60" s="66" t="s">
        <v>488</v>
      </c>
      <c r="H60" s="4">
        <v>1</v>
      </c>
      <c r="J60" s="7"/>
      <c r="K60"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370000</v>
      </c>
      <c r="L60" s="28">
        <f>IFERROR(VLOOKUP(tbBlueprints[[#This Row],[Item]],tbMaterials[],4,FALSE),"")</f>
        <v>15000000</v>
      </c>
      <c r="M60" s="76">
        <f>IF(ISNUMBER(tbBlueprints[[#This Row],[Value]]),((tbBlueprints[[#This Row],[Value]]-tbBlueprints[[#This Row],[Total Cost]])/tbBlueprints[[#This Row],[Total Cost]]),0)</f>
        <v>39.54054054054054</v>
      </c>
    </row>
    <row r="61" spans="2:13" s="2" customFormat="1" ht="27.95" customHeight="1" x14ac:dyDescent="0.25">
      <c r="B61" s="2" t="s">
        <v>432</v>
      </c>
      <c r="C61" s="4" t="s">
        <v>41</v>
      </c>
      <c r="D61" s="4" t="str">
        <f>_xlfn.IFNA(VLOOKUP(tbBlueprints[[#This Row],[Item]],tbMaterials[],2,FALSE),"")</f>
        <v/>
      </c>
      <c r="F61" s="4"/>
      <c r="H61" s="4"/>
      <c r="J61" s="4"/>
      <c r="K6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61" s="28" t="str">
        <f>IFERROR(VLOOKUP(tbBlueprints[[#This Row],[Item]],tbMaterials[],4,FALSE),"")</f>
        <v/>
      </c>
      <c r="M61" s="76">
        <f>IF(ISNUMBER(tbBlueprints[[#This Row],[Value]]),((tbBlueprints[[#This Row],[Value]]-tbBlueprints[[#This Row],[Total Cost]])/tbBlueprints[[#This Row],[Total Cost]]),0)</f>
        <v>0</v>
      </c>
    </row>
    <row r="62" spans="2:13" s="66" customFormat="1" ht="27.95" customHeight="1" x14ac:dyDescent="0.25">
      <c r="B62" s="66" t="s">
        <v>898</v>
      </c>
      <c r="C62" s="4" t="s">
        <v>41</v>
      </c>
      <c r="D62" s="4" t="s">
        <v>277</v>
      </c>
      <c r="E62" s="66" t="s">
        <v>896</v>
      </c>
      <c r="F62" s="4">
        <v>1</v>
      </c>
      <c r="G62" s="66" t="s">
        <v>569</v>
      </c>
      <c r="H62" s="4">
        <v>1</v>
      </c>
      <c r="I62" s="66" t="s">
        <v>518</v>
      </c>
      <c r="J62" s="4">
        <v>1</v>
      </c>
      <c r="K62"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9550000</v>
      </c>
      <c r="L62" s="28">
        <f>IFERROR(VLOOKUP(tbBlueprints[[#This Row],[Item]],tbMaterials[],4,FALSE),"")</f>
        <v>15600000</v>
      </c>
      <c r="M62" s="76">
        <f>IF(ISNUMBER(tbBlueprints[[#This Row],[Value]]),((tbBlueprints[[#This Row],[Value]]-tbBlueprints[[#This Row],[Total Cost]])/tbBlueprints[[#This Row],[Total Cost]]),0)</f>
        <v>0.63350785340314131</v>
      </c>
    </row>
    <row r="63" spans="2:13" s="66" customFormat="1" ht="27.95" customHeight="1" x14ac:dyDescent="0.25">
      <c r="B63" s="66" t="s">
        <v>518</v>
      </c>
      <c r="C63" s="4" t="s">
        <v>41</v>
      </c>
      <c r="D63" s="4" t="s">
        <v>277</v>
      </c>
      <c r="E63" s="66" t="s">
        <v>309</v>
      </c>
      <c r="F63" s="4">
        <v>1</v>
      </c>
      <c r="G63" s="66" t="s">
        <v>307</v>
      </c>
      <c r="H63" s="4">
        <v>1</v>
      </c>
      <c r="I63" s="66" t="s">
        <v>264</v>
      </c>
      <c r="J63" s="4">
        <v>1</v>
      </c>
      <c r="K63"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75000</v>
      </c>
      <c r="L63" s="28">
        <f>IFERROR(VLOOKUP(tbBlueprints[[#This Row],[Item]],tbMaterials[],4,FALSE),"")</f>
        <v>150000</v>
      </c>
      <c r="M63" s="76">
        <f>IF(ISNUMBER(tbBlueprints[[#This Row],[Value]]),((tbBlueprints[[#This Row],[Value]]-tbBlueprints[[#This Row],[Total Cost]])/tbBlueprints[[#This Row],[Total Cost]]),0)</f>
        <v>1</v>
      </c>
    </row>
    <row r="64" spans="2:13" s="2" customFormat="1" ht="27.95" customHeight="1" x14ac:dyDescent="0.25">
      <c r="B64" s="3" t="s">
        <v>429</v>
      </c>
      <c r="C64" s="5" t="s">
        <v>41</v>
      </c>
      <c r="D64" s="4" t="str">
        <f>_xlfn.IFNA(VLOOKUP(tbBlueprints[[#This Row],[Item]],tbMaterials[],2,FALSE),"")</f>
        <v/>
      </c>
      <c r="F64" s="4"/>
      <c r="H64" s="4"/>
      <c r="J64" s="4"/>
      <c r="K6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64" s="28" t="str">
        <f>IFERROR(VLOOKUP(tbBlueprints[[#This Row],[Item]],tbMaterials[],4,FALSE),"")</f>
        <v/>
      </c>
      <c r="M64" s="76">
        <f>IF(ISNUMBER(tbBlueprints[[#This Row],[Value]]),((tbBlueprints[[#This Row],[Value]]-tbBlueprints[[#This Row],[Total Cost]])/tbBlueprints[[#This Row],[Total Cost]]),0)</f>
        <v>0</v>
      </c>
    </row>
    <row r="65" spans="2:13" s="66" customFormat="1" ht="27.95" customHeight="1" x14ac:dyDescent="0.25">
      <c r="B65" s="3" t="s">
        <v>310</v>
      </c>
      <c r="C65" s="5" t="s">
        <v>41</v>
      </c>
      <c r="D65" s="4" t="s">
        <v>277</v>
      </c>
      <c r="E65" s="66" t="s">
        <v>72</v>
      </c>
      <c r="F65" s="4">
        <v>50</v>
      </c>
      <c r="G65" s="66" t="s">
        <v>267</v>
      </c>
      <c r="H65" s="4">
        <v>50</v>
      </c>
      <c r="J65" s="4"/>
      <c r="K65"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23150</v>
      </c>
      <c r="L65" s="28">
        <f>IFERROR(VLOOKUP(tbBlueprints[[#This Row],[Item]],tbMaterials[],4,FALSE),"")</f>
        <v>25000</v>
      </c>
      <c r="M65" s="76">
        <f>IF(ISNUMBER(tbBlueprints[[#This Row],[Value]]),((tbBlueprints[[#This Row],[Value]]-tbBlueprints[[#This Row],[Total Cost]])/tbBlueprints[[#This Row],[Total Cost]]),0)</f>
        <v>7.9913606911447083E-2</v>
      </c>
    </row>
    <row r="66" spans="2:13" s="2" customFormat="1" ht="27.95" customHeight="1" x14ac:dyDescent="0.25">
      <c r="B66" s="2" t="s">
        <v>401</v>
      </c>
      <c r="C66" s="4" t="s">
        <v>41</v>
      </c>
      <c r="D66" s="4" t="str">
        <f>_xlfn.IFNA(VLOOKUP(tbBlueprints[[#This Row],[Item]],tbMaterials[],2,FALSE),"")</f>
        <v/>
      </c>
      <c r="F66" s="4"/>
      <c r="H66" s="4"/>
      <c r="J66" s="4"/>
      <c r="K6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66" s="28" t="str">
        <f>IFERROR(VLOOKUP(tbBlueprints[[#This Row],[Item]],tbMaterials[],4,FALSE),"")</f>
        <v/>
      </c>
      <c r="M66" s="76">
        <f>IF(ISNUMBER(tbBlueprints[[#This Row],[Value]]),((tbBlueprints[[#This Row],[Value]]-tbBlueprints[[#This Row],[Total Cost]])/tbBlueprints[[#This Row],[Total Cost]]),0)</f>
        <v>0</v>
      </c>
    </row>
    <row r="67" spans="2:13" s="2" customFormat="1" ht="27.95" customHeight="1" x14ac:dyDescent="0.25">
      <c r="B67" s="38" t="s">
        <v>400</v>
      </c>
      <c r="C67" s="4" t="s">
        <v>41</v>
      </c>
      <c r="D67" s="4" t="str">
        <f>_xlfn.IFNA(VLOOKUP(tbBlueprints[[#This Row],[Item]],tbMaterials[],2,FALSE),"")</f>
        <v/>
      </c>
      <c r="F67" s="4"/>
      <c r="H67" s="4"/>
      <c r="J67" s="4"/>
      <c r="K6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67" s="28" t="str">
        <f>IFERROR(VLOOKUP(tbBlueprints[[#This Row],[Item]],tbMaterials[],4,FALSE),"")</f>
        <v/>
      </c>
      <c r="M67" s="76">
        <f>IF(ISNUMBER(tbBlueprints[[#This Row],[Value]]),((tbBlueprints[[#This Row],[Value]]-tbBlueprints[[#This Row],[Total Cost]])/tbBlueprints[[#This Row],[Total Cost]]),0)</f>
        <v>0</v>
      </c>
    </row>
    <row r="68" spans="2:13" s="66" customFormat="1" ht="27.95" customHeight="1" x14ac:dyDescent="0.25">
      <c r="B68" s="66" t="s">
        <v>841</v>
      </c>
      <c r="C68" s="4" t="s">
        <v>41</v>
      </c>
      <c r="D68" s="4" t="str">
        <f>_xlfn.IFNA(VLOOKUP(tbBlueprints[[#This Row],[Item]],tbMaterials[],2,FALSE),"")</f>
        <v>Component</v>
      </c>
      <c r="E68" s="66" t="s">
        <v>71</v>
      </c>
      <c r="F68" s="4">
        <v>100</v>
      </c>
      <c r="G68" s="66" t="s">
        <v>14</v>
      </c>
      <c r="H68" s="4">
        <v>100</v>
      </c>
      <c r="J68" s="4"/>
      <c r="K68"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8200</v>
      </c>
      <c r="L68" s="28">
        <f>IFERROR(VLOOKUP(tbBlueprints[[#This Row],[Item]],tbMaterials[],4,FALSE),"")</f>
        <v>180000</v>
      </c>
      <c r="M68" s="76">
        <f>IF(ISNUMBER(tbBlueprints[[#This Row],[Value]]),((tbBlueprints[[#This Row],[Value]]-tbBlueprints[[#This Row],[Total Cost]])/tbBlueprints[[#This Row],[Total Cost]]),0)</f>
        <v>20.951219512195124</v>
      </c>
    </row>
    <row r="69" spans="2:13" s="2" customFormat="1" ht="27.95" customHeight="1" x14ac:dyDescent="0.25">
      <c r="B69" s="38" t="s">
        <v>524</v>
      </c>
      <c r="C69" s="4" t="s">
        <v>41</v>
      </c>
      <c r="D69" s="4" t="str">
        <f>_xlfn.IFNA(VLOOKUP(tbBlueprints[[#This Row],[Item]],tbMaterials[],2,FALSE),"")</f>
        <v>Component</v>
      </c>
      <c r="E69" s="2" t="s">
        <v>260</v>
      </c>
      <c r="F69" s="4">
        <v>30</v>
      </c>
      <c r="H69" s="4"/>
      <c r="J69" s="7"/>
      <c r="K69"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720</v>
      </c>
      <c r="L69" s="28">
        <f>IFERROR(VLOOKUP(tbBlueprints[[#This Row],[Item]],tbMaterials[],4,FALSE),"")</f>
        <v>800</v>
      </c>
      <c r="M69" s="76">
        <f>IF(ISNUMBER(tbBlueprints[[#This Row],[Value]]),((tbBlueprints[[#This Row],[Value]]-tbBlueprints[[#This Row],[Total Cost]])/tbBlueprints[[#This Row],[Total Cost]]),0)</f>
        <v>0.1111111111111111</v>
      </c>
    </row>
    <row r="70" spans="2:13" s="66" customFormat="1" ht="27.95" customHeight="1" x14ac:dyDescent="0.25">
      <c r="B70" s="38" t="s">
        <v>307</v>
      </c>
      <c r="C70" s="4" t="s">
        <v>41</v>
      </c>
      <c r="D70" s="4" t="s">
        <v>277</v>
      </c>
      <c r="E70" s="66" t="s">
        <v>84</v>
      </c>
      <c r="F70" s="4">
        <v>50</v>
      </c>
      <c r="G70" s="66" t="s">
        <v>267</v>
      </c>
      <c r="H70" s="4">
        <v>50</v>
      </c>
      <c r="J70" s="7"/>
      <c r="K70"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23150</v>
      </c>
      <c r="L70" s="28">
        <f>IFERROR(VLOOKUP(tbBlueprints[[#This Row],[Item]],tbMaterials[],4,FALSE),"")</f>
        <v>25000</v>
      </c>
      <c r="M70" s="76">
        <f>IF(ISNUMBER(tbBlueprints[[#This Row],[Value]]),((tbBlueprints[[#This Row],[Value]]-tbBlueprints[[#This Row],[Total Cost]])/tbBlueprints[[#This Row],[Total Cost]]),0)</f>
        <v>7.9913606911447083E-2</v>
      </c>
    </row>
    <row r="71" spans="2:13" s="2" customFormat="1" ht="27.95" customHeight="1" x14ac:dyDescent="0.25">
      <c r="B71" s="2" t="s">
        <v>442</v>
      </c>
      <c r="C71" s="4" t="s">
        <v>41</v>
      </c>
      <c r="D71" s="4" t="str">
        <f>_xlfn.IFNA(VLOOKUP(tbBlueprints[[#This Row],[Item]],tbMaterials[],2,FALSE),"")</f>
        <v/>
      </c>
      <c r="F71" s="4"/>
      <c r="H71" s="4"/>
      <c r="J71" s="4"/>
      <c r="K7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1" s="28" t="str">
        <f>IFERROR(VLOOKUP(tbBlueprints[[#This Row],[Item]],tbMaterials[],4,FALSE),"")</f>
        <v/>
      </c>
      <c r="M71" s="76">
        <f>IF(ISNUMBER(tbBlueprints[[#This Row],[Value]]),((tbBlueprints[[#This Row],[Value]]-tbBlueprints[[#This Row],[Total Cost]])/tbBlueprints[[#This Row],[Total Cost]]),0)</f>
        <v>0</v>
      </c>
    </row>
    <row r="72" spans="2:13" s="2" customFormat="1" ht="27.95" customHeight="1" x14ac:dyDescent="0.25">
      <c r="B72" s="38" t="s">
        <v>615</v>
      </c>
      <c r="C72" s="4" t="s">
        <v>60</v>
      </c>
      <c r="D72" s="4" t="str">
        <f>_xlfn.IFNA(VLOOKUP(tbBlueprints[[#This Row],[Item]],tbMaterials[],2,FALSE),"")</f>
        <v/>
      </c>
      <c r="F72" s="4"/>
      <c r="H72" s="4"/>
      <c r="J72" s="7"/>
      <c r="K7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2" s="28" t="str">
        <f>IFERROR(VLOOKUP(tbBlueprints[[#This Row],[Item]],tbMaterials[],4,FALSE),"")</f>
        <v/>
      </c>
      <c r="M72" s="76">
        <f>IF(ISNUMBER(tbBlueprints[[#This Row],[Value]]),((tbBlueprints[[#This Row],[Value]]-tbBlueprints[[#This Row],[Total Cost]])/tbBlueprints[[#This Row],[Total Cost]]),0)</f>
        <v>0</v>
      </c>
    </row>
    <row r="73" spans="2:13" s="66" customFormat="1" ht="27.95" customHeight="1" x14ac:dyDescent="0.25">
      <c r="B73" s="38" t="s">
        <v>514</v>
      </c>
      <c r="C73" s="4" t="s">
        <v>41</v>
      </c>
      <c r="D73" s="4" t="str">
        <f>_xlfn.IFNA(VLOOKUP(tbBlueprints[[#This Row],[Item]],tbMaterials[],2,FALSE),"")</f>
        <v>Tradeable</v>
      </c>
      <c r="E73" s="66" t="s">
        <v>501</v>
      </c>
      <c r="F73" s="4">
        <v>1</v>
      </c>
      <c r="G73" s="66" t="s">
        <v>488</v>
      </c>
      <c r="H73" s="4">
        <v>1</v>
      </c>
      <c r="J73" s="7"/>
      <c r="K73"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100000</v>
      </c>
      <c r="L73" s="28">
        <f>IFERROR(VLOOKUP(tbBlueprints[[#This Row],[Item]],tbMaterials[],4,FALSE),"")</f>
        <v>320000</v>
      </c>
      <c r="M73" s="76">
        <f>IF(ISNUMBER(tbBlueprints[[#This Row],[Value]]),((tbBlueprints[[#This Row],[Value]]-tbBlueprints[[#This Row],[Total Cost]])/tbBlueprints[[#This Row],[Total Cost]]),0)</f>
        <v>2.2000000000000002</v>
      </c>
    </row>
    <row r="74" spans="2:13" s="2" customFormat="1" ht="27.95" customHeight="1" x14ac:dyDescent="0.25">
      <c r="B74" s="66" t="s">
        <v>434</v>
      </c>
      <c r="C74" s="4" t="s">
        <v>41</v>
      </c>
      <c r="D74" s="4" t="str">
        <f>_xlfn.IFNA(VLOOKUP(tbBlueprints[[#This Row],[Item]],tbMaterials[],2,FALSE),"")</f>
        <v/>
      </c>
      <c r="F74" s="4"/>
      <c r="H74" s="4"/>
      <c r="J74" s="4"/>
      <c r="K7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4" s="28" t="str">
        <f>IFERROR(VLOOKUP(tbBlueprints[[#This Row],[Item]],tbMaterials[],4,FALSE),"")</f>
        <v/>
      </c>
      <c r="M74" s="76">
        <f>IF(ISNUMBER(tbBlueprints[[#This Row],[Value]]),((tbBlueprints[[#This Row],[Value]]-tbBlueprints[[#This Row],[Total Cost]])/tbBlueprints[[#This Row],[Total Cost]]),0)</f>
        <v>0</v>
      </c>
    </row>
    <row r="75" spans="2:13" s="2" customFormat="1" ht="27.95" customHeight="1" x14ac:dyDescent="0.25">
      <c r="B75" s="2" t="s">
        <v>887</v>
      </c>
      <c r="C75" s="4" t="s">
        <v>41</v>
      </c>
      <c r="D75" s="4" t="s">
        <v>291</v>
      </c>
      <c r="E75" s="2" t="s">
        <v>56</v>
      </c>
      <c r="F75" s="4">
        <v>40</v>
      </c>
      <c r="G75" s="2" t="s">
        <v>344</v>
      </c>
      <c r="H75" s="4">
        <v>40</v>
      </c>
      <c r="I75" s="2" t="s">
        <v>7</v>
      </c>
      <c r="J75" s="4">
        <v>40</v>
      </c>
      <c r="K75"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20480</v>
      </c>
      <c r="L75" s="28">
        <f>IFERROR(VLOOKUP(tbBlueprints[[#This Row],[Item]],tbMaterials[],4,FALSE),"")</f>
        <v>7200</v>
      </c>
      <c r="M75" s="76">
        <f>IF(ISNUMBER(tbBlueprints[[#This Row],[Value]]),((tbBlueprints[[#This Row],[Value]]-tbBlueprints[[#This Row],[Total Cost]])/tbBlueprints[[#This Row],[Total Cost]]),0)</f>
        <v>-0.6484375</v>
      </c>
    </row>
    <row r="76" spans="2:13" s="2" customFormat="1" ht="27.95" customHeight="1" x14ac:dyDescent="0.25">
      <c r="B76" s="66" t="s">
        <v>372</v>
      </c>
      <c r="C76" s="4" t="s">
        <v>41</v>
      </c>
      <c r="D76" s="4" t="str">
        <f>_xlfn.IFNA(VLOOKUP(tbBlueprints[[#This Row],[Item]],tbMaterials[],2,FALSE),"")</f>
        <v/>
      </c>
      <c r="F76" s="4"/>
      <c r="H76" s="4"/>
      <c r="J76" s="4"/>
      <c r="K7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6" s="28" t="str">
        <f>IFERROR(VLOOKUP(tbBlueprints[[#This Row],[Item]],tbMaterials[],4,FALSE),"")</f>
        <v/>
      </c>
      <c r="M76" s="76">
        <f>IF(ISNUMBER(tbBlueprints[[#This Row],[Value]]),((tbBlueprints[[#This Row],[Value]]-tbBlueprints[[#This Row],[Total Cost]])/tbBlueprints[[#This Row],[Total Cost]]),0)</f>
        <v>0</v>
      </c>
    </row>
    <row r="77" spans="2:13" s="2" customFormat="1" ht="27.95" customHeight="1" x14ac:dyDescent="0.25">
      <c r="B77" s="2" t="s">
        <v>372</v>
      </c>
      <c r="C77" s="4" t="s">
        <v>41</v>
      </c>
      <c r="D77" s="4" t="str">
        <f>_xlfn.IFNA(VLOOKUP(tbBlueprints[[#This Row],[Item]],tbMaterials[],2,FALSE),"")</f>
        <v/>
      </c>
      <c r="F77" s="4"/>
      <c r="H77" s="4"/>
      <c r="J77" s="4"/>
      <c r="K7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7" s="28" t="str">
        <f>IFERROR(VLOOKUP(tbBlueprints[[#This Row],[Item]],tbMaterials[],4,FALSE),"")</f>
        <v/>
      </c>
      <c r="M77" s="76">
        <f>IF(ISNUMBER(tbBlueprints[[#This Row],[Value]]),((tbBlueprints[[#This Row],[Value]]-tbBlueprints[[#This Row],[Total Cost]])/tbBlueprints[[#This Row],[Total Cost]]),0)</f>
        <v>0</v>
      </c>
    </row>
    <row r="78" spans="2:13" s="2" customFormat="1" ht="27.95" customHeight="1" x14ac:dyDescent="0.25">
      <c r="B78" s="36" t="s">
        <v>444</v>
      </c>
      <c r="C78" s="4" t="s">
        <v>41</v>
      </c>
      <c r="D78" s="4" t="str">
        <f>_xlfn.IFNA(VLOOKUP(tbBlueprints[[#This Row],[Item]],tbMaterials[],2,FALSE),"")</f>
        <v/>
      </c>
      <c r="F78" s="4"/>
      <c r="H78" s="4"/>
      <c r="J78" s="4"/>
      <c r="K7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8" s="28" t="str">
        <f>IFERROR(VLOOKUP(tbBlueprints[[#This Row],[Item]],tbMaterials[],4,FALSE),"")</f>
        <v/>
      </c>
      <c r="M78" s="76">
        <f>IF(ISNUMBER(tbBlueprints[[#This Row],[Value]]),((tbBlueprints[[#This Row],[Value]]-tbBlueprints[[#This Row],[Total Cost]])/tbBlueprints[[#This Row],[Total Cost]]),0)</f>
        <v>0</v>
      </c>
    </row>
    <row r="79" spans="2:13" s="2" customFormat="1" ht="27.95" customHeight="1" x14ac:dyDescent="0.25">
      <c r="B79" s="66" t="s">
        <v>395</v>
      </c>
      <c r="C79" s="4" t="s">
        <v>41</v>
      </c>
      <c r="D79" s="4" t="str">
        <f>_xlfn.IFNA(VLOOKUP(tbBlueprints[[#This Row],[Item]],tbMaterials[],2,FALSE),"")</f>
        <v/>
      </c>
      <c r="F79" s="4"/>
      <c r="H79" s="4"/>
      <c r="J79" s="4"/>
      <c r="K7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79" s="28" t="str">
        <f>IFERROR(VLOOKUP(tbBlueprints[[#This Row],[Item]],tbMaterials[],4,FALSE),"")</f>
        <v/>
      </c>
      <c r="M79" s="76">
        <f>IF(ISNUMBER(tbBlueprints[[#This Row],[Value]]),((tbBlueprints[[#This Row],[Value]]-tbBlueprints[[#This Row],[Total Cost]])/tbBlueprints[[#This Row],[Total Cost]]),0)</f>
        <v>0</v>
      </c>
    </row>
    <row r="80" spans="2:13" s="2" customFormat="1" ht="27.95" customHeight="1" x14ac:dyDescent="0.25">
      <c r="B80" s="66" t="s">
        <v>388</v>
      </c>
      <c r="C80" s="4" t="s">
        <v>41</v>
      </c>
      <c r="D80" s="4" t="str">
        <f>_xlfn.IFNA(VLOOKUP(tbBlueprints[[#This Row],[Item]],tbMaterials[],2,FALSE),"")</f>
        <v/>
      </c>
      <c r="F80" s="4"/>
      <c r="H80" s="4"/>
      <c r="J80" s="4"/>
      <c r="K8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80" s="28" t="str">
        <f>IFERROR(VLOOKUP(tbBlueprints[[#This Row],[Item]],tbMaterials[],4,FALSE),"")</f>
        <v/>
      </c>
      <c r="M80" s="76">
        <f>IF(ISNUMBER(tbBlueprints[[#This Row],[Value]]),((tbBlueprints[[#This Row],[Value]]-tbBlueprints[[#This Row],[Total Cost]])/tbBlueprints[[#This Row],[Total Cost]]),0)</f>
        <v>0</v>
      </c>
    </row>
    <row r="81" spans="2:13" s="2" customFormat="1" ht="27.95" customHeight="1" x14ac:dyDescent="0.25">
      <c r="B81" s="66" t="s">
        <v>370</v>
      </c>
      <c r="C81" s="4" t="s">
        <v>41</v>
      </c>
      <c r="D81" s="4" t="str">
        <f>_xlfn.IFNA(VLOOKUP(tbBlueprints[[#This Row],[Item]],tbMaterials[],2,FALSE),"")</f>
        <v/>
      </c>
      <c r="F81" s="4"/>
      <c r="H81" s="4"/>
      <c r="J81" s="4"/>
      <c r="K8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81" s="28" t="str">
        <f>IFERROR(VLOOKUP(tbBlueprints[[#This Row],[Item]],tbMaterials[],4,FALSE),"")</f>
        <v/>
      </c>
      <c r="M81" s="76">
        <f>IF(ISNUMBER(tbBlueprints[[#This Row],[Value]]),((tbBlueprints[[#This Row],[Value]]-tbBlueprints[[#This Row],[Total Cost]])/tbBlueprints[[#This Row],[Total Cost]]),0)</f>
        <v>0</v>
      </c>
    </row>
    <row r="82" spans="2:13" s="2" customFormat="1" ht="27.95" customHeight="1" x14ac:dyDescent="0.25">
      <c r="B82" s="38" t="s">
        <v>526</v>
      </c>
      <c r="C82" s="4" t="s">
        <v>41</v>
      </c>
      <c r="D82" s="4" t="s">
        <v>886</v>
      </c>
      <c r="E82" s="2" t="s">
        <v>6</v>
      </c>
      <c r="F82" s="4">
        <v>10</v>
      </c>
      <c r="G82" s="2" t="s">
        <v>12</v>
      </c>
      <c r="H82" s="4">
        <v>20</v>
      </c>
      <c r="J82" s="7"/>
      <c r="K82"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2260</v>
      </c>
      <c r="L82" s="28" t="str">
        <f>IFERROR(VLOOKUP(tbBlueprints[[#This Row],[Item]],tbMaterials[],4,FALSE),"")</f>
        <v/>
      </c>
      <c r="M82" s="76">
        <f>IF(ISNUMBER(tbBlueprints[[#This Row],[Value]]),((tbBlueprints[[#This Row],[Value]]-tbBlueprints[[#This Row],[Total Cost]])/tbBlueprints[[#This Row],[Total Cost]]),0)</f>
        <v>0</v>
      </c>
    </row>
    <row r="83" spans="2:13" s="66" customFormat="1" ht="27.95" customHeight="1" x14ac:dyDescent="0.25">
      <c r="B83" s="38" t="s">
        <v>515</v>
      </c>
      <c r="C83" s="4" t="s">
        <v>41</v>
      </c>
      <c r="D83" s="4" t="s">
        <v>277</v>
      </c>
      <c r="E83" s="66" t="s">
        <v>308</v>
      </c>
      <c r="F83" s="4">
        <v>1</v>
      </c>
      <c r="G83" s="66" t="s">
        <v>311</v>
      </c>
      <c r="H83" s="4">
        <v>1</v>
      </c>
      <c r="I83" s="66" t="s">
        <v>310</v>
      </c>
      <c r="J83" s="7">
        <v>1</v>
      </c>
      <c r="K83"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75000</v>
      </c>
      <c r="L83" s="28">
        <f>IFERROR(VLOOKUP(tbBlueprints[[#This Row],[Item]],tbMaterials[],4,FALSE),"")</f>
        <v>150000</v>
      </c>
      <c r="M83" s="76">
        <f>IF(ISNUMBER(tbBlueprints[[#This Row],[Value]]),((tbBlueprints[[#This Row],[Value]]-tbBlueprints[[#This Row],[Total Cost]])/tbBlueprints[[#This Row],[Total Cost]]),0)</f>
        <v>1</v>
      </c>
    </row>
    <row r="84" spans="2:13" s="2" customFormat="1" ht="27.95" customHeight="1" x14ac:dyDescent="0.25">
      <c r="B84" s="2" t="s">
        <v>403</v>
      </c>
      <c r="C84" s="4" t="s">
        <v>41</v>
      </c>
      <c r="D84" s="4" t="str">
        <f>_xlfn.IFNA(VLOOKUP(tbBlueprints[[#This Row],[Item]],tbMaterials[],2,FALSE),"")</f>
        <v/>
      </c>
      <c r="F84" s="4"/>
      <c r="H84" s="4"/>
      <c r="J84" s="4"/>
      <c r="K8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84" s="28" t="str">
        <f>IFERROR(VLOOKUP(tbBlueprints[[#This Row],[Item]],tbMaterials[],4,FALSE),"")</f>
        <v/>
      </c>
      <c r="M84" s="76">
        <f>IF(ISNUMBER(tbBlueprints[[#This Row],[Value]]),((tbBlueprints[[#This Row],[Value]]-tbBlueprints[[#This Row],[Total Cost]])/tbBlueprints[[#This Row],[Total Cost]]),0)</f>
        <v>0</v>
      </c>
    </row>
    <row r="85" spans="2:13" s="2" customFormat="1" ht="27.95" customHeight="1" x14ac:dyDescent="0.25">
      <c r="B85" s="66" t="s">
        <v>390</v>
      </c>
      <c r="C85" s="4" t="s">
        <v>41</v>
      </c>
      <c r="D85" s="4" t="str">
        <f>_xlfn.IFNA(VLOOKUP(tbBlueprints[[#This Row],[Item]],tbMaterials[],2,FALSE),"")</f>
        <v/>
      </c>
      <c r="F85" s="4"/>
      <c r="H85" s="4"/>
      <c r="J85" s="4"/>
      <c r="K8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85" s="28" t="str">
        <f>IFERROR(VLOOKUP(tbBlueprints[[#This Row],[Item]],tbMaterials[],4,FALSE),"")</f>
        <v/>
      </c>
      <c r="M85" s="76">
        <f>IF(ISNUMBER(tbBlueprints[[#This Row],[Value]]),((tbBlueprints[[#This Row],[Value]]-tbBlueprints[[#This Row],[Total Cost]])/tbBlueprints[[#This Row],[Total Cost]]),0)</f>
        <v>0</v>
      </c>
    </row>
    <row r="86" spans="2:13" s="2" customFormat="1" ht="27.95" customHeight="1" x14ac:dyDescent="0.25">
      <c r="B86" s="66" t="s">
        <v>373</v>
      </c>
      <c r="C86" s="4" t="s">
        <v>41</v>
      </c>
      <c r="D86" s="4" t="str">
        <f>_xlfn.IFNA(VLOOKUP(tbBlueprints[[#This Row],[Item]],tbMaterials[],2,FALSE),"")</f>
        <v/>
      </c>
      <c r="F86" s="4"/>
      <c r="H86" s="4"/>
      <c r="J86" s="4"/>
      <c r="K8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86" s="28" t="str">
        <f>IFERROR(VLOOKUP(tbBlueprints[[#This Row],[Item]],tbMaterials[],4,FALSE),"")</f>
        <v/>
      </c>
      <c r="M86" s="76">
        <f>IF(ISNUMBER(tbBlueprints[[#This Row],[Value]]),((tbBlueprints[[#This Row],[Value]]-tbBlueprints[[#This Row],[Total Cost]])/tbBlueprints[[#This Row],[Total Cost]]),0)</f>
        <v>0</v>
      </c>
    </row>
    <row r="87" spans="2:13" s="66" customFormat="1" ht="27.95" customHeight="1" x14ac:dyDescent="0.25">
      <c r="B87" s="66" t="s">
        <v>264</v>
      </c>
      <c r="C87" s="4" t="s">
        <v>41</v>
      </c>
      <c r="D87" s="4" t="s">
        <v>277</v>
      </c>
      <c r="E87" s="66" t="s">
        <v>57</v>
      </c>
      <c r="F87" s="4">
        <v>50</v>
      </c>
      <c r="G87" s="66" t="s">
        <v>266</v>
      </c>
      <c r="H87" s="4">
        <v>100</v>
      </c>
      <c r="J87" s="4"/>
      <c r="K87"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5900</v>
      </c>
      <c r="L87" s="28">
        <f>IFERROR(VLOOKUP(tbBlueprints[[#This Row],[Item]],tbMaterials[],4,FALSE),"")</f>
        <v>25000</v>
      </c>
      <c r="M87" s="76">
        <f>IF(ISNUMBER(tbBlueprints[[#This Row],[Value]]),((tbBlueprints[[#This Row],[Value]]-tbBlueprints[[#This Row],[Total Cost]])/tbBlueprints[[#This Row],[Total Cost]]),0)</f>
        <v>3.2372881355932202</v>
      </c>
    </row>
    <row r="88" spans="2:13" s="2" customFormat="1" ht="27.95" customHeight="1" x14ac:dyDescent="0.25">
      <c r="B88" s="66" t="s">
        <v>399</v>
      </c>
      <c r="C88" s="4" t="s">
        <v>41</v>
      </c>
      <c r="D88" s="4" t="str">
        <f>_xlfn.IFNA(VLOOKUP(tbBlueprints[[#This Row],[Item]],tbMaterials[],2,FALSE),"")</f>
        <v/>
      </c>
      <c r="F88" s="4"/>
      <c r="H88" s="4"/>
      <c r="J88" s="4"/>
      <c r="K8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88" s="28" t="str">
        <f>IFERROR(VLOOKUP(tbBlueprints[[#This Row],[Item]],tbMaterials[],4,FALSE),"")</f>
        <v/>
      </c>
      <c r="M88" s="76">
        <f>IF(ISNUMBER(tbBlueprints[[#This Row],[Value]]),((tbBlueprints[[#This Row],[Value]]-tbBlueprints[[#This Row],[Total Cost]])/tbBlueprints[[#This Row],[Total Cost]]),0)</f>
        <v>0</v>
      </c>
    </row>
    <row r="89" spans="2:13" s="2" customFormat="1" ht="27.95" customHeight="1" x14ac:dyDescent="0.25">
      <c r="B89" s="38" t="s">
        <v>533</v>
      </c>
      <c r="C89" s="4" t="s">
        <v>41</v>
      </c>
      <c r="D89" s="4" t="s">
        <v>463</v>
      </c>
      <c r="E89" s="2" t="s">
        <v>462</v>
      </c>
      <c r="F89" s="4">
        <v>1</v>
      </c>
      <c r="G89" s="2" t="s">
        <v>7</v>
      </c>
      <c r="H89" s="4">
        <v>20</v>
      </c>
      <c r="J89" s="7"/>
      <c r="K89"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440</v>
      </c>
      <c r="L89" s="28" t="str">
        <f>IFERROR(VLOOKUP(tbBlueprints[[#This Row],[Item]],tbMaterials[],4,FALSE),"")</f>
        <v/>
      </c>
      <c r="M89" s="76">
        <f>IF(ISNUMBER(tbBlueprints[[#This Row],[Value]]),((tbBlueprints[[#This Row],[Value]]-tbBlueprints[[#This Row],[Total Cost]])/tbBlueprints[[#This Row],[Total Cost]]),0)</f>
        <v>0</v>
      </c>
    </row>
    <row r="90" spans="2:13" s="2" customFormat="1" ht="27.95" customHeight="1" x14ac:dyDescent="0.25">
      <c r="B90" s="66" t="s">
        <v>834</v>
      </c>
      <c r="C90" s="4" t="s">
        <v>41</v>
      </c>
      <c r="D90" s="4" t="str">
        <f>_xlfn.IFNA(VLOOKUP(tbBlueprints[[#This Row],[Item]],tbMaterials[],2,FALSE),"")</f>
        <v>Component</v>
      </c>
      <c r="E90" s="2" t="s">
        <v>658</v>
      </c>
      <c r="F90" s="4">
        <v>1</v>
      </c>
      <c r="G90" s="2" t="s">
        <v>833</v>
      </c>
      <c r="H90" s="4">
        <v>1</v>
      </c>
      <c r="J90" s="4"/>
      <c r="K90"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238000</v>
      </c>
      <c r="L90" s="28">
        <f>IFERROR(VLOOKUP(tbBlueprints[[#This Row],[Item]],tbMaterials[],4,FALSE),"")</f>
        <v>800500</v>
      </c>
      <c r="M90" s="76">
        <f>IF(ISNUMBER(tbBlueprints[[#This Row],[Value]]),((tbBlueprints[[#This Row],[Value]]-tbBlueprints[[#This Row],[Total Cost]])/tbBlueprints[[#This Row],[Total Cost]]),0)</f>
        <v>2.3634453781512605</v>
      </c>
    </row>
    <row r="91" spans="2:13" s="2" customFormat="1" ht="27.95" customHeight="1" x14ac:dyDescent="0.25">
      <c r="B91" s="66" t="s">
        <v>839</v>
      </c>
      <c r="C91" s="4" t="s">
        <v>41</v>
      </c>
      <c r="D91" s="4" t="s">
        <v>571</v>
      </c>
      <c r="E91" s="2" t="s">
        <v>796</v>
      </c>
      <c r="F91" s="4">
        <v>5</v>
      </c>
      <c r="G91" s="2" t="s">
        <v>659</v>
      </c>
      <c r="H91" s="4">
        <v>1</v>
      </c>
      <c r="J91" s="4"/>
      <c r="K91"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111000</v>
      </c>
      <c r="L91" s="28">
        <f>IFERROR(VLOOKUP(tbBlueprints[[#This Row],[Item]],tbMaterials[],4,FALSE),"")</f>
        <v>566000</v>
      </c>
      <c r="M91" s="76">
        <f>IF(ISNUMBER(tbBlueprints[[#This Row],[Value]]),((tbBlueprints[[#This Row],[Value]]-tbBlueprints[[#This Row],[Total Cost]])/tbBlueprints[[#This Row],[Total Cost]]),0)</f>
        <v>4.0990990990990994</v>
      </c>
    </row>
    <row r="92" spans="2:13" s="2" customFormat="1" ht="27.95" customHeight="1" x14ac:dyDescent="0.25">
      <c r="B92" s="38" t="s">
        <v>659</v>
      </c>
      <c r="C92" s="4" t="s">
        <v>41</v>
      </c>
      <c r="D92" s="4" t="str">
        <f>_xlfn.IFNA(VLOOKUP(tbBlueprints[[#This Row],[Item]],tbMaterials[],2,FALSE),"")</f>
        <v>Tradeable</v>
      </c>
      <c r="E92" s="2" t="s">
        <v>347</v>
      </c>
      <c r="F92" s="4">
        <v>50</v>
      </c>
      <c r="G92" s="2" t="s">
        <v>55</v>
      </c>
      <c r="H92" s="4">
        <v>400</v>
      </c>
      <c r="J92" s="7"/>
      <c r="K92"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7000</v>
      </c>
      <c r="L92" s="28">
        <f>IFERROR(VLOOKUP(tbBlueprints[[#This Row],[Item]],tbMaterials[],4,FALSE),"")</f>
        <v>110000</v>
      </c>
      <c r="M92" s="76">
        <f>IF(ISNUMBER(tbBlueprints[[#This Row],[Value]]),((tbBlueprints[[#This Row],[Value]]-tbBlueprints[[#This Row],[Total Cost]])/tbBlueprints[[#This Row],[Total Cost]]),0)</f>
        <v>14.714285714285714</v>
      </c>
    </row>
    <row r="93" spans="2:13" s="66" customFormat="1" ht="27.95" customHeight="1" x14ac:dyDescent="0.25">
      <c r="B93" s="38" t="s">
        <v>311</v>
      </c>
      <c r="C93" s="4" t="s">
        <v>41</v>
      </c>
      <c r="D93" s="4" t="s">
        <v>277</v>
      </c>
      <c r="E93" s="66" t="s">
        <v>34</v>
      </c>
      <c r="F93" s="4">
        <v>50</v>
      </c>
      <c r="G93" s="66" t="s">
        <v>267</v>
      </c>
      <c r="H93" s="4">
        <v>50</v>
      </c>
      <c r="J93" s="7"/>
      <c r="K93"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23150</v>
      </c>
      <c r="L93" s="28">
        <f>IFERROR(VLOOKUP(tbBlueprints[[#This Row],[Item]],tbMaterials[],4,FALSE),"")</f>
        <v>25000</v>
      </c>
      <c r="M93" s="76">
        <f>IF(ISNUMBER(tbBlueprints[[#This Row],[Value]]),((tbBlueprints[[#This Row],[Value]]-tbBlueprints[[#This Row],[Total Cost]])/tbBlueprints[[#This Row],[Total Cost]]),0)</f>
        <v>7.9913606911447083E-2</v>
      </c>
    </row>
    <row r="94" spans="2:13" s="2" customFormat="1" ht="27.95" customHeight="1" x14ac:dyDescent="0.25">
      <c r="B94" s="38" t="s">
        <v>613</v>
      </c>
      <c r="C94" s="4" t="s">
        <v>60</v>
      </c>
      <c r="D94" s="4" t="str">
        <f>_xlfn.IFNA(VLOOKUP(tbBlueprints[[#This Row],[Item]],tbMaterials[],2,FALSE),"")</f>
        <v/>
      </c>
      <c r="F94" s="4"/>
      <c r="H94" s="4"/>
      <c r="J94" s="7"/>
      <c r="K9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94" s="28" t="str">
        <f>IFERROR(VLOOKUP(tbBlueprints[[#This Row],[Item]],tbMaterials[],4,FALSE),"")</f>
        <v/>
      </c>
      <c r="M94" s="76">
        <f>IF(ISNUMBER(tbBlueprints[[#This Row],[Value]]),((tbBlueprints[[#This Row],[Value]]-tbBlueprints[[#This Row],[Total Cost]])/tbBlueprints[[#This Row],[Total Cost]]),0)</f>
        <v>0</v>
      </c>
    </row>
    <row r="95" spans="2:13" s="2" customFormat="1" ht="27.95" customHeight="1" x14ac:dyDescent="0.25">
      <c r="B95" s="66" t="s">
        <v>435</v>
      </c>
      <c r="C95" s="4" t="s">
        <v>41</v>
      </c>
      <c r="D95" s="4" t="str">
        <f>_xlfn.IFNA(VLOOKUP(tbBlueprints[[#This Row],[Item]],tbMaterials[],2,FALSE),"")</f>
        <v/>
      </c>
      <c r="F95" s="4"/>
      <c r="H95" s="4"/>
      <c r="J95" s="4"/>
      <c r="K9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95" s="28" t="str">
        <f>IFERROR(VLOOKUP(tbBlueprints[[#This Row],[Item]],tbMaterials[],4,FALSE),"")</f>
        <v/>
      </c>
      <c r="M95" s="76">
        <f>IF(ISNUMBER(tbBlueprints[[#This Row],[Value]]),((tbBlueprints[[#This Row],[Value]]-tbBlueprints[[#This Row],[Total Cost]])/tbBlueprints[[#This Row],[Total Cost]]),0)</f>
        <v>0</v>
      </c>
    </row>
    <row r="96" spans="2:13" s="2" customFormat="1" ht="27.95" customHeight="1" x14ac:dyDescent="0.25">
      <c r="B96" s="38" t="s">
        <v>485</v>
      </c>
      <c r="C96" s="37" t="s">
        <v>41</v>
      </c>
      <c r="D96" s="4" t="str">
        <f>_xlfn.IFNA(VLOOKUP(tbBlueprints[[#This Row],[Item]],tbMaterials[],2,FALSE),"")</f>
        <v>Component</v>
      </c>
      <c r="E96" s="2" t="s">
        <v>12</v>
      </c>
      <c r="F96" s="4">
        <v>50</v>
      </c>
      <c r="H96" s="4"/>
      <c r="J96" s="4"/>
      <c r="K96"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700</v>
      </c>
      <c r="L96" s="28">
        <f>IFERROR(VLOOKUP(tbBlueprints[[#This Row],[Item]],tbMaterials[],4,FALSE),"")</f>
        <v>800</v>
      </c>
      <c r="M96" s="76">
        <f>IF(ISNUMBER(tbBlueprints[[#This Row],[Value]]),((tbBlueprints[[#This Row],[Value]]-tbBlueprints[[#This Row],[Total Cost]])/tbBlueprints[[#This Row],[Total Cost]]),0)</f>
        <v>0.14285714285714285</v>
      </c>
    </row>
    <row r="97" spans="2:13" s="2" customFormat="1" ht="27.95" customHeight="1" x14ac:dyDescent="0.25">
      <c r="B97" s="38" t="s">
        <v>837</v>
      </c>
      <c r="C97" s="4" t="s">
        <v>41</v>
      </c>
      <c r="D97" s="4" t="s">
        <v>572</v>
      </c>
      <c r="E97" s="2" t="s">
        <v>838</v>
      </c>
      <c r="F97" s="4">
        <v>1</v>
      </c>
      <c r="G97" s="2" t="s">
        <v>464</v>
      </c>
      <c r="H97" s="4">
        <v>3</v>
      </c>
      <c r="I97" s="2" t="s">
        <v>796</v>
      </c>
      <c r="J97" s="4">
        <v>3</v>
      </c>
      <c r="K97"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76600</v>
      </c>
      <c r="L97" s="28">
        <f>IFERROR(VLOOKUP(tbBlueprints[[#This Row],[Item]],tbMaterials[],4,FALSE),"")</f>
        <v>1000</v>
      </c>
      <c r="M97" s="76">
        <f>IF(ISNUMBER(tbBlueprints[[#This Row],[Value]]),((tbBlueprints[[#This Row],[Value]]-tbBlueprints[[#This Row],[Total Cost]])/tbBlueprints[[#This Row],[Total Cost]]),0)</f>
        <v>-0.98694516971279378</v>
      </c>
    </row>
    <row r="98" spans="2:13" s="2" customFormat="1" ht="27.95" customHeight="1" x14ac:dyDescent="0.25">
      <c r="B98" s="38" t="s">
        <v>614</v>
      </c>
      <c r="C98" s="4" t="s">
        <v>60</v>
      </c>
      <c r="D98" s="4" t="str">
        <f>_xlfn.IFNA(VLOOKUP(tbBlueprints[[#This Row],[Item]],tbMaterials[],2,FALSE),"")</f>
        <v/>
      </c>
      <c r="F98" s="4"/>
      <c r="H98" s="4"/>
      <c r="J98" s="7"/>
      <c r="K9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98" s="28" t="str">
        <f>IFERROR(VLOOKUP(tbBlueprints[[#This Row],[Item]],tbMaterials[],4,FALSE),"")</f>
        <v/>
      </c>
      <c r="M98" s="76">
        <f>IF(ISNUMBER(tbBlueprints[[#This Row],[Value]]),((tbBlueprints[[#This Row],[Value]]-tbBlueprints[[#This Row],[Total Cost]])/tbBlueprints[[#This Row],[Total Cost]]),0)</f>
        <v>0</v>
      </c>
    </row>
    <row r="99" spans="2:13" s="2" customFormat="1" ht="27.95" customHeight="1" x14ac:dyDescent="0.25">
      <c r="B99" s="38" t="s">
        <v>616</v>
      </c>
      <c r="C99" s="4" t="s">
        <v>60</v>
      </c>
      <c r="D99" s="4" t="str">
        <f>_xlfn.IFNA(VLOOKUP(tbBlueprints[[#This Row],[Item]],tbMaterials[],2,FALSE),"")</f>
        <v/>
      </c>
      <c r="F99" s="4"/>
      <c r="H99" s="4"/>
      <c r="J99" s="7"/>
      <c r="K9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99" s="28" t="str">
        <f>IFERROR(VLOOKUP(tbBlueprints[[#This Row],[Item]],tbMaterials[],4,FALSE),"")</f>
        <v/>
      </c>
      <c r="M99" s="76">
        <f>IF(ISNUMBER(tbBlueprints[[#This Row],[Value]]),((tbBlueprints[[#This Row],[Value]]-tbBlueprints[[#This Row],[Total Cost]])/tbBlueprints[[#This Row],[Total Cost]]),0)</f>
        <v>0</v>
      </c>
    </row>
    <row r="100" spans="2:13" s="2" customFormat="1" ht="27.95" customHeight="1" x14ac:dyDescent="0.25">
      <c r="B100" s="3" t="s">
        <v>416</v>
      </c>
      <c r="C100" s="5" t="s">
        <v>41</v>
      </c>
      <c r="D100" s="4" t="str">
        <f>_xlfn.IFNA(VLOOKUP(tbBlueprints[[#This Row],[Item]],tbMaterials[],2,FALSE),"")</f>
        <v/>
      </c>
      <c r="F100" s="4"/>
      <c r="H100" s="4"/>
      <c r="J100" s="4"/>
      <c r="K10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0" s="28" t="str">
        <f>IFERROR(VLOOKUP(tbBlueprints[[#This Row],[Item]],tbMaterials[],4,FALSE),"")</f>
        <v/>
      </c>
      <c r="M100" s="76">
        <f>IF(ISNUMBER(tbBlueprints[[#This Row],[Value]]),((tbBlueprints[[#This Row],[Value]]-tbBlueprints[[#This Row],[Total Cost]])/tbBlueprints[[#This Row],[Total Cost]]),0)</f>
        <v>0</v>
      </c>
    </row>
    <row r="101" spans="2:13" s="2" customFormat="1" ht="27.95" customHeight="1" x14ac:dyDescent="0.25">
      <c r="B101" s="66" t="s">
        <v>454</v>
      </c>
      <c r="C101" s="4" t="s">
        <v>41</v>
      </c>
      <c r="D101" s="4" t="str">
        <f>_xlfn.IFNA(VLOOKUP(tbBlueprints[[#This Row],[Item]],tbMaterials[],2,FALSE),"")</f>
        <v/>
      </c>
      <c r="F101" s="4"/>
      <c r="H101" s="4"/>
      <c r="J101" s="4"/>
      <c r="K10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1" s="28" t="str">
        <f>IFERROR(VLOOKUP(tbBlueprints[[#This Row],[Item]],tbMaterials[],4,FALSE),"")</f>
        <v/>
      </c>
      <c r="M101" s="76">
        <f>IF(ISNUMBER(tbBlueprints[[#This Row],[Value]]),((tbBlueprints[[#This Row],[Value]]-tbBlueprints[[#This Row],[Total Cost]])/tbBlueprints[[#This Row],[Total Cost]]),0)</f>
        <v>0</v>
      </c>
    </row>
    <row r="102" spans="2:13" s="2" customFormat="1" ht="27.95" customHeight="1" x14ac:dyDescent="0.25">
      <c r="B102" s="66" t="s">
        <v>453</v>
      </c>
      <c r="C102" s="4" t="s">
        <v>41</v>
      </c>
      <c r="D102" s="4" t="str">
        <f>_xlfn.IFNA(VLOOKUP(tbBlueprints[[#This Row],[Item]],tbMaterials[],2,FALSE),"")</f>
        <v/>
      </c>
      <c r="F102" s="4"/>
      <c r="H102" s="4"/>
      <c r="J102" s="4"/>
      <c r="K10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2" s="28" t="str">
        <f>IFERROR(VLOOKUP(tbBlueprints[[#This Row],[Item]],tbMaterials[],4,FALSE),"")</f>
        <v/>
      </c>
      <c r="M102" s="76">
        <f>IF(ISNUMBER(tbBlueprints[[#This Row],[Value]]),((tbBlueprints[[#This Row],[Value]]-tbBlueprints[[#This Row],[Total Cost]])/tbBlueprints[[#This Row],[Total Cost]]),0)</f>
        <v>0</v>
      </c>
    </row>
    <row r="103" spans="2:13" s="2" customFormat="1" ht="27.95" customHeight="1" x14ac:dyDescent="0.25">
      <c r="B103" s="66" t="s">
        <v>449</v>
      </c>
      <c r="C103" s="4" t="s">
        <v>41</v>
      </c>
      <c r="D103" s="4" t="str">
        <f>_xlfn.IFNA(VLOOKUP(tbBlueprints[[#This Row],[Item]],tbMaterials[],2,FALSE),"")</f>
        <v/>
      </c>
      <c r="F103" s="4"/>
      <c r="H103" s="4"/>
      <c r="J103" s="4"/>
      <c r="K10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3" s="28" t="str">
        <f>IFERROR(VLOOKUP(tbBlueprints[[#This Row],[Item]],tbMaterials[],4,FALSE),"")</f>
        <v/>
      </c>
      <c r="M103" s="76">
        <f>IF(ISNUMBER(tbBlueprints[[#This Row],[Value]]),((tbBlueprints[[#This Row],[Value]]-tbBlueprints[[#This Row],[Total Cost]])/tbBlueprints[[#This Row],[Total Cost]]),0)</f>
        <v>0</v>
      </c>
    </row>
    <row r="104" spans="2:13" s="2" customFormat="1" ht="27.95" customHeight="1" x14ac:dyDescent="0.25">
      <c r="B104" s="66" t="s">
        <v>448</v>
      </c>
      <c r="C104" s="4" t="s">
        <v>41</v>
      </c>
      <c r="D104" s="4" t="str">
        <f>_xlfn.IFNA(VLOOKUP(tbBlueprints[[#This Row],[Item]],tbMaterials[],2,FALSE),"")</f>
        <v/>
      </c>
      <c r="F104" s="4"/>
      <c r="H104" s="4"/>
      <c r="J104" s="4"/>
      <c r="K10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4" s="28" t="str">
        <f>IFERROR(VLOOKUP(tbBlueprints[[#This Row],[Item]],tbMaterials[],4,FALSE),"")</f>
        <v/>
      </c>
      <c r="M104" s="76">
        <f>IF(ISNUMBER(tbBlueprints[[#This Row],[Value]]),((tbBlueprints[[#This Row],[Value]]-tbBlueprints[[#This Row],[Total Cost]])/tbBlueprints[[#This Row],[Total Cost]]),0)</f>
        <v>0</v>
      </c>
    </row>
    <row r="105" spans="2:13" s="2" customFormat="1" ht="27.95" customHeight="1" x14ac:dyDescent="0.25">
      <c r="B105" s="66" t="s">
        <v>412</v>
      </c>
      <c r="C105" s="4" t="s">
        <v>41</v>
      </c>
      <c r="D105" s="4" t="str">
        <f>_xlfn.IFNA(VLOOKUP(tbBlueprints[[#This Row],[Item]],tbMaterials[],2,FALSE),"")</f>
        <v/>
      </c>
      <c r="F105" s="4"/>
      <c r="H105" s="4"/>
      <c r="J105" s="4"/>
      <c r="K10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5" s="28" t="str">
        <f>IFERROR(VLOOKUP(tbBlueprints[[#This Row],[Item]],tbMaterials[],4,FALSE),"")</f>
        <v/>
      </c>
      <c r="M105" s="76">
        <f>IF(ISNUMBER(tbBlueprints[[#This Row],[Value]]),((tbBlueprints[[#This Row],[Value]]-tbBlueprints[[#This Row],[Total Cost]])/tbBlueprints[[#This Row],[Total Cost]]),0)</f>
        <v>0</v>
      </c>
    </row>
    <row r="106" spans="2:13" s="2" customFormat="1" ht="27.95" customHeight="1" x14ac:dyDescent="0.25">
      <c r="B106" s="38" t="s">
        <v>437</v>
      </c>
      <c r="C106" s="4" t="s">
        <v>41</v>
      </c>
      <c r="D106" s="4" t="str">
        <f>_xlfn.IFNA(VLOOKUP(tbBlueprints[[#This Row],[Item]],tbMaterials[],2,FALSE),"")</f>
        <v/>
      </c>
      <c r="F106" s="4"/>
      <c r="H106" s="4"/>
      <c r="J106" s="4"/>
      <c r="K10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6" s="28" t="str">
        <f>IFERROR(VLOOKUP(tbBlueprints[[#This Row],[Item]],tbMaterials[],4,FALSE),"")</f>
        <v/>
      </c>
      <c r="M106" s="76">
        <f>IF(ISNUMBER(tbBlueprints[[#This Row],[Value]]),((tbBlueprints[[#This Row],[Value]]-tbBlueprints[[#This Row],[Total Cost]])/tbBlueprints[[#This Row],[Total Cost]]),0)</f>
        <v>0</v>
      </c>
    </row>
    <row r="107" spans="2:13" s="2" customFormat="1" ht="27.95" customHeight="1" x14ac:dyDescent="0.25">
      <c r="B107" s="38" t="s">
        <v>488</v>
      </c>
      <c r="C107" s="37" t="s">
        <v>41</v>
      </c>
      <c r="D107" s="4" t="str">
        <f>_xlfn.IFNA(VLOOKUP(tbBlueprints[[#This Row],[Item]],tbMaterials[],2,FALSE),"")</f>
        <v>Tradeable</v>
      </c>
      <c r="E107" s="2" t="s">
        <v>21</v>
      </c>
      <c r="F107" s="4">
        <v>250</v>
      </c>
      <c r="G107" s="2" t="s">
        <v>260</v>
      </c>
      <c r="H107" s="4">
        <v>50</v>
      </c>
      <c r="J107" s="4"/>
      <c r="K107"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6200</v>
      </c>
      <c r="L107" s="28">
        <f>IFERROR(VLOOKUP(tbBlueprints[[#This Row],[Item]],tbMaterials[],4,FALSE),"")</f>
        <v>50000</v>
      </c>
      <c r="M107" s="76">
        <f>IF(ISNUMBER(tbBlueprints[[#This Row],[Value]]),((tbBlueprints[[#This Row],[Value]]-tbBlueprints[[#This Row],[Total Cost]])/tbBlueprints[[#This Row],[Total Cost]]),0)</f>
        <v>7.064516129032258</v>
      </c>
    </row>
    <row r="108" spans="2:13" s="66" customFormat="1" ht="27.95" customHeight="1" x14ac:dyDescent="0.25">
      <c r="B108" s="66" t="s">
        <v>940</v>
      </c>
      <c r="C108" s="37" t="s">
        <v>60</v>
      </c>
      <c r="D108" s="4" t="s">
        <v>461</v>
      </c>
      <c r="E108" s="66" t="s">
        <v>55</v>
      </c>
      <c r="F108" s="4">
        <v>50</v>
      </c>
      <c r="G108" s="66" t="s">
        <v>23</v>
      </c>
      <c r="H108" s="4">
        <v>20</v>
      </c>
      <c r="J108" s="4"/>
      <c r="K108"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1620</v>
      </c>
      <c r="L108" s="28">
        <f>IFERROR(VLOOKUP(tbBlueprints[[#This Row],[Item]],tbMaterials[],4,FALSE),"")</f>
        <v>30937.5</v>
      </c>
      <c r="M108" s="76">
        <f>IF(ISNUMBER(tbBlueprints[[#This Row],[Value]]),((tbBlueprints[[#This Row],[Value]]-tbBlueprints[[#This Row],[Total Cost]])/tbBlueprints[[#This Row],[Total Cost]]),0)</f>
        <v>18.097222222222221</v>
      </c>
    </row>
    <row r="109" spans="2:13" s="2" customFormat="1" ht="27.95" customHeight="1" x14ac:dyDescent="0.25">
      <c r="B109" s="38" t="s">
        <v>384</v>
      </c>
      <c r="C109" s="4" t="s">
        <v>41</v>
      </c>
      <c r="D109" s="4" t="str">
        <f>_xlfn.IFNA(VLOOKUP(tbBlueprints[[#This Row],[Item]],tbMaterials[],2,FALSE),"")</f>
        <v/>
      </c>
      <c r="F109" s="4"/>
      <c r="H109" s="4"/>
      <c r="J109" s="4"/>
      <c r="K10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09" s="28" t="str">
        <f>IFERROR(VLOOKUP(tbBlueprints[[#This Row],[Item]],tbMaterials[],4,FALSE),"")</f>
        <v/>
      </c>
      <c r="M109" s="76">
        <f>IF(ISNUMBER(tbBlueprints[[#This Row],[Value]]),((tbBlueprints[[#This Row],[Value]]-tbBlueprints[[#This Row],[Total Cost]])/tbBlueprints[[#This Row],[Total Cost]]),0)</f>
        <v>0</v>
      </c>
    </row>
    <row r="110" spans="2:13" s="2" customFormat="1" ht="27.95" customHeight="1" x14ac:dyDescent="0.25">
      <c r="B110" s="52" t="s">
        <v>427</v>
      </c>
      <c r="C110" s="5" t="s">
        <v>41</v>
      </c>
      <c r="D110" s="4" t="str">
        <f>_xlfn.IFNA(VLOOKUP(tbBlueprints[[#This Row],[Item]],tbMaterials[],2,FALSE),"")</f>
        <v/>
      </c>
      <c r="F110" s="4"/>
      <c r="H110" s="4"/>
      <c r="J110" s="4"/>
      <c r="K11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0" s="28" t="str">
        <f>IFERROR(VLOOKUP(tbBlueprints[[#This Row],[Item]],tbMaterials[],4,FALSE),"")</f>
        <v/>
      </c>
      <c r="M110" s="76">
        <f>IF(ISNUMBER(tbBlueprints[[#This Row],[Value]]),((tbBlueprints[[#This Row],[Value]]-tbBlueprints[[#This Row],[Total Cost]])/tbBlueprints[[#This Row],[Total Cost]]),0)</f>
        <v>0</v>
      </c>
    </row>
    <row r="111" spans="2:13" s="66" customFormat="1" ht="27.95" customHeight="1" x14ac:dyDescent="0.25">
      <c r="B111" s="3" t="s">
        <v>895</v>
      </c>
      <c r="C111" s="5" t="s">
        <v>41</v>
      </c>
      <c r="D111" s="4" t="s">
        <v>277</v>
      </c>
      <c r="E111" s="66" t="s">
        <v>500</v>
      </c>
      <c r="F111" s="4">
        <v>1</v>
      </c>
      <c r="G111" s="66" t="s">
        <v>501</v>
      </c>
      <c r="H111" s="4">
        <v>1</v>
      </c>
      <c r="J111" s="4"/>
      <c r="K111"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100000</v>
      </c>
      <c r="L111" s="28">
        <f>IFERROR(VLOOKUP(tbBlueprints[[#This Row],[Item]],tbMaterials[],4,FALSE),"")</f>
        <v>320000</v>
      </c>
      <c r="M111" s="76">
        <f>IF(ISNUMBER(tbBlueprints[[#This Row],[Value]]),((tbBlueprints[[#This Row],[Value]]-tbBlueprints[[#This Row],[Total Cost]])/tbBlueprints[[#This Row],[Total Cost]]),0)</f>
        <v>2.2000000000000002</v>
      </c>
    </row>
    <row r="112" spans="2:13" s="2" customFormat="1" ht="27.95" customHeight="1" x14ac:dyDescent="0.25">
      <c r="B112" s="38" t="s">
        <v>891</v>
      </c>
      <c r="C112" s="4" t="s">
        <v>41</v>
      </c>
      <c r="D112" s="4" t="s">
        <v>461</v>
      </c>
      <c r="E112" s="2" t="s">
        <v>8</v>
      </c>
      <c r="F112" s="4">
        <v>90</v>
      </c>
      <c r="G112" s="2" t="s">
        <v>266</v>
      </c>
      <c r="H112" s="4">
        <v>30</v>
      </c>
      <c r="J112" s="4"/>
      <c r="K112"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3900</v>
      </c>
      <c r="L112" s="28">
        <f>IFERROR(VLOOKUP(tbBlueprints[[#This Row],[Item]],tbMaterials[],4,FALSE),"")</f>
        <v>615</v>
      </c>
      <c r="M112" s="76">
        <f>IF(ISNUMBER(tbBlueprints[[#This Row],[Value]]),((tbBlueprints[[#This Row],[Value]]-tbBlueprints[[#This Row],[Total Cost]])/tbBlueprints[[#This Row],[Total Cost]]),0)</f>
        <v>-0.84230769230769231</v>
      </c>
    </row>
    <row r="113" spans="2:13" s="2" customFormat="1" ht="27.95" customHeight="1" x14ac:dyDescent="0.25">
      <c r="B113" s="38" t="s">
        <v>402</v>
      </c>
      <c r="C113" s="4" t="s">
        <v>41</v>
      </c>
      <c r="D113" s="4" t="str">
        <f>_xlfn.IFNA(VLOOKUP(tbBlueprints[[#This Row],[Item]],tbMaterials[],2,FALSE),"")</f>
        <v/>
      </c>
      <c r="F113" s="4"/>
      <c r="H113" s="4"/>
      <c r="J113" s="4"/>
      <c r="K11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3" s="28" t="str">
        <f>IFERROR(VLOOKUP(tbBlueprints[[#This Row],[Item]],tbMaterials[],4,FALSE),"")</f>
        <v/>
      </c>
      <c r="M113" s="76">
        <f>IF(ISNUMBER(tbBlueprints[[#This Row],[Value]]),((tbBlueprints[[#This Row],[Value]]-tbBlueprints[[#This Row],[Total Cost]])/tbBlueprints[[#This Row],[Total Cost]]),0)</f>
        <v>0</v>
      </c>
    </row>
    <row r="114" spans="2:13" s="66" customFormat="1" ht="27.95" customHeight="1" x14ac:dyDescent="0.25">
      <c r="B114" s="38" t="s">
        <v>411</v>
      </c>
      <c r="C114" s="4" t="s">
        <v>41</v>
      </c>
      <c r="D114" s="4" t="str">
        <f>_xlfn.IFNA(VLOOKUP(tbBlueprints[[#This Row],[Item]],tbMaterials[],2,FALSE),"")</f>
        <v/>
      </c>
      <c r="F114" s="4"/>
      <c r="H114" s="4"/>
      <c r="J114" s="4"/>
      <c r="K11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4" s="28" t="str">
        <f>IFERROR(VLOOKUP(tbBlueprints[[#This Row],[Item]],tbMaterials[],4,FALSE),"")</f>
        <v/>
      </c>
      <c r="M114" s="76">
        <f>IF(ISNUMBER(tbBlueprints[[#This Row],[Value]]),((tbBlueprints[[#This Row],[Value]]-tbBlueprints[[#This Row],[Total Cost]])/tbBlueprints[[#This Row],[Total Cost]]),0)</f>
        <v>0</v>
      </c>
    </row>
    <row r="115" spans="2:13" s="2" customFormat="1" ht="27.95" customHeight="1" x14ac:dyDescent="0.25">
      <c r="B115" s="3" t="s">
        <v>418</v>
      </c>
      <c r="C115" s="5" t="s">
        <v>41</v>
      </c>
      <c r="D115" s="4" t="str">
        <f>_xlfn.IFNA(VLOOKUP(tbBlueprints[[#This Row],[Item]],tbMaterials[],2,FALSE),"")</f>
        <v/>
      </c>
      <c r="F115" s="4"/>
      <c r="H115" s="4"/>
      <c r="J115" s="4"/>
      <c r="K11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5" s="28" t="str">
        <f>IFERROR(VLOOKUP(tbBlueprints[[#This Row],[Item]],tbMaterials[],4,FALSE),"")</f>
        <v/>
      </c>
      <c r="M115" s="76">
        <f>IF(ISNUMBER(tbBlueprints[[#This Row],[Value]]),((tbBlueprints[[#This Row],[Value]]-tbBlueprints[[#This Row],[Total Cost]])/tbBlueprints[[#This Row],[Total Cost]]),0)</f>
        <v>0</v>
      </c>
    </row>
    <row r="116" spans="2:13" s="2" customFormat="1" ht="27.95" customHeight="1" x14ac:dyDescent="0.25">
      <c r="B116" s="38" t="s">
        <v>404</v>
      </c>
      <c r="C116" s="4" t="s">
        <v>41</v>
      </c>
      <c r="D116" s="4" t="str">
        <f>_xlfn.IFNA(VLOOKUP(tbBlueprints[[#This Row],[Item]],tbMaterials[],2,FALSE),"")</f>
        <v/>
      </c>
      <c r="F116" s="4"/>
      <c r="H116" s="4"/>
      <c r="J116" s="4"/>
      <c r="K11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6" s="28" t="str">
        <f>IFERROR(VLOOKUP(tbBlueprints[[#This Row],[Item]],tbMaterials[],4,FALSE),"")</f>
        <v/>
      </c>
      <c r="M116" s="76">
        <f>IF(ISNUMBER(tbBlueprints[[#This Row],[Value]]),((tbBlueprints[[#This Row],[Value]]-tbBlueprints[[#This Row],[Total Cost]])/tbBlueprints[[#This Row],[Total Cost]]),0)</f>
        <v>0</v>
      </c>
    </row>
    <row r="117" spans="2:13" s="2" customFormat="1" ht="27.95" customHeight="1" x14ac:dyDescent="0.25">
      <c r="B117" s="38" t="s">
        <v>386</v>
      </c>
      <c r="C117" s="4" t="s">
        <v>41</v>
      </c>
      <c r="D117" s="4" t="str">
        <f>_xlfn.IFNA(VLOOKUP(tbBlueprints[[#This Row],[Item]],tbMaterials[],2,FALSE),"")</f>
        <v/>
      </c>
      <c r="F117" s="4"/>
      <c r="H117" s="4"/>
      <c r="J117" s="4"/>
      <c r="K11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7" s="28" t="str">
        <f>IFERROR(VLOOKUP(tbBlueprints[[#This Row],[Item]],tbMaterials[],4,FALSE),"")</f>
        <v/>
      </c>
      <c r="M117" s="76">
        <f>IF(ISNUMBER(tbBlueprints[[#This Row],[Value]]),((tbBlueprints[[#This Row],[Value]]-tbBlueprints[[#This Row],[Total Cost]])/tbBlueprints[[#This Row],[Total Cost]]),0)</f>
        <v>0</v>
      </c>
    </row>
    <row r="118" spans="2:13" s="2" customFormat="1" ht="27.95" customHeight="1" x14ac:dyDescent="0.25">
      <c r="B118" s="38" t="s">
        <v>376</v>
      </c>
      <c r="C118" s="4" t="s">
        <v>41</v>
      </c>
      <c r="D118" s="4" t="str">
        <f>_xlfn.IFNA(VLOOKUP(tbBlueprints[[#This Row],[Item]],tbMaterials[],2,FALSE),"")</f>
        <v/>
      </c>
      <c r="F118" s="4"/>
      <c r="H118" s="4"/>
      <c r="J118" s="4"/>
      <c r="K11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8" s="28" t="str">
        <f>IFERROR(VLOOKUP(tbBlueprints[[#This Row],[Item]],tbMaterials[],4,FALSE),"")</f>
        <v/>
      </c>
      <c r="M118" s="76">
        <f>IF(ISNUMBER(tbBlueprints[[#This Row],[Value]]),((tbBlueprints[[#This Row],[Value]]-tbBlueprints[[#This Row],[Total Cost]])/tbBlueprints[[#This Row],[Total Cost]]),0)</f>
        <v>0</v>
      </c>
    </row>
    <row r="119" spans="2:13" s="2" customFormat="1" ht="27.95" customHeight="1" x14ac:dyDescent="0.25">
      <c r="B119" s="75" t="s">
        <v>422</v>
      </c>
      <c r="C119" s="5" t="s">
        <v>41</v>
      </c>
      <c r="D119" s="4" t="str">
        <f>_xlfn.IFNA(VLOOKUP(tbBlueprints[[#This Row],[Item]],tbMaterials[],2,FALSE),"")</f>
        <v/>
      </c>
      <c r="F119" s="4"/>
      <c r="H119" s="4"/>
      <c r="J119" s="4"/>
      <c r="K11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19" s="28" t="str">
        <f>IFERROR(VLOOKUP(tbBlueprints[[#This Row],[Item]],tbMaterials[],4,FALSE),"")</f>
        <v/>
      </c>
      <c r="M119" s="76">
        <f>IF(ISNUMBER(tbBlueprints[[#This Row],[Value]]),((tbBlueprints[[#This Row],[Value]]-tbBlueprints[[#This Row],[Total Cost]])/tbBlueprints[[#This Row],[Total Cost]]),0)</f>
        <v>0</v>
      </c>
    </row>
    <row r="120" spans="2:13" s="2" customFormat="1" ht="27.95" customHeight="1" x14ac:dyDescent="0.25">
      <c r="B120" s="36" t="s">
        <v>618</v>
      </c>
      <c r="C120" s="4" t="s">
        <v>60</v>
      </c>
      <c r="D120" s="4" t="str">
        <f>_xlfn.IFNA(VLOOKUP(tbBlueprints[[#This Row],[Item]],tbMaterials[],2,FALSE),"")</f>
        <v/>
      </c>
      <c r="F120" s="4"/>
      <c r="H120" s="4"/>
      <c r="J120" s="7"/>
      <c r="K12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0" s="28" t="str">
        <f>IFERROR(VLOOKUP(tbBlueprints[[#This Row],[Item]],tbMaterials[],4,FALSE),"")</f>
        <v/>
      </c>
      <c r="M120" s="76">
        <f>IF(ISNUMBER(tbBlueprints[[#This Row],[Value]]),((tbBlueprints[[#This Row],[Value]]-tbBlueprints[[#This Row],[Total Cost]])/tbBlueprints[[#This Row],[Total Cost]]),0)</f>
        <v>0</v>
      </c>
    </row>
    <row r="121" spans="2:13" s="66" customFormat="1" ht="27.95" customHeight="1" x14ac:dyDescent="0.25">
      <c r="B121" s="36" t="s">
        <v>840</v>
      </c>
      <c r="C121" s="4" t="s">
        <v>41</v>
      </c>
      <c r="D121" s="4" t="str">
        <f>_xlfn.IFNA(VLOOKUP(tbBlueprints[[#This Row],[Item]],tbMaterials[],2,FALSE),"")</f>
        <v>Tradeable</v>
      </c>
      <c r="E121" s="66" t="s">
        <v>118</v>
      </c>
      <c r="F121" s="4">
        <v>100</v>
      </c>
      <c r="G121" s="66" t="s">
        <v>82</v>
      </c>
      <c r="H121" s="4">
        <v>200</v>
      </c>
      <c r="J121" s="7"/>
      <c r="K121"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9200</v>
      </c>
      <c r="L121" s="28">
        <f>IFERROR(VLOOKUP(tbBlueprints[[#This Row],[Item]],tbMaterials[],4,FALSE),"")</f>
        <v>130000</v>
      </c>
      <c r="M121" s="76">
        <f>IF(ISNUMBER(tbBlueprints[[#This Row],[Value]]),((tbBlueprints[[#This Row],[Value]]-tbBlueprints[[#This Row],[Total Cost]])/tbBlueprints[[#This Row],[Total Cost]]),0)</f>
        <v>13.130434782608695</v>
      </c>
    </row>
    <row r="122" spans="2:13" s="66" customFormat="1" ht="27.95" customHeight="1" x14ac:dyDescent="0.25">
      <c r="B122" s="36" t="s">
        <v>896</v>
      </c>
      <c r="C122" s="4" t="s">
        <v>41</v>
      </c>
      <c r="D122" s="4" t="s">
        <v>277</v>
      </c>
      <c r="E122" s="66" t="s">
        <v>834</v>
      </c>
      <c r="F122" s="4">
        <v>1</v>
      </c>
      <c r="G122" s="66" t="s">
        <v>517</v>
      </c>
      <c r="H122" s="4">
        <v>1</v>
      </c>
      <c r="J122" s="7"/>
      <c r="K122"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15800500</v>
      </c>
      <c r="L122" s="28">
        <f>IFERROR(VLOOKUP(tbBlueprints[[#This Row],[Item]],tbMaterials[],4,FALSE),"")</f>
        <v>4200000</v>
      </c>
      <c r="M122" s="76">
        <f>IF(ISNUMBER(tbBlueprints[[#This Row],[Value]]),((tbBlueprints[[#This Row],[Value]]-tbBlueprints[[#This Row],[Total Cost]])/tbBlueprints[[#This Row],[Total Cost]]),0)</f>
        <v>-0.73418562703711909</v>
      </c>
    </row>
    <row r="123" spans="2:13" s="2" customFormat="1" ht="27.95" customHeight="1" x14ac:dyDescent="0.25">
      <c r="B123" s="36" t="s">
        <v>387</v>
      </c>
      <c r="C123" s="4" t="s">
        <v>41</v>
      </c>
      <c r="D123" s="4" t="str">
        <f>_xlfn.IFNA(VLOOKUP(tbBlueprints[[#This Row],[Item]],tbMaterials[],2,FALSE),"")</f>
        <v/>
      </c>
      <c r="F123" s="4"/>
      <c r="H123" s="4"/>
      <c r="J123" s="4"/>
      <c r="K12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3" s="28" t="str">
        <f>IFERROR(VLOOKUP(tbBlueprints[[#This Row],[Item]],tbMaterials[],4,FALSE),"")</f>
        <v/>
      </c>
      <c r="M123" s="76">
        <f>IF(ISNUMBER(tbBlueprints[[#This Row],[Value]]),((tbBlueprints[[#This Row],[Value]]-tbBlueprints[[#This Row],[Total Cost]])/tbBlueprints[[#This Row],[Total Cost]]),0)</f>
        <v>0</v>
      </c>
    </row>
    <row r="124" spans="2:13" s="2" customFormat="1" ht="27.95" customHeight="1" x14ac:dyDescent="0.25">
      <c r="B124" s="36" t="s">
        <v>452</v>
      </c>
      <c r="C124" s="4" t="s">
        <v>41</v>
      </c>
      <c r="D124" s="4" t="str">
        <f>_xlfn.IFNA(VLOOKUP(tbBlueprints[[#This Row],[Item]],tbMaterials[],2,FALSE),"")</f>
        <v/>
      </c>
      <c r="F124" s="4"/>
      <c r="H124" s="4"/>
      <c r="J124" s="4"/>
      <c r="K12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4" s="28" t="str">
        <f>IFERROR(VLOOKUP(tbBlueprints[[#This Row],[Item]],tbMaterials[],4,FALSE),"")</f>
        <v/>
      </c>
      <c r="M124" s="76">
        <f>IF(ISNUMBER(tbBlueprints[[#This Row],[Value]]),((tbBlueprints[[#This Row],[Value]]-tbBlueprints[[#This Row],[Total Cost]])/tbBlueprints[[#This Row],[Total Cost]]),0)</f>
        <v>0</v>
      </c>
    </row>
    <row r="125" spans="2:13" s="2" customFormat="1" ht="27.95" customHeight="1" x14ac:dyDescent="0.25">
      <c r="B125" s="38" t="s">
        <v>532</v>
      </c>
      <c r="C125" s="4" t="s">
        <v>41</v>
      </c>
      <c r="D125" s="4" t="str">
        <f>_xlfn.IFNA(VLOOKUP(tbBlueprints[[#This Row],[Item]],tbMaterials[],2,FALSE),"")</f>
        <v/>
      </c>
      <c r="F125" s="4"/>
      <c r="G125" s="66"/>
      <c r="H125" s="4"/>
      <c r="J125" s="7"/>
      <c r="K12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5" s="28" t="str">
        <f>IFERROR(VLOOKUP(tbBlueprints[[#This Row],[Item]],tbMaterials[],4,FALSE),"")</f>
        <v/>
      </c>
      <c r="M125" s="76">
        <f>IF(ISNUMBER(tbBlueprints[[#This Row],[Value]]),((tbBlueprints[[#This Row],[Value]]-tbBlueprints[[#This Row],[Total Cost]])/tbBlueprints[[#This Row],[Total Cost]]),0)</f>
        <v>0</v>
      </c>
    </row>
    <row r="126" spans="2:13" s="2" customFormat="1" ht="27.95" customHeight="1" x14ac:dyDescent="0.25">
      <c r="B126" s="36" t="s">
        <v>369</v>
      </c>
      <c r="C126" s="4" t="s">
        <v>41</v>
      </c>
      <c r="D126" s="4" t="str">
        <f>_xlfn.IFNA(VLOOKUP(tbBlueprints[[#This Row],[Item]],tbMaterials[],2,FALSE),"")</f>
        <v/>
      </c>
      <c r="F126" s="4"/>
      <c r="H126" s="4"/>
      <c r="J126" s="4"/>
      <c r="K12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6" s="28" t="str">
        <f>IFERROR(VLOOKUP(tbBlueprints[[#This Row],[Item]],tbMaterials[],4,FALSE),"")</f>
        <v/>
      </c>
      <c r="M126" s="76">
        <f>IF(ISNUMBER(tbBlueprints[[#This Row],[Value]]),((tbBlueprints[[#This Row],[Value]]-tbBlueprints[[#This Row],[Total Cost]])/tbBlueprints[[#This Row],[Total Cost]]),0)</f>
        <v>0</v>
      </c>
    </row>
    <row r="127" spans="2:13" s="2" customFormat="1" ht="27.95" customHeight="1" x14ac:dyDescent="0.25">
      <c r="B127" s="36" t="s">
        <v>369</v>
      </c>
      <c r="C127" s="4" t="s">
        <v>41</v>
      </c>
      <c r="D127" s="4" t="str">
        <f>_xlfn.IFNA(VLOOKUP(tbBlueprints[[#This Row],[Item]],tbMaterials[],2,FALSE),"")</f>
        <v/>
      </c>
      <c r="F127" s="4"/>
      <c r="H127" s="4"/>
      <c r="J127" s="4"/>
      <c r="K12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7" s="28" t="str">
        <f>IFERROR(VLOOKUP(tbBlueprints[[#This Row],[Item]],tbMaterials[],4,FALSE),"")</f>
        <v/>
      </c>
      <c r="M127" s="76">
        <f>IF(ISNUMBER(tbBlueprints[[#This Row],[Value]]),((tbBlueprints[[#This Row],[Value]]-tbBlueprints[[#This Row],[Total Cost]])/tbBlueprints[[#This Row],[Total Cost]]),0)</f>
        <v>0</v>
      </c>
    </row>
    <row r="128" spans="2:13" s="2" customFormat="1" ht="27.95" customHeight="1" x14ac:dyDescent="0.25">
      <c r="B128" s="3" t="s">
        <v>425</v>
      </c>
      <c r="C128" s="5" t="s">
        <v>41</v>
      </c>
      <c r="D128" s="4" t="str">
        <f>_xlfn.IFNA(VLOOKUP(tbBlueprints[[#This Row],[Item]],tbMaterials[],2,FALSE),"")</f>
        <v/>
      </c>
      <c r="E128" s="66"/>
      <c r="F128" s="4"/>
      <c r="H128" s="4"/>
      <c r="J128" s="4"/>
      <c r="K12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8" s="28" t="str">
        <f>IFERROR(VLOOKUP(tbBlueprints[[#This Row],[Item]],tbMaterials[],4,FALSE),"")</f>
        <v/>
      </c>
      <c r="M128" s="76">
        <f>IF(ISNUMBER(tbBlueprints[[#This Row],[Value]]),((tbBlueprints[[#This Row],[Value]]-tbBlueprints[[#This Row],[Total Cost]])/tbBlueprints[[#This Row],[Total Cost]]),0)</f>
        <v>0</v>
      </c>
    </row>
    <row r="129" spans="2:13" s="2" customFormat="1" ht="27.95" customHeight="1" x14ac:dyDescent="0.25">
      <c r="B129" s="66" t="s">
        <v>393</v>
      </c>
      <c r="C129" s="4" t="s">
        <v>41</v>
      </c>
      <c r="D129" s="4" t="str">
        <f>_xlfn.IFNA(VLOOKUP(tbBlueprints[[#This Row],[Item]],tbMaterials[],2,FALSE),"")</f>
        <v/>
      </c>
      <c r="E129" s="66"/>
      <c r="F129" s="4"/>
      <c r="H129" s="4"/>
      <c r="J129" s="4"/>
      <c r="K12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29" s="28" t="str">
        <f>IFERROR(VLOOKUP(tbBlueprints[[#This Row],[Item]],tbMaterials[],4,FALSE),"")</f>
        <v/>
      </c>
      <c r="M129" s="76">
        <f>IF(ISNUMBER(tbBlueprints[[#This Row],[Value]]),((tbBlueprints[[#This Row],[Value]]-tbBlueprints[[#This Row],[Total Cost]])/tbBlueprints[[#This Row],[Total Cost]]),0)</f>
        <v>0</v>
      </c>
    </row>
    <row r="130" spans="2:13" s="2" customFormat="1" ht="27.95" customHeight="1" x14ac:dyDescent="0.25">
      <c r="B130" s="38" t="s">
        <v>569</v>
      </c>
      <c r="C130" s="4" t="s">
        <v>41</v>
      </c>
      <c r="D130" s="4" t="str">
        <f>_xlfn.IFNA(VLOOKUP(tbBlueprints[[#This Row],[Item]],tbMaterials[],2,FALSE),"")</f>
        <v>Tradeable</v>
      </c>
      <c r="E130" s="66" t="s">
        <v>570</v>
      </c>
      <c r="F130" s="4">
        <v>1</v>
      </c>
      <c r="G130" s="2" t="s">
        <v>499</v>
      </c>
      <c r="H130" s="4">
        <v>1</v>
      </c>
      <c r="J130" s="7">
        <v>1</v>
      </c>
      <c r="K130"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2916250</v>
      </c>
      <c r="L130" s="28">
        <f>IFERROR(VLOOKUP(tbBlueprints[[#This Row],[Item]],tbMaterials[],4,FALSE),"")</f>
        <v>5200000</v>
      </c>
      <c r="M130" s="76">
        <f>IF(ISNUMBER(tbBlueprints[[#This Row],[Value]]),((tbBlueprints[[#This Row],[Value]]-tbBlueprints[[#This Row],[Total Cost]])/tbBlueprints[[#This Row],[Total Cost]]),0)</f>
        <v>0.78311187312473207</v>
      </c>
    </row>
    <row r="131" spans="2:13" s="2" customFormat="1" ht="27.95" customHeight="1" x14ac:dyDescent="0.25">
      <c r="B131" s="66" t="s">
        <v>408</v>
      </c>
      <c r="C131" s="4" t="s">
        <v>41</v>
      </c>
      <c r="D131" s="4" t="str">
        <f>_xlfn.IFNA(VLOOKUP(tbBlueprints[[#This Row],[Item]],tbMaterials[],2,FALSE),"")</f>
        <v/>
      </c>
      <c r="E131" s="66"/>
      <c r="F131" s="4"/>
      <c r="H131" s="4"/>
      <c r="J131" s="4"/>
      <c r="K13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31" s="28" t="str">
        <f>IFERROR(VLOOKUP(tbBlueprints[[#This Row],[Item]],tbMaterials[],4,FALSE),"")</f>
        <v/>
      </c>
      <c r="M131" s="76">
        <f>IF(ISNUMBER(tbBlueprints[[#This Row],[Value]]),((tbBlueprints[[#This Row],[Value]]-tbBlueprints[[#This Row],[Total Cost]])/tbBlueprints[[#This Row],[Total Cost]]),0)</f>
        <v>0</v>
      </c>
    </row>
    <row r="132" spans="2:13" s="2" customFormat="1" ht="27.95" customHeight="1" x14ac:dyDescent="0.25">
      <c r="B132" s="38" t="s">
        <v>474</v>
      </c>
      <c r="C132" s="37" t="s">
        <v>41</v>
      </c>
      <c r="D132" s="4" t="str">
        <f>_xlfn.IFNA(VLOOKUP(tbBlueprints[[#This Row],[Item]],tbMaterials[],2,FALSE),"")</f>
        <v>Curiosity</v>
      </c>
      <c r="E132" s="66" t="s">
        <v>266</v>
      </c>
      <c r="F132" s="4">
        <v>150</v>
      </c>
      <c r="H132" s="4"/>
      <c r="J132" s="4"/>
      <c r="K132"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4200</v>
      </c>
      <c r="L132" s="28">
        <f>IFERROR(VLOOKUP(tbBlueprints[[#This Row],[Item]],tbMaterials[],4,FALSE),"")</f>
        <v>4200</v>
      </c>
      <c r="M132" s="76">
        <f>IF(ISNUMBER(tbBlueprints[[#This Row],[Value]]),((tbBlueprints[[#This Row],[Value]]-tbBlueprints[[#This Row],[Total Cost]])/tbBlueprints[[#This Row],[Total Cost]]),0)</f>
        <v>0</v>
      </c>
    </row>
    <row r="133" spans="2:13" s="2" customFormat="1" ht="27.95" customHeight="1" x14ac:dyDescent="0.25">
      <c r="B133" s="36" t="s">
        <v>620</v>
      </c>
      <c r="C133" s="4" t="s">
        <v>60</v>
      </c>
      <c r="D133" s="4" t="str">
        <f>_xlfn.IFNA(VLOOKUP(tbBlueprints[[#This Row],[Item]],tbMaterials[],2,FALSE),"")</f>
        <v/>
      </c>
      <c r="F133" s="4"/>
      <c r="H133" s="4"/>
      <c r="J133" s="7"/>
      <c r="K13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33" s="28" t="str">
        <f>IFERROR(VLOOKUP(tbBlueprints[[#This Row],[Item]],tbMaterials[],4,FALSE),"")</f>
        <v/>
      </c>
      <c r="M133" s="76">
        <f>IF(ISNUMBER(tbBlueprints[[#This Row],[Value]]),((tbBlueprints[[#This Row],[Value]]-tbBlueprints[[#This Row],[Total Cost]])/tbBlueprints[[#This Row],[Total Cost]]),0)</f>
        <v>0</v>
      </c>
    </row>
    <row r="134" spans="2:13" s="2" customFormat="1" ht="27.95" customHeight="1" x14ac:dyDescent="0.25">
      <c r="B134" s="36" t="s">
        <v>413</v>
      </c>
      <c r="C134" s="4" t="s">
        <v>41</v>
      </c>
      <c r="D134" s="4" t="str">
        <f>_xlfn.IFNA(VLOOKUP(tbBlueprints[[#This Row],[Item]],tbMaterials[],2,FALSE),"")</f>
        <v/>
      </c>
      <c r="F134" s="4"/>
      <c r="H134" s="4"/>
      <c r="J134" s="4"/>
      <c r="K13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34" s="28" t="str">
        <f>IFERROR(VLOOKUP(tbBlueprints[[#This Row],[Item]],tbMaterials[],4,FALSE),"")</f>
        <v/>
      </c>
      <c r="M134" s="76">
        <f>IF(ISNUMBER(tbBlueprints[[#This Row],[Value]]),((tbBlueprints[[#This Row],[Value]]-tbBlueprints[[#This Row],[Total Cost]])/tbBlueprints[[#This Row],[Total Cost]]),0)</f>
        <v>0</v>
      </c>
    </row>
    <row r="135" spans="2:13" s="2" customFormat="1" ht="27.95" customHeight="1" x14ac:dyDescent="0.25">
      <c r="B135" s="66" t="s">
        <v>385</v>
      </c>
      <c r="C135" s="4" t="s">
        <v>41</v>
      </c>
      <c r="D135" s="4" t="str">
        <f>_xlfn.IFNA(VLOOKUP(tbBlueprints[[#This Row],[Item]],tbMaterials[],2,FALSE),"")</f>
        <v/>
      </c>
      <c r="F135" s="4"/>
      <c r="H135" s="4"/>
      <c r="J135" s="4"/>
      <c r="K13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35" s="28" t="str">
        <f>IFERROR(VLOOKUP(tbBlueprints[[#This Row],[Item]],tbMaterials[],4,FALSE),"")</f>
        <v/>
      </c>
      <c r="M135" s="76">
        <f>IF(ISNUMBER(tbBlueprints[[#This Row],[Value]]),((tbBlueprints[[#This Row],[Value]]-tbBlueprints[[#This Row],[Total Cost]])/tbBlueprints[[#This Row],[Total Cost]]),0)</f>
        <v>0</v>
      </c>
    </row>
    <row r="136" spans="2:13" s="2" customFormat="1" ht="27.95" customHeight="1" x14ac:dyDescent="0.25">
      <c r="B136" s="38" t="s">
        <v>530</v>
      </c>
      <c r="C136" s="4" t="s">
        <v>41</v>
      </c>
      <c r="D136" s="4" t="s">
        <v>461</v>
      </c>
      <c r="E136" s="2" t="s">
        <v>56</v>
      </c>
      <c r="F136" s="4">
        <v>100</v>
      </c>
      <c r="H136" s="4"/>
      <c r="J136" s="7"/>
      <c r="K136"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29900</v>
      </c>
      <c r="L136" s="28" t="str">
        <f>IFERROR(VLOOKUP(tbBlueprints[[#This Row],[Item]],tbMaterials[],4,FALSE),"")</f>
        <v/>
      </c>
      <c r="M136" s="76">
        <f>IF(ISNUMBER(tbBlueprints[[#This Row],[Value]]),((tbBlueprints[[#This Row],[Value]]-tbBlueprints[[#This Row],[Total Cost]])/tbBlueprints[[#This Row],[Total Cost]]),0)</f>
        <v>0</v>
      </c>
    </row>
    <row r="137" spans="2:13" s="2" customFormat="1" ht="27.95" customHeight="1" x14ac:dyDescent="0.25">
      <c r="B137" s="3" t="s">
        <v>424</v>
      </c>
      <c r="C137" s="5" t="s">
        <v>41</v>
      </c>
      <c r="D137" s="4" t="str">
        <f>_xlfn.IFNA(VLOOKUP(tbBlueprints[[#This Row],[Item]],tbMaterials[],2,FALSE),"")</f>
        <v/>
      </c>
      <c r="F137" s="4"/>
      <c r="H137" s="4"/>
      <c r="J137" s="4"/>
      <c r="K13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37" s="28" t="str">
        <f>IFERROR(VLOOKUP(tbBlueprints[[#This Row],[Item]],tbMaterials[],4,FALSE),"")</f>
        <v/>
      </c>
      <c r="M137" s="76">
        <f>IF(ISNUMBER(tbBlueprints[[#This Row],[Value]]),((tbBlueprints[[#This Row],[Value]]-tbBlueprints[[#This Row],[Total Cost]])/tbBlueprints[[#This Row],[Total Cost]]),0)</f>
        <v>0</v>
      </c>
    </row>
    <row r="138" spans="2:13" s="2" customFormat="1" ht="27.95" customHeight="1" x14ac:dyDescent="0.25">
      <c r="B138" s="66" t="s">
        <v>451</v>
      </c>
      <c r="C138" s="4" t="s">
        <v>41</v>
      </c>
      <c r="D138" s="4" t="str">
        <f>_xlfn.IFNA(VLOOKUP(tbBlueprints[[#This Row],[Item]],tbMaterials[],2,FALSE),"")</f>
        <v/>
      </c>
      <c r="F138" s="4"/>
      <c r="H138" s="4"/>
      <c r="J138" s="4"/>
      <c r="K13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38" s="28" t="str">
        <f>IFERROR(VLOOKUP(tbBlueprints[[#This Row],[Item]],tbMaterials[],4,FALSE),"")</f>
        <v/>
      </c>
      <c r="M138" s="76">
        <f>IF(ISNUMBER(tbBlueprints[[#This Row],[Value]]),((tbBlueprints[[#This Row],[Value]]-tbBlueprints[[#This Row],[Total Cost]])/tbBlueprints[[#This Row],[Total Cost]]),0)</f>
        <v>0</v>
      </c>
    </row>
    <row r="139" spans="2:13" s="2" customFormat="1" ht="27.95" customHeight="1" x14ac:dyDescent="0.25">
      <c r="B139" s="38" t="s">
        <v>489</v>
      </c>
      <c r="C139" s="37" t="s">
        <v>41</v>
      </c>
      <c r="D139" s="4" t="str">
        <f>_xlfn.IFNA(VLOOKUP(tbBlueprints[[#This Row],[Item]],tbMaterials[],2,FALSE),"")</f>
        <v>Tradeable</v>
      </c>
      <c r="E139" s="3" t="s">
        <v>500</v>
      </c>
      <c r="F139" s="4">
        <v>1</v>
      </c>
      <c r="G139" s="2" t="s">
        <v>488</v>
      </c>
      <c r="H139" s="4">
        <v>1</v>
      </c>
      <c r="J139" s="4"/>
      <c r="K139"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100000</v>
      </c>
      <c r="L139" s="28">
        <f>IFERROR(VLOOKUP(tbBlueprints[[#This Row],[Item]],tbMaterials[],4,FALSE),"")</f>
        <v>400000</v>
      </c>
      <c r="M139" s="76">
        <f>IF(ISNUMBER(tbBlueprints[[#This Row],[Value]]),((tbBlueprints[[#This Row],[Value]]-tbBlueprints[[#This Row],[Total Cost]])/tbBlueprints[[#This Row],[Total Cost]]),0)</f>
        <v>3</v>
      </c>
    </row>
    <row r="140" spans="2:13" s="2" customFormat="1" ht="27.95" customHeight="1" x14ac:dyDescent="0.25">
      <c r="B140" s="3" t="s">
        <v>430</v>
      </c>
      <c r="C140" s="5" t="s">
        <v>41</v>
      </c>
      <c r="D140" s="4" t="str">
        <f>_xlfn.IFNA(VLOOKUP(tbBlueprints[[#This Row],[Item]],tbMaterials[],2,FALSE),"")</f>
        <v/>
      </c>
      <c r="F140" s="4"/>
      <c r="H140" s="4"/>
      <c r="J140" s="4"/>
      <c r="K14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40" s="28" t="str">
        <f>IFERROR(VLOOKUP(tbBlueprints[[#This Row],[Item]],tbMaterials[],4,FALSE),"")</f>
        <v/>
      </c>
      <c r="M140" s="76">
        <f>IF(ISNUMBER(tbBlueprints[[#This Row],[Value]]),((tbBlueprints[[#This Row],[Value]]-tbBlueprints[[#This Row],[Total Cost]])/tbBlueprints[[#This Row],[Total Cost]]),0)</f>
        <v>0</v>
      </c>
    </row>
    <row r="141" spans="2:13" s="2" customFormat="1" ht="27.95" customHeight="1" x14ac:dyDescent="0.25">
      <c r="B141" s="66" t="s">
        <v>410</v>
      </c>
      <c r="C141" s="4" t="s">
        <v>41</v>
      </c>
      <c r="D141" s="4" t="str">
        <f>_xlfn.IFNA(VLOOKUP(tbBlueprints[[#This Row],[Item]],tbMaterials[],2,FALSE),"")</f>
        <v/>
      </c>
      <c r="F141" s="4"/>
      <c r="H141" s="4"/>
      <c r="J141" s="4"/>
      <c r="K14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41" s="28" t="str">
        <f>IFERROR(VLOOKUP(tbBlueprints[[#This Row],[Item]],tbMaterials[],4,FALSE),"")</f>
        <v/>
      </c>
      <c r="M141" s="76">
        <f>IF(ISNUMBER(tbBlueprints[[#This Row],[Value]]),((tbBlueprints[[#This Row],[Value]]-tbBlueprints[[#This Row],[Total Cost]])/tbBlueprints[[#This Row],[Total Cost]]),0)</f>
        <v>0</v>
      </c>
    </row>
    <row r="142" spans="2:13" s="2" customFormat="1" ht="27.95" customHeight="1" x14ac:dyDescent="0.25">
      <c r="B142" s="66" t="s">
        <v>396</v>
      </c>
      <c r="C142" s="4" t="s">
        <v>41</v>
      </c>
      <c r="D142" s="4" t="str">
        <f>_xlfn.IFNA(VLOOKUP(tbBlueprints[[#This Row],[Item]],tbMaterials[],2,FALSE),"")</f>
        <v/>
      </c>
      <c r="F142" s="4"/>
      <c r="H142" s="4"/>
      <c r="J142" s="4"/>
      <c r="K14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42" s="28" t="str">
        <f>IFERROR(VLOOKUP(tbBlueprints[[#This Row],[Item]],tbMaterials[],4,FALSE),"")</f>
        <v/>
      </c>
      <c r="M142" s="76">
        <f>IF(ISNUMBER(tbBlueprints[[#This Row],[Value]]),((tbBlueprints[[#This Row],[Value]]-tbBlueprints[[#This Row],[Total Cost]])/tbBlueprints[[#This Row],[Total Cost]]),0)</f>
        <v>0</v>
      </c>
    </row>
    <row r="143" spans="2:13" s="2" customFormat="1" ht="27.95" customHeight="1" x14ac:dyDescent="0.25">
      <c r="B143" s="38" t="s">
        <v>529</v>
      </c>
      <c r="C143" s="4" t="s">
        <v>41</v>
      </c>
      <c r="D143" s="4" t="s">
        <v>461</v>
      </c>
      <c r="E143" s="66" t="s">
        <v>11</v>
      </c>
      <c r="F143" s="4">
        <v>40</v>
      </c>
      <c r="G143" s="2" t="s">
        <v>12</v>
      </c>
      <c r="H143" s="4">
        <v>40</v>
      </c>
      <c r="J143" s="7"/>
      <c r="K143"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3840</v>
      </c>
      <c r="L143" s="28" t="str">
        <f>IFERROR(VLOOKUP(tbBlueprints[[#This Row],[Item]],tbMaterials[],4,FALSE),"")</f>
        <v/>
      </c>
      <c r="M143" s="76">
        <f>IF(ISNUMBER(tbBlueprints[[#This Row],[Value]]),((tbBlueprints[[#This Row],[Value]]-tbBlueprints[[#This Row],[Total Cost]])/tbBlueprints[[#This Row],[Total Cost]]),0)</f>
        <v>0</v>
      </c>
    </row>
    <row r="144" spans="2:13" s="2" customFormat="1" ht="27.95" customHeight="1" x14ac:dyDescent="0.25">
      <c r="B144" s="38" t="s">
        <v>838</v>
      </c>
      <c r="C144" s="4" t="s">
        <v>41</v>
      </c>
      <c r="D144" s="4" t="str">
        <f>_xlfn.IFNA(VLOOKUP(tbBlueprints[[#This Row],[Item]],tbMaterials[],2,FALSE),"")</f>
        <v>Curiosity</v>
      </c>
      <c r="E144" s="66" t="s">
        <v>485</v>
      </c>
      <c r="F144" s="4">
        <v>3</v>
      </c>
      <c r="G144" s="2" t="s">
        <v>889</v>
      </c>
      <c r="H144" s="4">
        <v>1</v>
      </c>
      <c r="I144" s="2" t="s">
        <v>296</v>
      </c>
      <c r="J144" s="4">
        <v>120</v>
      </c>
      <c r="K144"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35277</v>
      </c>
      <c r="L144" s="28">
        <f>IFERROR(VLOOKUP(tbBlueprints[[#This Row],[Item]],tbMaterials[],4,FALSE),"")</f>
        <v>1000</v>
      </c>
      <c r="M144" s="76">
        <f>IF(ISNUMBER(tbBlueprints[[#This Row],[Value]]),((tbBlueprints[[#This Row],[Value]]-tbBlueprints[[#This Row],[Total Cost]])/tbBlueprints[[#This Row],[Total Cost]]),0)</f>
        <v>-0.97165291833205769</v>
      </c>
    </row>
    <row r="145" spans="2:13" s="66" customFormat="1" ht="27.95" customHeight="1" x14ac:dyDescent="0.25">
      <c r="B145" s="66" t="s">
        <v>892</v>
      </c>
      <c r="C145" s="4" t="s">
        <v>41</v>
      </c>
      <c r="D145" s="4" t="s">
        <v>291</v>
      </c>
      <c r="E145" s="66" t="s">
        <v>25</v>
      </c>
      <c r="F145" s="4">
        <v>50</v>
      </c>
      <c r="G145" s="66" t="s">
        <v>24</v>
      </c>
      <c r="H145" s="4">
        <v>20</v>
      </c>
      <c r="J145" s="4"/>
      <c r="K145"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7360</v>
      </c>
      <c r="L145" s="28">
        <f>IFERROR(VLOOKUP(tbBlueprints[[#This Row],[Item]],tbMaterials[],4,FALSE),"")</f>
        <v>0</v>
      </c>
      <c r="M145" s="76">
        <f>IF(ISNUMBER(tbBlueprints[[#This Row],[Value]]),((tbBlueprints[[#This Row],[Value]]-tbBlueprints[[#This Row],[Total Cost]])/tbBlueprints[[#This Row],[Total Cost]]),0)</f>
        <v>-1</v>
      </c>
    </row>
    <row r="146" spans="2:13" s="2" customFormat="1" ht="27.95" customHeight="1" x14ac:dyDescent="0.25">
      <c r="B146" s="38" t="s">
        <v>531</v>
      </c>
      <c r="C146" s="4" t="s">
        <v>41</v>
      </c>
      <c r="D146" s="4" t="s">
        <v>291</v>
      </c>
      <c r="E146" s="2" t="s">
        <v>10</v>
      </c>
      <c r="F146" s="4">
        <v>40</v>
      </c>
      <c r="G146" s="2" t="s">
        <v>485</v>
      </c>
      <c r="H146" s="4">
        <v>1</v>
      </c>
      <c r="J146" s="7"/>
      <c r="K146"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2160</v>
      </c>
      <c r="L146" s="28" t="str">
        <f>IFERROR(VLOOKUP(tbBlueprints[[#This Row],[Item]],tbMaterials[],4,FALSE),"")</f>
        <v/>
      </c>
      <c r="M146" s="76">
        <f>IF(ISNUMBER(tbBlueprints[[#This Row],[Value]]),((tbBlueprints[[#This Row],[Value]]-tbBlueprints[[#This Row],[Total Cost]])/tbBlueprints[[#This Row],[Total Cost]]),0)</f>
        <v>0</v>
      </c>
    </row>
    <row r="147" spans="2:13" s="66" customFormat="1" ht="27.95" customHeight="1" x14ac:dyDescent="0.25">
      <c r="B147" s="38" t="s">
        <v>900</v>
      </c>
      <c r="C147" s="4" t="s">
        <v>41</v>
      </c>
      <c r="D147" s="4" t="s">
        <v>277</v>
      </c>
      <c r="E147" s="66" t="s">
        <v>569</v>
      </c>
      <c r="F147" s="4">
        <v>1</v>
      </c>
      <c r="G147" s="66" t="s">
        <v>897</v>
      </c>
      <c r="H147" s="4">
        <v>1</v>
      </c>
      <c r="I147" s="66" t="s">
        <v>515</v>
      </c>
      <c r="J147" s="7">
        <v>1</v>
      </c>
      <c r="K147"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9150000</v>
      </c>
      <c r="L147" s="28">
        <f>IFERROR(VLOOKUP(tbBlueprints[[#This Row],[Item]],tbMaterials[],4,FALSE),"")</f>
        <v>15600000</v>
      </c>
      <c r="M147" s="76">
        <f>IF(ISNUMBER(tbBlueprints[[#This Row],[Value]]),((tbBlueprints[[#This Row],[Value]]-tbBlueprints[[#This Row],[Total Cost]])/tbBlueprints[[#This Row],[Total Cost]]),0)</f>
        <v>0.70491803278688525</v>
      </c>
    </row>
    <row r="148" spans="2:13" s="2" customFormat="1" ht="27.95" customHeight="1" x14ac:dyDescent="0.25">
      <c r="B148" s="38" t="s">
        <v>377</v>
      </c>
      <c r="C148" s="4" t="s">
        <v>41</v>
      </c>
      <c r="D148" s="4" t="str">
        <f>_xlfn.IFNA(VLOOKUP(tbBlueprints[[#This Row],[Item]],tbMaterials[],2,FALSE),"")</f>
        <v/>
      </c>
      <c r="F148" s="4"/>
      <c r="H148" s="4"/>
      <c r="J148" s="4"/>
      <c r="K148"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48" s="28" t="str">
        <f>IFERROR(VLOOKUP(tbBlueprints[[#This Row],[Item]],tbMaterials[],4,FALSE),"")</f>
        <v/>
      </c>
      <c r="M148" s="76">
        <f>IF(ISNUMBER(tbBlueprints[[#This Row],[Value]]),((tbBlueprints[[#This Row],[Value]]-tbBlueprints[[#This Row],[Total Cost]])/tbBlueprints[[#This Row],[Total Cost]]),0)</f>
        <v>0</v>
      </c>
    </row>
    <row r="149" spans="2:13" s="2" customFormat="1" ht="27.95" customHeight="1" x14ac:dyDescent="0.25">
      <c r="B149" s="38" t="s">
        <v>499</v>
      </c>
      <c r="C149" s="37" t="s">
        <v>41</v>
      </c>
      <c r="D149" s="4" t="str">
        <f>_xlfn.IFNA(VLOOKUP(tbBlueprints[[#This Row],[Item]],tbMaterials[],2,FALSE),"")</f>
        <v>Tradeable</v>
      </c>
      <c r="E149" s="3" t="s">
        <v>501</v>
      </c>
      <c r="F149" s="4">
        <v>1</v>
      </c>
      <c r="G149" s="2" t="s">
        <v>489</v>
      </c>
      <c r="H149" s="4">
        <v>1</v>
      </c>
      <c r="J149" s="4"/>
      <c r="K149"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450000</v>
      </c>
      <c r="L149" s="28">
        <f>IFERROR(VLOOKUP(tbBlueprints[[#This Row],[Item]],tbMaterials[],4,FALSE),"")</f>
        <v>2000000</v>
      </c>
      <c r="M149" s="76">
        <f>IF(ISNUMBER(tbBlueprints[[#This Row],[Value]]),((tbBlueprints[[#This Row],[Value]]-tbBlueprints[[#This Row],[Total Cost]])/tbBlueprints[[#This Row],[Total Cost]]),0)</f>
        <v>3.4444444444444446</v>
      </c>
    </row>
    <row r="150" spans="2:13" s="2" customFormat="1" ht="27.95" customHeight="1" x14ac:dyDescent="0.25">
      <c r="B150" s="38" t="s">
        <v>397</v>
      </c>
      <c r="C150" s="4" t="s">
        <v>41</v>
      </c>
      <c r="D150" s="4" t="str">
        <f>_xlfn.IFNA(VLOOKUP(tbBlueprints[[#This Row],[Item]],tbMaterials[],2,FALSE),"")</f>
        <v/>
      </c>
      <c r="F150" s="4"/>
      <c r="G150" s="66"/>
      <c r="H150" s="4"/>
      <c r="J150" s="4"/>
      <c r="K15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0" s="28" t="str">
        <f>IFERROR(VLOOKUP(tbBlueprints[[#This Row],[Item]],tbMaterials[],4,FALSE),"")</f>
        <v/>
      </c>
      <c r="M150" s="76">
        <f>IF(ISNUMBER(tbBlueprints[[#This Row],[Value]]),((tbBlueprints[[#This Row],[Value]]-tbBlueprints[[#This Row],[Total Cost]])/tbBlueprints[[#This Row],[Total Cost]]),0)</f>
        <v>0</v>
      </c>
    </row>
    <row r="151" spans="2:13" s="2" customFormat="1" ht="27.95" customHeight="1" x14ac:dyDescent="0.25">
      <c r="B151" s="38" t="s">
        <v>469</v>
      </c>
      <c r="C151" s="37" t="s">
        <v>41</v>
      </c>
      <c r="D151" s="4" t="str">
        <f>_xlfn.IFNA(VLOOKUP(tbBlueprints[[#This Row],[Item]],tbMaterials[],2,FALSE),"")</f>
        <v>Curiosity</v>
      </c>
      <c r="E151" s="2" t="s">
        <v>8</v>
      </c>
      <c r="F151" s="4">
        <v>150</v>
      </c>
      <c r="H151" s="4"/>
      <c r="J151" s="4"/>
      <c r="K151"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5100</v>
      </c>
      <c r="L151" s="28">
        <f>IFERROR(VLOOKUP(tbBlueprints[[#This Row],[Item]],tbMaterials[],4,FALSE),"")</f>
        <v>5100</v>
      </c>
      <c r="M151" s="76">
        <f>IF(ISNUMBER(tbBlueprints[[#This Row],[Value]]),((tbBlueprints[[#This Row],[Value]]-tbBlueprints[[#This Row],[Total Cost]])/tbBlueprints[[#This Row],[Total Cost]]),0)</f>
        <v>0</v>
      </c>
    </row>
    <row r="152" spans="2:13" s="2" customFormat="1" ht="27.95" customHeight="1" x14ac:dyDescent="0.25">
      <c r="B152" s="3" t="s">
        <v>428</v>
      </c>
      <c r="C152" s="5" t="s">
        <v>41</v>
      </c>
      <c r="D152" s="4" t="str">
        <f>_xlfn.IFNA(VLOOKUP(tbBlueprints[[#This Row],[Item]],tbMaterials[],2,FALSE),"")</f>
        <v/>
      </c>
      <c r="F152" s="4"/>
      <c r="H152" s="4"/>
      <c r="J152" s="4"/>
      <c r="K152"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2" s="28" t="str">
        <f>IFERROR(VLOOKUP(tbBlueprints[[#This Row],[Item]],tbMaterials[],4,FALSE),"")</f>
        <v/>
      </c>
      <c r="M152" s="76">
        <f>IF(ISNUMBER(tbBlueprints[[#This Row],[Value]]),((tbBlueprints[[#This Row],[Value]]-tbBlueprints[[#This Row],[Total Cost]])/tbBlueprints[[#This Row],[Total Cost]]),0)</f>
        <v>0</v>
      </c>
    </row>
    <row r="153" spans="2:13" s="2" customFormat="1" ht="27.95" customHeight="1" x14ac:dyDescent="0.25">
      <c r="B153" s="38" t="s">
        <v>371</v>
      </c>
      <c r="C153" s="4" t="s">
        <v>41</v>
      </c>
      <c r="D153" s="4" t="str">
        <f>_xlfn.IFNA(VLOOKUP(tbBlueprints[[#This Row],[Item]],tbMaterials[],2,FALSE),"")</f>
        <v/>
      </c>
      <c r="F153" s="4"/>
      <c r="H153" s="4"/>
      <c r="J153" s="4"/>
      <c r="K153"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3" s="28" t="str">
        <f>IFERROR(VLOOKUP(tbBlueprints[[#This Row],[Item]],tbMaterials[],4,FALSE),"")</f>
        <v/>
      </c>
      <c r="M153" s="76">
        <f>IF(ISNUMBER(tbBlueprints[[#This Row],[Value]]),((tbBlueprints[[#This Row],[Value]]-tbBlueprints[[#This Row],[Total Cost]])/tbBlueprints[[#This Row],[Total Cost]]),0)</f>
        <v>0</v>
      </c>
    </row>
    <row r="154" spans="2:13" s="2" customFormat="1" ht="27.95" customHeight="1" x14ac:dyDescent="0.25">
      <c r="B154" s="38" t="s">
        <v>371</v>
      </c>
      <c r="C154" s="4" t="s">
        <v>41</v>
      </c>
      <c r="D154" s="4" t="str">
        <f>_xlfn.IFNA(VLOOKUP(tbBlueprints[[#This Row],[Item]],tbMaterials[],2,FALSE),"")</f>
        <v/>
      </c>
      <c r="F154" s="4"/>
      <c r="H154" s="4"/>
      <c r="J154" s="4"/>
      <c r="K15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4" s="28" t="str">
        <f>IFERROR(VLOOKUP(tbBlueprints[[#This Row],[Item]],tbMaterials[],4,FALSE),"")</f>
        <v/>
      </c>
      <c r="M154" s="76">
        <f>IF(ISNUMBER(tbBlueprints[[#This Row],[Value]]),((tbBlueprints[[#This Row],[Value]]-tbBlueprints[[#This Row],[Total Cost]])/tbBlueprints[[#This Row],[Total Cost]]),0)</f>
        <v>0</v>
      </c>
    </row>
    <row r="155" spans="2:13" s="2" customFormat="1" ht="27.95" customHeight="1" x14ac:dyDescent="0.25">
      <c r="B155" s="38" t="s">
        <v>621</v>
      </c>
      <c r="C155" s="4" t="s">
        <v>60</v>
      </c>
      <c r="D155" s="4" t="str">
        <f>_xlfn.IFNA(VLOOKUP(tbBlueprints[[#This Row],[Item]],tbMaterials[],2,FALSE),"")</f>
        <v/>
      </c>
      <c r="F155" s="4"/>
      <c r="H155" s="4"/>
      <c r="J155" s="7"/>
      <c r="K15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5" s="28" t="str">
        <f>IFERROR(VLOOKUP(tbBlueprints[[#This Row],[Item]],tbMaterials[],4,FALSE),"")</f>
        <v/>
      </c>
      <c r="M155" s="76">
        <f>IF(ISNUMBER(tbBlueprints[[#This Row],[Value]]),((tbBlueprints[[#This Row],[Value]]-tbBlueprints[[#This Row],[Total Cost]])/tbBlueprints[[#This Row],[Total Cost]]),0)</f>
        <v>0</v>
      </c>
    </row>
    <row r="156" spans="2:13" s="66" customFormat="1" ht="27.95" customHeight="1" x14ac:dyDescent="0.25">
      <c r="B156" s="38" t="s">
        <v>33</v>
      </c>
      <c r="C156" s="4" t="s">
        <v>41</v>
      </c>
      <c r="D156" s="4" t="s">
        <v>284</v>
      </c>
      <c r="E156" s="66" t="s">
        <v>267</v>
      </c>
      <c r="F156" s="4">
        <v>150</v>
      </c>
      <c r="H156" s="4"/>
      <c r="J156" s="7"/>
      <c r="K156"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60150</v>
      </c>
      <c r="L156" s="28">
        <f>IFERROR(VLOOKUP(tbBlueprints[[#This Row],[Item]],tbMaterials[],4,FALSE),"")</f>
        <v>6150</v>
      </c>
      <c r="M156" s="76">
        <f>IF(ISNUMBER(tbBlueprints[[#This Row],[Value]]),((tbBlueprints[[#This Row],[Value]]-tbBlueprints[[#This Row],[Total Cost]])/tbBlueprints[[#This Row],[Total Cost]]),0)</f>
        <v>-0.89775561097256862</v>
      </c>
    </row>
    <row r="157" spans="2:13" s="2" customFormat="1" ht="27.95" customHeight="1" x14ac:dyDescent="0.25">
      <c r="B157" s="66" t="s">
        <v>438</v>
      </c>
      <c r="C157" s="4" t="s">
        <v>41</v>
      </c>
      <c r="D157" s="4" t="str">
        <f>_xlfn.IFNA(VLOOKUP(tbBlueprints[[#This Row],[Item]],tbMaterials[],2,FALSE),"")</f>
        <v/>
      </c>
      <c r="F157" s="4"/>
      <c r="H157" s="4"/>
      <c r="J157" s="4"/>
      <c r="K15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7" s="28" t="str">
        <f>IFERROR(VLOOKUP(tbBlueprints[[#This Row],[Item]],tbMaterials[],4,FALSE),"")</f>
        <v/>
      </c>
      <c r="M157" s="76">
        <f>IF(ISNUMBER(tbBlueprints[[#This Row],[Value]]),((tbBlueprints[[#This Row],[Value]]-tbBlueprints[[#This Row],[Total Cost]])/tbBlueprints[[#This Row],[Total Cost]]),0)</f>
        <v>0</v>
      </c>
    </row>
    <row r="158" spans="2:13" s="2" customFormat="1" ht="27.95" customHeight="1" x14ac:dyDescent="0.25">
      <c r="B158" s="38" t="s">
        <v>500</v>
      </c>
      <c r="C158" s="37" t="s">
        <v>41</v>
      </c>
      <c r="D158" s="4" t="str">
        <f>_xlfn.IFNA(VLOOKUP(tbBlueprints[[#This Row],[Item]],tbMaterials[],2,FALSE),"")</f>
        <v>Tradeable</v>
      </c>
      <c r="E158" s="2" t="s">
        <v>35</v>
      </c>
      <c r="F158" s="4">
        <v>250</v>
      </c>
      <c r="G158" s="2" t="s">
        <v>260</v>
      </c>
      <c r="H158" s="4">
        <v>50</v>
      </c>
      <c r="J158" s="4"/>
      <c r="K158"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6200</v>
      </c>
      <c r="L158" s="28">
        <f>IFERROR(VLOOKUP(tbBlueprints[[#This Row],[Item]],tbMaterials[],4,FALSE),"")</f>
        <v>50000</v>
      </c>
      <c r="M158" s="76">
        <f>IF(ISNUMBER(tbBlueprints[[#This Row],[Value]]),((tbBlueprints[[#This Row],[Value]]-tbBlueprints[[#This Row],[Total Cost]])/tbBlueprints[[#This Row],[Total Cost]]),0)</f>
        <v>7.064516129032258</v>
      </c>
    </row>
    <row r="159" spans="2:13" s="2" customFormat="1" ht="27.95" customHeight="1" x14ac:dyDescent="0.25">
      <c r="B159" s="66" t="s">
        <v>406</v>
      </c>
      <c r="C159" s="4" t="s">
        <v>41</v>
      </c>
      <c r="D159" s="4" t="str">
        <f>_xlfn.IFNA(VLOOKUP(tbBlueprints[[#This Row],[Item]],tbMaterials[],2,FALSE),"")</f>
        <v/>
      </c>
      <c r="F159" s="4"/>
      <c r="H159" s="4"/>
      <c r="J159" s="4"/>
      <c r="K159"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59" s="28" t="str">
        <f>IFERROR(VLOOKUP(tbBlueprints[[#This Row],[Item]],tbMaterials[],4,FALSE),"")</f>
        <v/>
      </c>
      <c r="M159" s="76">
        <f>IF(ISNUMBER(tbBlueprints[[#This Row],[Value]]),((tbBlueprints[[#This Row],[Value]]-tbBlueprints[[#This Row],[Total Cost]])/tbBlueprints[[#This Row],[Total Cost]]),0)</f>
        <v>0</v>
      </c>
    </row>
    <row r="160" spans="2:13" s="2" customFormat="1" ht="27.95" customHeight="1" x14ac:dyDescent="0.25">
      <c r="B160" s="66" t="s">
        <v>407</v>
      </c>
      <c r="C160" s="4" t="s">
        <v>41</v>
      </c>
      <c r="D160" s="4" t="str">
        <f>_xlfn.IFNA(VLOOKUP(tbBlueprints[[#This Row],[Item]],tbMaterials[],2,FALSE),"")</f>
        <v/>
      </c>
      <c r="F160" s="4"/>
      <c r="H160" s="4"/>
      <c r="J160" s="4"/>
      <c r="K160"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60" s="28" t="str">
        <f>IFERROR(VLOOKUP(tbBlueprints[[#This Row],[Item]],tbMaterials[],4,FALSE),"")</f>
        <v/>
      </c>
      <c r="M160" s="76">
        <f>IF(ISNUMBER(tbBlueprints[[#This Row],[Value]]),((tbBlueprints[[#This Row],[Value]]-tbBlueprints[[#This Row],[Total Cost]])/tbBlueprints[[#This Row],[Total Cost]]),0)</f>
        <v>0</v>
      </c>
    </row>
    <row r="161" spans="2:14" s="2" customFormat="1" ht="27.95" customHeight="1" x14ac:dyDescent="0.25">
      <c r="B161" s="66" t="s">
        <v>833</v>
      </c>
      <c r="C161" s="4" t="s">
        <v>41</v>
      </c>
      <c r="D161" s="4" t="str">
        <f>_xlfn.IFNA(VLOOKUP(tbBlueprints[[#This Row],[Item]],tbMaterials[],2,FALSE),"")</f>
        <v>Tradeable</v>
      </c>
      <c r="E161" s="2" t="s">
        <v>118</v>
      </c>
      <c r="F161" s="4">
        <v>200</v>
      </c>
      <c r="H161" s="4"/>
      <c r="J161" s="4"/>
      <c r="K161"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5600</v>
      </c>
      <c r="L161" s="28">
        <f>IFERROR(VLOOKUP(tbBlueprints[[#This Row],[Item]],tbMaterials[],4,FALSE),"")</f>
        <v>50000</v>
      </c>
      <c r="M161" s="76">
        <f>IF(ISNUMBER(tbBlueprints[[#This Row],[Value]]),((tbBlueprints[[#This Row],[Value]]-tbBlueprints[[#This Row],[Total Cost]])/tbBlueprints[[#This Row],[Total Cost]]),0)</f>
        <v>7.9285714285714288</v>
      </c>
    </row>
    <row r="162" spans="2:14" s="2" customFormat="1" ht="27.95" customHeight="1" x14ac:dyDescent="0.25">
      <c r="B162" s="66" t="s">
        <v>480</v>
      </c>
      <c r="C162" s="4" t="s">
        <v>41</v>
      </c>
      <c r="D162" s="4" t="str">
        <f>_xlfn.IFNA(VLOOKUP(tbBlueprints[[#This Row],[Item]],tbMaterials[],2,FALSE),"")</f>
        <v>Consumable</v>
      </c>
      <c r="E162" s="2" t="s">
        <v>8</v>
      </c>
      <c r="F162" s="4">
        <v>50</v>
      </c>
      <c r="G162" s="3" t="s">
        <v>485</v>
      </c>
      <c r="H162" s="4">
        <v>1</v>
      </c>
      <c r="J162" s="4"/>
      <c r="K162"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2500</v>
      </c>
      <c r="L162" s="28">
        <f>IFERROR(VLOOKUP(tbBlueprints[[#This Row],[Item]],tbMaterials[],4,FALSE),"")</f>
        <v>5750</v>
      </c>
      <c r="M162" s="76">
        <f>IF(ISNUMBER(tbBlueprints[[#This Row],[Value]]),((tbBlueprints[[#This Row],[Value]]-tbBlueprints[[#This Row],[Total Cost]])/tbBlueprints[[#This Row],[Total Cost]]),0)</f>
        <v>1.3</v>
      </c>
    </row>
    <row r="163" spans="2:14" s="66" customFormat="1" ht="27.95" customHeight="1" x14ac:dyDescent="0.25">
      <c r="B163" s="66" t="s">
        <v>941</v>
      </c>
      <c r="C163" s="4" t="s">
        <v>60</v>
      </c>
      <c r="D163" s="4" t="s">
        <v>461</v>
      </c>
      <c r="E163" s="66" t="s">
        <v>23</v>
      </c>
      <c r="F163" s="4">
        <v>50</v>
      </c>
      <c r="G163" s="3"/>
      <c r="H163" s="4"/>
      <c r="J163" s="4"/>
      <c r="K163"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2050</v>
      </c>
      <c r="L163" s="28">
        <f>IFERROR(VLOOKUP(tbBlueprints[[#This Row],[Item]],tbMaterials[],4,FALSE),"")</f>
        <v>1547</v>
      </c>
      <c r="M163" s="76">
        <f>IF(ISNUMBER(tbBlueprints[[#This Row],[Value]]),((tbBlueprints[[#This Row],[Value]]-tbBlueprints[[#This Row],[Total Cost]])/tbBlueprints[[#This Row],[Total Cost]]),0)</f>
        <v>-0.24536585365853658</v>
      </c>
    </row>
    <row r="164" spans="2:14" s="2" customFormat="1" ht="27.95" customHeight="1" x14ac:dyDescent="0.25">
      <c r="B164" s="38" t="s">
        <v>527</v>
      </c>
      <c r="C164" s="4" t="s">
        <v>41</v>
      </c>
      <c r="D164" s="4" t="str">
        <f>_xlfn.IFNA(VLOOKUP(tbBlueprints[[#This Row],[Item]],tbMaterials[],2,FALSE),"")</f>
        <v/>
      </c>
      <c r="E164" s="66"/>
      <c r="F164" s="4"/>
      <c r="H164" s="4"/>
      <c r="J164" s="7"/>
      <c r="K164"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64" s="28" t="str">
        <f>IFERROR(VLOOKUP(tbBlueprints[[#This Row],[Item]],tbMaterials[],4,FALSE),"")</f>
        <v/>
      </c>
      <c r="M164" s="76">
        <f>IF(ISNUMBER(tbBlueprints[[#This Row],[Value]]),((tbBlueprints[[#This Row],[Value]]-tbBlueprints[[#This Row],[Total Cost]])/tbBlueprints[[#This Row],[Total Cost]]),0)</f>
        <v>0</v>
      </c>
    </row>
    <row r="165" spans="2:14" s="66" customFormat="1" ht="27.95" customHeight="1" x14ac:dyDescent="0.25">
      <c r="B165" s="38" t="s">
        <v>612</v>
      </c>
      <c r="C165" s="4" t="s">
        <v>60</v>
      </c>
      <c r="D165" s="4" t="str">
        <f>_xlfn.IFNA(VLOOKUP(tbBlueprints[[#This Row],[Item]],tbMaterials[],2,FALSE),"")</f>
        <v/>
      </c>
      <c r="F165" s="4"/>
      <c r="H165" s="4"/>
      <c r="J165" s="7"/>
      <c r="K165"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65" s="28" t="str">
        <f>IFERROR(VLOOKUP(tbBlueprints[[#This Row],[Item]],tbMaterials[],4,FALSE),"")</f>
        <v/>
      </c>
      <c r="M165" s="76">
        <f>IF(ISNUMBER(tbBlueprints[[#This Row],[Value]]),((tbBlueprints[[#This Row],[Value]]-tbBlueprints[[#This Row],[Total Cost]])/tbBlueprints[[#This Row],[Total Cost]]),0)</f>
        <v>0</v>
      </c>
    </row>
    <row r="166" spans="2:14" s="2" customFormat="1" ht="27.95" customHeight="1" x14ac:dyDescent="0.25">
      <c r="B166" s="66" t="s">
        <v>893</v>
      </c>
      <c r="C166" s="4" t="s">
        <v>41</v>
      </c>
      <c r="D166" s="4" t="s">
        <v>291</v>
      </c>
      <c r="E166" s="66" t="s">
        <v>472</v>
      </c>
      <c r="F166" s="4">
        <v>1</v>
      </c>
      <c r="G166" s="2" t="s">
        <v>363</v>
      </c>
      <c r="H166" s="4">
        <v>1</v>
      </c>
      <c r="J166" s="7"/>
      <c r="K166" s="28">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134383</v>
      </c>
      <c r="L166" s="28">
        <f>IFERROR(VLOOKUP(tbBlueprints[[#This Row],[Item]],tbMaterials[],4,FALSE),"")</f>
        <v>46750</v>
      </c>
      <c r="M166" s="76">
        <f>IF(ISNUMBER(tbBlueprints[[#This Row],[Value]]),((tbBlueprints[[#This Row],[Value]]-tbBlueprints[[#This Row],[Total Cost]])/tbBlueprints[[#This Row],[Total Cost]]),0)</f>
        <v>-0.65211373462417122</v>
      </c>
    </row>
    <row r="167" spans="2:14" s="2" customFormat="1" ht="27.95" customHeight="1" x14ac:dyDescent="0.25">
      <c r="B167" s="52" t="s">
        <v>420</v>
      </c>
      <c r="C167" s="5" t="s">
        <v>41</v>
      </c>
      <c r="D167" s="4" t="str">
        <f>_xlfn.IFNA(VLOOKUP(tbBlueprints[[#This Row],[Item]],tbMaterials[],2,FALSE),"")</f>
        <v/>
      </c>
      <c r="E167" s="66"/>
      <c r="F167" s="4"/>
      <c r="H167" s="4"/>
      <c r="J167" s="4"/>
      <c r="K167"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67" s="28" t="str">
        <f>IFERROR(VLOOKUP(tbBlueprints[[#This Row],[Item]],tbMaterials[],4,FALSE),"")</f>
        <v/>
      </c>
      <c r="M167" s="76">
        <f>IF(ISNUMBER(tbBlueprints[[#This Row],[Value]]),((tbBlueprints[[#This Row],[Value]]-tbBlueprints[[#This Row],[Total Cost]])/tbBlueprints[[#This Row],[Total Cost]]),0)</f>
        <v>0</v>
      </c>
    </row>
    <row r="168" spans="2:14" s="2" customFormat="1" ht="27.95" customHeight="1" x14ac:dyDescent="0.25">
      <c r="B168" s="38"/>
      <c r="C168" s="4"/>
      <c r="D168" s="4"/>
      <c r="F168" s="4"/>
      <c r="H168" s="4"/>
      <c r="I168"/>
      <c r="J168" s="7"/>
      <c r="M168" s="4"/>
    </row>
    <row r="169" spans="2:14" s="66" customFormat="1" ht="27.95" customHeight="1" x14ac:dyDescent="0.25">
      <c r="B169" s="82" t="s">
        <v>901</v>
      </c>
      <c r="C169" s="4"/>
      <c r="D169" s="4"/>
      <c r="E169" s="4"/>
      <c r="G169" s="4"/>
      <c r="I169" s="4"/>
      <c r="J169" s="7"/>
      <c r="M169" s="4"/>
    </row>
    <row r="170" spans="2:14" s="2" customFormat="1" ht="27.95" customHeight="1" x14ac:dyDescent="0.25">
      <c r="B170" s="83" t="s">
        <v>898</v>
      </c>
      <c r="C170" s="4"/>
      <c r="D170" s="4"/>
      <c r="E170" s="4"/>
      <c r="G170" s="4"/>
      <c r="I170" s="4"/>
      <c r="J170" s="7"/>
      <c r="M170" s="4"/>
    </row>
    <row r="171" spans="2:14" s="66" customFormat="1" ht="27.95" customHeight="1" x14ac:dyDescent="0.25">
      <c r="B171" s="32" t="s">
        <v>0</v>
      </c>
      <c r="C171" s="21" t="s">
        <v>374</v>
      </c>
      <c r="D171" s="21" t="s">
        <v>39</v>
      </c>
      <c r="E171" s="32" t="s">
        <v>313</v>
      </c>
      <c r="F171" s="21" t="s">
        <v>314</v>
      </c>
      <c r="G171" s="32" t="s">
        <v>315</v>
      </c>
      <c r="H171" s="21" t="s">
        <v>316</v>
      </c>
      <c r="I171" s="32" t="s">
        <v>317</v>
      </c>
      <c r="J171" s="21" t="s">
        <v>318</v>
      </c>
      <c r="K171" s="20" t="s">
        <v>319</v>
      </c>
      <c r="L171" s="32" t="s">
        <v>1</v>
      </c>
      <c r="M171" s="21" t="s">
        <v>846</v>
      </c>
    </row>
    <row r="172" spans="2:14" s="2" customFormat="1" ht="27.95" customHeight="1" x14ac:dyDescent="0.25">
      <c r="B172" s="68" t="s">
        <v>834</v>
      </c>
      <c r="C172" s="74" t="s">
        <v>41</v>
      </c>
      <c r="D172" s="74" t="str">
        <f>VLOOKUP(tbFusionIgnitor[Item],tbMaterials[],2,FALSE)</f>
        <v>Component</v>
      </c>
      <c r="E172" s="68" t="s">
        <v>658</v>
      </c>
      <c r="F172" s="74">
        <v>1</v>
      </c>
      <c r="G172" s="68" t="s">
        <v>833</v>
      </c>
      <c r="H172" s="74">
        <v>1</v>
      </c>
      <c r="I172" s="68"/>
      <c r="J172" s="74"/>
      <c r="K172"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2" s="79" t="str">
        <f>IFERROR(VLOOKUP(tbBlueprints[[#This Row],[Item]],tbMaterials[],4,FALSE),"")</f>
        <v/>
      </c>
      <c r="M172" s="80">
        <f>IF(ISNUMBER(tbBlueprints[[#This Row],[Value]]),((tbBlueprints[[#This Row],[Value]]-tbBlueprints[[#This Row],[Total Cost]])/tbBlueprints[[#This Row],[Total Cost]]),0)</f>
        <v>0</v>
      </c>
    </row>
    <row r="173" spans="2:14" s="2" customFormat="1" ht="27.95" customHeight="1" x14ac:dyDescent="0.25">
      <c r="B173" s="68" t="s">
        <v>307</v>
      </c>
      <c r="C173" s="74" t="s">
        <v>41</v>
      </c>
      <c r="D173" s="74" t="str">
        <f>VLOOKUP(tbFusionIgnitor[Item],tbMaterials[],2,FALSE)</f>
        <v>Tradeable</v>
      </c>
      <c r="E173" s="68" t="s">
        <v>84</v>
      </c>
      <c r="F173" s="74">
        <v>50</v>
      </c>
      <c r="G173" s="68" t="s">
        <v>267</v>
      </c>
      <c r="H173" s="74">
        <v>50</v>
      </c>
      <c r="I173" s="68"/>
      <c r="J173" s="81"/>
      <c r="K173"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3" s="79" t="str">
        <f>IFERROR(VLOOKUP(tbBlueprints[[#This Row],[Item]],tbMaterials[],4,FALSE),"")</f>
        <v/>
      </c>
      <c r="M173" s="87">
        <f>IF(ISNUMBER(tbBlueprints[[#This Row],[Value]]),((tbBlueprints[[#This Row],[Value]]-tbBlueprints[[#This Row],[Total Cost]])/tbBlueprints[[#This Row],[Total Cost]]),0)</f>
        <v>0</v>
      </c>
    </row>
    <row r="174" spans="2:14" s="2" customFormat="1" ht="27.95" customHeight="1" x14ac:dyDescent="0.25">
      <c r="B174" s="68" t="s">
        <v>840</v>
      </c>
      <c r="C174" s="74" t="s">
        <v>41</v>
      </c>
      <c r="D174" s="74" t="str">
        <f>VLOOKUP(tbFusionIgnitor[Item],tbMaterials[],2,FALSE)</f>
        <v>Tradeable</v>
      </c>
      <c r="E174" s="68" t="s">
        <v>118</v>
      </c>
      <c r="F174" s="74">
        <v>100</v>
      </c>
      <c r="G174" s="68" t="s">
        <v>82</v>
      </c>
      <c r="H174" s="74">
        <v>200</v>
      </c>
      <c r="I174" s="68"/>
      <c r="J174" s="81"/>
      <c r="K174"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4" s="79" t="str">
        <f>IFERROR(VLOOKUP(tbBlueprints[[#This Row],[Item]],tbMaterials[],4,FALSE),"")</f>
        <v/>
      </c>
      <c r="M174" s="87">
        <f>IF(ISNUMBER(tbBlueprints[[#This Row],[Value]]),((tbBlueprints[[#This Row],[Value]]-tbBlueprints[[#This Row],[Total Cost]])/tbBlueprints[[#This Row],[Total Cost]]),0)</f>
        <v>0</v>
      </c>
    </row>
    <row r="175" spans="2:14" s="2" customFormat="1" ht="27.95" customHeight="1" x14ac:dyDescent="0.25">
      <c r="B175" s="68" t="s">
        <v>833</v>
      </c>
      <c r="C175" s="74" t="s">
        <v>41</v>
      </c>
      <c r="D175" s="74" t="str">
        <f>VLOOKUP(tbFusionIgnitor[Item],tbMaterials[],2,FALSE)</f>
        <v>Tradeable</v>
      </c>
      <c r="E175" s="68" t="s">
        <v>118</v>
      </c>
      <c r="F175" s="74">
        <v>200</v>
      </c>
      <c r="G175" s="68"/>
      <c r="H175" s="74"/>
      <c r="I175" s="68"/>
      <c r="J175" s="74"/>
      <c r="K175"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5" s="79" t="str">
        <f>IFERROR(VLOOKUP(tbBlueprints[[#This Row],[Item]],tbMaterials[],4,FALSE),"")</f>
        <v/>
      </c>
      <c r="M175" s="87">
        <f>IF(ISNUMBER(tbBlueprints[[#This Row],[Value]]),((tbBlueprints[[#This Row],[Value]]-tbBlueprints[[#This Row],[Total Cost]])/tbBlueprints[[#This Row],[Total Cost]]),0)</f>
        <v>0</v>
      </c>
    </row>
    <row r="176" spans="2:14" s="2" customFormat="1" ht="27.95" customHeight="1" x14ac:dyDescent="0.25">
      <c r="B176" s="38" t="s">
        <v>569</v>
      </c>
      <c r="C176" s="4" t="s">
        <v>41</v>
      </c>
      <c r="D176" s="74" t="str">
        <f>VLOOKUP(tbFusionIgnitor[Item],tbMaterials[],2,FALSE)</f>
        <v>Tradeable</v>
      </c>
      <c r="E176" s="66" t="s">
        <v>570</v>
      </c>
      <c r="F176" s="4">
        <v>1</v>
      </c>
      <c r="G176" s="66" t="s">
        <v>499</v>
      </c>
      <c r="H176" s="4">
        <v>1</v>
      </c>
      <c r="I176" s="66"/>
      <c r="J176" s="7">
        <v>1</v>
      </c>
      <c r="K17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6" s="28" t="str">
        <f>IFERROR(VLOOKUP(tbBlueprints[[#This Row],[Item]],tbMaterials[],4,FALSE),"")</f>
        <v/>
      </c>
      <c r="M176" s="76">
        <f>IF(ISNUMBER(tbBlueprints[[#This Row],[Value]]),((tbBlueprints[[#This Row],[Value]]-tbBlueprints[[#This Row],[Total Cost]])/tbBlueprints[[#This Row],[Total Cost]]),0)</f>
        <v>0</v>
      </c>
      <c r="N176" s="66"/>
    </row>
    <row r="177" spans="2:13" s="2" customFormat="1" ht="27.95" customHeight="1" x14ac:dyDescent="0.25">
      <c r="B177" s="68" t="s">
        <v>518</v>
      </c>
      <c r="C177" s="74" t="s">
        <v>41</v>
      </c>
      <c r="D177" s="74" t="str">
        <f>VLOOKUP(tbFusionIgnitor[Item],tbMaterials[],2,FALSE)</f>
        <v>Tradeable</v>
      </c>
      <c r="E177" s="68" t="s">
        <v>309</v>
      </c>
      <c r="F177" s="74">
        <v>1</v>
      </c>
      <c r="G177" s="68" t="s">
        <v>307</v>
      </c>
      <c r="H177" s="74">
        <v>1</v>
      </c>
      <c r="I177" s="68" t="s">
        <v>264</v>
      </c>
      <c r="J177" s="74">
        <v>1</v>
      </c>
      <c r="K177"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7" s="79" t="str">
        <f>IFERROR(VLOOKUP(tbBlueprints[[#This Row],[Item]],tbMaterials[],4,FALSE),"")</f>
        <v/>
      </c>
      <c r="M177" s="87">
        <f>IF(ISNUMBER(tbBlueprints[[#This Row],[Value]]),((tbBlueprints[[#This Row],[Value]]-tbBlueprints[[#This Row],[Total Cost]])/tbBlueprints[[#This Row],[Total Cost]]),0)</f>
        <v>0</v>
      </c>
    </row>
    <row r="178" spans="2:13" s="2" customFormat="1" ht="27.95" customHeight="1" x14ac:dyDescent="0.25">
      <c r="B178" s="68" t="s">
        <v>499</v>
      </c>
      <c r="C178" s="74" t="s">
        <v>41</v>
      </c>
      <c r="D178" s="74" t="str">
        <f>VLOOKUP(tbFusionIgnitor[Item],tbMaterials[],2,FALSE)</f>
        <v>Tradeable</v>
      </c>
      <c r="E178" s="84" t="s">
        <v>501</v>
      </c>
      <c r="F178" s="74">
        <v>1</v>
      </c>
      <c r="G178" s="68" t="s">
        <v>489</v>
      </c>
      <c r="H178" s="74">
        <v>1</v>
      </c>
      <c r="I178" s="68"/>
      <c r="J178" s="74"/>
      <c r="K178"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8" s="79" t="str">
        <f>IFERROR(VLOOKUP(tbBlueprints[[#This Row],[Item]],tbMaterials[],4,FALSE),"")</f>
        <v/>
      </c>
      <c r="M178" s="87">
        <f>IF(ISNUMBER(tbBlueprints[[#This Row],[Value]]),((tbBlueprints[[#This Row],[Value]]-tbBlueprints[[#This Row],[Total Cost]])/tbBlueprints[[#This Row],[Total Cost]]),0)</f>
        <v>0</v>
      </c>
    </row>
    <row r="179" spans="2:13" s="2" customFormat="1" ht="27.95" customHeight="1" x14ac:dyDescent="0.25">
      <c r="B179" s="68" t="s">
        <v>841</v>
      </c>
      <c r="C179" s="74" t="s">
        <v>41</v>
      </c>
      <c r="D179" s="74" t="str">
        <f>VLOOKUP(tbFusionIgnitor[Item],tbMaterials[],2,FALSE)</f>
        <v>Component</v>
      </c>
      <c r="E179" s="68" t="s">
        <v>71</v>
      </c>
      <c r="F179" s="74">
        <v>100</v>
      </c>
      <c r="G179" s="68" t="s">
        <v>14</v>
      </c>
      <c r="H179" s="74">
        <v>100</v>
      </c>
      <c r="I179" s="68"/>
      <c r="J179" s="74"/>
      <c r="K179"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79" s="79" t="str">
        <f>IFERROR(VLOOKUP(tbBlueprints[[#This Row],[Item]],tbMaterials[],4,FALSE),"")</f>
        <v/>
      </c>
      <c r="M179" s="87">
        <f>IF(ISNUMBER(tbBlueprints[[#This Row],[Value]]),((tbBlueprints[[#This Row],[Value]]-tbBlueprints[[#This Row],[Total Cost]])/tbBlueprints[[#This Row],[Total Cost]]),0)</f>
        <v>0</v>
      </c>
    </row>
    <row r="180" spans="2:13" s="2" customFormat="1" ht="27.95" customHeight="1" x14ac:dyDescent="0.25">
      <c r="B180" s="68" t="s">
        <v>570</v>
      </c>
      <c r="C180" s="74" t="s">
        <v>41</v>
      </c>
      <c r="D180" s="74" t="str">
        <f>VLOOKUP(tbFusionIgnitor[Item],tbMaterials[],2,FALSE)</f>
        <v>Tradeable</v>
      </c>
      <c r="E180" s="68" t="s">
        <v>841</v>
      </c>
      <c r="F180" s="74">
        <v>1</v>
      </c>
      <c r="G180" s="68" t="s">
        <v>840</v>
      </c>
      <c r="H180" s="74">
        <v>1</v>
      </c>
      <c r="I180" s="68"/>
      <c r="J180" s="81"/>
      <c r="K180"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0" s="79" t="str">
        <f>IFERROR(VLOOKUP(tbBlueprints[[#This Row],[Item]],tbMaterials[],4,FALSE),"")</f>
        <v/>
      </c>
      <c r="M180" s="87">
        <f>IF(ISNUMBER(tbBlueprints[[#This Row],[Value]]),((tbBlueprints[[#This Row],[Value]]-tbBlueprints[[#This Row],[Total Cost]])/tbBlueprints[[#This Row],[Total Cost]]),0)</f>
        <v>0</v>
      </c>
    </row>
    <row r="181" spans="2:13" s="66" customFormat="1" ht="27.95" customHeight="1" x14ac:dyDescent="0.25">
      <c r="B181" s="68" t="s">
        <v>896</v>
      </c>
      <c r="C181" s="74" t="s">
        <v>41</v>
      </c>
      <c r="D181" s="74" t="str">
        <f>VLOOKUP(tbFusionIgnitor[Item],tbMaterials[],2,FALSE)</f>
        <v>Tradeable</v>
      </c>
      <c r="E181" s="68" t="s">
        <v>834</v>
      </c>
      <c r="F181" s="74">
        <v>1</v>
      </c>
      <c r="G181" s="68" t="s">
        <v>517</v>
      </c>
      <c r="H181" s="74">
        <v>1</v>
      </c>
      <c r="I181" s="68"/>
      <c r="J181" s="81"/>
      <c r="K181"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1" s="79" t="str">
        <f>IFERROR(VLOOKUP(tbBlueprints[[#This Row],[Item]],tbMaterials[],4,FALSE),"")</f>
        <v/>
      </c>
      <c r="M181" s="80">
        <f>IF(ISNUMBER(tbBlueprints[[#This Row],[Value]]),((tbBlueprints[[#This Row],[Value]]-tbBlueprints[[#This Row],[Total Cost]])/tbBlueprints[[#This Row],[Total Cost]]),0)</f>
        <v>0</v>
      </c>
    </row>
    <row r="182" spans="2:13" s="66" customFormat="1" ht="27.95" customHeight="1" x14ac:dyDescent="0.25">
      <c r="B182" s="38" t="s">
        <v>658</v>
      </c>
      <c r="C182" s="37" t="s">
        <v>41</v>
      </c>
      <c r="D182" s="74" t="str">
        <f>VLOOKUP(tbFusionIgnitor[Item],tbMaterials[],2,FALSE)</f>
        <v>Tradeable</v>
      </c>
      <c r="E182" s="38" t="s">
        <v>334</v>
      </c>
      <c r="F182" s="37">
        <v>25</v>
      </c>
      <c r="G182" s="38" t="s">
        <v>245</v>
      </c>
      <c r="H182" s="37">
        <v>600</v>
      </c>
      <c r="I182" s="38"/>
      <c r="J182" s="37"/>
      <c r="K182" s="86"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2" s="86" t="str">
        <f>IFERROR(VLOOKUP(tbBlueprints[[#This Row],[Item]],tbMaterials[],4,FALSE),"")</f>
        <v/>
      </c>
      <c r="M182" s="88">
        <f>IF(ISNUMBER(tbBlueprints[[#This Row],[Value]]),((tbBlueprints[[#This Row],[Value]]-tbBlueprints[[#This Row],[Total Cost]])/tbBlueprints[[#This Row],[Total Cost]]),0)</f>
        <v>0</v>
      </c>
    </row>
    <row r="183" spans="2:13" s="66" customFormat="1" ht="27.95" customHeight="1" x14ac:dyDescent="0.25">
      <c r="B183" s="38" t="s">
        <v>488</v>
      </c>
      <c r="C183" s="37" t="s">
        <v>41</v>
      </c>
      <c r="D183" s="74" t="str">
        <f>VLOOKUP(tbFusionIgnitor[Item],tbMaterials[],2,FALSE)</f>
        <v>Tradeable</v>
      </c>
      <c r="E183" s="38" t="s">
        <v>21</v>
      </c>
      <c r="F183" s="37">
        <v>250</v>
      </c>
      <c r="G183" s="38" t="s">
        <v>260</v>
      </c>
      <c r="H183" s="37">
        <v>50</v>
      </c>
      <c r="I183" s="38"/>
      <c r="J183" s="37"/>
      <c r="K183" s="86"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3" s="86" t="str">
        <f>IFERROR(VLOOKUP(tbBlueprints[[#This Row],[Item]],tbMaterials[],4,FALSE),"")</f>
        <v/>
      </c>
      <c r="M183" s="88">
        <f>IF(ISNUMBER(tbBlueprints[[#This Row],[Value]]),((tbBlueprints[[#This Row],[Value]]-tbBlueprints[[#This Row],[Total Cost]])/tbBlueprints[[#This Row],[Total Cost]]),0)</f>
        <v>0</v>
      </c>
    </row>
    <row r="184" spans="2:13" s="66" customFormat="1" ht="27.95" customHeight="1" x14ac:dyDescent="0.25">
      <c r="B184" s="38" t="s">
        <v>517</v>
      </c>
      <c r="C184" s="37" t="s">
        <v>41</v>
      </c>
      <c r="D184" s="74" t="str">
        <f>VLOOKUP(tbFusionIgnitor[Item],tbMaterials[],2,FALSE)</f>
        <v>Tradeable</v>
      </c>
      <c r="E184" s="38" t="s">
        <v>895</v>
      </c>
      <c r="F184" s="37">
        <v>1</v>
      </c>
      <c r="G184" s="38" t="s">
        <v>488</v>
      </c>
      <c r="H184" s="37">
        <v>1</v>
      </c>
      <c r="I184" s="38"/>
      <c r="J184" s="85"/>
      <c r="K184" s="86"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4" s="86" t="str">
        <f>IFERROR(VLOOKUP(tbBlueprints[[#This Row],[Item]],tbMaterials[],4,FALSE),"")</f>
        <v/>
      </c>
      <c r="M184" s="88">
        <f>IF(ISNUMBER(tbBlueprints[[#This Row],[Value]]),((tbBlueprints[[#This Row],[Value]]-tbBlueprints[[#This Row],[Total Cost]])/tbBlueprints[[#This Row],[Total Cost]]),0)</f>
        <v>0</v>
      </c>
    </row>
    <row r="185" spans="2:13" s="66" customFormat="1" ht="27.95" customHeight="1" x14ac:dyDescent="0.25">
      <c r="B185" s="36" t="s">
        <v>898</v>
      </c>
      <c r="C185" s="37" t="s">
        <v>41</v>
      </c>
      <c r="D185" s="74" t="str">
        <f>VLOOKUP(tbFusionIgnitor[Item],tbMaterials[],2,FALSE)</f>
        <v>Tradeable</v>
      </c>
      <c r="E185" s="38" t="s">
        <v>896</v>
      </c>
      <c r="F185" s="37">
        <v>1</v>
      </c>
      <c r="G185" s="38" t="s">
        <v>569</v>
      </c>
      <c r="H185" s="37">
        <v>1</v>
      </c>
      <c r="I185" s="38" t="s">
        <v>518</v>
      </c>
      <c r="J185" s="37">
        <v>1</v>
      </c>
      <c r="K185" s="86"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5" s="86" t="str">
        <f>IFERROR(VLOOKUP(tbBlueprints[[#This Row],[Item]],tbMaterials[],4,FALSE),"")</f>
        <v/>
      </c>
      <c r="M185" s="88">
        <f>IF(ISNUMBER(tbBlueprints[[#This Row],[Value]]),((tbBlueprints[[#This Row],[Value]]-tbBlueprints[[#This Row],[Total Cost]])/tbBlueprints[[#This Row],[Total Cost]]),0)</f>
        <v>0</v>
      </c>
    </row>
    <row r="186" spans="2:13" s="66" customFormat="1" ht="27.95" customHeight="1" x14ac:dyDescent="0.25">
      <c r="B186" s="38" t="s">
        <v>309</v>
      </c>
      <c r="C186" s="37" t="s">
        <v>41</v>
      </c>
      <c r="D186" s="74" t="str">
        <f>VLOOKUP(tbFusionIgnitor[Item],tbMaterials[],2,FALSE)</f>
        <v>Tradeable</v>
      </c>
      <c r="E186" s="66" t="s">
        <v>119</v>
      </c>
      <c r="F186" s="4">
        <v>50</v>
      </c>
      <c r="G186" s="66" t="s">
        <v>266</v>
      </c>
      <c r="H186" s="4">
        <v>100</v>
      </c>
      <c r="J186" s="4"/>
      <c r="K186"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6" s="28" t="str">
        <f>IFERROR(VLOOKUP(tbBlueprints[[#This Row],[Item]],tbMaterials[],4,FALSE),"")</f>
        <v/>
      </c>
      <c r="M186" s="76">
        <f>IF(ISNUMBER(tbBlueprints[[#This Row],[Value]]),((tbBlueprints[[#This Row],[Value]]-tbBlueprints[[#This Row],[Total Cost]])/tbBlueprints[[#This Row],[Total Cost]]),0)</f>
        <v>0</v>
      </c>
    </row>
    <row r="187" spans="2:13" s="66" customFormat="1" ht="27.95" customHeight="1" x14ac:dyDescent="0.25">
      <c r="B187" s="68" t="s">
        <v>501</v>
      </c>
      <c r="C187" s="74" t="s">
        <v>41</v>
      </c>
      <c r="D187" s="74" t="str">
        <f>VLOOKUP(tbFusionIgnitor[Item],tbMaterials[],2,FALSE)</f>
        <v>Tradeable</v>
      </c>
      <c r="E187" s="68" t="s">
        <v>333</v>
      </c>
      <c r="F187" s="74">
        <v>250</v>
      </c>
      <c r="G187" s="68" t="s">
        <v>260</v>
      </c>
      <c r="H187" s="74">
        <v>50</v>
      </c>
      <c r="I187" s="68"/>
      <c r="J187" s="81"/>
      <c r="K187" s="79"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7" s="79" t="str">
        <f>IFERROR(VLOOKUP(tbBlueprints[[#This Row],[Item]],tbMaterials[],4,FALSE),"")</f>
        <v/>
      </c>
      <c r="M187" s="80">
        <f>IF(ISNUMBER(tbBlueprints[[#This Row],[Value]]),((tbBlueprints[[#This Row],[Value]]-tbBlueprints[[#This Row],[Total Cost]])/tbBlueprints[[#This Row],[Total Cost]]),0)</f>
        <v>0</v>
      </c>
    </row>
    <row r="188" spans="2:13" s="66" customFormat="1" ht="27.95" customHeight="1" x14ac:dyDescent="0.25">
      <c r="B188" s="38" t="s">
        <v>501</v>
      </c>
      <c r="C188" s="37" t="s">
        <v>41</v>
      </c>
      <c r="D188" s="74" t="str">
        <f>VLOOKUP(tbFusionIgnitor[Item],tbMaterials[],2,FALSE)</f>
        <v>Tradeable</v>
      </c>
      <c r="E188" s="38" t="s">
        <v>333</v>
      </c>
      <c r="F188" s="37">
        <v>250</v>
      </c>
      <c r="G188" s="38" t="s">
        <v>260</v>
      </c>
      <c r="H188" s="37">
        <v>50</v>
      </c>
      <c r="I188" s="38"/>
      <c r="J188" s="85"/>
      <c r="K188" s="86"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8" s="86" t="str">
        <f>IFERROR(VLOOKUP(tbBlueprints[[#This Row],[Item]],tbMaterials[],4,FALSE),"")</f>
        <v/>
      </c>
      <c r="M188" s="88">
        <f>IF(ISNUMBER(tbBlueprints[[#This Row],[Value]]),((tbBlueprints[[#This Row],[Value]]-tbBlueprints[[#This Row],[Total Cost]])/tbBlueprints[[#This Row],[Total Cost]]),0)</f>
        <v>0</v>
      </c>
    </row>
    <row r="189" spans="2:13" s="66" customFormat="1" ht="27.95" customHeight="1" x14ac:dyDescent="0.25">
      <c r="B189" s="38" t="s">
        <v>500</v>
      </c>
      <c r="C189" s="37" t="s">
        <v>41</v>
      </c>
      <c r="D189" s="74" t="str">
        <f>VLOOKUP(tbFusionIgnitor[Item],tbMaterials[],2,FALSE)</f>
        <v>Tradeable</v>
      </c>
      <c r="E189" s="38" t="s">
        <v>35</v>
      </c>
      <c r="F189" s="37">
        <v>250</v>
      </c>
      <c r="G189" s="38" t="s">
        <v>260</v>
      </c>
      <c r="H189" s="37">
        <v>50</v>
      </c>
      <c r="I189" s="38"/>
      <c r="J189" s="37"/>
      <c r="K189" s="86"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89" s="86" t="str">
        <f>IFERROR(VLOOKUP(tbBlueprints[[#This Row],[Item]],tbMaterials[],4,FALSE),"")</f>
        <v/>
      </c>
      <c r="M189" s="88">
        <f>IF(ISNUMBER(tbBlueprints[[#This Row],[Value]]),((tbBlueprints[[#This Row],[Value]]-tbBlueprints[[#This Row],[Total Cost]])/tbBlueprints[[#This Row],[Total Cost]]),0)</f>
        <v>0</v>
      </c>
    </row>
    <row r="190" spans="2:13" s="66" customFormat="1" ht="27.95" customHeight="1" x14ac:dyDescent="0.25">
      <c r="B190" s="52" t="s">
        <v>895</v>
      </c>
      <c r="C190" s="39" t="s">
        <v>41</v>
      </c>
      <c r="D190" s="74" t="str">
        <f>VLOOKUP(tbFusionIgnitor[Item],tbMaterials[],2,FALSE)</f>
        <v>Tradeable</v>
      </c>
      <c r="E190" s="38" t="s">
        <v>500</v>
      </c>
      <c r="F190" s="37">
        <v>1</v>
      </c>
      <c r="G190" s="38" t="s">
        <v>501</v>
      </c>
      <c r="H190" s="37">
        <v>1</v>
      </c>
      <c r="I190" s="38"/>
      <c r="J190" s="37"/>
      <c r="K190" s="86"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90" s="86" t="str">
        <f>IFERROR(VLOOKUP(tbBlueprints[[#This Row],[Item]],tbMaterials[],4,FALSE),"")</f>
        <v/>
      </c>
      <c r="M190" s="88">
        <f>IF(ISNUMBER(tbBlueprints[[#This Row],[Value]]),((tbBlueprints[[#This Row],[Value]]-tbBlueprints[[#This Row],[Total Cost]])/tbBlueprints[[#This Row],[Total Cost]]),0)</f>
        <v>0</v>
      </c>
    </row>
    <row r="191" spans="2:13" s="66" customFormat="1" ht="27.95" customHeight="1" x14ac:dyDescent="0.25">
      <c r="B191" s="66" t="s">
        <v>264</v>
      </c>
      <c r="C191" s="4" t="s">
        <v>41</v>
      </c>
      <c r="D191" s="74" t="str">
        <f>VLOOKUP(tbFusionIgnitor[Item],tbMaterials[],2,FALSE)</f>
        <v>Tradeable</v>
      </c>
      <c r="E191" s="66" t="s">
        <v>57</v>
      </c>
      <c r="F191" s="4">
        <v>50</v>
      </c>
      <c r="G191" s="66" t="s">
        <v>266</v>
      </c>
      <c r="H191" s="4">
        <v>100</v>
      </c>
      <c r="J191" s="4"/>
      <c r="K191" s="28" t="str">
        <f>IF(ISTEXT(tbBlueprints[[#This Row],[Item 3]]),tbBlueprints[[#This Row],[Quantity 1]]*(VLOOKUP(tbBlueprints[[#This Row],[Item 1]],tbMaterials[],4,FALSE))+tbBlueprints[[#This Row],[Quantity 2]]*(VLOOKUP(tbBlueprints[[#This Row],[Item 2]],tbMaterials[],4,FALSE))+tbBlueprints[[#This Row],[Quantity 3]]*(VLOOKUP(tbBlueprints[[#This Row],[Item 3]],tbMaterials[],4,FALSE)),IF(ISTEXT(tbBlueprints[[#This Row],[Item 2]]),tbBlueprints[[#This Row],[Quantity 1]]*(VLOOKUP(tbBlueprints[[#This Row],[Item 1]],tbMaterials[],4,FALSE))+tbBlueprints[[#This Row],[Quantity 2]]*(VLOOKUP(tbBlueprints[[#This Row],[Item 2]],tbMaterials[],4,FALSE)),IF(ISTEXT(tbBlueprints[[#This Row],[Item 1]]),tbBlueprints[[#This Row],[Quantity 1]]*(VLOOKUP(tbBlueprints[[#This Row],[Item 1]],tbMaterials[],4,FALSE)),"")))</f>
        <v/>
      </c>
      <c r="L191" s="28" t="str">
        <f>IFERROR(VLOOKUP(tbBlueprints[[#This Row],[Item]],tbMaterials[],4,FALSE),"")</f>
        <v/>
      </c>
      <c r="M191" s="76">
        <f>IF(ISNUMBER(tbBlueprints[[#This Row],[Value]]),((tbBlueprints[[#This Row],[Value]]-tbBlueprints[[#This Row],[Total Cost]])/tbBlueprints[[#This Row],[Total Cost]]),0)</f>
        <v>0</v>
      </c>
    </row>
    <row r="192" spans="2:13" s="66" customFormat="1" ht="27.95" customHeight="1" x14ac:dyDescent="0.25">
      <c r="C192" s="4"/>
      <c r="D192" s="4"/>
      <c r="E192" s="4"/>
      <c r="G192" s="4"/>
      <c r="I192" s="4"/>
      <c r="J192" s="7"/>
      <c r="M192" s="4"/>
    </row>
    <row r="193" spans="2:13" s="66" customFormat="1" ht="27.95" customHeight="1" x14ac:dyDescent="0.25">
      <c r="B193" s="66" t="s">
        <v>902</v>
      </c>
      <c r="C193" s="4">
        <v>20</v>
      </c>
      <c r="D193" s="4" t="s">
        <v>903</v>
      </c>
      <c r="E193" s="89">
        <f>iDesiredQty*Materials!E124</f>
        <v>8020</v>
      </c>
      <c r="G193" s="4"/>
      <c r="I193" s="4"/>
      <c r="J193" s="7"/>
      <c r="M193" s="4"/>
    </row>
    <row r="194" spans="2:13" s="66" customFormat="1" ht="27.95" customHeight="1" x14ac:dyDescent="0.25">
      <c r="B194" s="66" t="s">
        <v>84</v>
      </c>
      <c r="C194" s="4">
        <f>F173</f>
        <v>50</v>
      </c>
      <c r="D194" s="89">
        <f t="shared" ref="D194:D208" si="0">C194*iDesiredQty</f>
        <v>1000</v>
      </c>
      <c r="E194" s="4"/>
      <c r="G194" s="4"/>
      <c r="I194" s="4"/>
      <c r="J194" s="7"/>
      <c r="M194" s="4"/>
    </row>
    <row r="195" spans="2:13" s="66" customFormat="1" ht="27.95" customHeight="1" x14ac:dyDescent="0.25">
      <c r="B195" s="66" t="s">
        <v>118</v>
      </c>
      <c r="C195" s="4">
        <f>F174+F175</f>
        <v>300</v>
      </c>
      <c r="D195" s="89">
        <f t="shared" si="0"/>
        <v>6000</v>
      </c>
      <c r="E195" s="4"/>
      <c r="G195" s="4"/>
      <c r="I195" s="4"/>
      <c r="J195" s="7"/>
      <c r="M195" s="4"/>
    </row>
    <row r="196" spans="2:13" s="66" customFormat="1" ht="27.95" customHeight="1" x14ac:dyDescent="0.25">
      <c r="B196" s="66" t="s">
        <v>71</v>
      </c>
      <c r="C196" s="4">
        <f>F179</f>
        <v>100</v>
      </c>
      <c r="D196" s="89">
        <f t="shared" si="0"/>
        <v>2000</v>
      </c>
      <c r="E196" s="4"/>
      <c r="G196" s="4"/>
      <c r="I196" s="4"/>
      <c r="J196" s="7"/>
      <c r="M196" s="4"/>
    </row>
    <row r="197" spans="2:13" s="66" customFormat="1" ht="27.95" customHeight="1" x14ac:dyDescent="0.25">
      <c r="B197" s="66" t="s">
        <v>334</v>
      </c>
      <c r="C197" s="4">
        <f>F182</f>
        <v>25</v>
      </c>
      <c r="D197" s="89">
        <f t="shared" si="0"/>
        <v>500</v>
      </c>
      <c r="E197" s="4"/>
      <c r="G197" s="4"/>
      <c r="I197" s="4"/>
      <c r="J197" s="7"/>
      <c r="M197" s="4"/>
    </row>
    <row r="198" spans="2:13" s="66" customFormat="1" ht="27.95" customHeight="1" x14ac:dyDescent="0.25">
      <c r="B198" s="66" t="s">
        <v>21</v>
      </c>
      <c r="C198" s="4">
        <f>F183</f>
        <v>250</v>
      </c>
      <c r="D198" s="89">
        <f t="shared" si="0"/>
        <v>5000</v>
      </c>
      <c r="E198" s="4"/>
      <c r="G198" s="4"/>
      <c r="I198" s="4"/>
      <c r="J198" s="7"/>
      <c r="M198" s="4"/>
    </row>
    <row r="199" spans="2:13" s="66" customFormat="1" ht="27.95" customHeight="1" x14ac:dyDescent="0.25">
      <c r="B199" s="66" t="s">
        <v>119</v>
      </c>
      <c r="C199" s="4">
        <f>F186</f>
        <v>50</v>
      </c>
      <c r="D199" s="89">
        <f t="shared" si="0"/>
        <v>1000</v>
      </c>
      <c r="E199" s="4"/>
      <c r="G199" s="4"/>
      <c r="I199" s="4"/>
      <c r="J199" s="7"/>
      <c r="M199" s="4"/>
    </row>
    <row r="200" spans="2:13" s="66" customFormat="1" ht="27.95" customHeight="1" x14ac:dyDescent="0.25">
      <c r="B200" s="66" t="s">
        <v>333</v>
      </c>
      <c r="C200" s="4">
        <f>F187+F188</f>
        <v>500</v>
      </c>
      <c r="D200" s="89">
        <f t="shared" si="0"/>
        <v>10000</v>
      </c>
      <c r="E200" s="4"/>
      <c r="G200" s="4"/>
      <c r="I200" s="4"/>
      <c r="J200" s="7"/>
      <c r="M200" s="4"/>
    </row>
    <row r="201" spans="2:13" s="66" customFormat="1" ht="27.95" customHeight="1" x14ac:dyDescent="0.25">
      <c r="B201" s="66" t="s">
        <v>35</v>
      </c>
      <c r="C201" s="4">
        <f>F189</f>
        <v>250</v>
      </c>
      <c r="D201" s="89">
        <f t="shared" si="0"/>
        <v>5000</v>
      </c>
      <c r="E201" s="4"/>
      <c r="G201" s="4"/>
      <c r="I201" s="4"/>
      <c r="J201" s="7"/>
      <c r="M201" s="4"/>
    </row>
    <row r="202" spans="2:13" s="66" customFormat="1" ht="27.95" customHeight="1" x14ac:dyDescent="0.25">
      <c r="B202" s="66" t="s">
        <v>57</v>
      </c>
      <c r="C202" s="4">
        <f>F191</f>
        <v>50</v>
      </c>
      <c r="D202" s="89">
        <f t="shared" si="0"/>
        <v>1000</v>
      </c>
      <c r="E202" s="4"/>
      <c r="G202" s="4"/>
      <c r="I202" s="4"/>
      <c r="J202" s="7"/>
      <c r="M202" s="4"/>
    </row>
    <row r="203" spans="2:13" s="66" customFormat="1" ht="27.95" customHeight="1" x14ac:dyDescent="0.25">
      <c r="B203" s="66" t="s">
        <v>267</v>
      </c>
      <c r="C203" s="4">
        <f>H173</f>
        <v>50</v>
      </c>
      <c r="D203" s="89">
        <f t="shared" si="0"/>
        <v>1000</v>
      </c>
      <c r="E203" s="4"/>
      <c r="G203" s="4"/>
      <c r="I203" s="4"/>
      <c r="J203" s="7"/>
      <c r="M203" s="4"/>
    </row>
    <row r="204" spans="2:13" s="66" customFormat="1" ht="27.95" customHeight="1" x14ac:dyDescent="0.25">
      <c r="B204" s="66" t="s">
        <v>82</v>
      </c>
      <c r="C204" s="4">
        <f>H174</f>
        <v>200</v>
      </c>
      <c r="D204" s="89">
        <f t="shared" si="0"/>
        <v>4000</v>
      </c>
      <c r="E204" s="4"/>
      <c r="G204" s="4"/>
      <c r="I204" s="4"/>
      <c r="J204" s="7"/>
      <c r="M204" s="4"/>
    </row>
    <row r="205" spans="2:13" s="66" customFormat="1" ht="27.95" customHeight="1" x14ac:dyDescent="0.25">
      <c r="B205" s="66" t="s">
        <v>14</v>
      </c>
      <c r="C205" s="4">
        <f>H179</f>
        <v>100</v>
      </c>
      <c r="D205" s="89">
        <f t="shared" si="0"/>
        <v>2000</v>
      </c>
      <c r="E205" s="4"/>
      <c r="G205" s="4"/>
      <c r="I205" s="4"/>
      <c r="J205" s="7"/>
      <c r="M205" s="4"/>
    </row>
    <row r="206" spans="2:13" s="66" customFormat="1" ht="27.95" customHeight="1" x14ac:dyDescent="0.25">
      <c r="B206" s="66" t="s">
        <v>245</v>
      </c>
      <c r="C206" s="4">
        <f>H182</f>
        <v>600</v>
      </c>
      <c r="D206" s="89">
        <f t="shared" si="0"/>
        <v>12000</v>
      </c>
      <c r="E206" s="4"/>
      <c r="G206" s="4"/>
      <c r="I206" s="4"/>
      <c r="J206" s="7"/>
      <c r="M206" s="4"/>
    </row>
    <row r="207" spans="2:13" s="66" customFormat="1" ht="27.95" customHeight="1" x14ac:dyDescent="0.25">
      <c r="B207" s="66" t="s">
        <v>260</v>
      </c>
      <c r="C207" s="4">
        <f>H183+H187+H188+H189</f>
        <v>200</v>
      </c>
      <c r="D207" s="89">
        <f t="shared" si="0"/>
        <v>4000</v>
      </c>
      <c r="E207" s="4"/>
      <c r="G207" s="4"/>
      <c r="I207" s="4"/>
      <c r="J207" s="7"/>
      <c r="M207" s="4"/>
    </row>
    <row r="208" spans="2:13" s="66" customFormat="1" ht="27.95" customHeight="1" x14ac:dyDescent="0.25">
      <c r="B208" s="66" t="s">
        <v>266</v>
      </c>
      <c r="C208" s="4">
        <f>H186+H191</f>
        <v>200</v>
      </c>
      <c r="D208" s="89">
        <f t="shared" si="0"/>
        <v>4000</v>
      </c>
      <c r="E208" s="4"/>
      <c r="G208" s="4"/>
      <c r="I208" s="4"/>
      <c r="J208" s="7"/>
      <c r="M208" s="4"/>
    </row>
    <row r="209" spans="3:13" s="66" customFormat="1" ht="27.95" customHeight="1" x14ac:dyDescent="0.25">
      <c r="C209" s="4"/>
      <c r="D209" s="4"/>
      <c r="E209" s="4"/>
      <c r="G209" s="4"/>
      <c r="I209" s="4"/>
      <c r="J209" s="7"/>
      <c r="M209" s="4"/>
    </row>
    <row r="210" spans="3:13" s="66" customFormat="1" ht="27.95" customHeight="1" x14ac:dyDescent="0.25">
      <c r="C210" s="4"/>
      <c r="D210" s="4"/>
      <c r="E210" s="4"/>
      <c r="G210" s="4"/>
      <c r="I210" s="4"/>
      <c r="J210" s="7"/>
      <c r="M210" s="4"/>
    </row>
    <row r="211" spans="3:13" s="66" customFormat="1" ht="27.95" customHeight="1" x14ac:dyDescent="0.25">
      <c r="C211" s="4"/>
      <c r="D211" s="4"/>
      <c r="E211" s="4"/>
      <c r="G211" s="4"/>
      <c r="I211" s="4"/>
      <c r="J211" s="7"/>
      <c r="M211" s="4"/>
    </row>
    <row r="212" spans="3:13" s="66" customFormat="1" ht="27.95" customHeight="1" x14ac:dyDescent="0.25">
      <c r="C212" s="4"/>
      <c r="D212" s="4"/>
      <c r="E212" s="4"/>
      <c r="G212" s="4"/>
      <c r="I212" s="4"/>
      <c r="J212" s="7"/>
      <c r="M212" s="4"/>
    </row>
    <row r="213" spans="3:13" s="66" customFormat="1" ht="27.95" customHeight="1" x14ac:dyDescent="0.25">
      <c r="C213" s="4"/>
      <c r="D213" s="4"/>
      <c r="E213" s="4"/>
      <c r="G213" s="4"/>
      <c r="I213" s="4"/>
      <c r="J213" s="7"/>
      <c r="M213" s="4"/>
    </row>
    <row r="214" spans="3:13" s="66" customFormat="1" ht="27.95" customHeight="1" x14ac:dyDescent="0.25">
      <c r="C214" s="4"/>
      <c r="D214" s="4"/>
      <c r="E214" s="4"/>
      <c r="G214" s="4"/>
      <c r="I214" s="4"/>
      <c r="J214" s="7"/>
      <c r="M214" s="4"/>
    </row>
    <row r="215" spans="3:13" s="66" customFormat="1" ht="27.95" customHeight="1" x14ac:dyDescent="0.25">
      <c r="C215" s="4"/>
      <c r="D215" s="4"/>
      <c r="E215" s="4"/>
      <c r="G215" s="4"/>
      <c r="I215" s="4"/>
      <c r="J215" s="7"/>
      <c r="M215" s="4"/>
    </row>
    <row r="216" spans="3:13" s="66" customFormat="1" ht="27.95" customHeight="1" x14ac:dyDescent="0.25">
      <c r="C216" s="4"/>
      <c r="D216" s="4"/>
      <c r="E216" s="4"/>
      <c r="G216" s="4"/>
      <c r="I216" s="4"/>
      <c r="J216" s="7"/>
      <c r="M216" s="4"/>
    </row>
    <row r="217" spans="3:13" s="66" customFormat="1" ht="27.95" customHeight="1" x14ac:dyDescent="0.25">
      <c r="C217" s="4"/>
      <c r="D217" s="4"/>
      <c r="E217" s="4"/>
      <c r="G217" s="4"/>
      <c r="I217" s="4"/>
      <c r="J217" s="7"/>
      <c r="M217" s="4"/>
    </row>
    <row r="218" spans="3:13" s="66" customFormat="1" ht="27.95" customHeight="1" x14ac:dyDescent="0.25">
      <c r="C218" s="4"/>
      <c r="D218" s="4"/>
      <c r="E218" s="4"/>
      <c r="G218" s="4"/>
      <c r="I218" s="4"/>
      <c r="J218" s="7"/>
      <c r="M218" s="4"/>
    </row>
    <row r="219" spans="3:13" s="66" customFormat="1" ht="27.95" customHeight="1" x14ac:dyDescent="0.25">
      <c r="C219" s="4"/>
      <c r="D219" s="4"/>
      <c r="E219" s="4"/>
      <c r="G219" s="4"/>
      <c r="I219" s="4"/>
      <c r="J219" s="7"/>
      <c r="M219" s="4"/>
    </row>
    <row r="220" spans="3:13" s="66" customFormat="1" ht="27.95" customHeight="1" x14ac:dyDescent="0.25">
      <c r="C220" s="4"/>
      <c r="D220" s="4"/>
      <c r="E220" s="4"/>
      <c r="G220" s="4"/>
      <c r="I220" s="4"/>
      <c r="J220" s="7"/>
      <c r="M220" s="4"/>
    </row>
    <row r="221" spans="3:13" s="66" customFormat="1" ht="27.95" customHeight="1" x14ac:dyDescent="0.25">
      <c r="C221" s="4"/>
      <c r="D221" s="4"/>
      <c r="E221" s="4"/>
      <c r="G221" s="4"/>
      <c r="I221" s="4"/>
      <c r="J221" s="7"/>
      <c r="M221" s="4"/>
    </row>
    <row r="222" spans="3:13" s="66" customFormat="1" ht="27.95" customHeight="1" x14ac:dyDescent="0.25">
      <c r="C222" s="4"/>
      <c r="D222" s="4"/>
      <c r="E222" s="4"/>
      <c r="G222" s="4"/>
      <c r="I222" s="4"/>
      <c r="J222" s="7"/>
      <c r="M222" s="4"/>
    </row>
    <row r="223" spans="3:13" s="66" customFormat="1" ht="27.95" customHeight="1" x14ac:dyDescent="0.25">
      <c r="C223" s="4"/>
      <c r="D223" s="4"/>
      <c r="E223" s="4"/>
      <c r="G223" s="4"/>
      <c r="I223" s="4"/>
      <c r="J223" s="7"/>
      <c r="M223" s="4"/>
    </row>
    <row r="224" spans="3:13" s="66" customFormat="1" ht="27.95" customHeight="1" x14ac:dyDescent="0.25">
      <c r="C224" s="4"/>
      <c r="D224" s="4"/>
      <c r="E224" s="4"/>
      <c r="G224" s="4"/>
      <c r="I224" s="4"/>
      <c r="J224" s="7"/>
      <c r="M224" s="4"/>
    </row>
    <row r="225" spans="3:13" s="66" customFormat="1" ht="27.95" customHeight="1" x14ac:dyDescent="0.25">
      <c r="C225" s="4"/>
      <c r="D225" s="4"/>
      <c r="E225" s="4"/>
      <c r="G225" s="4"/>
      <c r="I225" s="4"/>
      <c r="J225" s="7"/>
      <c r="M225" s="4"/>
    </row>
    <row r="226" spans="3:13" s="66" customFormat="1" ht="27.95" customHeight="1" x14ac:dyDescent="0.25">
      <c r="C226" s="4"/>
      <c r="D226" s="4"/>
      <c r="E226" s="4"/>
      <c r="G226" s="4"/>
      <c r="I226" s="4"/>
      <c r="J226" s="7"/>
      <c r="M226" s="4"/>
    </row>
    <row r="227" spans="3:13" s="66" customFormat="1" ht="27.95" customHeight="1" x14ac:dyDescent="0.25">
      <c r="C227" s="4"/>
      <c r="D227" s="4"/>
      <c r="E227" s="4"/>
      <c r="G227" s="4"/>
      <c r="I227" s="4"/>
      <c r="J227" s="7"/>
      <c r="M227" s="4"/>
    </row>
    <row r="228" spans="3:13" s="66" customFormat="1" ht="27.95" customHeight="1" x14ac:dyDescent="0.25">
      <c r="C228" s="4"/>
      <c r="D228" s="4"/>
      <c r="E228" s="4"/>
      <c r="G228" s="4"/>
      <c r="I228" s="4"/>
      <c r="J228" s="7"/>
      <c r="M228" s="4"/>
    </row>
    <row r="229" spans="3:13" s="66" customFormat="1" ht="27.95" customHeight="1" x14ac:dyDescent="0.25">
      <c r="C229" s="4"/>
      <c r="D229" s="4"/>
      <c r="E229" s="4"/>
      <c r="G229" s="4"/>
      <c r="I229" s="4"/>
      <c r="J229" s="7"/>
      <c r="M229" s="4"/>
    </row>
    <row r="230" spans="3:13" s="66" customFormat="1" ht="27.95" customHeight="1" x14ac:dyDescent="0.25">
      <c r="C230" s="4"/>
      <c r="D230" s="4"/>
      <c r="E230" s="4"/>
      <c r="G230" s="4"/>
      <c r="I230" s="4"/>
      <c r="J230" s="7"/>
      <c r="M230" s="4"/>
    </row>
    <row r="231" spans="3:13" s="66" customFormat="1" ht="27.95" customHeight="1" x14ac:dyDescent="0.25">
      <c r="C231" s="4"/>
      <c r="D231" s="4"/>
      <c r="E231" s="4"/>
      <c r="G231" s="4"/>
      <c r="I231" s="4"/>
      <c r="J231" s="7"/>
      <c r="M231" s="4"/>
    </row>
    <row r="232" spans="3:13" s="66" customFormat="1" ht="27.95" customHeight="1" x14ac:dyDescent="0.25">
      <c r="C232" s="4"/>
      <c r="D232" s="4"/>
      <c r="E232" s="4"/>
      <c r="G232" s="4"/>
      <c r="I232" s="4"/>
      <c r="J232" s="7"/>
      <c r="M232" s="4"/>
    </row>
    <row r="233" spans="3:13" s="66" customFormat="1" ht="27.95" customHeight="1" x14ac:dyDescent="0.25">
      <c r="C233" s="4"/>
      <c r="D233" s="4"/>
      <c r="E233" s="4"/>
      <c r="G233" s="4"/>
      <c r="I233" s="4"/>
      <c r="J233" s="7"/>
      <c r="M233" s="4"/>
    </row>
    <row r="234" spans="3:13" s="66" customFormat="1" ht="27.95" customHeight="1" x14ac:dyDescent="0.25">
      <c r="C234" s="4"/>
      <c r="D234" s="4"/>
      <c r="E234" s="4"/>
      <c r="G234" s="4"/>
      <c r="I234" s="4"/>
      <c r="J234" s="7"/>
      <c r="M234" s="4"/>
    </row>
    <row r="235" spans="3:13" s="66" customFormat="1" ht="27.95" customHeight="1" x14ac:dyDescent="0.25">
      <c r="C235" s="4"/>
      <c r="D235" s="4"/>
      <c r="E235" s="4"/>
      <c r="G235" s="4"/>
      <c r="I235" s="4"/>
      <c r="J235" s="7"/>
      <c r="M235" s="4"/>
    </row>
    <row r="236" spans="3:13" s="66" customFormat="1" ht="27.95" customHeight="1" x14ac:dyDescent="0.25">
      <c r="C236" s="4"/>
      <c r="D236" s="4"/>
      <c r="E236" s="4"/>
      <c r="G236" s="4"/>
      <c r="I236" s="4"/>
      <c r="J236" s="7"/>
      <c r="M236" s="4"/>
    </row>
    <row r="237" spans="3:13" s="66" customFormat="1" ht="27.95" customHeight="1" x14ac:dyDescent="0.25">
      <c r="C237" s="4"/>
      <c r="D237" s="4"/>
      <c r="E237" s="4"/>
      <c r="G237" s="4"/>
      <c r="I237" s="4"/>
      <c r="J237" s="7"/>
      <c r="M237" s="4"/>
    </row>
    <row r="238" spans="3:13" s="66" customFormat="1" ht="27.95" customHeight="1" x14ac:dyDescent="0.25">
      <c r="C238" s="4"/>
      <c r="D238" s="4"/>
      <c r="E238" s="4"/>
      <c r="G238" s="4"/>
      <c r="I238" s="4"/>
      <c r="J238" s="7"/>
      <c r="M238" s="4"/>
    </row>
    <row r="239" spans="3:13" s="66" customFormat="1" ht="27.95" customHeight="1" x14ac:dyDescent="0.25">
      <c r="C239" s="4"/>
      <c r="D239" s="4"/>
      <c r="E239" s="4"/>
      <c r="G239" s="4"/>
      <c r="I239" s="4"/>
      <c r="J239" s="7"/>
      <c r="M239" s="4"/>
    </row>
    <row r="240" spans="3:13" s="66" customFormat="1" ht="27.95" customHeight="1" x14ac:dyDescent="0.25">
      <c r="C240" s="4"/>
      <c r="D240" s="4"/>
      <c r="E240" s="4"/>
      <c r="G240" s="4"/>
      <c r="I240" s="4"/>
      <c r="J240" s="7"/>
      <c r="M240" s="4"/>
    </row>
    <row r="241" spans="3:13" s="66" customFormat="1" ht="27.95" customHeight="1" x14ac:dyDescent="0.25">
      <c r="C241" s="4"/>
      <c r="D241" s="4"/>
      <c r="E241" s="4"/>
      <c r="G241" s="4"/>
      <c r="I241" s="4"/>
      <c r="J241" s="7"/>
      <c r="M241" s="4"/>
    </row>
    <row r="242" spans="3:13" s="66" customFormat="1" ht="27.95" customHeight="1" x14ac:dyDescent="0.25">
      <c r="C242" s="4"/>
      <c r="D242" s="4"/>
      <c r="E242" s="4"/>
      <c r="G242" s="4"/>
      <c r="I242" s="4"/>
      <c r="J242" s="7"/>
      <c r="M242" s="4"/>
    </row>
    <row r="243" spans="3:13" s="66" customFormat="1" ht="27.95" customHeight="1" x14ac:dyDescent="0.25">
      <c r="C243" s="4"/>
      <c r="D243" s="4"/>
      <c r="E243" s="4"/>
      <c r="G243" s="4"/>
      <c r="I243" s="4"/>
      <c r="J243" s="7"/>
      <c r="M243" s="4"/>
    </row>
    <row r="244" spans="3:13" s="66" customFormat="1" ht="27.95" customHeight="1" x14ac:dyDescent="0.25">
      <c r="C244" s="4"/>
      <c r="D244" s="4"/>
      <c r="E244" s="4"/>
      <c r="G244" s="4"/>
      <c r="I244" s="4"/>
      <c r="J244" s="7"/>
      <c r="M244" s="4"/>
    </row>
    <row r="245" spans="3:13" s="66" customFormat="1" ht="27.95" customHeight="1" x14ac:dyDescent="0.25">
      <c r="C245" s="4"/>
      <c r="D245" s="4"/>
      <c r="E245" s="4"/>
      <c r="G245" s="4"/>
      <c r="I245" s="4"/>
      <c r="J245" s="7"/>
      <c r="M245" s="4"/>
    </row>
    <row r="246" spans="3:13" s="66" customFormat="1" ht="27.95" customHeight="1" x14ac:dyDescent="0.25">
      <c r="C246" s="4"/>
      <c r="D246" s="4"/>
      <c r="E246" s="4"/>
      <c r="G246" s="4"/>
      <c r="I246" s="4"/>
      <c r="J246" s="7"/>
      <c r="M246" s="4"/>
    </row>
    <row r="247" spans="3:13" s="66" customFormat="1" ht="27.95" customHeight="1" x14ac:dyDescent="0.25">
      <c r="C247" s="4"/>
      <c r="D247" s="4"/>
      <c r="E247" s="4"/>
      <c r="G247" s="4"/>
      <c r="I247" s="4"/>
      <c r="J247" s="7"/>
      <c r="M247" s="4"/>
    </row>
    <row r="248" spans="3:13" s="66" customFormat="1" ht="27.95" customHeight="1" x14ac:dyDescent="0.25">
      <c r="C248" s="4"/>
      <c r="D248" s="4"/>
      <c r="E248" s="4"/>
      <c r="G248" s="4"/>
      <c r="I248" s="4"/>
      <c r="J248" s="7"/>
      <c r="M248" s="4"/>
    </row>
    <row r="249" spans="3:13" s="66" customFormat="1" ht="27.95" customHeight="1" x14ac:dyDescent="0.25">
      <c r="C249" s="4"/>
      <c r="D249" s="4"/>
      <c r="E249" s="4"/>
      <c r="G249" s="4"/>
      <c r="I249" s="4"/>
      <c r="J249" s="7"/>
      <c r="M249" s="4"/>
    </row>
    <row r="250" spans="3:13" s="66" customFormat="1" ht="27.95" customHeight="1" x14ac:dyDescent="0.25">
      <c r="C250" s="4"/>
      <c r="D250" s="4"/>
      <c r="E250" s="4"/>
      <c r="G250" s="4"/>
      <c r="I250" s="4"/>
      <c r="J250" s="7"/>
      <c r="M250" s="4"/>
    </row>
    <row r="251" spans="3:13" s="66" customFormat="1" ht="27.95" customHeight="1" x14ac:dyDescent="0.25">
      <c r="C251" s="4"/>
      <c r="D251" s="4"/>
      <c r="E251" s="4"/>
      <c r="G251" s="4"/>
      <c r="I251" s="4"/>
      <c r="J251" s="7"/>
      <c r="M251" s="4"/>
    </row>
    <row r="252" spans="3:13" s="66" customFormat="1" ht="27.95" customHeight="1" x14ac:dyDescent="0.25">
      <c r="C252" s="4"/>
      <c r="D252" s="4"/>
      <c r="E252" s="4"/>
      <c r="G252" s="4"/>
      <c r="I252" s="4"/>
      <c r="J252" s="7"/>
      <c r="M252" s="4"/>
    </row>
    <row r="253" spans="3:13" s="66" customFormat="1" ht="27.95" customHeight="1" x14ac:dyDescent="0.25">
      <c r="C253" s="4"/>
      <c r="D253" s="4"/>
      <c r="E253" s="4"/>
      <c r="G253" s="4"/>
      <c r="I253" s="4"/>
      <c r="J253" s="7"/>
      <c r="M253" s="4"/>
    </row>
    <row r="254" spans="3:13" s="66" customFormat="1" ht="27.95" customHeight="1" x14ac:dyDescent="0.25">
      <c r="C254" s="4"/>
      <c r="D254" s="4"/>
      <c r="E254" s="4"/>
      <c r="G254" s="4"/>
      <c r="I254" s="4"/>
      <c r="J254" s="7"/>
      <c r="M254" s="4"/>
    </row>
    <row r="255" spans="3:13" s="66" customFormat="1" ht="27.95" customHeight="1" x14ac:dyDescent="0.25">
      <c r="C255" s="4"/>
      <c r="D255" s="4"/>
      <c r="E255" s="4"/>
      <c r="G255" s="4"/>
      <c r="I255" s="4"/>
      <c r="J255" s="7"/>
      <c r="M255" s="4"/>
    </row>
    <row r="256" spans="3:13" s="66" customFormat="1" ht="27.95" customHeight="1" x14ac:dyDescent="0.25">
      <c r="C256" s="4"/>
      <c r="D256" s="4"/>
      <c r="E256" s="4"/>
      <c r="G256" s="4"/>
      <c r="I256" s="4"/>
      <c r="J256" s="7"/>
      <c r="M256" s="4"/>
    </row>
    <row r="257" spans="3:13" s="66" customFormat="1" ht="27.95" customHeight="1" x14ac:dyDescent="0.25">
      <c r="C257" s="4"/>
      <c r="D257" s="4"/>
      <c r="E257" s="4"/>
      <c r="G257" s="4"/>
      <c r="I257" s="4"/>
      <c r="J257" s="7"/>
      <c r="M257" s="4"/>
    </row>
    <row r="258" spans="3:13" s="66" customFormat="1" ht="27.95" customHeight="1" x14ac:dyDescent="0.25">
      <c r="C258" s="4"/>
      <c r="D258" s="4"/>
      <c r="E258" s="4"/>
      <c r="G258" s="4"/>
      <c r="I258" s="4"/>
      <c r="J258" s="7"/>
      <c r="M258" s="4"/>
    </row>
    <row r="259" spans="3:13" s="66" customFormat="1" ht="27.95" customHeight="1" x14ac:dyDescent="0.25">
      <c r="C259" s="4"/>
      <c r="D259" s="4"/>
      <c r="E259" s="4"/>
      <c r="G259" s="4"/>
      <c r="I259" s="4"/>
      <c r="J259" s="7"/>
      <c r="M259" s="4"/>
    </row>
    <row r="260" spans="3:13" s="66" customFormat="1" ht="27.95" customHeight="1" x14ac:dyDescent="0.25">
      <c r="C260" s="4"/>
      <c r="D260" s="4"/>
      <c r="E260" s="4"/>
      <c r="G260" s="4"/>
      <c r="I260" s="4"/>
      <c r="J260" s="7"/>
      <c r="M260" s="4"/>
    </row>
    <row r="261" spans="3:13" s="66" customFormat="1" ht="27.95" customHeight="1" x14ac:dyDescent="0.25">
      <c r="C261" s="4"/>
      <c r="D261" s="4"/>
      <c r="E261" s="4"/>
      <c r="G261" s="4"/>
      <c r="I261" s="4"/>
      <c r="J261" s="7"/>
      <c r="M261" s="4"/>
    </row>
    <row r="262" spans="3:13" s="66" customFormat="1" ht="27.95" customHeight="1" x14ac:dyDescent="0.25">
      <c r="C262" s="4"/>
      <c r="D262" s="4"/>
      <c r="E262" s="4"/>
      <c r="G262" s="4"/>
      <c r="I262" s="4"/>
      <c r="J262" s="7"/>
      <c r="M262" s="4"/>
    </row>
    <row r="263" spans="3:13" s="66" customFormat="1" ht="27.95" customHeight="1" x14ac:dyDescent="0.25">
      <c r="C263" s="4"/>
      <c r="D263" s="4"/>
      <c r="E263" s="4"/>
      <c r="G263" s="4"/>
      <c r="I263" s="4"/>
      <c r="J263" s="7"/>
      <c r="M263" s="4"/>
    </row>
    <row r="264" spans="3:13" s="66" customFormat="1" ht="27.95" customHeight="1" x14ac:dyDescent="0.25">
      <c r="C264" s="4"/>
      <c r="D264" s="4"/>
      <c r="E264" s="4"/>
      <c r="G264" s="4"/>
      <c r="I264" s="4"/>
      <c r="J264" s="7"/>
      <c r="M264" s="4"/>
    </row>
    <row r="265" spans="3:13" s="66" customFormat="1" ht="27.95" customHeight="1" x14ac:dyDescent="0.25">
      <c r="C265" s="4"/>
      <c r="D265" s="4"/>
      <c r="E265" s="4"/>
      <c r="G265" s="4"/>
      <c r="I265" s="4"/>
      <c r="J265" s="7"/>
      <c r="M265" s="4"/>
    </row>
    <row r="266" spans="3:13" s="66" customFormat="1" ht="27.95" customHeight="1" x14ac:dyDescent="0.25">
      <c r="C266" s="4"/>
      <c r="D266" s="4"/>
      <c r="E266" s="4"/>
      <c r="G266" s="4"/>
      <c r="I266" s="4"/>
      <c r="J266" s="7"/>
      <c r="M266" s="4"/>
    </row>
    <row r="267" spans="3:13" s="66" customFormat="1" ht="27.95" customHeight="1" x14ac:dyDescent="0.25">
      <c r="C267" s="4"/>
      <c r="D267" s="4"/>
      <c r="E267" s="4"/>
      <c r="G267" s="4"/>
      <c r="I267" s="4"/>
      <c r="J267" s="7"/>
      <c r="M267" s="4"/>
    </row>
    <row r="268" spans="3:13" s="66" customFormat="1" ht="27.95" customHeight="1" x14ac:dyDescent="0.25">
      <c r="C268" s="4"/>
      <c r="D268" s="4"/>
      <c r="E268" s="4"/>
      <c r="G268" s="4"/>
      <c r="I268" s="4"/>
      <c r="J268" s="7"/>
      <c r="M268" s="4"/>
    </row>
    <row r="269" spans="3:13" s="66" customFormat="1" ht="27.95" customHeight="1" x14ac:dyDescent="0.25">
      <c r="C269" s="4"/>
      <c r="D269" s="4"/>
      <c r="E269" s="4"/>
      <c r="G269" s="4"/>
      <c r="I269" s="4"/>
      <c r="J269" s="7"/>
      <c r="M269" s="4"/>
    </row>
    <row r="270" spans="3:13" s="66" customFormat="1" ht="27.95" customHeight="1" x14ac:dyDescent="0.25">
      <c r="C270" s="4"/>
      <c r="D270" s="4"/>
      <c r="E270" s="4"/>
      <c r="G270" s="4"/>
      <c r="I270" s="4"/>
      <c r="J270" s="7"/>
      <c r="M270" s="4"/>
    </row>
    <row r="271" spans="3:13" s="66" customFormat="1" ht="27.95" customHeight="1" x14ac:dyDescent="0.25">
      <c r="C271" s="4"/>
      <c r="D271" s="4"/>
      <c r="E271" s="4"/>
      <c r="G271" s="4"/>
      <c r="I271" s="4"/>
      <c r="J271" s="7"/>
      <c r="M271" s="4"/>
    </row>
    <row r="272" spans="3:13" s="66" customFormat="1" ht="27.95" customHeight="1" x14ac:dyDescent="0.25">
      <c r="C272" s="4"/>
      <c r="D272" s="4"/>
      <c r="E272" s="4"/>
      <c r="G272" s="4"/>
      <c r="I272" s="4"/>
      <c r="J272" s="7"/>
      <c r="M272" s="4"/>
    </row>
    <row r="273" spans="3:13" s="66" customFormat="1" ht="27.95" customHeight="1" x14ac:dyDescent="0.25">
      <c r="C273" s="4"/>
      <c r="D273" s="4"/>
      <c r="E273" s="4"/>
      <c r="G273" s="4"/>
      <c r="I273" s="4"/>
      <c r="J273" s="7"/>
      <c r="M273" s="4"/>
    </row>
    <row r="274" spans="3:13" s="66" customFormat="1" ht="27.95" customHeight="1" x14ac:dyDescent="0.25">
      <c r="C274" s="4"/>
      <c r="D274" s="4"/>
      <c r="E274" s="4"/>
      <c r="G274" s="4"/>
      <c r="I274" s="4"/>
      <c r="J274" s="7"/>
      <c r="M274" s="4"/>
    </row>
    <row r="275" spans="3:13" s="66" customFormat="1" ht="27.95" customHeight="1" x14ac:dyDescent="0.25">
      <c r="C275" s="4"/>
      <c r="D275" s="4"/>
      <c r="E275" s="4"/>
      <c r="G275" s="4"/>
      <c r="I275" s="4"/>
      <c r="J275" s="7"/>
      <c r="M275" s="4"/>
    </row>
    <row r="276" spans="3:13" s="66" customFormat="1" ht="27.95" customHeight="1" x14ac:dyDescent="0.25">
      <c r="C276" s="4"/>
      <c r="D276" s="4"/>
      <c r="E276" s="4"/>
      <c r="G276" s="4"/>
      <c r="I276" s="4"/>
      <c r="J276" s="7"/>
      <c r="M276" s="4"/>
    </row>
    <row r="277" spans="3:13" s="66" customFormat="1" ht="27.95" customHeight="1" x14ac:dyDescent="0.25">
      <c r="C277" s="4"/>
      <c r="D277" s="4"/>
      <c r="E277" s="4"/>
      <c r="G277" s="4"/>
      <c r="I277" s="4"/>
      <c r="J277" s="7"/>
      <c r="M277" s="4"/>
    </row>
    <row r="278" spans="3:13" s="66" customFormat="1" ht="27.95" customHeight="1" x14ac:dyDescent="0.25">
      <c r="C278" s="4"/>
      <c r="D278" s="4"/>
      <c r="E278" s="4"/>
      <c r="G278" s="4"/>
      <c r="I278" s="4"/>
      <c r="J278" s="7"/>
      <c r="M278" s="4"/>
    </row>
    <row r="279" spans="3:13" s="66" customFormat="1" ht="27.95" customHeight="1" x14ac:dyDescent="0.25">
      <c r="C279" s="4"/>
      <c r="D279" s="4"/>
      <c r="E279" s="4"/>
      <c r="G279" s="4"/>
      <c r="I279" s="4"/>
      <c r="J279" s="7"/>
      <c r="M279" s="4"/>
    </row>
    <row r="280" spans="3:13" s="66" customFormat="1" ht="27.95" customHeight="1" x14ac:dyDescent="0.25">
      <c r="C280" s="4"/>
      <c r="D280" s="4"/>
      <c r="E280" s="4"/>
      <c r="G280" s="4"/>
      <c r="I280" s="4"/>
      <c r="J280" s="7"/>
      <c r="M280" s="4"/>
    </row>
    <row r="281" spans="3:13" s="66" customFormat="1" ht="27.95" customHeight="1" x14ac:dyDescent="0.25">
      <c r="C281" s="4"/>
      <c r="D281" s="4"/>
      <c r="E281" s="4"/>
      <c r="G281" s="4"/>
      <c r="I281" s="4"/>
      <c r="J281" s="7"/>
      <c r="M281" s="4"/>
    </row>
    <row r="282" spans="3:13" s="66" customFormat="1" ht="27.95" customHeight="1" x14ac:dyDescent="0.25">
      <c r="C282" s="4"/>
      <c r="D282" s="4"/>
      <c r="E282" s="4"/>
      <c r="G282" s="4"/>
      <c r="I282" s="4"/>
      <c r="J282" s="7"/>
      <c r="M282" s="4"/>
    </row>
    <row r="283" spans="3:13" s="66" customFormat="1" ht="27.95" customHeight="1" x14ac:dyDescent="0.25">
      <c r="C283" s="4"/>
      <c r="D283" s="4"/>
      <c r="E283" s="4"/>
      <c r="G283" s="4"/>
      <c r="I283" s="4"/>
      <c r="J283" s="7"/>
      <c r="M283" s="4"/>
    </row>
  </sheetData>
  <phoneticPr fontId="4" type="noConversion"/>
  <dataValidations count="1">
    <dataValidation type="list" allowBlank="1" showInputMessage="1" showErrorMessage="1" sqref="G3:G168 E3:E168 I3:I167 G172:G191 E172:E191 I172:I191" xr:uid="{D64C9C9F-4376-439A-8D11-65F6F7E41709}">
      <formula1>lsMaterials</formula1>
    </dataValidation>
  </dataValidations>
  <pageMargins left="0.7" right="0.7" top="0.75" bottom="0.75" header="0.3" footer="0.3"/>
  <pageSetup orientation="portrait"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7996D-A1AF-4931-8F4B-CBF3A2977039}">
  <sheetPr codeName="Sheet5"/>
  <dimension ref="B1:M672"/>
  <sheetViews>
    <sheetView showGridLines="0" topLeftCell="A474" workbookViewId="0">
      <selection activeCell="E584" sqref="E584"/>
    </sheetView>
  </sheetViews>
  <sheetFormatPr defaultRowHeight="14.25" x14ac:dyDescent="0.25"/>
  <cols>
    <col min="1" max="1" width="1.42578125" style="1" customWidth="1"/>
    <col min="2" max="2" width="15.42578125" style="1" hidden="1" customWidth="1"/>
    <col min="3" max="3" width="12.85546875" style="1" bestFit="1" customWidth="1"/>
    <col min="4" max="6" width="12.85546875" style="1" customWidth="1"/>
    <col min="7" max="7" width="12.85546875" style="4" customWidth="1"/>
    <col min="8" max="8" width="12.85546875" style="1" customWidth="1"/>
    <col min="9" max="9" width="13.140625" style="4" customWidth="1"/>
    <col min="10" max="10" width="14.140625" style="1" customWidth="1"/>
    <col min="11" max="11" width="16.5703125" style="1" customWidth="1"/>
    <col min="12" max="12" width="11.7109375" style="4" customWidth="1"/>
    <col min="13" max="13" width="9.140625" style="1"/>
    <col min="14" max="14" width="14.140625" style="1" customWidth="1"/>
    <col min="15" max="16384" width="9.140625" style="1"/>
  </cols>
  <sheetData>
    <row r="1" spans="2:12" ht="7.5" customHeight="1" x14ac:dyDescent="0.25"/>
    <row r="2" spans="2:12" ht="27.95" customHeight="1" x14ac:dyDescent="0.25">
      <c r="C2" s="18" t="s">
        <v>265</v>
      </c>
      <c r="D2" s="18"/>
      <c r="E2" s="18"/>
      <c r="F2" s="7"/>
      <c r="G2" s="7"/>
      <c r="H2" s="4"/>
      <c r="I2" s="7"/>
      <c r="L2" s="1"/>
    </row>
    <row r="3" spans="2:12" ht="7.5" customHeight="1" x14ac:dyDescent="0.25">
      <c r="C3" s="8"/>
      <c r="D3" s="8"/>
      <c r="E3" s="8"/>
      <c r="F3" s="7"/>
      <c r="G3" s="7"/>
      <c r="H3" s="4"/>
      <c r="I3" s="7"/>
      <c r="L3" s="1"/>
    </row>
    <row r="4" spans="2:12" ht="27.95" customHeight="1" x14ac:dyDescent="0.25">
      <c r="B4" s="27" t="s">
        <v>274</v>
      </c>
      <c r="C4" s="19" t="s">
        <v>259</v>
      </c>
      <c r="D4" s="20" t="s">
        <v>0</v>
      </c>
      <c r="E4" s="20" t="s">
        <v>263</v>
      </c>
      <c r="F4" s="21" t="s">
        <v>491</v>
      </c>
      <c r="G4" s="24" t="s">
        <v>674</v>
      </c>
      <c r="H4" s="24" t="s">
        <v>816</v>
      </c>
      <c r="I4" s="1"/>
      <c r="L4" s="1"/>
    </row>
    <row r="5" spans="2:12" ht="27.95" hidden="1" customHeight="1" x14ac:dyDescent="0.25">
      <c r="B5" s="2" t="str">
        <f>_xlfn.CONCAT(tbSellers[[#This Row],[Station]],tbSellers[[#This Row],[Item]])</f>
        <v>EgarondoChlorine</v>
      </c>
      <c r="C5" s="8" t="s">
        <v>74</v>
      </c>
      <c r="D5" s="14" t="s">
        <v>83</v>
      </c>
      <c r="E5" s="7">
        <f>VLOOKUP(tbSellers[[#This Row],[Item]],tbMaterials[],4,FALSE)</f>
        <v>602</v>
      </c>
      <c r="F5" s="40">
        <v>1</v>
      </c>
      <c r="G5" s="47">
        <v>44018</v>
      </c>
      <c r="H5" s="70" t="str">
        <f>IF(_xlfn.IFNA(VLOOKUP(tbSellers[[#This Row],[Item]],tbShoppingList[],1,FALSE),"")&lt;&gt;"","Yes","")</f>
        <v/>
      </c>
      <c r="I5" s="1"/>
      <c r="L5" s="1"/>
    </row>
    <row r="6" spans="2:12" ht="27.95" hidden="1" customHeight="1" x14ac:dyDescent="0.25">
      <c r="B6" s="2" t="str">
        <f>_xlfn.CONCAT(tbSellers[[#This Row],[Station]],tbSellers[[#This Row],[Item]])</f>
        <v>AxinweChlorine</v>
      </c>
      <c r="C6" s="8" t="s">
        <v>771</v>
      </c>
      <c r="D6" s="14" t="s">
        <v>83</v>
      </c>
      <c r="E6" s="7">
        <f>VLOOKUP(tbSellers[[#This Row],[Item]],tbMaterials[],4,FALSE)</f>
        <v>602</v>
      </c>
      <c r="F6" s="40">
        <v>2</v>
      </c>
      <c r="G6" s="47">
        <v>44018</v>
      </c>
      <c r="H6" s="70" t="str">
        <f>IF(_xlfn.IFNA(VLOOKUP(tbSellers[[#This Row],[Item]],tbShoppingList[],1,FALSE),"")&lt;&gt;"","Yes","")</f>
        <v/>
      </c>
      <c r="I6" s="1"/>
      <c r="L6" s="1"/>
    </row>
    <row r="7" spans="2:12" ht="27.95" hidden="1" customHeight="1" x14ac:dyDescent="0.25">
      <c r="B7" s="2" t="str">
        <f>_xlfn.CONCAT(tbSellers[[#This Row],[Station]],tbSellers[[#This Row],[Item]])</f>
        <v>Helkarsh VChlorine</v>
      </c>
      <c r="C7" s="2" t="s">
        <v>272</v>
      </c>
      <c r="D7" s="14" t="s">
        <v>83</v>
      </c>
      <c r="E7" s="7">
        <f>VLOOKUP(tbSellers[[#This Row],[Item]],tbMaterials[],4,FALSE)</f>
        <v>602</v>
      </c>
      <c r="F7" s="40">
        <v>2</v>
      </c>
      <c r="G7" s="47">
        <v>44018</v>
      </c>
      <c r="H7" s="70" t="str">
        <f>IF(_xlfn.IFNA(VLOOKUP(tbSellers[[#This Row],[Item]],tbShoppingList[],1,FALSE),"")&lt;&gt;"","Yes","")</f>
        <v/>
      </c>
      <c r="I7" s="1"/>
      <c r="L7" s="1"/>
    </row>
    <row r="8" spans="2:12" ht="27.95" hidden="1" customHeight="1" x14ac:dyDescent="0.25">
      <c r="B8" s="2" t="str">
        <f>_xlfn.CONCAT(tbSellers[[#This Row],[Station]],tbSellers[[#This Row],[Item]])</f>
        <v>Iijinc XVChlorine</v>
      </c>
      <c r="C8" s="2" t="s">
        <v>456</v>
      </c>
      <c r="D8" s="14" t="s">
        <v>83</v>
      </c>
      <c r="E8" s="7">
        <f>VLOOKUP(tbSellers[[#This Row],[Item]],tbMaterials[],4,FALSE)</f>
        <v>602</v>
      </c>
      <c r="F8" s="40">
        <v>1</v>
      </c>
      <c r="G8" s="47">
        <v>44018</v>
      </c>
      <c r="H8" s="70" t="str">
        <f>IF(_xlfn.IFNA(VLOOKUP(tbSellers[[#This Row],[Item]],tbShoppingList[],1,FALSE),"")&lt;&gt;"","Yes","")</f>
        <v/>
      </c>
      <c r="I8" s="1"/>
      <c r="L8" s="1"/>
    </row>
    <row r="9" spans="2:12" ht="27.95" hidden="1" customHeight="1" x14ac:dyDescent="0.25">
      <c r="B9" s="2" t="str">
        <f>_xlfn.CONCAT(tbSellers[[#This Row],[Station]],tbSellers[[#This Row],[Item]])</f>
        <v>Nancangz XVPhosphorus</v>
      </c>
      <c r="C9" s="8" t="s">
        <v>54</v>
      </c>
      <c r="D9" s="14" t="s">
        <v>34</v>
      </c>
      <c r="E9" s="7">
        <f>VLOOKUP(tbSellers[[#This Row],[Item]],tbMaterials[],4,FALSE)</f>
        <v>62</v>
      </c>
      <c r="F9" s="40">
        <v>1</v>
      </c>
      <c r="G9" s="47">
        <v>44030</v>
      </c>
      <c r="H9" s="70" t="str">
        <f>IF(_xlfn.IFNA(VLOOKUP(tbSellers[[#This Row],[Item]],tbShoppingList[],1,FALSE),"")&lt;&gt;"","Yes","")</f>
        <v/>
      </c>
      <c r="I9" s="1"/>
      <c r="L9" s="1"/>
    </row>
    <row r="10" spans="2:12" ht="27.95" hidden="1" customHeight="1" x14ac:dyDescent="0.25">
      <c r="B10" s="2" t="str">
        <f>_xlfn.CONCAT(tbSellers[[#This Row],[Station]],tbSellers[[#This Row],[Item]])</f>
        <v>Paddoc-KehaPlatinum</v>
      </c>
      <c r="C10" s="8" t="s">
        <v>99</v>
      </c>
      <c r="D10" s="14" t="s">
        <v>18</v>
      </c>
      <c r="E10" s="7">
        <f>VLOOKUP(tbSellers[[#This Row],[Item]],tbMaterials[],4,FALSE)</f>
        <v>505</v>
      </c>
      <c r="F10" s="40">
        <v>1</v>
      </c>
      <c r="G10" s="47">
        <v>44030</v>
      </c>
      <c r="H10" s="70" t="str">
        <f>IF(_xlfn.IFNA(VLOOKUP(tbSellers[[#This Row],[Item]],tbShoppingList[],1,FALSE),"")&lt;&gt;"","Yes","")</f>
        <v/>
      </c>
      <c r="I10" s="1"/>
      <c r="L10" s="1"/>
    </row>
    <row r="11" spans="2:12" ht="27.95" hidden="1" customHeight="1" x14ac:dyDescent="0.25">
      <c r="B11" s="2" t="str">
        <f>_xlfn.CONCAT(tbSellers[[#This Row],[Station]],tbSellers[[#This Row],[Item]])</f>
        <v>PuningtMagnetised Ferrite</v>
      </c>
      <c r="C11" s="2" t="s">
        <v>279</v>
      </c>
      <c r="D11" s="14" t="s">
        <v>246</v>
      </c>
      <c r="E11" s="7">
        <f>VLOOKUP(tbSellers[[#This Row],[Item]],tbMaterials[],4,FALSE)</f>
        <v>82</v>
      </c>
      <c r="F11" s="40">
        <v>1</v>
      </c>
      <c r="G11" s="47">
        <v>44030</v>
      </c>
      <c r="H11" s="70" t="str">
        <f>IF(_xlfn.IFNA(VLOOKUP(tbSellers[[#This Row],[Item]],tbShoppingList[],1,FALSE),"")&lt;&gt;"","Yes","")</f>
        <v/>
      </c>
      <c r="I11" s="1"/>
      <c r="L11" s="1"/>
    </row>
    <row r="12" spans="2:12" ht="27.95" hidden="1" customHeight="1" x14ac:dyDescent="0.25">
      <c r="B12" s="2" t="str">
        <f>_xlfn.CONCAT(tbSellers[[#This Row],[Station]],tbSellers[[#This Row],[Item]])</f>
        <v>Ubzhan-Reg VChlorine</v>
      </c>
      <c r="C12" s="2" t="s">
        <v>120</v>
      </c>
      <c r="D12" s="14" t="s">
        <v>83</v>
      </c>
      <c r="E12" s="7">
        <f>VLOOKUP(tbSellers[[#This Row],[Item]],tbMaterials[],4,FALSE)</f>
        <v>602</v>
      </c>
      <c r="F12" s="40">
        <v>1</v>
      </c>
      <c r="G12" s="47"/>
      <c r="H12" s="70" t="str">
        <f>IF(_xlfn.IFNA(VLOOKUP(tbSellers[[#This Row],[Item]],tbShoppingList[],1,FALSE),"")&lt;&gt;"","Yes","")</f>
        <v/>
      </c>
      <c r="I12" s="1"/>
      <c r="L12" s="1"/>
    </row>
    <row r="13" spans="2:12" ht="27.95" hidden="1" customHeight="1" x14ac:dyDescent="0.25">
      <c r="B13" s="2" t="str">
        <f>_xlfn.CONCAT(tbSellers[[#This Row],[Station]],tbSellers[[#This Row],[Item]])</f>
        <v>Urumqi XVChlorine</v>
      </c>
      <c r="C13" s="2" t="s">
        <v>116</v>
      </c>
      <c r="D13" s="14" t="s">
        <v>83</v>
      </c>
      <c r="E13" s="7">
        <f>VLOOKUP(tbSellers[[#This Row],[Item]],tbMaterials[],4,FALSE)</f>
        <v>602</v>
      </c>
      <c r="F13" s="40">
        <v>2</v>
      </c>
      <c r="G13" s="47">
        <v>44018</v>
      </c>
      <c r="H13" s="70" t="str">
        <f>IF(_xlfn.IFNA(VLOOKUP(tbSellers[[#This Row],[Item]],tbShoppingList[],1,FALSE),"")&lt;&gt;"","Yes","")</f>
        <v/>
      </c>
      <c r="I13" s="1"/>
      <c r="L13" s="1"/>
    </row>
    <row r="14" spans="2:12" ht="27.95" hidden="1" customHeight="1" x14ac:dyDescent="0.25">
      <c r="B14" s="2" t="str">
        <f>_xlfn.CONCAT(tbSellers[[#This Row],[Station]],tbSellers[[#This Row],[Item]])</f>
        <v>OdaleroAmmonia</v>
      </c>
      <c r="C14" s="2" t="s">
        <v>604</v>
      </c>
      <c r="D14" s="14" t="s">
        <v>84</v>
      </c>
      <c r="E14" s="7">
        <f>VLOOKUP(tbSellers[[#This Row],[Item]],tbMaterials[],4,FALSE)</f>
        <v>62</v>
      </c>
      <c r="F14" s="40">
        <v>1</v>
      </c>
      <c r="G14" s="47">
        <v>44030</v>
      </c>
      <c r="H14" s="70" t="str">
        <f>IF(_xlfn.IFNA(VLOOKUP(tbSellers[[#This Row],[Item]],tbShoppingList[],1,FALSE),"")&lt;&gt;"","Yes","")</f>
        <v/>
      </c>
      <c r="I14" s="1"/>
      <c r="L14" s="1"/>
    </row>
    <row r="15" spans="2:12" ht="27.95" hidden="1" customHeight="1" x14ac:dyDescent="0.25">
      <c r="B15" s="2" t="str">
        <f>_xlfn.CONCAT(tbSellers[[#This Row],[Station]],tbSellers[[#This Row],[Item]])</f>
        <v>EwiscunChlorine</v>
      </c>
      <c r="C15" s="2" t="s">
        <v>607</v>
      </c>
      <c r="D15" s="14" t="s">
        <v>83</v>
      </c>
      <c r="E15" s="7">
        <f>VLOOKUP(tbSellers[[#This Row],[Item]],tbMaterials[],4,FALSE)</f>
        <v>602</v>
      </c>
      <c r="F15" s="40">
        <v>2</v>
      </c>
      <c r="G15" s="47">
        <v>44018</v>
      </c>
      <c r="H15" s="70" t="str">
        <f>IF(_xlfn.IFNA(VLOOKUP(tbSellers[[#This Row],[Item]],tbShoppingList[],1,FALSE),"")&lt;&gt;"","Yes","")</f>
        <v/>
      </c>
      <c r="I15" s="1"/>
      <c r="L15" s="1"/>
    </row>
    <row r="16" spans="2:12" ht="27.95" hidden="1" customHeight="1" x14ac:dyDescent="0.25">
      <c r="B16" s="2" t="str">
        <f>_xlfn.CONCAT(tbSellers[[#This Row],[Station]],tbSellers[[#This Row],[Item]])</f>
        <v>Nicleve-EnskDioxite</v>
      </c>
      <c r="C16" s="2" t="s">
        <v>654</v>
      </c>
      <c r="D16" s="14" t="s">
        <v>72</v>
      </c>
      <c r="E16" s="7">
        <f>VLOOKUP(tbSellers[[#This Row],[Item]],tbMaterials[],4,FALSE)</f>
        <v>62</v>
      </c>
      <c r="F16" s="40">
        <v>1</v>
      </c>
      <c r="G16" s="47">
        <v>44030</v>
      </c>
      <c r="H16" s="70" t="str">
        <f>IF(_xlfn.IFNA(VLOOKUP(tbSellers[[#This Row],[Item]],tbShoppingList[],1,FALSE),"")&lt;&gt;"","Yes","")</f>
        <v/>
      </c>
      <c r="I16" s="1"/>
      <c r="L16" s="1"/>
    </row>
    <row r="17" spans="2:12" ht="27.95" hidden="1" customHeight="1" x14ac:dyDescent="0.25">
      <c r="B17" s="2" t="str">
        <f>_xlfn.CONCAT(tbSellers[[#This Row],[Station]],tbSellers[[#This Row],[Item]])</f>
        <v>Nikarep-EtsMagnetised Ferrite</v>
      </c>
      <c r="C17" s="2" t="s">
        <v>656</v>
      </c>
      <c r="D17" s="14" t="s">
        <v>246</v>
      </c>
      <c r="E17" s="7">
        <f>VLOOKUP(tbSellers[[#This Row],[Item]],tbMaterials[],4,FALSE)</f>
        <v>82</v>
      </c>
      <c r="F17" s="40">
        <v>1</v>
      </c>
      <c r="G17" s="47">
        <v>44030</v>
      </c>
      <c r="H17" s="70" t="str">
        <f>IF(_xlfn.IFNA(VLOOKUP(tbSellers[[#This Row],[Item]],tbShoppingList[],1,FALSE),"")&lt;&gt;"","Yes","")</f>
        <v/>
      </c>
      <c r="I17" s="1"/>
      <c r="L17" s="1"/>
    </row>
    <row r="18" spans="2:12" ht="27.95" hidden="1" customHeight="1" x14ac:dyDescent="0.25">
      <c r="B18" s="2" t="str">
        <f>_xlfn.CONCAT(tbSellers[[#This Row],[Station]],tbSellers[[#This Row],[Item]])</f>
        <v>HadzananChlorine</v>
      </c>
      <c r="C18" s="2" t="s">
        <v>731</v>
      </c>
      <c r="D18" s="14" t="s">
        <v>83</v>
      </c>
      <c r="E18" s="7">
        <f>VLOOKUP(tbSellers[[#This Row],[Item]],tbMaterials[],4,FALSE)</f>
        <v>602</v>
      </c>
      <c r="F18" s="40">
        <v>2</v>
      </c>
      <c r="G18" s="47">
        <v>44018</v>
      </c>
      <c r="H18" s="70" t="str">
        <f>IF(_xlfn.IFNA(VLOOKUP(tbSellers[[#This Row],[Item]],tbShoppingList[],1,FALSE),"")&lt;&gt;"","Yes","")</f>
        <v/>
      </c>
      <c r="I18" s="1"/>
      <c r="L18" s="1"/>
    </row>
    <row r="19" spans="2:12" ht="27.95" hidden="1" customHeight="1" x14ac:dyDescent="0.25">
      <c r="B19" s="2" t="str">
        <f>_xlfn.CONCAT(tbSellers[[#This Row],[Station]],tbSellers[[#This Row],[Item]])</f>
        <v>NalangniSilver</v>
      </c>
      <c r="C19" s="8" t="s">
        <v>79</v>
      </c>
      <c r="D19" s="14" t="s">
        <v>19</v>
      </c>
      <c r="E19" s="7">
        <f>VLOOKUP(tbSellers[[#This Row],[Item]],tbMaterials[],4,FALSE)</f>
        <v>186</v>
      </c>
      <c r="F19" s="40">
        <v>1</v>
      </c>
      <c r="G19" s="47">
        <v>44030</v>
      </c>
      <c r="H19" s="70" t="str">
        <f>IF(_xlfn.IFNA(VLOOKUP(tbSellers[[#This Row],[Item]],tbShoppingList[],1,FALSE),"")&lt;&gt;"","Yes","")</f>
        <v/>
      </c>
      <c r="I19" s="1"/>
      <c r="L19" s="1"/>
    </row>
    <row r="20" spans="2:12" ht="27.95" hidden="1" customHeight="1" x14ac:dyDescent="0.25">
      <c r="B20" s="2" t="str">
        <f>_xlfn.CONCAT(tbSellers[[#This Row],[Station]],tbSellers[[#This Row],[Item]])</f>
        <v>OqoideTritium</v>
      </c>
      <c r="C20" s="2" t="s">
        <v>114</v>
      </c>
      <c r="D20" s="14" t="s">
        <v>25</v>
      </c>
      <c r="E20" s="7">
        <f>VLOOKUP(tbSellers[[#This Row],[Item]],tbMaterials[],4,FALSE)</f>
        <v>6</v>
      </c>
      <c r="F20" s="40">
        <v>1</v>
      </c>
      <c r="G20" s="47">
        <v>44030</v>
      </c>
      <c r="H20" s="70" t="str">
        <f>IF(_xlfn.IFNA(VLOOKUP(tbSellers[[#This Row],[Item]],tbShoppingList[],1,FALSE),"")&lt;&gt;"","Yes","")</f>
        <v>Yes</v>
      </c>
      <c r="I20" s="1"/>
      <c r="L20" s="1"/>
    </row>
    <row r="21" spans="2:12" ht="27.95" hidden="1" customHeight="1" x14ac:dyDescent="0.25">
      <c r="B21" s="2" t="str">
        <f>_xlfn.CONCAT(tbSellers[[#This Row],[Station]],tbSellers[[#This Row],[Item]])</f>
        <v>Gepohalih IIIPlatinum</v>
      </c>
      <c r="C21" s="2" t="s">
        <v>490</v>
      </c>
      <c r="D21" s="14" t="s">
        <v>18</v>
      </c>
      <c r="E21" s="7">
        <f>VLOOKUP(tbSellers[[#This Row],[Item]],tbMaterials[],4,FALSE)</f>
        <v>505</v>
      </c>
      <c r="F21" s="40">
        <v>1</v>
      </c>
      <c r="G21" s="47">
        <v>44029</v>
      </c>
      <c r="H21" s="70" t="str">
        <f>IF(_xlfn.IFNA(VLOOKUP(tbSellers[[#This Row],[Item]],tbShoppingList[],1,FALSE),"")&lt;&gt;"","Yes","")</f>
        <v/>
      </c>
      <c r="I21" s="1"/>
      <c r="L21" s="1"/>
    </row>
    <row r="22" spans="2:12" ht="27.95" hidden="1" customHeight="1" x14ac:dyDescent="0.25">
      <c r="B22" s="2" t="str">
        <f>_xlfn.CONCAT(tbSellers[[#This Row],[Station]],tbSellers[[#This Row],[Item]])</f>
        <v>Nancangz XVCobalt</v>
      </c>
      <c r="C22" s="8" t="s">
        <v>54</v>
      </c>
      <c r="D22" s="14" t="s">
        <v>6</v>
      </c>
      <c r="E22" s="7">
        <f>VLOOKUP(tbSellers[[#This Row],[Item]],tbMaterials[],4,FALSE)</f>
        <v>198</v>
      </c>
      <c r="F22" s="40">
        <v>1</v>
      </c>
      <c r="G22" s="47">
        <v>44030</v>
      </c>
      <c r="H22" s="70" t="str">
        <f>IF(_xlfn.IFNA(VLOOKUP(tbSellers[[#This Row],[Item]],tbShoppingList[],1,FALSE),"")&lt;&gt;"","Yes","")</f>
        <v/>
      </c>
      <c r="I22" s="1"/>
      <c r="L22" s="1"/>
    </row>
    <row r="23" spans="2:12" ht="27.95" hidden="1" customHeight="1" x14ac:dyDescent="0.25">
      <c r="B23" s="2" t="str">
        <f>_xlfn.CONCAT(tbSellers[[#This Row],[Station]],tbSellers[[#This Row],[Item]])</f>
        <v>Yartan-AwkinDioxite</v>
      </c>
      <c r="C23" s="2" t="s">
        <v>326</v>
      </c>
      <c r="D23" s="14" t="s">
        <v>72</v>
      </c>
      <c r="E23" s="7">
        <f>VLOOKUP(tbSellers[[#This Row],[Item]],tbMaterials[],4,FALSE)</f>
        <v>62</v>
      </c>
      <c r="F23" s="40">
        <v>1</v>
      </c>
      <c r="G23" s="47">
        <v>44029</v>
      </c>
      <c r="H23" s="70" t="str">
        <f>IF(_xlfn.IFNA(VLOOKUP(tbSellers[[#This Row],[Item]],tbShoppingList[],1,FALSE),"")&lt;&gt;"","Yes","")</f>
        <v/>
      </c>
      <c r="I23" s="1"/>
      <c r="L23" s="1"/>
    </row>
    <row r="24" spans="2:12" ht="27.95" hidden="1" customHeight="1" x14ac:dyDescent="0.25">
      <c r="B24" s="2" t="str">
        <f>_xlfn.CONCAT(tbSellers[[#This Row],[Station]],tbSellers[[#This Row],[Item]])</f>
        <v>Yedexi VIIIonised Cobalt</v>
      </c>
      <c r="C24" s="8" t="s">
        <v>52</v>
      </c>
      <c r="D24" s="14" t="s">
        <v>267</v>
      </c>
      <c r="E24" s="7">
        <f>VLOOKUP(tbSellers[[#This Row],[Item]],tbMaterials[],4,FALSE)</f>
        <v>401</v>
      </c>
      <c r="F24" s="40">
        <v>1</v>
      </c>
      <c r="G24" s="47">
        <v>44029</v>
      </c>
      <c r="H24" s="70" t="str">
        <f>IF(_xlfn.IFNA(VLOOKUP(tbSellers[[#This Row],[Item]],tbShoppingList[],1,FALSE),"")&lt;&gt;"","Yes","")</f>
        <v/>
      </c>
      <c r="I24" s="1"/>
      <c r="L24" s="1"/>
    </row>
    <row r="25" spans="2:12" ht="27.95" hidden="1" customHeight="1" x14ac:dyDescent="0.25">
      <c r="B25" s="2" t="str">
        <f>_xlfn.CONCAT(tbSellers[[#This Row],[Station]],tbSellers[[#This Row],[Item]])</f>
        <v>Seruss-EdogaTritium</v>
      </c>
      <c r="C25" s="2" t="s">
        <v>577</v>
      </c>
      <c r="D25" s="14" t="s">
        <v>25</v>
      </c>
      <c r="E25" s="7">
        <f>VLOOKUP(tbSellers[[#This Row],[Item]],tbMaterials[],4,FALSE)</f>
        <v>6</v>
      </c>
      <c r="F25" s="40">
        <v>1</v>
      </c>
      <c r="G25" s="47">
        <v>44029</v>
      </c>
      <c r="H25" s="70" t="str">
        <f>IF(_xlfn.IFNA(VLOOKUP(tbSellers[[#This Row],[Item]],tbShoppingList[],1,FALSE),"")&lt;&gt;"","Yes","")</f>
        <v>Yes</v>
      </c>
      <c r="I25" s="1"/>
      <c r="L25" s="1"/>
    </row>
    <row r="26" spans="2:12" ht="27.95" hidden="1" customHeight="1" x14ac:dyDescent="0.25">
      <c r="B26" s="2" t="str">
        <f>_xlfn.CONCAT(tbSellers[[#This Row],[Station]],tbSellers[[#This Row],[Item]])</f>
        <v>DohoeniaPyrite</v>
      </c>
      <c r="C26" s="2" t="s">
        <v>608</v>
      </c>
      <c r="D26" s="14" t="s">
        <v>119</v>
      </c>
      <c r="E26" s="7">
        <f>VLOOKUP(tbSellers[[#This Row],[Item]],tbMaterials[],4,FALSE)</f>
        <v>62</v>
      </c>
      <c r="F26" s="40">
        <v>1</v>
      </c>
      <c r="G26" s="47">
        <v>44029</v>
      </c>
      <c r="H26" s="70" t="str">
        <f>IF(_xlfn.IFNA(VLOOKUP(tbSellers[[#This Row],[Item]],tbShoppingList[],1,FALSE),"")&lt;&gt;"","Yes","")</f>
        <v/>
      </c>
      <c r="I26" s="1"/>
      <c r="L26" s="1"/>
    </row>
    <row r="27" spans="2:12" ht="27.95" hidden="1" customHeight="1" x14ac:dyDescent="0.25">
      <c r="B27" s="2" t="str">
        <f>_xlfn.CONCAT(tbSellers[[#This Row],[Station]],tbSellers[[#This Row],[Item]])</f>
        <v>The DojoTritium</v>
      </c>
      <c r="C27" s="2" t="s">
        <v>665</v>
      </c>
      <c r="D27" s="14" t="s">
        <v>25</v>
      </c>
      <c r="E27" s="7">
        <f>VLOOKUP(tbSellers[[#This Row],[Item]],tbMaterials[],4,FALSE)</f>
        <v>6</v>
      </c>
      <c r="F27" s="40">
        <v>1</v>
      </c>
      <c r="G27" s="47">
        <v>44029</v>
      </c>
      <c r="H27" s="70" t="str">
        <f>IF(_xlfn.IFNA(VLOOKUP(tbSellers[[#This Row],[Item]],tbShoppingList[],1,FALSE),"")&lt;&gt;"","Yes","")</f>
        <v>Yes</v>
      </c>
      <c r="I27" s="1"/>
      <c r="L27" s="1"/>
    </row>
    <row r="28" spans="2:12" ht="27.95" hidden="1" customHeight="1" x14ac:dyDescent="0.25">
      <c r="B28" s="2" t="str">
        <f>_xlfn.CONCAT(tbSellers[[#This Row],[Station]],tbSellers[[#This Row],[Item]])</f>
        <v>AlhaimIonised Cobalt</v>
      </c>
      <c r="C28" s="2" t="s">
        <v>270</v>
      </c>
      <c r="D28" s="14" t="s">
        <v>267</v>
      </c>
      <c r="E28" s="7">
        <f>VLOOKUP(tbSellers[[#This Row],[Item]],tbMaterials[],4,FALSE)</f>
        <v>401</v>
      </c>
      <c r="F28" s="40">
        <v>2</v>
      </c>
      <c r="G28" s="47">
        <v>44018</v>
      </c>
      <c r="H28" s="70" t="str">
        <f>IF(_xlfn.IFNA(VLOOKUP(tbSellers[[#This Row],[Item]],tbShoppingList[],1,FALSE),"")&lt;&gt;"","Yes","")</f>
        <v/>
      </c>
      <c r="I28" s="1"/>
      <c r="L28" s="1"/>
    </row>
    <row r="29" spans="2:12" ht="27.95" hidden="1" customHeight="1" x14ac:dyDescent="0.25">
      <c r="B29" s="2" t="str">
        <f>_xlfn.CONCAT(tbSellers[[#This Row],[Station]],tbSellers[[#This Row],[Item]])</f>
        <v>AnxiexParaffinium</v>
      </c>
      <c r="C29" s="2" t="s">
        <v>248</v>
      </c>
      <c r="D29" s="14" t="s">
        <v>61</v>
      </c>
      <c r="E29" s="7">
        <f>VLOOKUP(tbSellers[[#This Row],[Item]],tbMaterials[],4,FALSE)</f>
        <v>62</v>
      </c>
      <c r="F29" s="40">
        <v>1</v>
      </c>
      <c r="G29" s="47">
        <v>44030</v>
      </c>
      <c r="H29" s="70" t="str">
        <f>IF(_xlfn.IFNA(VLOOKUP(tbSellers[[#This Row],[Item]],tbShoppingList[],1,FALSE),"")&lt;&gt;"","Yes","")</f>
        <v/>
      </c>
      <c r="I29" s="1"/>
      <c r="L29" s="1"/>
    </row>
    <row r="30" spans="2:12" ht="27.95" hidden="1" customHeight="1" x14ac:dyDescent="0.25">
      <c r="B30" s="2" t="str">
        <f>_xlfn.CONCAT(tbSellers[[#This Row],[Station]],tbSellers[[#This Row],[Item]])</f>
        <v>Arjorda-KugIonised Cobalt</v>
      </c>
      <c r="C30" s="8" t="s">
        <v>75</v>
      </c>
      <c r="D30" s="14" t="s">
        <v>267</v>
      </c>
      <c r="E30" s="7">
        <f>VLOOKUP(tbSellers[[#This Row],[Item]],tbMaterials[],4,FALSE)</f>
        <v>401</v>
      </c>
      <c r="F30" s="40">
        <v>1</v>
      </c>
      <c r="G30" s="47">
        <v>44018</v>
      </c>
      <c r="H30" s="70" t="str">
        <f>IF(_xlfn.IFNA(VLOOKUP(tbSellers[[#This Row],[Item]],tbShoppingList[],1,FALSE),"")&lt;&gt;"","Yes","")</f>
        <v/>
      </c>
      <c r="I30" s="1"/>
      <c r="L30" s="1"/>
    </row>
    <row r="31" spans="2:12" ht="27.95" hidden="1" customHeight="1" x14ac:dyDescent="0.25">
      <c r="B31" s="2" t="str">
        <f>_xlfn.CONCAT(tbSellers[[#This Row],[Station]],tbSellers[[#This Row],[Item]])</f>
        <v>Cuomul-TosIonised Cobalt</v>
      </c>
      <c r="C31" s="2" t="s">
        <v>275</v>
      </c>
      <c r="D31" s="14" t="s">
        <v>267</v>
      </c>
      <c r="E31" s="7">
        <f>VLOOKUP(tbSellers[[#This Row],[Item]],tbMaterials[],4,FALSE)</f>
        <v>401</v>
      </c>
      <c r="F31" s="40">
        <v>1</v>
      </c>
      <c r="G31" s="47">
        <v>44030</v>
      </c>
      <c r="H31" s="70" t="str">
        <f>IF(_xlfn.IFNA(VLOOKUP(tbSellers[[#This Row],[Item]],tbShoppingList[],1,FALSE),"")&lt;&gt;"","Yes","")</f>
        <v/>
      </c>
      <c r="I31" s="1"/>
      <c r="L31" s="1"/>
    </row>
    <row r="32" spans="2:12" ht="27.95" hidden="1" customHeight="1" x14ac:dyDescent="0.25">
      <c r="B32" s="2" t="str">
        <f>_xlfn.CONCAT(tbSellers[[#This Row],[Station]],tbSellers[[#This Row],[Item]])</f>
        <v>EgarondoIonised Cobalt</v>
      </c>
      <c r="C32" s="8" t="s">
        <v>74</v>
      </c>
      <c r="D32" s="14" t="s">
        <v>267</v>
      </c>
      <c r="E32" s="7">
        <f>VLOOKUP(tbSellers[[#This Row],[Item]],tbMaterials[],4,FALSE)</f>
        <v>401</v>
      </c>
      <c r="F32" s="40">
        <v>2</v>
      </c>
      <c r="G32" s="47">
        <v>44018</v>
      </c>
      <c r="H32" s="70" t="str">
        <f>IF(_xlfn.IFNA(VLOOKUP(tbSellers[[#This Row],[Item]],tbShoppingList[],1,FALSE),"")&lt;&gt;"","Yes","")</f>
        <v/>
      </c>
      <c r="I32" s="1"/>
      <c r="L32" s="1"/>
    </row>
    <row r="33" spans="2:12" ht="27.95" hidden="1" customHeight="1" x14ac:dyDescent="0.25">
      <c r="B33" s="2" t="str">
        <f>_xlfn.CONCAT(tbSellers[[#This Row],[Station]],tbSellers[[#This Row],[Item]])</f>
        <v>RekamadinPure Ferrite</v>
      </c>
      <c r="C33" s="2" t="s">
        <v>591</v>
      </c>
      <c r="D33" s="14" t="s">
        <v>266</v>
      </c>
      <c r="E33" s="7">
        <f>VLOOKUP(tbSellers[[#This Row],[Item]],tbMaterials[],4,FALSE)</f>
        <v>28</v>
      </c>
      <c r="F33" s="40">
        <v>1</v>
      </c>
      <c r="G33" s="47">
        <v>44029</v>
      </c>
      <c r="H33" s="70" t="str">
        <f>IF(_xlfn.IFNA(VLOOKUP(tbSellers[[#This Row],[Item]],tbShoppingList[],1,FALSE),"")&lt;&gt;"","Yes","")</f>
        <v/>
      </c>
      <c r="I33" s="1"/>
      <c r="L33" s="1"/>
    </row>
    <row r="34" spans="2:12" ht="27.95" hidden="1" customHeight="1" x14ac:dyDescent="0.25">
      <c r="B34" s="2" t="str">
        <f>_xlfn.CONCAT(tbSellers[[#This Row],[Station]],tbSellers[[#This Row],[Item]])</f>
        <v>PuningtPugneum</v>
      </c>
      <c r="C34" s="2" t="s">
        <v>279</v>
      </c>
      <c r="D34" s="14" t="s">
        <v>262</v>
      </c>
      <c r="E34" s="7">
        <f>VLOOKUP(tbSellers[[#This Row],[Item]],tbMaterials[],4,FALSE)</f>
        <v>138</v>
      </c>
      <c r="F34" s="40">
        <v>1</v>
      </c>
      <c r="G34" s="47">
        <v>44030</v>
      </c>
      <c r="H34" s="70" t="str">
        <f>IF(_xlfn.IFNA(VLOOKUP(tbSellers[[#This Row],[Item]],tbShoppingList[],1,FALSE),"")&lt;&gt;"","Yes","")</f>
        <v/>
      </c>
      <c r="I34" s="1"/>
      <c r="L34" s="1"/>
    </row>
    <row r="35" spans="2:12" ht="27.95" hidden="1" customHeight="1" x14ac:dyDescent="0.25">
      <c r="B35" s="2" t="str">
        <f>_xlfn.CONCAT(tbSellers[[#This Row],[Station]],tbSellers[[#This Row],[Item]])</f>
        <v>Ubzhan-Reg VMagnetised Ferrite</v>
      </c>
      <c r="C35" s="2" t="s">
        <v>120</v>
      </c>
      <c r="D35" s="14" t="s">
        <v>246</v>
      </c>
      <c r="E35" s="7">
        <f>VLOOKUP(tbSellers[[#This Row],[Item]],tbMaterials[],4,FALSE)</f>
        <v>82</v>
      </c>
      <c r="F35" s="40">
        <v>1</v>
      </c>
      <c r="G35" s="47"/>
      <c r="H35" s="70" t="str">
        <f>IF(_xlfn.IFNA(VLOOKUP(tbSellers[[#This Row],[Item]],tbShoppingList[],1,FALSE),"")&lt;&gt;"","Yes","")</f>
        <v/>
      </c>
      <c r="I35" s="1"/>
      <c r="L35" s="1"/>
    </row>
    <row r="36" spans="2:12" ht="27.95" hidden="1" customHeight="1" x14ac:dyDescent="0.25">
      <c r="B36" s="2" t="str">
        <f>_xlfn.CONCAT(tbSellers[[#This Row],[Station]],tbSellers[[#This Row],[Item]])</f>
        <v>Urumqi XVIonised Cobalt</v>
      </c>
      <c r="C36" s="2" t="s">
        <v>116</v>
      </c>
      <c r="D36" s="14" t="s">
        <v>267</v>
      </c>
      <c r="E36" s="7">
        <f>VLOOKUP(tbSellers[[#This Row],[Item]],tbMaterials[],4,FALSE)</f>
        <v>401</v>
      </c>
      <c r="F36" s="40">
        <v>2</v>
      </c>
      <c r="G36" s="47">
        <v>44018</v>
      </c>
      <c r="H36" s="70" t="str">
        <f>IF(_xlfn.IFNA(VLOOKUP(tbSellers[[#This Row],[Item]],tbShoppingList[],1,FALSE),"")&lt;&gt;"","Yes","")</f>
        <v/>
      </c>
      <c r="I36" s="1"/>
      <c r="L36" s="1"/>
    </row>
    <row r="37" spans="2:12" ht="27.95" hidden="1" customHeight="1" x14ac:dyDescent="0.25">
      <c r="B37" s="2" t="str">
        <f>_xlfn.CONCAT(tbSellers[[#This Row],[Station]],tbSellers[[#This Row],[Item]])</f>
        <v>XishuaiPyrite</v>
      </c>
      <c r="C37" s="2" t="s">
        <v>95</v>
      </c>
      <c r="D37" s="14" t="s">
        <v>119</v>
      </c>
      <c r="E37" s="7">
        <f>VLOOKUP(tbSellers[[#This Row],[Item]],tbMaterials[],4,FALSE)</f>
        <v>62</v>
      </c>
      <c r="F37" s="40">
        <v>1</v>
      </c>
      <c r="G37" s="47">
        <v>44029</v>
      </c>
      <c r="H37" s="70" t="str">
        <f>IF(_xlfn.IFNA(VLOOKUP(tbSellers[[#This Row],[Item]],tbShoppingList[],1,FALSE),"")&lt;&gt;"","Yes","")</f>
        <v/>
      </c>
      <c r="I37" s="1"/>
      <c r="L37" s="1"/>
    </row>
    <row r="38" spans="2:12" ht="27.95" hidden="1" customHeight="1" x14ac:dyDescent="0.25">
      <c r="B38" s="2" t="str">
        <f>_xlfn.CONCAT(tbSellers[[#This Row],[Station]],tbSellers[[#This Row],[Item]])</f>
        <v>OdaleroIonised Cobalt</v>
      </c>
      <c r="C38" s="2" t="s">
        <v>604</v>
      </c>
      <c r="D38" s="14" t="s">
        <v>267</v>
      </c>
      <c r="E38" s="7">
        <f>VLOOKUP(tbSellers[[#This Row],[Item]],tbMaterials[],4,FALSE)</f>
        <v>401</v>
      </c>
      <c r="F38" s="40">
        <v>1</v>
      </c>
      <c r="G38" s="47">
        <v>44030</v>
      </c>
      <c r="H38" s="70" t="str">
        <f>IF(_xlfn.IFNA(VLOOKUP(tbSellers[[#This Row],[Item]],tbShoppingList[],1,FALSE),"")&lt;&gt;"","Yes","")</f>
        <v/>
      </c>
      <c r="I38" s="1"/>
      <c r="L38" s="1"/>
    </row>
    <row r="39" spans="2:12" ht="27.95" hidden="1" customHeight="1" x14ac:dyDescent="0.25">
      <c r="B39" s="2" t="str">
        <f>_xlfn.CONCAT(tbSellers[[#This Row],[Station]],tbSellers[[#This Row],[Item]])</f>
        <v>Nicleve-EnskChromatic Metal</v>
      </c>
      <c r="C39" s="2" t="s">
        <v>654</v>
      </c>
      <c r="D39" s="14" t="s">
        <v>261</v>
      </c>
      <c r="E39" s="7">
        <f>VLOOKUP(tbSellers[[#This Row],[Item]],tbMaterials[],4,FALSE)</f>
        <v>245</v>
      </c>
      <c r="F39" s="40">
        <v>1</v>
      </c>
      <c r="G39" s="47">
        <v>44030</v>
      </c>
      <c r="H39" s="70" t="str">
        <f>IF(_xlfn.IFNA(VLOOKUP(tbSellers[[#This Row],[Item]],tbShoppingList[],1,FALSE),"")&lt;&gt;"","Yes","")</f>
        <v/>
      </c>
      <c r="I39" s="1"/>
      <c r="L39" s="1"/>
    </row>
    <row r="40" spans="2:12" ht="27.95" hidden="1" customHeight="1" x14ac:dyDescent="0.25">
      <c r="B40" s="2" t="str">
        <f>_xlfn.CONCAT(tbSellers[[#This Row],[Station]],tbSellers[[#This Row],[Item]])</f>
        <v>Nikarep-EtsUranium</v>
      </c>
      <c r="C40" s="2" t="s">
        <v>656</v>
      </c>
      <c r="D40" s="14" t="s">
        <v>57</v>
      </c>
      <c r="E40" s="7">
        <f>VLOOKUP(tbSellers[[#This Row],[Item]],tbMaterials[],4,FALSE)</f>
        <v>62</v>
      </c>
      <c r="F40" s="40">
        <v>1</v>
      </c>
      <c r="G40" s="47">
        <v>44030</v>
      </c>
      <c r="H40" s="70" t="str">
        <f>IF(_xlfn.IFNA(VLOOKUP(tbSellers[[#This Row],[Item]],tbShoppingList[],1,FALSE),"")&lt;&gt;"","Yes","")</f>
        <v/>
      </c>
      <c r="I40" s="1"/>
      <c r="L40" s="1"/>
    </row>
    <row r="41" spans="2:12" s="2" customFormat="1" ht="27.95" hidden="1" customHeight="1" x14ac:dyDescent="0.25">
      <c r="B41" s="2" t="str">
        <f>_xlfn.CONCAT(tbSellers[[#This Row],[Station]],tbSellers[[#This Row],[Item]])</f>
        <v>AxinweGold</v>
      </c>
      <c r="C41" s="8" t="s">
        <v>771</v>
      </c>
      <c r="D41" s="14" t="s">
        <v>24</v>
      </c>
      <c r="E41" s="7">
        <f>VLOOKUP(tbSellers[[#This Row],[Item]],tbMaterials[],4,FALSE)</f>
        <v>353</v>
      </c>
      <c r="F41" s="40">
        <v>1</v>
      </c>
      <c r="G41" s="47"/>
      <c r="H41" s="70" t="str">
        <f>IF(_xlfn.IFNA(VLOOKUP(tbSellers[[#This Row],[Item]],tbShoppingList[],1,FALSE),"")&lt;&gt;"","Yes","")</f>
        <v/>
      </c>
    </row>
    <row r="42" spans="2:12" s="2" customFormat="1" ht="27.95" hidden="1" customHeight="1" x14ac:dyDescent="0.25">
      <c r="B42" s="2" t="str">
        <f>_xlfn.CONCAT(tbSellers[[#This Row],[Station]],tbSellers[[#This Row],[Item]])</f>
        <v>AnxiexChromatic Metal</v>
      </c>
      <c r="C42" s="2" t="s">
        <v>248</v>
      </c>
      <c r="D42" s="14" t="s">
        <v>261</v>
      </c>
      <c r="E42" s="7">
        <f>VLOOKUP(tbSellers[[#This Row],[Item]],tbMaterials[],4,FALSE)</f>
        <v>245</v>
      </c>
      <c r="F42" s="40">
        <v>1</v>
      </c>
      <c r="G42" s="47">
        <v>44030</v>
      </c>
      <c r="H42" s="70" t="str">
        <f>IF(_xlfn.IFNA(VLOOKUP(tbSellers[[#This Row],[Item]],tbShoppingList[],1,FALSE),"")&lt;&gt;"","Yes","")</f>
        <v/>
      </c>
    </row>
    <row r="43" spans="2:12" s="2" customFormat="1" ht="27.95" hidden="1" customHeight="1" x14ac:dyDescent="0.25">
      <c r="B43" s="2" t="str">
        <f>_xlfn.CONCAT(tbSellers[[#This Row],[Station]],tbSellers[[#This Row],[Item]])</f>
        <v>RekamadinCobalt</v>
      </c>
      <c r="C43" s="2" t="s">
        <v>591</v>
      </c>
      <c r="D43" s="14" t="s">
        <v>6</v>
      </c>
      <c r="E43" s="7">
        <f>VLOOKUP(tbSellers[[#This Row],[Item]],tbMaterials[],4,FALSE)</f>
        <v>198</v>
      </c>
      <c r="F43" s="40">
        <v>1</v>
      </c>
      <c r="G43" s="47">
        <v>44029</v>
      </c>
      <c r="H43" s="70" t="str">
        <f>IF(_xlfn.IFNA(VLOOKUP(tbSellers[[#This Row],[Item]],tbShoppingList[],1,FALSE),"")&lt;&gt;"","Yes","")</f>
        <v/>
      </c>
    </row>
    <row r="44" spans="2:12" s="2" customFormat="1" ht="27.95" hidden="1" customHeight="1" x14ac:dyDescent="0.25">
      <c r="B44" s="2" t="str">
        <f>_xlfn.CONCAT(tbSellers[[#This Row],[Station]],tbSellers[[#This Row],[Item]])</f>
        <v>Cuomul-TosCobalt</v>
      </c>
      <c r="C44" s="2" t="s">
        <v>275</v>
      </c>
      <c r="D44" s="14" t="s">
        <v>6</v>
      </c>
      <c r="E44" s="7">
        <f>VLOOKUP(tbSellers[[#This Row],[Item]],tbMaterials[],4,FALSE)</f>
        <v>198</v>
      </c>
      <c r="F44" s="40">
        <v>1</v>
      </c>
      <c r="G44" s="47">
        <v>44030</v>
      </c>
      <c r="H44" s="70" t="str">
        <f>IF(_xlfn.IFNA(VLOOKUP(tbSellers[[#This Row],[Item]],tbShoppingList[],1,FALSE),"")&lt;&gt;"","Yes","")</f>
        <v/>
      </c>
    </row>
    <row r="45" spans="2:12" s="2" customFormat="1" ht="27.95" hidden="1" customHeight="1" x14ac:dyDescent="0.25">
      <c r="B45" s="2" t="str">
        <f>_xlfn.CONCAT(tbSellers[[#This Row],[Station]],tbSellers[[#This Row],[Item]])</f>
        <v>Iijinc XVGold</v>
      </c>
      <c r="C45" s="2" t="s">
        <v>456</v>
      </c>
      <c r="D45" s="14" t="s">
        <v>24</v>
      </c>
      <c r="E45" s="7">
        <f>VLOOKUP(tbSellers[[#This Row],[Item]],tbMaterials[],4,FALSE)</f>
        <v>353</v>
      </c>
      <c r="F45" s="40">
        <v>1</v>
      </c>
      <c r="G45" s="47"/>
      <c r="H45" s="70" t="str">
        <f>IF(_xlfn.IFNA(VLOOKUP(tbSellers[[#This Row],[Item]],tbShoppingList[],1,FALSE),"")&lt;&gt;"","Yes","")</f>
        <v/>
      </c>
    </row>
    <row r="46" spans="2:12" s="2" customFormat="1" ht="27.95" hidden="1" customHeight="1" x14ac:dyDescent="0.25">
      <c r="B46" s="2" t="str">
        <f>_xlfn.CONCAT(tbSellers[[#This Row],[Station]],tbSellers[[#This Row],[Item]])</f>
        <v>NokungbPugneum</v>
      </c>
      <c r="C46" s="2" t="s">
        <v>271</v>
      </c>
      <c r="D46" s="14" t="s">
        <v>262</v>
      </c>
      <c r="E46" s="7">
        <f>VLOOKUP(tbSellers[[#This Row],[Item]],tbMaterials[],4,FALSE)</f>
        <v>138</v>
      </c>
      <c r="F46" s="40">
        <v>1</v>
      </c>
      <c r="G46" s="47">
        <v>44029</v>
      </c>
      <c r="H46" s="70" t="str">
        <f>IF(_xlfn.IFNA(VLOOKUP(tbSellers[[#This Row],[Item]],tbShoppingList[],1,FALSE),"")&lt;&gt;"","Yes","")</f>
        <v/>
      </c>
    </row>
    <row r="47" spans="2:12" s="2" customFormat="1" ht="27.95" hidden="1" customHeight="1" x14ac:dyDescent="0.25">
      <c r="B47" s="2" t="str">
        <f>_xlfn.CONCAT(tbSellers[[#This Row],[Station]],tbSellers[[#This Row],[Item]])</f>
        <v>Paddoc-KehaUranium</v>
      </c>
      <c r="C47" s="8" t="s">
        <v>99</v>
      </c>
      <c r="D47" s="14" t="s">
        <v>57</v>
      </c>
      <c r="E47" s="7">
        <f>VLOOKUP(tbSellers[[#This Row],[Item]],tbMaterials[],4,FALSE)</f>
        <v>62</v>
      </c>
      <c r="F47" s="40">
        <v>1</v>
      </c>
      <c r="G47" s="47">
        <v>44030</v>
      </c>
      <c r="H47" s="70" t="str">
        <f>IF(_xlfn.IFNA(VLOOKUP(tbSellers[[#This Row],[Item]],tbShoppingList[],1,FALSE),"")&lt;&gt;"","Yes","")</f>
        <v/>
      </c>
    </row>
    <row r="48" spans="2:12" s="2" customFormat="1" ht="27.95" hidden="1" customHeight="1" x14ac:dyDescent="0.25">
      <c r="B48" s="2" t="str">
        <f>_xlfn.CONCAT(tbSellers[[#This Row],[Station]],tbSellers[[#This Row],[Item]])</f>
        <v>WagormaPlatinum</v>
      </c>
      <c r="C48" s="8" t="s">
        <v>115</v>
      </c>
      <c r="D48" s="14" t="s">
        <v>18</v>
      </c>
      <c r="E48" s="7">
        <f>VLOOKUP(tbSellers[[#This Row],[Item]],tbMaterials[],4,FALSE)</f>
        <v>505</v>
      </c>
      <c r="F48" s="40">
        <v>1</v>
      </c>
      <c r="G48" s="47">
        <v>44029</v>
      </c>
      <c r="H48" s="70" t="str">
        <f>IF(_xlfn.IFNA(VLOOKUP(tbSellers[[#This Row],[Item]],tbShoppingList[],1,FALSE),"")&lt;&gt;"","Yes","")</f>
        <v/>
      </c>
    </row>
    <row r="49" spans="2:8" s="2" customFormat="1" ht="27.95" hidden="1" customHeight="1" x14ac:dyDescent="0.25">
      <c r="B49" s="2" t="str">
        <f>_xlfn.CONCAT(tbSellers[[#This Row],[Station]],tbSellers[[#This Row],[Item]])</f>
        <v>XishuaiPhosphorus</v>
      </c>
      <c r="C49" s="2" t="s">
        <v>95</v>
      </c>
      <c r="D49" s="14" t="s">
        <v>34</v>
      </c>
      <c r="E49" s="7">
        <f>VLOOKUP(tbSellers[[#This Row],[Item]],tbMaterials[],4,FALSE)</f>
        <v>62</v>
      </c>
      <c r="F49" s="40">
        <v>1</v>
      </c>
      <c r="G49" s="47">
        <v>44029</v>
      </c>
      <c r="H49" s="70" t="str">
        <f>IF(_xlfn.IFNA(VLOOKUP(tbSellers[[#This Row],[Item]],tbShoppingList[],1,FALSE),"")&lt;&gt;"","Yes","")</f>
        <v/>
      </c>
    </row>
    <row r="50" spans="2:8" s="2" customFormat="1" ht="27.95" hidden="1" customHeight="1" x14ac:dyDescent="0.25">
      <c r="B50" s="2" t="str">
        <f>_xlfn.CONCAT(tbSellers[[#This Row],[Station]],tbSellers[[#This Row],[Item]])</f>
        <v>YendonoMagnetised Ferrite</v>
      </c>
      <c r="C50" s="2" t="s">
        <v>575</v>
      </c>
      <c r="D50" s="14" t="s">
        <v>246</v>
      </c>
      <c r="E50" s="7">
        <f>VLOOKUP(tbSellers[[#This Row],[Item]],tbMaterials[],4,FALSE)</f>
        <v>82</v>
      </c>
      <c r="F50" s="40">
        <v>1</v>
      </c>
      <c r="G50" s="47">
        <v>44029</v>
      </c>
      <c r="H50" s="70" t="str">
        <f>IF(_xlfn.IFNA(VLOOKUP(tbSellers[[#This Row],[Item]],tbShoppingList[],1,FALSE),"")&lt;&gt;"","Yes","")</f>
        <v/>
      </c>
    </row>
    <row r="51" spans="2:8" s="2" customFormat="1" ht="27.95" hidden="1" customHeight="1" x14ac:dyDescent="0.25">
      <c r="B51" s="2" t="str">
        <f>_xlfn.CONCAT(tbSellers[[#This Row],[Station]],tbSellers[[#This Row],[Item]])</f>
        <v>OdaleroChromatic Metal</v>
      </c>
      <c r="C51" s="2" t="s">
        <v>604</v>
      </c>
      <c r="D51" s="14" t="s">
        <v>261</v>
      </c>
      <c r="E51" s="7">
        <f>VLOOKUP(tbSellers[[#This Row],[Item]],tbMaterials[],4,FALSE)</f>
        <v>245</v>
      </c>
      <c r="F51" s="40">
        <v>1</v>
      </c>
      <c r="G51" s="47">
        <v>44030</v>
      </c>
      <c r="H51" s="70" t="str">
        <f>IF(_xlfn.IFNA(VLOOKUP(tbSellers[[#This Row],[Item]],tbShoppingList[],1,FALSE),"")&lt;&gt;"","Yes","")</f>
        <v/>
      </c>
    </row>
    <row r="52" spans="2:8" s="2" customFormat="1" ht="27.95" hidden="1" customHeight="1" x14ac:dyDescent="0.25">
      <c r="B52" s="2" t="str">
        <f>_xlfn.CONCAT(tbSellers[[#This Row],[Station]],tbSellers[[#This Row],[Item]])</f>
        <v>EwiscunGold</v>
      </c>
      <c r="C52" s="2" t="s">
        <v>607</v>
      </c>
      <c r="D52" s="14" t="s">
        <v>24</v>
      </c>
      <c r="E52" s="7">
        <f>VLOOKUP(tbSellers[[#This Row],[Item]],tbMaterials[],4,FALSE)</f>
        <v>353</v>
      </c>
      <c r="F52" s="40">
        <v>1</v>
      </c>
      <c r="G52" s="47"/>
      <c r="H52" s="70" t="str">
        <f>IF(_xlfn.IFNA(VLOOKUP(tbSellers[[#This Row],[Item]],tbShoppingList[],1,FALSE),"")&lt;&gt;"","Yes","")</f>
        <v/>
      </c>
    </row>
    <row r="53" spans="2:8" s="2" customFormat="1" ht="27.95" hidden="1" customHeight="1" x14ac:dyDescent="0.25">
      <c r="B53" s="2" t="str">
        <f>_xlfn.CONCAT(tbSellers[[#This Row],[Station]],tbSellers[[#This Row],[Item]])</f>
        <v>The DojoCobalt</v>
      </c>
      <c r="C53" s="2" t="s">
        <v>665</v>
      </c>
      <c r="D53" s="14" t="s">
        <v>6</v>
      </c>
      <c r="E53" s="7">
        <f>VLOOKUP(tbSellers[[#This Row],[Item]],tbMaterials[],4,FALSE)</f>
        <v>198</v>
      </c>
      <c r="F53" s="40">
        <v>1</v>
      </c>
      <c r="G53" s="47">
        <v>44029</v>
      </c>
      <c r="H53" s="70" t="str">
        <f>IF(_xlfn.IFNA(VLOOKUP(tbSellers[[#This Row],[Item]],tbShoppingList[],1,FALSE),"")&lt;&gt;"","Yes","")</f>
        <v/>
      </c>
    </row>
    <row r="54" spans="2:8" s="2" customFormat="1" ht="27.95" hidden="1" customHeight="1" x14ac:dyDescent="0.25">
      <c r="B54" s="2" t="str">
        <f>_xlfn.CONCAT(tbSellers[[#This Row],[Station]],tbSellers[[#This Row],[Item]])</f>
        <v>Tijoriesth XIVDioxite</v>
      </c>
      <c r="C54" s="2" t="s">
        <v>698</v>
      </c>
      <c r="D54" s="14" t="s">
        <v>72</v>
      </c>
      <c r="E54" s="7">
        <f>VLOOKUP(tbSellers[[#This Row],[Item]],tbMaterials[],4,FALSE)</f>
        <v>62</v>
      </c>
      <c r="F54" s="40">
        <v>1</v>
      </c>
      <c r="G54" s="47">
        <v>44029</v>
      </c>
      <c r="H54" s="70" t="str">
        <f>IF(_xlfn.IFNA(VLOOKUP(tbSellers[[#This Row],[Item]],tbShoppingList[],1,FALSE),"")&lt;&gt;"","Yes","")</f>
        <v/>
      </c>
    </row>
    <row r="55" spans="2:8" s="2" customFormat="1" ht="27.95" hidden="1" customHeight="1" x14ac:dyDescent="0.25">
      <c r="B55" s="2" t="str">
        <f>_xlfn.CONCAT(tbSellers[[#This Row],[Station]],tbSellers[[#This Row],[Item]])</f>
        <v>Arjorda-KugSalt</v>
      </c>
      <c r="C55" s="8" t="s">
        <v>75</v>
      </c>
      <c r="D55" s="14" t="s">
        <v>56</v>
      </c>
      <c r="E55" s="7">
        <f>VLOOKUP(tbSellers[[#This Row],[Item]],tbMaterials[],4,FALSE)</f>
        <v>299</v>
      </c>
      <c r="F55" s="40">
        <v>2</v>
      </c>
      <c r="G55" s="47"/>
      <c r="H55" s="70" t="str">
        <f>IF(_xlfn.IFNA(VLOOKUP(tbSellers[[#This Row],[Item]],tbShoppingList[],1,FALSE),"")&lt;&gt;"","Yes","")</f>
        <v/>
      </c>
    </row>
    <row r="56" spans="2:8" s="2" customFormat="1" ht="27.95" hidden="1" customHeight="1" x14ac:dyDescent="0.25">
      <c r="B56" s="2" t="str">
        <f>_xlfn.CONCAT(tbSellers[[#This Row],[Station]],tbSellers[[#This Row],[Item]])</f>
        <v>AnxiexIonised Cobalt</v>
      </c>
      <c r="C56" s="2" t="s">
        <v>248</v>
      </c>
      <c r="D56" s="14" t="s">
        <v>267</v>
      </c>
      <c r="E56" s="7">
        <f>VLOOKUP(tbSellers[[#This Row],[Item]],tbMaterials[],4,FALSE)</f>
        <v>401</v>
      </c>
      <c r="F56" s="40">
        <v>1</v>
      </c>
      <c r="G56" s="47">
        <v>44030</v>
      </c>
      <c r="H56" s="70" t="str">
        <f>IF(_xlfn.IFNA(VLOOKUP(tbSellers[[#This Row],[Item]],tbShoppingList[],1,FALSE),"")&lt;&gt;"","Yes","")</f>
        <v/>
      </c>
    </row>
    <row r="57" spans="2:8" s="2" customFormat="1" ht="27.95" hidden="1" customHeight="1" x14ac:dyDescent="0.25">
      <c r="B57" s="2" t="str">
        <f>_xlfn.CONCAT(tbSellers[[#This Row],[Station]],tbSellers[[#This Row],[Item]])</f>
        <v>OqoideCobalt</v>
      </c>
      <c r="C57" s="2" t="s">
        <v>114</v>
      </c>
      <c r="D57" s="14" t="s">
        <v>6</v>
      </c>
      <c r="E57" s="7">
        <f>VLOOKUP(tbSellers[[#This Row],[Item]],tbMaterials[],4,FALSE)</f>
        <v>198</v>
      </c>
      <c r="F57" s="40">
        <v>1</v>
      </c>
      <c r="G57" s="47">
        <v>44030</v>
      </c>
      <c r="H57" s="70" t="str">
        <f>IF(_xlfn.IFNA(VLOOKUP(tbSellers[[#This Row],[Item]],tbShoppingList[],1,FALSE),"")&lt;&gt;"","Yes","")</f>
        <v/>
      </c>
    </row>
    <row r="58" spans="2:8" s="2" customFormat="1" ht="27.95" hidden="1" customHeight="1" x14ac:dyDescent="0.25">
      <c r="B58" s="2" t="str">
        <f>_xlfn.CONCAT(tbSellers[[#This Row],[Station]],tbSellers[[#This Row],[Item]])</f>
        <v>Kiheensbo XVIICobalt</v>
      </c>
      <c r="C58" s="2" t="s">
        <v>254</v>
      </c>
      <c r="D58" s="14" t="s">
        <v>6</v>
      </c>
      <c r="E58" s="7">
        <f>VLOOKUP(tbSellers[[#This Row],[Item]],tbMaterials[],4,FALSE)</f>
        <v>198</v>
      </c>
      <c r="F58" s="40">
        <v>1</v>
      </c>
      <c r="G58" s="47">
        <v>44029</v>
      </c>
      <c r="H58" s="70" t="str">
        <f>IF(_xlfn.IFNA(VLOOKUP(tbSellers[[#This Row],[Item]],tbShoppingList[],1,FALSE),"")&lt;&gt;"","Yes","")</f>
        <v/>
      </c>
    </row>
    <row r="59" spans="2:8" s="2" customFormat="1" ht="27.95" hidden="1" customHeight="1" x14ac:dyDescent="0.25">
      <c r="B59" s="2" t="str">
        <f>_xlfn.CONCAT(tbSellers[[#This Row],[Station]],tbSellers[[#This Row],[Item]])</f>
        <v>SeogwipSalt</v>
      </c>
      <c r="C59" s="8" t="s">
        <v>239</v>
      </c>
      <c r="D59" s="14" t="s">
        <v>56</v>
      </c>
      <c r="E59" s="7">
        <f>VLOOKUP(tbSellers[[#This Row],[Item]],tbMaterials[],4,FALSE)</f>
        <v>299</v>
      </c>
      <c r="F59" s="40">
        <v>1</v>
      </c>
      <c r="G59" s="47"/>
      <c r="H59" s="70" t="str">
        <f>IF(_xlfn.IFNA(VLOOKUP(tbSellers[[#This Row],[Item]],tbShoppingList[],1,FALSE),"")&lt;&gt;"","Yes","")</f>
        <v/>
      </c>
    </row>
    <row r="60" spans="2:8" s="2" customFormat="1" ht="27.95" hidden="1" customHeight="1" x14ac:dyDescent="0.25">
      <c r="B60" s="2" t="str">
        <f>_xlfn.CONCAT(tbSellers[[#This Row],[Station]],tbSellers[[#This Row],[Item]])</f>
        <v>PuningtCobalt</v>
      </c>
      <c r="C60" s="2" t="s">
        <v>279</v>
      </c>
      <c r="D60" s="14" t="s">
        <v>6</v>
      </c>
      <c r="E60" s="7">
        <f>VLOOKUP(tbSellers[[#This Row],[Item]],tbMaterials[],4,FALSE)</f>
        <v>198</v>
      </c>
      <c r="F60" s="40">
        <v>1</v>
      </c>
      <c r="G60" s="47">
        <v>44030</v>
      </c>
      <c r="H60" s="70" t="str">
        <f>IF(_xlfn.IFNA(VLOOKUP(tbSellers[[#This Row],[Item]],tbShoppingList[],1,FALSE),"")&lt;&gt;"","Yes","")</f>
        <v/>
      </c>
    </row>
    <row r="61" spans="2:8" s="2" customFormat="1" ht="27.95" hidden="1" customHeight="1" x14ac:dyDescent="0.25">
      <c r="B61" s="2" t="str">
        <f>_xlfn.CONCAT(tbSellers[[#This Row],[Station]],tbSellers[[#This Row],[Item]])</f>
        <v>Paddoc-KehaCobalt</v>
      </c>
      <c r="C61" s="8" t="s">
        <v>99</v>
      </c>
      <c r="D61" s="14" t="s">
        <v>6</v>
      </c>
      <c r="E61" s="7">
        <f>VLOOKUP(tbSellers[[#This Row],[Item]],tbMaterials[],4,FALSE)</f>
        <v>198</v>
      </c>
      <c r="F61" s="40">
        <v>1</v>
      </c>
      <c r="G61" s="47">
        <v>44030</v>
      </c>
      <c r="H61" s="70" t="str">
        <f>IF(_xlfn.IFNA(VLOOKUP(tbSellers[[#This Row],[Item]],tbShoppingList[],1,FALSE),"")&lt;&gt;"","Yes","")</f>
        <v/>
      </c>
    </row>
    <row r="62" spans="2:8" s="2" customFormat="1" ht="27.95" hidden="1" customHeight="1" x14ac:dyDescent="0.25">
      <c r="B62" s="2" t="str">
        <f>_xlfn.CONCAT(tbSellers[[#This Row],[Station]],tbSellers[[#This Row],[Item]])</f>
        <v>RidunxiSalt</v>
      </c>
      <c r="C62" s="2" t="s">
        <v>573</v>
      </c>
      <c r="D62" s="14" t="s">
        <v>56</v>
      </c>
      <c r="E62" s="7">
        <f>VLOOKUP(tbSellers[[#This Row],[Item]],tbMaterials[],4,FALSE)</f>
        <v>299</v>
      </c>
      <c r="F62" s="40">
        <v>2</v>
      </c>
      <c r="G62" s="47"/>
      <c r="H62" s="70" t="str">
        <f>IF(_xlfn.IFNA(VLOOKUP(tbSellers[[#This Row],[Item]],tbShoppingList[],1,FALSE),"")&lt;&gt;"","Yes","")</f>
        <v/>
      </c>
    </row>
    <row r="63" spans="2:8" s="2" customFormat="1" ht="27.95" hidden="1" customHeight="1" x14ac:dyDescent="0.25">
      <c r="B63" s="2" t="str">
        <f>_xlfn.CONCAT(tbSellers[[#This Row],[Station]],tbSellers[[#This Row],[Item]])</f>
        <v>Nuswick-PayeFerrite Dust</v>
      </c>
      <c r="C63" s="2" t="s">
        <v>579</v>
      </c>
      <c r="D63" s="14" t="s">
        <v>12</v>
      </c>
      <c r="E63" s="7">
        <f>VLOOKUP(tbSellers[[#This Row],[Item]],tbMaterials[],4,FALSE)</f>
        <v>14</v>
      </c>
      <c r="F63" s="40">
        <v>1</v>
      </c>
      <c r="G63" s="47">
        <v>44029</v>
      </c>
      <c r="H63" s="70" t="str">
        <f>IF(_xlfn.IFNA(VLOOKUP(tbSellers[[#This Row],[Item]],tbShoppingList[],1,FALSE),"")&lt;&gt;"","Yes","")</f>
        <v/>
      </c>
    </row>
    <row r="64" spans="2:8" s="2" customFormat="1" ht="27.95" hidden="1" customHeight="1" x14ac:dyDescent="0.25">
      <c r="B64" s="2" t="str">
        <f>_xlfn.CONCAT(tbSellers[[#This Row],[Station]],tbSellers[[#This Row],[Item]])</f>
        <v>Nikarep-EtsIonised Cobalt</v>
      </c>
      <c r="C64" s="2" t="s">
        <v>656</v>
      </c>
      <c r="D64" s="14" t="s">
        <v>267</v>
      </c>
      <c r="E64" s="7">
        <f>VLOOKUP(tbSellers[[#This Row],[Item]],tbMaterials[],4,FALSE)</f>
        <v>401</v>
      </c>
      <c r="F64" s="40">
        <v>1</v>
      </c>
      <c r="G64" s="47">
        <v>44030</v>
      </c>
      <c r="H64" s="70" t="str">
        <f>IF(_xlfn.IFNA(VLOOKUP(tbSellers[[#This Row],[Item]],tbShoppingList[],1,FALSE),"")&lt;&gt;"","Yes","")</f>
        <v/>
      </c>
    </row>
    <row r="65" spans="2:10" s="2" customFormat="1" ht="27.95" hidden="1" customHeight="1" x14ac:dyDescent="0.25">
      <c r="B65" s="2" t="str">
        <f>_xlfn.CONCAT(tbSellers[[#This Row],[Station]],tbSellers[[#This Row],[Item]])</f>
        <v>The DojoAmmonia</v>
      </c>
      <c r="C65" s="2" t="s">
        <v>665</v>
      </c>
      <c r="D65" s="14" t="s">
        <v>84</v>
      </c>
      <c r="E65" s="7">
        <f>VLOOKUP(tbSellers[[#This Row],[Item]],tbMaterials[],4,FALSE)</f>
        <v>62</v>
      </c>
      <c r="F65" s="40">
        <v>1</v>
      </c>
      <c r="G65" s="47">
        <v>44029</v>
      </c>
      <c r="H65" s="70" t="str">
        <f>IF(_xlfn.IFNA(VLOOKUP(tbSellers[[#This Row],[Item]],tbShoppingList[],1,FALSE),"")&lt;&gt;"","Yes","")</f>
        <v/>
      </c>
    </row>
    <row r="66" spans="2:10" s="2" customFormat="1" ht="27.95" hidden="1" customHeight="1" x14ac:dyDescent="0.25">
      <c r="B66" s="2" t="str">
        <f>_xlfn.CONCAT(tbSellers[[#This Row],[Station]],tbSellers[[#This Row],[Item]])</f>
        <v>Ancity-NiyhCopper</v>
      </c>
      <c r="C66" s="8" t="s">
        <v>78</v>
      </c>
      <c r="D66" s="14" t="s">
        <v>5</v>
      </c>
      <c r="E66" s="7">
        <f>VLOOKUP(tbSellers[[#This Row],[Item]],tbMaterials[],4,FALSE)</f>
        <v>121</v>
      </c>
      <c r="F66" s="40">
        <v>1</v>
      </c>
      <c r="G66" s="47">
        <v>44030</v>
      </c>
      <c r="H66" s="70" t="str">
        <f>IF(_xlfn.IFNA(VLOOKUP(tbSellers[[#This Row],[Item]],tbShoppingList[],1,FALSE),"")&lt;&gt;"","Yes","")</f>
        <v/>
      </c>
    </row>
    <row r="67" spans="2:10" s="2" customFormat="1" ht="27.95" hidden="1" customHeight="1" x14ac:dyDescent="0.25">
      <c r="B67" s="2" t="str">
        <f>_xlfn.CONCAT(tbSellers[[#This Row],[Station]],tbSellers[[#This Row],[Item]])</f>
        <v>Helkarsh VChromatic Metal</v>
      </c>
      <c r="C67" s="2" t="s">
        <v>272</v>
      </c>
      <c r="D67" s="14" t="s">
        <v>261</v>
      </c>
      <c r="E67" s="7">
        <f>VLOOKUP(tbSellers[[#This Row],[Item]],tbMaterials[],4,FALSE)</f>
        <v>245</v>
      </c>
      <c r="F67" s="40">
        <v>1</v>
      </c>
      <c r="G67" s="47">
        <v>44016</v>
      </c>
      <c r="H67" s="70" t="str">
        <f>IF(_xlfn.IFNA(VLOOKUP(tbSellers[[#This Row],[Item]],tbShoppingList[],1,FALSE),"")&lt;&gt;"","Yes","")</f>
        <v/>
      </c>
    </row>
    <row r="68" spans="2:10" s="2" customFormat="1" ht="27.95" hidden="1" customHeight="1" x14ac:dyDescent="0.25">
      <c r="B68" s="2" t="str">
        <f>_xlfn.CONCAT(tbSellers[[#This Row],[Station]],tbSellers[[#This Row],[Item]])</f>
        <v>NokungbPhosphorus</v>
      </c>
      <c r="C68" s="2" t="s">
        <v>271</v>
      </c>
      <c r="D68" s="14" t="s">
        <v>34</v>
      </c>
      <c r="E68" s="7">
        <f>VLOOKUP(tbSellers[[#This Row],[Item]],tbMaterials[],4,FALSE)</f>
        <v>62</v>
      </c>
      <c r="F68" s="40">
        <v>1</v>
      </c>
      <c r="G68" s="47">
        <v>44029</v>
      </c>
      <c r="H68" s="70" t="str">
        <f>IF(_xlfn.IFNA(VLOOKUP(tbSellers[[#This Row],[Item]],tbShoppingList[],1,FALSE),"")&lt;&gt;"","Yes","")</f>
        <v/>
      </c>
    </row>
    <row r="69" spans="2:10" s="2" customFormat="1" ht="27.95" hidden="1" customHeight="1" x14ac:dyDescent="0.25">
      <c r="B69" s="2" t="str">
        <f>_xlfn.CONCAT(tbSellers[[#This Row],[Station]],tbSellers[[#This Row],[Item]])</f>
        <v>Paddoc-KehaTritium</v>
      </c>
      <c r="C69" s="8" t="s">
        <v>99</v>
      </c>
      <c r="D69" s="14" t="s">
        <v>25</v>
      </c>
      <c r="E69" s="7">
        <f>VLOOKUP(tbSellers[[#This Row],[Item]],tbMaterials[],4,FALSE)</f>
        <v>6</v>
      </c>
      <c r="F69" s="40">
        <v>1</v>
      </c>
      <c r="G69" s="47">
        <v>44030</v>
      </c>
      <c r="H69" s="70" t="str">
        <f>IF(_xlfn.IFNA(VLOOKUP(tbSellers[[#This Row],[Item]],tbShoppingList[],1,FALSE),"")&lt;&gt;"","Yes","")</f>
        <v>Yes</v>
      </c>
    </row>
    <row r="70" spans="2:10" s="2" customFormat="1" ht="27.95" hidden="1" customHeight="1" x14ac:dyDescent="0.25">
      <c r="B70" s="2" t="str">
        <f>_xlfn.CONCAT(tbSellers[[#This Row],[Station]],tbSellers[[#This Row],[Item]])</f>
        <v>XishuanqChromatic Metal</v>
      </c>
      <c r="C70" s="8" t="s">
        <v>98</v>
      </c>
      <c r="D70" s="14" t="s">
        <v>261</v>
      </c>
      <c r="E70" s="7">
        <f>VLOOKUP(tbSellers[[#This Row],[Item]],tbMaterials[],4,FALSE)</f>
        <v>245</v>
      </c>
      <c r="F70" s="40">
        <v>1</v>
      </c>
      <c r="G70" s="47">
        <v>44016</v>
      </c>
      <c r="H70" s="70" t="str">
        <f>IF(_xlfn.IFNA(VLOOKUP(tbSellers[[#This Row],[Item]],tbShoppingList[],1,FALSE),"")&lt;&gt;"","Yes","")</f>
        <v/>
      </c>
    </row>
    <row r="71" spans="2:10" s="2" customFormat="1" ht="27.95" hidden="1" customHeight="1" x14ac:dyDescent="0.25">
      <c r="B71" s="2" t="str">
        <f>_xlfn.CONCAT(tbSellers[[#This Row],[Station]],tbSellers[[#This Row],[Item]])</f>
        <v>RekamadinDioxite</v>
      </c>
      <c r="C71" s="2" t="s">
        <v>591</v>
      </c>
      <c r="D71" s="14" t="s">
        <v>72</v>
      </c>
      <c r="E71" s="7">
        <f>VLOOKUP(tbSellers[[#This Row],[Item]],tbMaterials[],4,FALSE)</f>
        <v>62</v>
      </c>
      <c r="F71" s="40">
        <v>1</v>
      </c>
      <c r="G71" s="47">
        <v>44029</v>
      </c>
      <c r="H71" s="70" t="str">
        <f>IF(_xlfn.IFNA(VLOOKUP(tbSellers[[#This Row],[Item]],tbShoppingList[],1,FALSE),"")&lt;&gt;"","Yes","")</f>
        <v/>
      </c>
    </row>
    <row r="72" spans="2:10" s="2" customFormat="1" ht="27.95" hidden="1" customHeight="1" x14ac:dyDescent="0.25">
      <c r="B72" s="2" t="str">
        <f>_xlfn.CONCAT(tbSellers[[#This Row],[Station]],tbSellers[[#This Row],[Item]])</f>
        <v>EgarondoChromatic Metal</v>
      </c>
      <c r="C72" s="8" t="s">
        <v>74</v>
      </c>
      <c r="D72" s="14" t="s">
        <v>261</v>
      </c>
      <c r="E72" s="7">
        <f>VLOOKUP(tbSellers[[#This Row],[Item]],tbMaterials[],4,FALSE)</f>
        <v>245</v>
      </c>
      <c r="F72" s="40">
        <v>1</v>
      </c>
      <c r="G72" s="47">
        <v>44016</v>
      </c>
      <c r="H72" s="70" t="str">
        <f>IF(_xlfn.IFNA(VLOOKUP(tbSellers[[#This Row],[Item]],tbShoppingList[],1,FALSE),"")&lt;&gt;"","Yes","")</f>
        <v/>
      </c>
    </row>
    <row r="73" spans="2:10" s="2" customFormat="1" ht="27.95" hidden="1" customHeight="1" x14ac:dyDescent="0.25">
      <c r="B73" s="2" t="str">
        <f>_xlfn.CONCAT(tbSellers[[#This Row],[Station]],tbSellers[[#This Row],[Item]])</f>
        <v>AnxiexPhosphorus</v>
      </c>
      <c r="C73" s="2" t="s">
        <v>248</v>
      </c>
      <c r="D73" s="14" t="s">
        <v>34</v>
      </c>
      <c r="E73" s="7">
        <f>VLOOKUP(tbSellers[[#This Row],[Item]],tbMaterials[],4,FALSE)</f>
        <v>62</v>
      </c>
      <c r="F73" s="40">
        <v>1</v>
      </c>
      <c r="G73" s="47">
        <v>44030</v>
      </c>
      <c r="H73" s="70" t="str">
        <f>IF(_xlfn.IFNA(VLOOKUP(tbSellers[[#This Row],[Item]],tbShoppingList[],1,FALSE),"")&lt;&gt;"","Yes","")</f>
        <v/>
      </c>
    </row>
    <row r="74" spans="2:10" s="2" customFormat="1" ht="27.95" hidden="1" customHeight="1" x14ac:dyDescent="0.25">
      <c r="B74" s="2" t="str">
        <f>_xlfn.CONCAT(tbSellers[[#This Row],[Station]],tbSellers[[#This Row],[Item]])</f>
        <v>AlhaimChromatic Metal</v>
      </c>
      <c r="C74" s="2" t="s">
        <v>270</v>
      </c>
      <c r="D74" s="14" t="s">
        <v>261</v>
      </c>
      <c r="E74" s="7">
        <f>VLOOKUP(tbSellers[[#This Row],[Item]],tbMaterials[],4,FALSE)</f>
        <v>245</v>
      </c>
      <c r="F74" s="40">
        <v>1</v>
      </c>
      <c r="G74" s="47">
        <v>44016</v>
      </c>
      <c r="H74" s="70" t="str">
        <f>IF(_xlfn.IFNA(VLOOKUP(tbSellers[[#This Row],[Item]],tbShoppingList[],1,FALSE),"")&lt;&gt;"","Yes","")</f>
        <v/>
      </c>
    </row>
    <row r="75" spans="2:10" s="2" customFormat="1" ht="27.95" hidden="1" customHeight="1" x14ac:dyDescent="0.25">
      <c r="B75" s="2" t="str">
        <f>_xlfn.CONCAT(tbSellers[[#This Row],[Station]],tbSellers[[#This Row],[Item]])</f>
        <v>RidunxiChromatic Metal</v>
      </c>
      <c r="C75" s="2" t="s">
        <v>573</v>
      </c>
      <c r="D75" s="14" t="s">
        <v>261</v>
      </c>
      <c r="E75" s="7">
        <f>VLOOKUP(tbSellers[[#This Row],[Item]],tbMaterials[],4,FALSE)</f>
        <v>245</v>
      </c>
      <c r="F75" s="40">
        <v>1</v>
      </c>
      <c r="G75" s="47">
        <v>44016</v>
      </c>
      <c r="H75" s="70" t="str">
        <f>IF(_xlfn.IFNA(VLOOKUP(tbSellers[[#This Row],[Item]],tbShoppingList[],1,FALSE),"")&lt;&gt;"","Yes","")</f>
        <v/>
      </c>
    </row>
    <row r="76" spans="2:10" s="2" customFormat="1" ht="27.95" hidden="1" customHeight="1" x14ac:dyDescent="0.25">
      <c r="B76" s="2" t="str">
        <f>_xlfn.CONCAT(tbSellers[[#This Row],[Station]],tbSellers[[#This Row],[Item]])</f>
        <v>YendonoIonised Cobalt</v>
      </c>
      <c r="C76" s="2" t="s">
        <v>575</v>
      </c>
      <c r="D76" s="14" t="s">
        <v>267</v>
      </c>
      <c r="E76" s="7">
        <f>VLOOKUP(tbSellers[[#This Row],[Item]],tbMaterials[],4,FALSE)</f>
        <v>401</v>
      </c>
      <c r="F76" s="40">
        <v>1</v>
      </c>
      <c r="G76" s="47">
        <v>44029</v>
      </c>
      <c r="H76" s="70" t="str">
        <f>IF(_xlfn.IFNA(VLOOKUP(tbSellers[[#This Row],[Item]],tbShoppingList[],1,FALSE),"")&lt;&gt;"","Yes","")</f>
        <v/>
      </c>
    </row>
    <row r="77" spans="2:10" s="2" customFormat="1" ht="27.95" hidden="1" customHeight="1" x14ac:dyDescent="0.25">
      <c r="B77" s="2" t="str">
        <f>_xlfn.CONCAT(tbSellers[[#This Row],[Station]],tbSellers[[#This Row],[Item]])</f>
        <v>OdaleroCobalt</v>
      </c>
      <c r="C77" s="2" t="s">
        <v>604</v>
      </c>
      <c r="D77" s="14" t="s">
        <v>6</v>
      </c>
      <c r="E77" s="7">
        <f>VLOOKUP(tbSellers[[#This Row],[Item]],tbMaterials[],4,FALSE)</f>
        <v>198</v>
      </c>
      <c r="F77" s="40">
        <v>1</v>
      </c>
      <c r="G77" s="47">
        <v>44030</v>
      </c>
      <c r="H77" s="70" t="str">
        <f>IF(_xlfn.IFNA(VLOOKUP(tbSellers[[#This Row],[Item]],tbShoppingList[],1,FALSE),"")&lt;&gt;"","Yes","")</f>
        <v/>
      </c>
    </row>
    <row r="78" spans="2:10" s="2" customFormat="1" ht="27.95" hidden="1" customHeight="1" x14ac:dyDescent="0.25">
      <c r="B78" s="2" t="str">
        <f>_xlfn.CONCAT(tbSellers[[#This Row],[Station]],tbSellers[[#This Row],[Item]])</f>
        <v>DohoeniaCobalt</v>
      </c>
      <c r="C78" s="2" t="s">
        <v>608</v>
      </c>
      <c r="D78" s="14" t="s">
        <v>6</v>
      </c>
      <c r="E78" s="7">
        <f>VLOOKUP(tbSellers[[#This Row],[Item]],tbMaterials[],4,FALSE)</f>
        <v>198</v>
      </c>
      <c r="F78" s="40">
        <v>1</v>
      </c>
      <c r="G78" s="47">
        <v>44029</v>
      </c>
      <c r="H78" s="70" t="str">
        <f>IF(_xlfn.IFNA(VLOOKUP(tbSellers[[#This Row],[Item]],tbShoppingList[],1,FALSE),"")&lt;&gt;"","Yes","")</f>
        <v/>
      </c>
    </row>
    <row r="79" spans="2:10" s="2" customFormat="1" ht="27.95" hidden="1" customHeight="1" x14ac:dyDescent="0.25">
      <c r="B79" s="2" t="str">
        <f>_xlfn.CONCAT(tbSellers[[#This Row],[Station]],tbSellers[[#This Row],[Item]])</f>
        <v>The DojoUranium</v>
      </c>
      <c r="C79" s="2" t="s">
        <v>665</v>
      </c>
      <c r="D79" s="14" t="s">
        <v>57</v>
      </c>
      <c r="E79" s="7">
        <f>VLOOKUP(tbSellers[[#This Row],[Item]],tbMaterials[],4,FALSE)</f>
        <v>62</v>
      </c>
      <c r="F79" s="40">
        <v>1</v>
      </c>
      <c r="G79" s="47">
        <v>44029</v>
      </c>
      <c r="H79" s="70" t="str">
        <f>IF(_xlfn.IFNA(VLOOKUP(tbSellers[[#This Row],[Item]],tbShoppingList[],1,FALSE),"")&lt;&gt;"","Yes","")</f>
        <v/>
      </c>
      <c r="I79" s="4"/>
      <c r="J79" s="22"/>
    </row>
    <row r="80" spans="2:10" s="2" customFormat="1" ht="27.95" hidden="1" customHeight="1" x14ac:dyDescent="0.25">
      <c r="B80" s="2" t="str">
        <f>_xlfn.CONCAT(tbSellers[[#This Row],[Station]],tbSellers[[#This Row],[Item]])</f>
        <v>Tijoriesth XIVAmmonia</v>
      </c>
      <c r="C80" s="2" t="s">
        <v>698</v>
      </c>
      <c r="D80" s="14" t="s">
        <v>84</v>
      </c>
      <c r="E80" s="7">
        <f>VLOOKUP(tbSellers[[#This Row],[Item]],tbMaterials[],4,FALSE)</f>
        <v>62</v>
      </c>
      <c r="F80" s="40">
        <v>1</v>
      </c>
      <c r="G80" s="47">
        <v>44029</v>
      </c>
      <c r="H80" s="70" t="str">
        <f>IF(_xlfn.IFNA(VLOOKUP(tbSellers[[#This Row],[Item]],tbShoppingList[],1,FALSE),"")&lt;&gt;"","Yes","")</f>
        <v/>
      </c>
      <c r="I80" s="4"/>
      <c r="J80" s="22"/>
    </row>
    <row r="81" spans="2:10" s="2" customFormat="1" ht="27.95" hidden="1" customHeight="1" x14ac:dyDescent="0.25">
      <c r="B81" s="2" t="str">
        <f>_xlfn.CONCAT(tbSellers[[#This Row],[Station]],tbSellers[[#This Row],[Item]])</f>
        <v>HadzananChromatic Metal</v>
      </c>
      <c r="C81" s="2" t="s">
        <v>731</v>
      </c>
      <c r="D81" s="14" t="s">
        <v>261</v>
      </c>
      <c r="E81" s="7">
        <f>VLOOKUP(tbSellers[[#This Row],[Item]],tbMaterials[],4,FALSE)</f>
        <v>245</v>
      </c>
      <c r="F81" s="40">
        <v>2</v>
      </c>
      <c r="G81" s="47"/>
      <c r="H81" s="70" t="str">
        <f>IF(_xlfn.IFNA(VLOOKUP(tbSellers[[#This Row],[Item]],tbShoppingList[],1,FALSE),"")&lt;&gt;"","Yes","")</f>
        <v/>
      </c>
      <c r="I81" s="4"/>
      <c r="J81" s="22"/>
    </row>
    <row r="82" spans="2:10" s="2" customFormat="1" ht="27.95" hidden="1" customHeight="1" x14ac:dyDescent="0.25">
      <c r="B82" s="2" t="str">
        <f>_xlfn.CONCAT(tbSellers[[#This Row],[Station]],tbSellers[[#This Row],[Item]])</f>
        <v>AxinweCobalt</v>
      </c>
      <c r="C82" s="8" t="s">
        <v>771</v>
      </c>
      <c r="D82" s="14" t="s">
        <v>6</v>
      </c>
      <c r="E82" s="7">
        <f>VLOOKUP(tbSellers[[#This Row],[Item]],tbMaterials[],4,FALSE)</f>
        <v>198</v>
      </c>
      <c r="F82" s="40">
        <v>1</v>
      </c>
      <c r="G82" s="47"/>
      <c r="H82" s="70" t="str">
        <f>IF(_xlfn.IFNA(VLOOKUP(tbSellers[[#This Row],[Item]],tbShoppingList[],1,FALSE),"")&lt;&gt;"","Yes","")</f>
        <v/>
      </c>
      <c r="I82" s="4"/>
      <c r="J82" s="22"/>
    </row>
    <row r="83" spans="2:10" s="2" customFormat="1" ht="27.95" hidden="1" customHeight="1" x14ac:dyDescent="0.25">
      <c r="B83" s="2" t="str">
        <f>_xlfn.CONCAT(tbSellers[[#This Row],[Station]],tbSellers[[#This Row],[Item]])</f>
        <v>Ancity-NiyhCobalt</v>
      </c>
      <c r="C83" s="8" t="s">
        <v>78</v>
      </c>
      <c r="D83" s="14" t="s">
        <v>6</v>
      </c>
      <c r="E83" s="7">
        <f>VLOOKUP(tbSellers[[#This Row],[Item]],tbMaterials[],4,FALSE)</f>
        <v>198</v>
      </c>
      <c r="F83" s="40">
        <v>1</v>
      </c>
      <c r="G83" s="47">
        <v>44030</v>
      </c>
      <c r="H83" s="70" t="str">
        <f>IF(_xlfn.IFNA(VLOOKUP(tbSellers[[#This Row],[Item]],tbShoppingList[],1,FALSE),"")&lt;&gt;"","Yes","")</f>
        <v/>
      </c>
      <c r="I83" s="4"/>
      <c r="J83" s="22"/>
    </row>
    <row r="84" spans="2:10" s="2" customFormat="1" ht="27.95" hidden="1" customHeight="1" x14ac:dyDescent="0.25">
      <c r="B84" s="2" t="str">
        <f>_xlfn.CONCAT(tbSellers[[#This Row],[Station]],tbSellers[[#This Row],[Item]])</f>
        <v>Helkarsh VCobalt</v>
      </c>
      <c r="C84" s="2" t="s">
        <v>272</v>
      </c>
      <c r="D84" s="14" t="s">
        <v>6</v>
      </c>
      <c r="E84" s="7">
        <f>VLOOKUP(tbSellers[[#This Row],[Item]],tbMaterials[],4,FALSE)</f>
        <v>198</v>
      </c>
      <c r="F84" s="40">
        <v>1</v>
      </c>
      <c r="G84" s="47">
        <v>44018</v>
      </c>
      <c r="H84" s="70" t="str">
        <f>IF(_xlfn.IFNA(VLOOKUP(tbSellers[[#This Row],[Item]],tbShoppingList[],1,FALSE),"")&lt;&gt;"","Yes","")</f>
        <v/>
      </c>
      <c r="I84" s="4"/>
      <c r="J84" s="22"/>
    </row>
    <row r="85" spans="2:10" s="2" customFormat="1" ht="27.95" hidden="1" customHeight="1" x14ac:dyDescent="0.25">
      <c r="B85" s="2" t="str">
        <f>_xlfn.CONCAT(tbSellers[[#This Row],[Station]],tbSellers[[#This Row],[Item]])</f>
        <v>Kiheensbo XVIIPugneum</v>
      </c>
      <c r="C85" s="2" t="s">
        <v>254</v>
      </c>
      <c r="D85" s="14" t="s">
        <v>262</v>
      </c>
      <c r="E85" s="7">
        <f>VLOOKUP(tbSellers[[#This Row],[Item]],tbMaterials[],4,FALSE)</f>
        <v>138</v>
      </c>
      <c r="F85" s="40">
        <v>1</v>
      </c>
      <c r="G85" s="47">
        <v>44029</v>
      </c>
      <c r="H85" s="70" t="str">
        <f>IF(_xlfn.IFNA(VLOOKUP(tbSellers[[#This Row],[Item]],tbShoppingList[],1,FALSE),"")&lt;&gt;"","Yes","")</f>
        <v/>
      </c>
      <c r="I85" s="4"/>
      <c r="J85" s="22"/>
    </row>
    <row r="86" spans="2:10" s="2" customFormat="1" ht="27.95" hidden="1" customHeight="1" x14ac:dyDescent="0.25">
      <c r="B86" s="2" t="str">
        <f>_xlfn.CONCAT(tbSellers[[#This Row],[Station]],tbSellers[[#This Row],[Item]])</f>
        <v>Nancangz XVDioxite</v>
      </c>
      <c r="C86" s="8" t="s">
        <v>54</v>
      </c>
      <c r="D86" s="14" t="s">
        <v>72</v>
      </c>
      <c r="E86" s="7">
        <f>VLOOKUP(tbSellers[[#This Row],[Item]],tbMaterials[],4,FALSE)</f>
        <v>62</v>
      </c>
      <c r="F86" s="40">
        <v>1</v>
      </c>
      <c r="G86" s="47">
        <v>44030</v>
      </c>
      <c r="H86" s="70" t="str">
        <f>IF(_xlfn.IFNA(VLOOKUP(tbSellers[[#This Row],[Item]],tbShoppingList[],1,FALSE),"")&lt;&gt;"","Yes","")</f>
        <v/>
      </c>
      <c r="I86" s="4"/>
      <c r="J86" s="22"/>
    </row>
    <row r="87" spans="2:10" s="2" customFormat="1" ht="27.95" hidden="1" customHeight="1" x14ac:dyDescent="0.25">
      <c r="B87" s="2" t="str">
        <f>_xlfn.CONCAT(tbSellers[[#This Row],[Station]],tbSellers[[#This Row],[Item]])</f>
        <v>NokungbCobalt</v>
      </c>
      <c r="C87" s="2" t="s">
        <v>271</v>
      </c>
      <c r="D87" s="14" t="s">
        <v>6</v>
      </c>
      <c r="E87" s="7">
        <f>VLOOKUP(tbSellers[[#This Row],[Item]],tbMaterials[],4,FALSE)</f>
        <v>198</v>
      </c>
      <c r="F87" s="40">
        <v>1</v>
      </c>
      <c r="G87" s="47">
        <v>44029</v>
      </c>
      <c r="H87" s="70" t="str">
        <f>IF(_xlfn.IFNA(VLOOKUP(tbSellers[[#This Row],[Item]],tbShoppingList[],1,FALSE),"")&lt;&gt;"","Yes","")</f>
        <v/>
      </c>
      <c r="I87" s="4"/>
      <c r="J87" s="22"/>
    </row>
    <row r="88" spans="2:10" s="2" customFormat="1" ht="27.95" hidden="1" customHeight="1" x14ac:dyDescent="0.25">
      <c r="B88" s="2" t="str">
        <f>_xlfn.CONCAT(tbSellers[[#This Row],[Station]],tbSellers[[#This Row],[Item]])</f>
        <v>Paddoc-KehaSalt</v>
      </c>
      <c r="C88" s="8" t="s">
        <v>99</v>
      </c>
      <c r="D88" s="14" t="s">
        <v>56</v>
      </c>
      <c r="E88" s="7">
        <f>VLOOKUP(tbSellers[[#This Row],[Item]],tbMaterials[],4,FALSE)</f>
        <v>299</v>
      </c>
      <c r="F88" s="40">
        <v>1</v>
      </c>
      <c r="G88" s="47">
        <v>44030</v>
      </c>
      <c r="H88" s="70" t="str">
        <f>IF(_xlfn.IFNA(VLOOKUP(tbSellers[[#This Row],[Item]],tbShoppingList[],1,FALSE),"")&lt;&gt;"","Yes","")</f>
        <v/>
      </c>
      <c r="I88" s="4"/>
      <c r="J88" s="22"/>
    </row>
    <row r="89" spans="2:10" s="2" customFormat="1" ht="27.95" hidden="1" customHeight="1" x14ac:dyDescent="0.25">
      <c r="B89" s="2" t="str">
        <f>_xlfn.CONCAT(tbSellers[[#This Row],[Station]],tbSellers[[#This Row],[Item]])</f>
        <v>PuningtSodium</v>
      </c>
      <c r="C89" s="2" t="s">
        <v>279</v>
      </c>
      <c r="D89" s="14" t="s">
        <v>9</v>
      </c>
      <c r="E89" s="7">
        <f>VLOOKUP(tbSellers[[#This Row],[Item]],tbMaterials[],4,FALSE)</f>
        <v>41</v>
      </c>
      <c r="F89" s="40">
        <v>1</v>
      </c>
      <c r="G89" s="47">
        <v>44030</v>
      </c>
      <c r="H89" s="70" t="str">
        <f>IF(_xlfn.IFNA(VLOOKUP(tbSellers[[#This Row],[Item]],tbShoppingList[],1,FALSE),"")&lt;&gt;"","Yes","")</f>
        <v/>
      </c>
      <c r="I89" s="4"/>
      <c r="J89" s="22"/>
    </row>
    <row r="90" spans="2:10" s="2" customFormat="1" ht="27.95" hidden="1" customHeight="1" x14ac:dyDescent="0.25">
      <c r="B90" s="2" t="str">
        <f>_xlfn.CONCAT(tbSellers[[#This Row],[Station]],tbSellers[[#This Row],[Item]])</f>
        <v>SeogwipCobalt</v>
      </c>
      <c r="C90" s="8" t="s">
        <v>239</v>
      </c>
      <c r="D90" s="14" t="s">
        <v>6</v>
      </c>
      <c r="E90" s="7">
        <f>VLOOKUP(tbSellers[[#This Row],[Item]],tbMaterials[],4,FALSE)</f>
        <v>198</v>
      </c>
      <c r="F90" s="40">
        <v>1</v>
      </c>
      <c r="G90" s="47">
        <v>44018</v>
      </c>
      <c r="H90" s="70" t="str">
        <f>IF(_xlfn.IFNA(VLOOKUP(tbSellers[[#This Row],[Item]],tbShoppingList[],1,FALSE),"")&lt;&gt;"","Yes","")</f>
        <v/>
      </c>
      <c r="I90" s="4"/>
      <c r="J90" s="22"/>
    </row>
    <row r="91" spans="2:10" s="2" customFormat="1" ht="27.95" hidden="1" customHeight="1" x14ac:dyDescent="0.25">
      <c r="B91" s="2" t="str">
        <f>_xlfn.CONCAT(tbSellers[[#This Row],[Station]],tbSellers[[#This Row],[Item]])</f>
        <v>Ubzhan-Reg VCobalt</v>
      </c>
      <c r="C91" s="2" t="s">
        <v>120</v>
      </c>
      <c r="D91" s="14" t="s">
        <v>6</v>
      </c>
      <c r="E91" s="7">
        <f>VLOOKUP(tbSellers[[#This Row],[Item]],tbMaterials[],4,FALSE)</f>
        <v>198</v>
      </c>
      <c r="F91" s="40">
        <v>1</v>
      </c>
      <c r="G91" s="47"/>
      <c r="H91" s="70" t="str">
        <f>IF(_xlfn.IFNA(VLOOKUP(tbSellers[[#This Row],[Item]],tbShoppingList[],1,FALSE),"")&lt;&gt;"","Yes","")</f>
        <v/>
      </c>
      <c r="I91" s="4"/>
      <c r="J91" s="22"/>
    </row>
    <row r="92" spans="2:10" s="2" customFormat="1" ht="27.95" hidden="1" customHeight="1" x14ac:dyDescent="0.25">
      <c r="B92" s="2" t="str">
        <f>_xlfn.CONCAT(tbSellers[[#This Row],[Station]],tbSellers[[#This Row],[Item]])</f>
        <v>Urumqi XVCobalt</v>
      </c>
      <c r="C92" s="2" t="s">
        <v>116</v>
      </c>
      <c r="D92" s="14" t="s">
        <v>6</v>
      </c>
      <c r="E92" s="7">
        <f>VLOOKUP(tbSellers[[#This Row],[Item]],tbMaterials[],4,FALSE)</f>
        <v>198</v>
      </c>
      <c r="F92" s="40">
        <v>1</v>
      </c>
      <c r="G92" s="47">
        <v>44018</v>
      </c>
      <c r="H92" s="70" t="str">
        <f>IF(_xlfn.IFNA(VLOOKUP(tbSellers[[#This Row],[Item]],tbShoppingList[],1,FALSE),"")&lt;&gt;"","Yes","")</f>
        <v/>
      </c>
      <c r="I92" s="4"/>
      <c r="J92" s="22"/>
    </row>
    <row r="93" spans="2:10" s="2" customFormat="1" ht="27.95" hidden="1" customHeight="1" x14ac:dyDescent="0.25">
      <c r="B93" s="2" t="str">
        <f>_xlfn.CONCAT(tbSellers[[#This Row],[Station]],tbSellers[[#This Row],[Item]])</f>
        <v>WagormaCobalt</v>
      </c>
      <c r="C93" s="8" t="s">
        <v>115</v>
      </c>
      <c r="D93" s="14" t="s">
        <v>6</v>
      </c>
      <c r="E93" s="7">
        <f>VLOOKUP(tbSellers[[#This Row],[Item]],tbMaterials[],4,FALSE)</f>
        <v>198</v>
      </c>
      <c r="F93" s="40">
        <v>1</v>
      </c>
      <c r="G93" s="47">
        <v>44029</v>
      </c>
      <c r="H93" s="70" t="str">
        <f>IF(_xlfn.IFNA(VLOOKUP(tbSellers[[#This Row],[Item]],tbShoppingList[],1,FALSE),"")&lt;&gt;"","Yes","")</f>
        <v/>
      </c>
      <c r="I93" s="4"/>
      <c r="J93" s="22"/>
    </row>
    <row r="94" spans="2:10" s="2" customFormat="1" ht="27.95" hidden="1" customHeight="1" x14ac:dyDescent="0.25">
      <c r="B94" s="2" t="str">
        <f>_xlfn.CONCAT(tbSellers[[#This Row],[Station]],tbSellers[[#This Row],[Item]])</f>
        <v>XishuaiCobalt</v>
      </c>
      <c r="C94" s="2" t="s">
        <v>95</v>
      </c>
      <c r="D94" s="14" t="s">
        <v>6</v>
      </c>
      <c r="E94" s="7">
        <f>VLOOKUP(tbSellers[[#This Row],[Item]],tbMaterials[],4,FALSE)</f>
        <v>198</v>
      </c>
      <c r="F94" s="40">
        <v>1</v>
      </c>
      <c r="G94" s="47">
        <v>44029</v>
      </c>
      <c r="H94" s="70" t="str">
        <f>IF(_xlfn.IFNA(VLOOKUP(tbSellers[[#This Row],[Item]],tbShoppingList[],1,FALSE),"")&lt;&gt;"","Yes","")</f>
        <v/>
      </c>
      <c r="I94" s="4"/>
      <c r="J94" s="22"/>
    </row>
    <row r="95" spans="2:10" s="2" customFormat="1" ht="27.95" hidden="1" customHeight="1" x14ac:dyDescent="0.25">
      <c r="B95" s="2" t="str">
        <f>_xlfn.CONCAT(tbSellers[[#This Row],[Station]],tbSellers[[#This Row],[Item]])</f>
        <v>RekamadinFerrite Dust</v>
      </c>
      <c r="C95" s="2" t="s">
        <v>591</v>
      </c>
      <c r="D95" s="14" t="s">
        <v>12</v>
      </c>
      <c r="E95" s="7">
        <f>VLOOKUP(tbSellers[[#This Row],[Item]],tbMaterials[],4,FALSE)</f>
        <v>14</v>
      </c>
      <c r="F95" s="40">
        <v>1</v>
      </c>
      <c r="G95" s="47">
        <v>44029</v>
      </c>
      <c r="H95" s="70" t="str">
        <f>IF(_xlfn.IFNA(VLOOKUP(tbSellers[[#This Row],[Item]],tbShoppingList[],1,FALSE),"")&lt;&gt;"","Yes","")</f>
        <v/>
      </c>
      <c r="I95" s="4"/>
      <c r="J95" s="22"/>
    </row>
    <row r="96" spans="2:10" s="2" customFormat="1" ht="27.95" hidden="1" customHeight="1" x14ac:dyDescent="0.25">
      <c r="B96" s="2" t="str">
        <f>_xlfn.CONCAT(tbSellers[[#This Row],[Station]],tbSellers[[#This Row],[Item]])</f>
        <v>XishuanqCobalt</v>
      </c>
      <c r="C96" s="8" t="s">
        <v>98</v>
      </c>
      <c r="D96" s="14" t="s">
        <v>6</v>
      </c>
      <c r="E96" s="7">
        <f>VLOOKUP(tbSellers[[#This Row],[Item]],tbMaterials[],4,FALSE)</f>
        <v>198</v>
      </c>
      <c r="F96" s="40">
        <v>1</v>
      </c>
      <c r="G96" s="47">
        <v>44018</v>
      </c>
      <c r="H96" s="70" t="str">
        <f>IF(_xlfn.IFNA(VLOOKUP(tbSellers[[#This Row],[Item]],tbShoppingList[],1,FALSE),"")&lt;&gt;"","Yes","")</f>
        <v/>
      </c>
      <c r="I96" s="4"/>
      <c r="J96" s="22"/>
    </row>
    <row r="97" spans="2:10" s="2" customFormat="1" ht="27.95" hidden="1" customHeight="1" x14ac:dyDescent="0.25">
      <c r="B97" s="2" t="str">
        <f>_xlfn.CONCAT(tbSellers[[#This Row],[Station]],tbSellers[[#This Row],[Item]])</f>
        <v>Yedexi VIICobalt</v>
      </c>
      <c r="C97" s="8" t="s">
        <v>52</v>
      </c>
      <c r="D97" s="14" t="s">
        <v>6</v>
      </c>
      <c r="E97" s="7">
        <f>VLOOKUP(tbSellers[[#This Row],[Item]],tbMaterials[],4,FALSE)</f>
        <v>198</v>
      </c>
      <c r="F97" s="40">
        <v>1</v>
      </c>
      <c r="G97" s="47">
        <v>44029</v>
      </c>
      <c r="H97" s="70" t="str">
        <f>IF(_xlfn.IFNA(VLOOKUP(tbSellers[[#This Row],[Item]],tbShoppingList[],1,FALSE),"")&lt;&gt;"","Yes","")</f>
        <v/>
      </c>
      <c r="I97" s="4"/>
      <c r="J97" s="22"/>
    </row>
    <row r="98" spans="2:10" s="2" customFormat="1" ht="27.95" hidden="1" customHeight="1" x14ac:dyDescent="0.25">
      <c r="B98" s="2" t="str">
        <f>_xlfn.CONCAT(tbSellers[[#This Row],[Station]],tbSellers[[#This Row],[Item]])</f>
        <v>NalangniCobalt</v>
      </c>
      <c r="C98" s="8" t="s">
        <v>79</v>
      </c>
      <c r="D98" s="14" t="s">
        <v>6</v>
      </c>
      <c r="E98" s="7">
        <f>VLOOKUP(tbSellers[[#This Row],[Item]],tbMaterials[],4,FALSE)</f>
        <v>198</v>
      </c>
      <c r="F98" s="40">
        <v>1</v>
      </c>
      <c r="G98" s="47">
        <v>44030</v>
      </c>
      <c r="H98" s="70" t="str">
        <f>IF(_xlfn.IFNA(VLOOKUP(tbSellers[[#This Row],[Item]],tbShoppingList[],1,FALSE),"")&lt;&gt;"","Yes","")</f>
        <v/>
      </c>
      <c r="I98" s="4"/>
      <c r="J98" s="22"/>
    </row>
    <row r="99" spans="2:10" s="2" customFormat="1" ht="27.95" hidden="1" customHeight="1" x14ac:dyDescent="0.25">
      <c r="B99" s="2" t="str">
        <f>_xlfn.CONCAT(tbSellers[[#This Row],[Station]],tbSellers[[#This Row],[Item]])</f>
        <v>Arjorda-KugCobalt</v>
      </c>
      <c r="C99" s="8" t="s">
        <v>75</v>
      </c>
      <c r="D99" s="14" t="s">
        <v>6</v>
      </c>
      <c r="E99" s="7">
        <f>VLOOKUP(tbSellers[[#This Row],[Item]],tbMaterials[],4,FALSE)</f>
        <v>198</v>
      </c>
      <c r="F99" s="40">
        <v>1</v>
      </c>
      <c r="G99" s="47">
        <v>44018</v>
      </c>
      <c r="H99" s="70" t="str">
        <f>IF(_xlfn.IFNA(VLOOKUP(tbSellers[[#This Row],[Item]],tbShoppingList[],1,FALSE),"")&lt;&gt;"","Yes","")</f>
        <v/>
      </c>
      <c r="I99" s="4"/>
      <c r="J99" s="22"/>
    </row>
    <row r="100" spans="2:10" s="2" customFormat="1" ht="27.95" hidden="1" customHeight="1" x14ac:dyDescent="0.25">
      <c r="B100" s="2" t="str">
        <f>_xlfn.CONCAT(tbSellers[[#This Row],[Station]],tbSellers[[#This Row],[Item]])</f>
        <v>Cuomul-TosGold</v>
      </c>
      <c r="C100" s="2" t="s">
        <v>275</v>
      </c>
      <c r="D100" s="14" t="s">
        <v>24</v>
      </c>
      <c r="E100" s="7">
        <f>VLOOKUP(tbSellers[[#This Row],[Item]],tbMaterials[],4,FALSE)</f>
        <v>353</v>
      </c>
      <c r="F100" s="40">
        <v>1</v>
      </c>
      <c r="G100" s="47">
        <v>44030</v>
      </c>
      <c r="H100" s="70" t="str">
        <f>IF(_xlfn.IFNA(VLOOKUP(tbSellers[[#This Row],[Item]],tbShoppingList[],1,FALSE),"")&lt;&gt;"","Yes","")</f>
        <v/>
      </c>
      <c r="I100" s="4"/>
      <c r="J100" s="22"/>
    </row>
    <row r="101" spans="2:10" s="2" customFormat="1" ht="27.95" hidden="1" customHeight="1" x14ac:dyDescent="0.25">
      <c r="B101" s="2" t="str">
        <f>_xlfn.CONCAT(tbSellers[[#This Row],[Station]],tbSellers[[#This Row],[Item]])</f>
        <v>AnxiexCobalt</v>
      </c>
      <c r="C101" s="2" t="s">
        <v>248</v>
      </c>
      <c r="D101" s="14" t="s">
        <v>6</v>
      </c>
      <c r="E101" s="7">
        <f>VLOOKUP(tbSellers[[#This Row],[Item]],tbMaterials[],4,FALSE)</f>
        <v>198</v>
      </c>
      <c r="F101" s="40">
        <v>1</v>
      </c>
      <c r="G101" s="47">
        <v>44030</v>
      </c>
      <c r="H101" s="70" t="str">
        <f>IF(_xlfn.IFNA(VLOOKUP(tbSellers[[#This Row],[Item]],tbShoppingList[],1,FALSE),"")&lt;&gt;"","Yes","")</f>
        <v/>
      </c>
      <c r="I101" s="4"/>
      <c r="J101" s="22"/>
    </row>
    <row r="102" spans="2:10" s="2" customFormat="1" ht="27.95" hidden="1" customHeight="1" x14ac:dyDescent="0.25">
      <c r="B102" s="2" t="str">
        <f>_xlfn.CONCAT(tbSellers[[#This Row],[Station]],tbSellers[[#This Row],[Item]])</f>
        <v>EgarondoCobalt</v>
      </c>
      <c r="C102" s="8" t="s">
        <v>74</v>
      </c>
      <c r="D102" s="14" t="s">
        <v>6</v>
      </c>
      <c r="E102" s="7">
        <f>VLOOKUP(tbSellers[[#This Row],[Item]],tbMaterials[],4,FALSE)</f>
        <v>198</v>
      </c>
      <c r="F102" s="40">
        <v>1</v>
      </c>
      <c r="G102" s="47">
        <v>44018</v>
      </c>
      <c r="H102" s="70" t="str">
        <f>IF(_xlfn.IFNA(VLOOKUP(tbSellers[[#This Row],[Item]],tbShoppingList[],1,FALSE),"")&lt;&gt;"","Yes","")</f>
        <v/>
      </c>
      <c r="I102" s="4"/>
      <c r="J102" s="22"/>
    </row>
    <row r="103" spans="2:10" s="2" customFormat="1" ht="27.95" hidden="1" customHeight="1" x14ac:dyDescent="0.25">
      <c r="B103" s="2" t="str">
        <f>_xlfn.CONCAT(tbSellers[[#This Row],[Station]],tbSellers[[#This Row],[Item]])</f>
        <v>OqoidePure Ferrite</v>
      </c>
      <c r="C103" s="2" t="s">
        <v>114</v>
      </c>
      <c r="D103" s="14" t="s">
        <v>266</v>
      </c>
      <c r="E103" s="7">
        <f>VLOOKUP(tbSellers[[#This Row],[Item]],tbMaterials[],4,FALSE)</f>
        <v>28</v>
      </c>
      <c r="F103" s="40">
        <v>1</v>
      </c>
      <c r="G103" s="47">
        <v>44030</v>
      </c>
      <c r="H103" s="70" t="str">
        <f>IF(_xlfn.IFNA(VLOOKUP(tbSellers[[#This Row],[Item]],tbShoppingList[],1,FALSE),"")&lt;&gt;"","Yes","")</f>
        <v/>
      </c>
      <c r="I103" s="4"/>
      <c r="J103" s="22"/>
    </row>
    <row r="104" spans="2:10" s="2" customFormat="1" ht="27.95" hidden="1" customHeight="1" x14ac:dyDescent="0.25">
      <c r="B104" s="2" t="str">
        <f>_xlfn.CONCAT(tbSellers[[#This Row],[Station]],tbSellers[[#This Row],[Item]])</f>
        <v>AlhaimCobalt</v>
      </c>
      <c r="C104" s="2" t="s">
        <v>270</v>
      </c>
      <c r="D104" s="14" t="s">
        <v>6</v>
      </c>
      <c r="E104" s="7">
        <f>VLOOKUP(tbSellers[[#This Row],[Item]],tbMaterials[],4,FALSE)</f>
        <v>198</v>
      </c>
      <c r="F104" s="40">
        <v>1</v>
      </c>
      <c r="G104" s="47">
        <v>44018</v>
      </c>
      <c r="H104" s="70" t="str">
        <f>IF(_xlfn.IFNA(VLOOKUP(tbSellers[[#This Row],[Item]],tbShoppingList[],1,FALSE),"")&lt;&gt;"","Yes","")</f>
        <v/>
      </c>
      <c r="I104" s="4"/>
      <c r="J104" s="22"/>
    </row>
    <row r="105" spans="2:10" s="2" customFormat="1" ht="27.95" hidden="1" customHeight="1" x14ac:dyDescent="0.25">
      <c r="B105" s="2" t="str">
        <f>_xlfn.CONCAT(tbSellers[[#This Row],[Station]],tbSellers[[#This Row],[Item]])</f>
        <v>Iijinc XVCobalt</v>
      </c>
      <c r="C105" s="2" t="s">
        <v>456</v>
      </c>
      <c r="D105" s="14" t="s">
        <v>6</v>
      </c>
      <c r="E105" s="7">
        <f>VLOOKUP(tbSellers[[#This Row],[Item]],tbMaterials[],4,FALSE)</f>
        <v>198</v>
      </c>
      <c r="F105" s="40">
        <v>1</v>
      </c>
      <c r="G105" s="47">
        <v>44018</v>
      </c>
      <c r="H105" s="70" t="str">
        <f>IF(_xlfn.IFNA(VLOOKUP(tbSellers[[#This Row],[Item]],tbShoppingList[],1,FALSE),"")&lt;&gt;"","Yes","")</f>
        <v/>
      </c>
      <c r="I105" s="4"/>
      <c r="J105" s="22"/>
    </row>
    <row r="106" spans="2:10" s="2" customFormat="1" ht="27.95" hidden="1" customHeight="1" x14ac:dyDescent="0.25">
      <c r="B106" s="2" t="str">
        <f>_xlfn.CONCAT(tbSellers[[#This Row],[Station]],tbSellers[[#This Row],[Item]])</f>
        <v>Yartan-AwkinCobalt</v>
      </c>
      <c r="C106" s="2" t="s">
        <v>326</v>
      </c>
      <c r="D106" s="14" t="s">
        <v>6</v>
      </c>
      <c r="E106" s="7">
        <f>VLOOKUP(tbSellers[[#This Row],[Item]],tbMaterials[],4,FALSE)</f>
        <v>198</v>
      </c>
      <c r="F106" s="40">
        <v>1</v>
      </c>
      <c r="G106" s="47">
        <v>44029</v>
      </c>
      <c r="H106" s="70" t="str">
        <f>IF(_xlfn.IFNA(VLOOKUP(tbSellers[[#This Row],[Item]],tbShoppingList[],1,FALSE),"")&lt;&gt;"","Yes","")</f>
        <v/>
      </c>
      <c r="I106" s="4"/>
      <c r="J106" s="22"/>
    </row>
    <row r="107" spans="2:10" s="2" customFormat="1" ht="27.95" hidden="1" customHeight="1" x14ac:dyDescent="0.25">
      <c r="B107" s="2" t="str">
        <f>_xlfn.CONCAT(tbSellers[[#This Row],[Station]],tbSellers[[#This Row],[Item]])</f>
        <v>Gepohalih IIIDioxite</v>
      </c>
      <c r="C107" s="2" t="s">
        <v>490</v>
      </c>
      <c r="D107" s="14" t="s">
        <v>72</v>
      </c>
      <c r="E107" s="7">
        <f>VLOOKUP(tbSellers[[#This Row],[Item]],tbMaterials[],4,FALSE)</f>
        <v>62</v>
      </c>
      <c r="F107" s="40">
        <v>1</v>
      </c>
      <c r="G107" s="47">
        <v>44029</v>
      </c>
      <c r="H107" s="70" t="str">
        <f>IF(_xlfn.IFNA(VLOOKUP(tbSellers[[#This Row],[Item]],tbShoppingList[],1,FALSE),"")&lt;&gt;"","Yes","")</f>
        <v/>
      </c>
      <c r="I107" s="4"/>
      <c r="J107" s="22"/>
    </row>
    <row r="108" spans="2:10" s="2" customFormat="1" ht="27.95" hidden="1" customHeight="1" x14ac:dyDescent="0.25">
      <c r="B108" s="2" t="str">
        <f>_xlfn.CONCAT(tbSellers[[#This Row],[Station]],tbSellers[[#This Row],[Item]])</f>
        <v>EeoocomaCobalt</v>
      </c>
      <c r="C108" s="2" t="s">
        <v>564</v>
      </c>
      <c r="D108" s="14" t="s">
        <v>6</v>
      </c>
      <c r="E108" s="7">
        <f>VLOOKUP(tbSellers[[#This Row],[Item]],tbMaterials[],4,FALSE)</f>
        <v>198</v>
      </c>
      <c r="F108" s="40">
        <v>1</v>
      </c>
      <c r="G108" s="47">
        <v>44016</v>
      </c>
      <c r="H108" s="70" t="str">
        <f>IF(_xlfn.IFNA(VLOOKUP(tbSellers[[#This Row],[Item]],tbShoppingList[],1,FALSE),"")&lt;&gt;"","Yes","")</f>
        <v/>
      </c>
      <c r="I108" s="4"/>
      <c r="J108" s="22"/>
    </row>
    <row r="109" spans="2:10" s="2" customFormat="1" ht="27.95" hidden="1" customHeight="1" x14ac:dyDescent="0.25">
      <c r="B109" s="2" t="str">
        <f>_xlfn.CONCAT(tbSellers[[#This Row],[Station]],tbSellers[[#This Row],[Item]])</f>
        <v>RidunxiCobalt</v>
      </c>
      <c r="C109" s="2" t="s">
        <v>573</v>
      </c>
      <c r="D109" s="14" t="s">
        <v>6</v>
      </c>
      <c r="E109" s="7">
        <f>VLOOKUP(tbSellers[[#This Row],[Item]],tbMaterials[],4,FALSE)</f>
        <v>198</v>
      </c>
      <c r="F109" s="40">
        <v>1</v>
      </c>
      <c r="G109" s="47">
        <v>44018</v>
      </c>
      <c r="H109" s="70" t="str">
        <f>IF(_xlfn.IFNA(VLOOKUP(tbSellers[[#This Row],[Item]],tbShoppingList[],1,FALSE),"")&lt;&gt;"","Yes","")</f>
        <v/>
      </c>
      <c r="I109" s="4"/>
      <c r="J109" s="22"/>
    </row>
    <row r="110" spans="2:10" s="2" customFormat="1" ht="27.95" hidden="1" customHeight="1" x14ac:dyDescent="0.25">
      <c r="B110" s="2" t="str">
        <f>_xlfn.CONCAT(tbSellers[[#This Row],[Station]],tbSellers[[#This Row],[Item]])</f>
        <v>YendonoCobalt</v>
      </c>
      <c r="C110" s="2" t="s">
        <v>575</v>
      </c>
      <c r="D110" s="14" t="s">
        <v>6</v>
      </c>
      <c r="E110" s="7">
        <f>VLOOKUP(tbSellers[[#This Row],[Item]],tbMaterials[],4,FALSE)</f>
        <v>198</v>
      </c>
      <c r="F110" s="40">
        <v>1</v>
      </c>
      <c r="G110" s="47">
        <v>44029</v>
      </c>
      <c r="H110" s="70" t="str">
        <f>IF(_xlfn.IFNA(VLOOKUP(tbSellers[[#This Row],[Item]],tbShoppingList[],1,FALSE),"")&lt;&gt;"","Yes","")</f>
        <v/>
      </c>
      <c r="I110" s="4"/>
      <c r="J110" s="22"/>
    </row>
    <row r="111" spans="2:10" s="2" customFormat="1" ht="27.95" hidden="1" customHeight="1" x14ac:dyDescent="0.25">
      <c r="B111" s="2" t="str">
        <f>_xlfn.CONCAT(tbSellers[[#This Row],[Station]],tbSellers[[#This Row],[Item]])</f>
        <v>Seruss-EdogaCobalt</v>
      </c>
      <c r="C111" s="2" t="s">
        <v>577</v>
      </c>
      <c r="D111" s="14" t="s">
        <v>6</v>
      </c>
      <c r="E111" s="7">
        <f>VLOOKUP(tbSellers[[#This Row],[Item]],tbMaterials[],4,FALSE)</f>
        <v>198</v>
      </c>
      <c r="F111" s="40">
        <v>1</v>
      </c>
      <c r="G111" s="47">
        <v>44029</v>
      </c>
      <c r="H111" s="70" t="str">
        <f>IF(_xlfn.IFNA(VLOOKUP(tbSellers[[#This Row],[Item]],tbShoppingList[],1,FALSE),"")&lt;&gt;"","Yes","")</f>
        <v/>
      </c>
      <c r="I111" s="4"/>
      <c r="J111" s="22"/>
    </row>
    <row r="112" spans="2:10" s="2" customFormat="1" ht="27.95" hidden="1" customHeight="1" x14ac:dyDescent="0.25">
      <c r="B112" s="2" t="str">
        <f>_xlfn.CONCAT(tbSellers[[#This Row],[Station]],tbSellers[[#This Row],[Item]])</f>
        <v>Nuswick-PayeChlorine</v>
      </c>
      <c r="C112" s="2" t="s">
        <v>579</v>
      </c>
      <c r="D112" s="14" t="s">
        <v>83</v>
      </c>
      <c r="E112" s="7">
        <f>VLOOKUP(tbSellers[[#This Row],[Item]],tbMaterials[],4,FALSE)</f>
        <v>602</v>
      </c>
      <c r="F112" s="40">
        <v>1</v>
      </c>
      <c r="G112" s="47">
        <v>44029</v>
      </c>
      <c r="H112" s="70" t="str">
        <f>IF(_xlfn.IFNA(VLOOKUP(tbSellers[[#This Row],[Item]],tbShoppingList[],1,FALSE),"")&lt;&gt;"","Yes","")</f>
        <v/>
      </c>
      <c r="I112" s="4"/>
      <c r="J112" s="22"/>
    </row>
    <row r="113" spans="2:10" s="2" customFormat="1" ht="27.95" hidden="1" customHeight="1" x14ac:dyDescent="0.25">
      <c r="B113" s="2" t="str">
        <f>_xlfn.CONCAT(tbSellers[[#This Row],[Station]],tbSellers[[#This Row],[Item]])</f>
        <v>OdaleroCopper</v>
      </c>
      <c r="C113" s="2" t="s">
        <v>604</v>
      </c>
      <c r="D113" s="14" t="s">
        <v>5</v>
      </c>
      <c r="E113" s="7">
        <f>VLOOKUP(tbSellers[[#This Row],[Item]],tbMaterials[],4,FALSE)</f>
        <v>121</v>
      </c>
      <c r="F113" s="40">
        <v>1</v>
      </c>
      <c r="G113" s="47">
        <v>44030</v>
      </c>
      <c r="H113" s="70" t="str">
        <f>IF(_xlfn.IFNA(VLOOKUP(tbSellers[[#This Row],[Item]],tbShoppingList[],1,FALSE),"")&lt;&gt;"","Yes","")</f>
        <v/>
      </c>
      <c r="I113" s="4"/>
      <c r="J113" s="22"/>
    </row>
    <row r="114" spans="2:10" s="2" customFormat="1" ht="27.95" hidden="1" customHeight="1" x14ac:dyDescent="0.25">
      <c r="B114" s="2" t="str">
        <f>_xlfn.CONCAT(tbSellers[[#This Row],[Station]],tbSellers[[#This Row],[Item]])</f>
        <v>EwiscunCobalt</v>
      </c>
      <c r="C114" s="2" t="s">
        <v>607</v>
      </c>
      <c r="D114" s="14" t="s">
        <v>6</v>
      </c>
      <c r="E114" s="7">
        <f>VLOOKUP(tbSellers[[#This Row],[Item]],tbMaterials[],4,FALSE)</f>
        <v>198</v>
      </c>
      <c r="F114" s="40">
        <v>1</v>
      </c>
      <c r="G114" s="47">
        <v>44018</v>
      </c>
      <c r="H114" s="70" t="str">
        <f>IF(_xlfn.IFNA(VLOOKUP(tbSellers[[#This Row],[Item]],tbShoppingList[],1,FALSE),"")&lt;&gt;"","Yes","")</f>
        <v/>
      </c>
      <c r="I114" s="4"/>
      <c r="J114" s="22"/>
    </row>
    <row r="115" spans="2:10" s="2" customFormat="1" ht="27.95" hidden="1" customHeight="1" x14ac:dyDescent="0.25">
      <c r="B115" s="2" t="str">
        <f>_xlfn.CONCAT(tbSellers[[#This Row],[Station]],tbSellers[[#This Row],[Item]])</f>
        <v>Nicleve-EnskCobalt</v>
      </c>
      <c r="C115" s="2" t="s">
        <v>654</v>
      </c>
      <c r="D115" s="14" t="s">
        <v>6</v>
      </c>
      <c r="E115" s="7">
        <f>VLOOKUP(tbSellers[[#This Row],[Item]],tbMaterials[],4,FALSE)</f>
        <v>198</v>
      </c>
      <c r="F115" s="40">
        <v>1</v>
      </c>
      <c r="G115" s="47">
        <v>44030</v>
      </c>
      <c r="H115" s="70" t="str">
        <f>IF(_xlfn.IFNA(VLOOKUP(tbSellers[[#This Row],[Item]],tbShoppingList[],1,FALSE),"")&lt;&gt;"","Yes","")</f>
        <v/>
      </c>
      <c r="I115" s="4"/>
      <c r="J115" s="22"/>
    </row>
    <row r="116" spans="2:10" s="2" customFormat="1" ht="27.95" hidden="1" customHeight="1" x14ac:dyDescent="0.25">
      <c r="B116" s="2" t="str">
        <f>_xlfn.CONCAT(tbSellers[[#This Row],[Station]],tbSellers[[#This Row],[Item]])</f>
        <v>DohoeniaTritium</v>
      </c>
      <c r="C116" s="2" t="s">
        <v>608</v>
      </c>
      <c r="D116" s="14" t="s">
        <v>25</v>
      </c>
      <c r="E116" s="7">
        <f>VLOOKUP(tbSellers[[#This Row],[Item]],tbMaterials[],4,FALSE)</f>
        <v>6</v>
      </c>
      <c r="F116" s="40">
        <v>1</v>
      </c>
      <c r="G116" s="47">
        <v>44029</v>
      </c>
      <c r="H116" s="70" t="str">
        <f>IF(_xlfn.IFNA(VLOOKUP(tbSellers[[#This Row],[Item]],tbShoppingList[],1,FALSE),"")&lt;&gt;"","Yes","")</f>
        <v>Yes</v>
      </c>
      <c r="I116" s="4"/>
      <c r="J116" s="22"/>
    </row>
    <row r="117" spans="2:10" s="2" customFormat="1" ht="27.95" hidden="1" customHeight="1" x14ac:dyDescent="0.25">
      <c r="B117" s="2" t="str">
        <f>_xlfn.CONCAT(tbSellers[[#This Row],[Station]],tbSellers[[#This Row],[Item]])</f>
        <v>Nikarep-EtsCobalt</v>
      </c>
      <c r="C117" s="2" t="s">
        <v>656</v>
      </c>
      <c r="D117" s="14" t="s">
        <v>6</v>
      </c>
      <c r="E117" s="7">
        <f>VLOOKUP(tbSellers[[#This Row],[Item]],tbMaterials[],4,FALSE)</f>
        <v>198</v>
      </c>
      <c r="F117" s="40">
        <v>1</v>
      </c>
      <c r="G117" s="47">
        <v>44030</v>
      </c>
      <c r="H117" s="70" t="str">
        <f>IF(_xlfn.IFNA(VLOOKUP(tbSellers[[#This Row],[Item]],tbShoppingList[],1,FALSE),"")&lt;&gt;"","Yes","")</f>
        <v/>
      </c>
      <c r="I117" s="4"/>
      <c r="J117" s="22"/>
    </row>
    <row r="118" spans="2:10" s="2" customFormat="1" ht="27.95" hidden="1" customHeight="1" x14ac:dyDescent="0.25">
      <c r="B118" s="2" t="str">
        <f>_xlfn.CONCAT(tbSellers[[#This Row],[Station]],tbSellers[[#This Row],[Item]])</f>
        <v>The DojoChromatic Metal</v>
      </c>
      <c r="C118" s="2" t="s">
        <v>665</v>
      </c>
      <c r="D118" s="14" t="s">
        <v>261</v>
      </c>
      <c r="E118" s="7">
        <f>VLOOKUP(tbSellers[[#This Row],[Item]],tbMaterials[],4,FALSE)</f>
        <v>245</v>
      </c>
      <c r="F118" s="40">
        <v>2</v>
      </c>
      <c r="G118" s="47">
        <v>44029</v>
      </c>
      <c r="H118" s="70" t="str">
        <f>IF(_xlfn.IFNA(VLOOKUP(tbSellers[[#This Row],[Item]],tbShoppingList[],1,FALSE),"")&lt;&gt;"","Yes","")</f>
        <v/>
      </c>
      <c r="I118" s="4"/>
      <c r="J118" s="22"/>
    </row>
    <row r="119" spans="2:10" s="2" customFormat="1" ht="27.95" hidden="1" customHeight="1" x14ac:dyDescent="0.25">
      <c r="B119" s="2" t="str">
        <f>_xlfn.CONCAT(tbSellers[[#This Row],[Station]],tbSellers[[#This Row],[Item]])</f>
        <v>Tijoriesth XIVCobalt</v>
      </c>
      <c r="C119" s="2" t="s">
        <v>698</v>
      </c>
      <c r="D119" s="14" t="s">
        <v>6</v>
      </c>
      <c r="E119" s="7">
        <f>VLOOKUP(tbSellers[[#This Row],[Item]],tbMaterials[],4,FALSE)</f>
        <v>198</v>
      </c>
      <c r="F119" s="40">
        <v>1</v>
      </c>
      <c r="G119" s="47">
        <v>44029</v>
      </c>
      <c r="H119" s="70" t="str">
        <f>IF(_xlfn.IFNA(VLOOKUP(tbSellers[[#This Row],[Item]],tbShoppingList[],1,FALSE),"")&lt;&gt;"","Yes","")</f>
        <v/>
      </c>
      <c r="I119" s="4"/>
      <c r="J119" s="22"/>
    </row>
    <row r="120" spans="2:10" s="2" customFormat="1" ht="27.95" hidden="1" customHeight="1" x14ac:dyDescent="0.25">
      <c r="B120" s="2" t="str">
        <f>_xlfn.CONCAT(tbSellers[[#This Row],[Station]],tbSellers[[#This Row],[Item]])</f>
        <v>HadzananCobalt</v>
      </c>
      <c r="C120" s="2" t="s">
        <v>731</v>
      </c>
      <c r="D120" s="14" t="s">
        <v>6</v>
      </c>
      <c r="E120" s="7">
        <f>VLOOKUP(tbSellers[[#This Row],[Item]],tbMaterials[],4,FALSE)</f>
        <v>198</v>
      </c>
      <c r="F120" s="40">
        <v>1</v>
      </c>
      <c r="G120" s="47">
        <v>44018</v>
      </c>
      <c r="H120" s="70" t="str">
        <f>IF(_xlfn.IFNA(VLOOKUP(tbSellers[[#This Row],[Item]],tbShoppingList[],1,FALSE),"")&lt;&gt;"","Yes","")</f>
        <v/>
      </c>
      <c r="I120" s="4"/>
      <c r="J120" s="22"/>
    </row>
    <row r="121" spans="2:10" s="2" customFormat="1" ht="27.95" hidden="1" customHeight="1" x14ac:dyDescent="0.25">
      <c r="B121" s="2" t="str">
        <f>_xlfn.CONCAT(tbSellers[[#This Row],[Station]],tbSellers[[#This Row],[Item]])</f>
        <v>AlhaimSilver</v>
      </c>
      <c r="C121" s="2" t="s">
        <v>270</v>
      </c>
      <c r="D121" s="14" t="s">
        <v>19</v>
      </c>
      <c r="E121" s="7">
        <f>VLOOKUP(tbSellers[[#This Row],[Item]],tbMaterials[],4,FALSE)</f>
        <v>186</v>
      </c>
      <c r="F121" s="40">
        <v>2</v>
      </c>
      <c r="G121" s="47"/>
      <c r="H121" s="70" t="str">
        <f>IF(_xlfn.IFNA(VLOOKUP(tbSellers[[#This Row],[Item]],tbShoppingList[],1,FALSE),"")&lt;&gt;"","Yes","")</f>
        <v/>
      </c>
      <c r="I121" s="4"/>
      <c r="J121" s="22"/>
    </row>
    <row r="122" spans="2:10" s="2" customFormat="1" ht="27.95" hidden="1" customHeight="1" x14ac:dyDescent="0.25">
      <c r="B122" s="2" t="str">
        <f>_xlfn.CONCAT(tbSellers[[#This Row],[Station]],tbSellers[[#This Row],[Item]])</f>
        <v>Ancity-NiyhPugneum</v>
      </c>
      <c r="C122" s="8" t="s">
        <v>78</v>
      </c>
      <c r="D122" s="14" t="s">
        <v>262</v>
      </c>
      <c r="E122" s="7">
        <f>VLOOKUP(tbSellers[[#This Row],[Item]],tbMaterials[],4,FALSE)</f>
        <v>138</v>
      </c>
      <c r="F122" s="40">
        <v>1</v>
      </c>
      <c r="G122" s="47">
        <v>44030</v>
      </c>
      <c r="H122" s="70" t="str">
        <f>IF(_xlfn.IFNA(VLOOKUP(tbSellers[[#This Row],[Item]],tbShoppingList[],1,FALSE),"")&lt;&gt;"","Yes","")</f>
        <v/>
      </c>
      <c r="I122" s="4"/>
      <c r="J122" s="22"/>
    </row>
    <row r="123" spans="2:10" s="2" customFormat="1" ht="27.95" hidden="1" customHeight="1" x14ac:dyDescent="0.25">
      <c r="B123" s="2" t="str">
        <f>_xlfn.CONCAT(tbSellers[[#This Row],[Station]],tbSellers[[#This Row],[Item]])</f>
        <v>Iijinc XVSilver</v>
      </c>
      <c r="C123" s="2" t="s">
        <v>456</v>
      </c>
      <c r="D123" s="14" t="s">
        <v>19</v>
      </c>
      <c r="E123" s="7">
        <f>VLOOKUP(tbSellers[[#This Row],[Item]],tbMaterials[],4,FALSE)</f>
        <v>186</v>
      </c>
      <c r="F123" s="40">
        <v>2</v>
      </c>
      <c r="G123" s="47"/>
      <c r="H123" s="70" t="str">
        <f>IF(_xlfn.IFNA(VLOOKUP(tbSellers[[#This Row],[Item]],tbShoppingList[],1,FALSE),"")&lt;&gt;"","Yes","")</f>
        <v/>
      </c>
      <c r="I123" s="4"/>
      <c r="J123" s="22"/>
    </row>
    <row r="124" spans="2:10" s="2" customFormat="1" ht="27.95" hidden="1" customHeight="1" x14ac:dyDescent="0.25">
      <c r="B124" s="2" t="str">
        <f>_xlfn.CONCAT(tbSellers[[#This Row],[Station]],tbSellers[[#This Row],[Item]])</f>
        <v>Nancangz XVCopper</v>
      </c>
      <c r="C124" s="8" t="s">
        <v>54</v>
      </c>
      <c r="D124" s="14" t="s">
        <v>5</v>
      </c>
      <c r="E124" s="7">
        <f>VLOOKUP(tbSellers[[#This Row],[Item]],tbMaterials[],4,FALSE)</f>
        <v>121</v>
      </c>
      <c r="F124" s="40">
        <v>2</v>
      </c>
      <c r="G124" s="47">
        <v>44030</v>
      </c>
      <c r="H124" s="70" t="str">
        <f>IF(_xlfn.IFNA(VLOOKUP(tbSellers[[#This Row],[Item]],tbShoppingList[],1,FALSE),"")&lt;&gt;"","Yes","")</f>
        <v/>
      </c>
      <c r="I124" s="4"/>
      <c r="J124" s="22"/>
    </row>
    <row r="125" spans="2:10" s="2" customFormat="1" ht="27.95" hidden="1" customHeight="1" x14ac:dyDescent="0.25">
      <c r="B125" s="2" t="str">
        <f>_xlfn.CONCAT(tbSellers[[#This Row],[Station]],tbSellers[[#This Row],[Item]])</f>
        <v>SeogwipSilver</v>
      </c>
      <c r="C125" s="8" t="s">
        <v>239</v>
      </c>
      <c r="D125" s="14" t="s">
        <v>19</v>
      </c>
      <c r="E125" s="7">
        <f>VLOOKUP(tbSellers[[#This Row],[Item]],tbMaterials[],4,FALSE)</f>
        <v>186</v>
      </c>
      <c r="F125" s="40">
        <v>2</v>
      </c>
      <c r="G125" s="47"/>
      <c r="H125" s="70" t="str">
        <f>IF(_xlfn.IFNA(VLOOKUP(tbSellers[[#This Row],[Item]],tbShoppingList[],1,FALSE),"")&lt;&gt;"","Yes","")</f>
        <v/>
      </c>
      <c r="I125" s="4"/>
      <c r="J125" s="22"/>
    </row>
    <row r="126" spans="2:10" s="2" customFormat="1" ht="27.95" hidden="1" customHeight="1" x14ac:dyDescent="0.25">
      <c r="B126" s="2" t="str">
        <f>_xlfn.CONCAT(tbSellers[[#This Row],[Station]],tbSellers[[#This Row],[Item]])</f>
        <v>Ubzhan-Reg VSodium Nitrate</v>
      </c>
      <c r="C126" s="2" t="s">
        <v>120</v>
      </c>
      <c r="D126" s="14" t="s">
        <v>11</v>
      </c>
      <c r="E126" s="7">
        <f>VLOOKUP(tbSellers[[#This Row],[Item]],tbMaterials[],4,FALSE)</f>
        <v>82</v>
      </c>
      <c r="F126" s="40">
        <v>1</v>
      </c>
      <c r="G126" s="47"/>
      <c r="H126" s="70" t="str">
        <f>IF(_xlfn.IFNA(VLOOKUP(tbSellers[[#This Row],[Item]],tbShoppingList[],1,FALSE),"")&lt;&gt;"","Yes","")</f>
        <v/>
      </c>
      <c r="I126" s="4"/>
      <c r="J126" s="22"/>
    </row>
    <row r="127" spans="2:10" s="2" customFormat="1" ht="27.95" hidden="1" customHeight="1" x14ac:dyDescent="0.25">
      <c r="B127" s="2" t="str">
        <f>_xlfn.CONCAT(tbSellers[[#This Row],[Station]],tbSellers[[#This Row],[Item]])</f>
        <v>Urumqi XVSilver</v>
      </c>
      <c r="C127" s="2" t="s">
        <v>116</v>
      </c>
      <c r="D127" s="14" t="s">
        <v>19</v>
      </c>
      <c r="E127" s="7">
        <f>VLOOKUP(tbSellers[[#This Row],[Item]],tbMaterials[],4,FALSE)</f>
        <v>186</v>
      </c>
      <c r="F127" s="40">
        <v>1</v>
      </c>
      <c r="G127" s="47"/>
      <c r="H127" s="70" t="str">
        <f>IF(_xlfn.IFNA(VLOOKUP(tbSellers[[#This Row],[Item]],tbShoppingList[],1,FALSE),"")&lt;&gt;"","Yes","")</f>
        <v/>
      </c>
      <c r="I127" s="4"/>
      <c r="J127" s="22"/>
    </row>
    <row r="128" spans="2:10" s="2" customFormat="1" ht="27.95" hidden="1" customHeight="1" x14ac:dyDescent="0.25">
      <c r="B128" s="2" t="str">
        <f>_xlfn.CONCAT(tbSellers[[#This Row],[Station]],tbSellers[[#This Row],[Item]])</f>
        <v>WagormaPyrite</v>
      </c>
      <c r="C128" s="8" t="s">
        <v>115</v>
      </c>
      <c r="D128" s="14" t="s">
        <v>119</v>
      </c>
      <c r="E128" s="7">
        <f>VLOOKUP(tbSellers[[#This Row],[Item]],tbMaterials[],4,FALSE)</f>
        <v>62</v>
      </c>
      <c r="F128" s="40">
        <v>1</v>
      </c>
      <c r="G128" s="47">
        <v>44029</v>
      </c>
      <c r="H128" s="70" t="str">
        <f>IF(_xlfn.IFNA(VLOOKUP(tbSellers[[#This Row],[Item]],tbShoppingList[],1,FALSE),"")&lt;&gt;"","Yes","")</f>
        <v/>
      </c>
      <c r="I128" s="4"/>
      <c r="J128" s="22"/>
    </row>
    <row r="129" spans="2:10" s="2" customFormat="1" ht="27.95" hidden="1" customHeight="1" x14ac:dyDescent="0.25">
      <c r="B129" s="2" t="str">
        <f>_xlfn.CONCAT(tbSellers[[#This Row],[Station]],tbSellers[[#This Row],[Item]])</f>
        <v>XishuaiGold</v>
      </c>
      <c r="C129" s="2" t="s">
        <v>95</v>
      </c>
      <c r="D129" s="14" t="s">
        <v>24</v>
      </c>
      <c r="E129" s="7">
        <f>VLOOKUP(tbSellers[[#This Row],[Item]],tbMaterials[],4,FALSE)</f>
        <v>353</v>
      </c>
      <c r="F129" s="40">
        <v>1</v>
      </c>
      <c r="G129" s="47">
        <v>44029</v>
      </c>
      <c r="H129" s="70" t="str">
        <f>IF(_xlfn.IFNA(VLOOKUP(tbSellers[[#This Row],[Item]],tbShoppingList[],1,FALSE),"")&lt;&gt;"","Yes","")</f>
        <v/>
      </c>
      <c r="I129" s="4"/>
      <c r="J129" s="22"/>
    </row>
    <row r="130" spans="2:10" s="2" customFormat="1" ht="27.95" hidden="1" customHeight="1" x14ac:dyDescent="0.25">
      <c r="B130" s="2" t="str">
        <f>_xlfn.CONCAT(tbSellers[[#This Row],[Station]],tbSellers[[#This Row],[Item]])</f>
        <v>XishuanqSilver</v>
      </c>
      <c r="C130" s="8" t="s">
        <v>98</v>
      </c>
      <c r="D130" s="14" t="s">
        <v>19</v>
      </c>
      <c r="E130" s="7">
        <f>VLOOKUP(tbSellers[[#This Row],[Item]],tbMaterials[],4,FALSE)</f>
        <v>186</v>
      </c>
      <c r="F130" s="40">
        <v>1</v>
      </c>
      <c r="G130" s="47"/>
      <c r="H130" s="70" t="str">
        <f>IF(_xlfn.IFNA(VLOOKUP(tbSellers[[#This Row],[Item]],tbShoppingList[],1,FALSE),"")&lt;&gt;"","Yes","")</f>
        <v/>
      </c>
      <c r="I130" s="4"/>
      <c r="J130" s="22"/>
    </row>
    <row r="131" spans="2:10" s="2" customFormat="1" ht="27.95" hidden="1" customHeight="1" x14ac:dyDescent="0.25">
      <c r="B131" s="2" t="str">
        <f>_xlfn.CONCAT(tbSellers[[#This Row],[Station]],tbSellers[[#This Row],[Item]])</f>
        <v>RidunxiSilver</v>
      </c>
      <c r="C131" s="2" t="s">
        <v>573</v>
      </c>
      <c r="D131" s="14" t="s">
        <v>19</v>
      </c>
      <c r="E131" s="7">
        <f>VLOOKUP(tbSellers[[#This Row],[Item]],tbMaterials[],4,FALSE)</f>
        <v>186</v>
      </c>
      <c r="F131" s="40">
        <v>2</v>
      </c>
      <c r="G131" s="47"/>
      <c r="H131" s="70" t="str">
        <f>IF(_xlfn.IFNA(VLOOKUP(tbSellers[[#This Row],[Item]],tbShoppingList[],1,FALSE),"")&lt;&gt;"","Yes","")</f>
        <v/>
      </c>
      <c r="I131" s="4"/>
      <c r="J131" s="22"/>
    </row>
    <row r="132" spans="2:10" s="2" customFormat="1" ht="27.95" hidden="1" customHeight="1" x14ac:dyDescent="0.25">
      <c r="B132" s="2" t="str">
        <f>_xlfn.CONCAT(tbSellers[[#This Row],[Station]],tbSellers[[#This Row],[Item]])</f>
        <v>Nuswick-PayeOxygen</v>
      </c>
      <c r="C132" s="2" t="s">
        <v>579</v>
      </c>
      <c r="D132" s="14" t="s">
        <v>8</v>
      </c>
      <c r="E132" s="7">
        <f>VLOOKUP(tbSellers[[#This Row],[Item]],tbMaterials[],4,FALSE)</f>
        <v>34</v>
      </c>
      <c r="F132" s="40">
        <v>1</v>
      </c>
      <c r="G132" s="47">
        <v>44029</v>
      </c>
      <c r="H132" s="70" t="str">
        <f>IF(_xlfn.IFNA(VLOOKUP(tbSellers[[#This Row],[Item]],tbShoppingList[],1,FALSE),"")&lt;&gt;"","Yes","")</f>
        <v/>
      </c>
      <c r="I132" s="4"/>
      <c r="J132" s="22"/>
    </row>
    <row r="133" spans="2:10" s="2" customFormat="1" ht="27.95" hidden="1" customHeight="1" x14ac:dyDescent="0.25">
      <c r="B133" s="2" t="str">
        <f>_xlfn.CONCAT(tbSellers[[#This Row],[Station]],tbSellers[[#This Row],[Item]])</f>
        <v>EwiscunSilver</v>
      </c>
      <c r="C133" s="2" t="s">
        <v>607</v>
      </c>
      <c r="D133" s="14" t="s">
        <v>19</v>
      </c>
      <c r="E133" s="7">
        <f>VLOOKUP(tbSellers[[#This Row],[Item]],tbMaterials[],4,FALSE)</f>
        <v>186</v>
      </c>
      <c r="F133" s="40">
        <v>1</v>
      </c>
      <c r="G133" s="47"/>
      <c r="H133" s="70" t="str">
        <f>IF(_xlfn.IFNA(VLOOKUP(tbSellers[[#This Row],[Item]],tbShoppingList[],1,FALSE),"")&lt;&gt;"","Yes","")</f>
        <v/>
      </c>
      <c r="I133" s="4"/>
      <c r="J133" s="22"/>
    </row>
    <row r="134" spans="2:10" s="2" customFormat="1" ht="27.95" hidden="1" customHeight="1" x14ac:dyDescent="0.25">
      <c r="B134" s="2" t="str">
        <f>_xlfn.CONCAT(tbSellers[[#This Row],[Station]],tbSellers[[#This Row],[Item]])</f>
        <v>Nikarep-EtsTritium</v>
      </c>
      <c r="C134" s="2" t="s">
        <v>656</v>
      </c>
      <c r="D134" s="14" t="s">
        <v>25</v>
      </c>
      <c r="E134" s="7">
        <f>VLOOKUP(tbSellers[[#This Row],[Item]],tbMaterials[],4,FALSE)</f>
        <v>6</v>
      </c>
      <c r="F134" s="40">
        <v>2</v>
      </c>
      <c r="G134" s="47">
        <v>44030</v>
      </c>
      <c r="H134" s="70" t="str">
        <f>IF(_xlfn.IFNA(VLOOKUP(tbSellers[[#This Row],[Item]],tbShoppingList[],1,FALSE),"")&lt;&gt;"","Yes","")</f>
        <v>Yes</v>
      </c>
      <c r="I134" s="4"/>
      <c r="J134" s="22"/>
    </row>
    <row r="135" spans="2:10" s="2" customFormat="1" ht="27.95" hidden="1" customHeight="1" x14ac:dyDescent="0.25">
      <c r="B135" s="2" t="str">
        <f>_xlfn.CONCAT(tbSellers[[#This Row],[Station]],tbSellers[[#This Row],[Item]])</f>
        <v>Yedexi VIIAmmonia</v>
      </c>
      <c r="C135" s="8" t="s">
        <v>52</v>
      </c>
      <c r="D135" s="14" t="s">
        <v>84</v>
      </c>
      <c r="E135" s="7">
        <f>VLOOKUP(tbSellers[[#This Row],[Item]],tbMaterials[],4,FALSE)</f>
        <v>62</v>
      </c>
      <c r="F135" s="40">
        <v>1</v>
      </c>
      <c r="G135" s="47">
        <v>44029</v>
      </c>
      <c r="H135" s="70" t="str">
        <f>IF(_xlfn.IFNA(VLOOKUP(tbSellers[[#This Row],[Item]],tbShoppingList[],1,FALSE),"")&lt;&gt;"","Yes","")</f>
        <v/>
      </c>
      <c r="I135" s="4"/>
      <c r="J135" s="22"/>
    </row>
    <row r="136" spans="2:10" s="2" customFormat="1" ht="27.95" hidden="1" customHeight="1" x14ac:dyDescent="0.25">
      <c r="B136" s="2" t="str">
        <f>_xlfn.CONCAT(tbSellers[[#This Row],[Station]],tbSellers[[#This Row],[Item]])</f>
        <v>AxinwePugneum</v>
      </c>
      <c r="C136" s="8" t="s">
        <v>771</v>
      </c>
      <c r="D136" s="14" t="s">
        <v>262</v>
      </c>
      <c r="E136" s="7">
        <f>VLOOKUP(tbSellers[[#This Row],[Item]],tbMaterials[],4,FALSE)</f>
        <v>138</v>
      </c>
      <c r="F136" s="40">
        <v>2</v>
      </c>
      <c r="G136" s="47"/>
      <c r="H136" s="70" t="str">
        <f>IF(_xlfn.IFNA(VLOOKUP(tbSellers[[#This Row],[Item]],tbShoppingList[],1,FALSE),"")&lt;&gt;"","Yes","")</f>
        <v/>
      </c>
      <c r="I136" s="4"/>
      <c r="J136" s="22"/>
    </row>
    <row r="137" spans="2:10" s="2" customFormat="1" ht="27.95" hidden="1" customHeight="1" x14ac:dyDescent="0.25">
      <c r="B137" s="2" t="str">
        <f>_xlfn.CONCAT(tbSellers[[#This Row],[Station]],tbSellers[[#This Row],[Item]])</f>
        <v>RekamadinPlatinum</v>
      </c>
      <c r="C137" s="2" t="s">
        <v>591</v>
      </c>
      <c r="D137" s="14" t="s">
        <v>18</v>
      </c>
      <c r="E137" s="7">
        <f>VLOOKUP(tbSellers[[#This Row],[Item]],tbMaterials[],4,FALSE)</f>
        <v>505</v>
      </c>
      <c r="F137" s="40">
        <v>2</v>
      </c>
      <c r="G137" s="47">
        <v>44029</v>
      </c>
      <c r="H137" s="70" t="str">
        <f>IF(_xlfn.IFNA(VLOOKUP(tbSellers[[#This Row],[Item]],tbShoppingList[],1,FALSE),"")&lt;&gt;"","Yes","")</f>
        <v/>
      </c>
      <c r="I137" s="4"/>
      <c r="J137" s="22"/>
    </row>
    <row r="138" spans="2:10" s="2" customFormat="1" ht="27.95" hidden="1" customHeight="1" x14ac:dyDescent="0.25">
      <c r="B138" s="2" t="str">
        <f>_xlfn.CONCAT(tbSellers[[#This Row],[Station]],tbSellers[[#This Row],[Item]])</f>
        <v>Cuomul-TosPugneum</v>
      </c>
      <c r="C138" s="2" t="s">
        <v>275</v>
      </c>
      <c r="D138" s="14" t="s">
        <v>262</v>
      </c>
      <c r="E138" s="7">
        <f>VLOOKUP(tbSellers[[#This Row],[Item]],tbMaterials[],4,FALSE)</f>
        <v>138</v>
      </c>
      <c r="F138" s="40">
        <v>1</v>
      </c>
      <c r="G138" s="47">
        <v>44030</v>
      </c>
      <c r="H138" s="70" t="str">
        <f>IF(_xlfn.IFNA(VLOOKUP(tbSellers[[#This Row],[Item]],tbShoppingList[],1,FALSE),"")&lt;&gt;"","Yes","")</f>
        <v/>
      </c>
      <c r="I138" s="4"/>
      <c r="J138" s="22"/>
    </row>
    <row r="139" spans="2:10" s="2" customFormat="1" ht="27.95" hidden="1" customHeight="1" x14ac:dyDescent="0.25">
      <c r="B139" s="2" t="str">
        <f>_xlfn.CONCAT(tbSellers[[#This Row],[Station]],tbSellers[[#This Row],[Item]])</f>
        <v>Gepohalih IIISilver</v>
      </c>
      <c r="C139" s="2" t="s">
        <v>490</v>
      </c>
      <c r="D139" s="14" t="s">
        <v>19</v>
      </c>
      <c r="E139" s="7">
        <f>VLOOKUP(tbSellers[[#This Row],[Item]],tbMaterials[],4,FALSE)</f>
        <v>186</v>
      </c>
      <c r="F139" s="40">
        <v>1</v>
      </c>
      <c r="G139" s="47">
        <v>44029</v>
      </c>
      <c r="H139" s="70" t="str">
        <f>IF(_xlfn.IFNA(VLOOKUP(tbSellers[[#This Row],[Item]],tbShoppingList[],1,FALSE),"")&lt;&gt;"","Yes","")</f>
        <v/>
      </c>
      <c r="I139" s="4"/>
      <c r="J139" s="22"/>
    </row>
    <row r="140" spans="2:10" s="2" customFormat="1" ht="27.95" hidden="1" customHeight="1" x14ac:dyDescent="0.25">
      <c r="B140" s="2" t="str">
        <f>_xlfn.CONCAT(tbSellers[[#This Row],[Station]],tbSellers[[#This Row],[Item]])</f>
        <v>Ubzhan-Reg VSalt</v>
      </c>
      <c r="C140" s="2" t="s">
        <v>120</v>
      </c>
      <c r="D140" s="14" t="s">
        <v>56</v>
      </c>
      <c r="E140" s="7">
        <f>VLOOKUP(tbSellers[[#This Row],[Item]],tbMaterials[],4,FALSE)</f>
        <v>299</v>
      </c>
      <c r="F140" s="40">
        <v>1</v>
      </c>
      <c r="G140" s="47"/>
      <c r="H140" s="70" t="str">
        <f>IF(_xlfn.IFNA(VLOOKUP(tbSellers[[#This Row],[Item]],tbShoppingList[],1,FALSE),"")&lt;&gt;"","Yes","")</f>
        <v/>
      </c>
      <c r="I140" s="4"/>
      <c r="J140" s="22"/>
    </row>
    <row r="141" spans="2:10" s="2" customFormat="1" ht="27.95" hidden="1" customHeight="1" x14ac:dyDescent="0.25">
      <c r="B141" s="2" t="str">
        <f>_xlfn.CONCAT(tbSellers[[#This Row],[Station]],tbSellers[[#This Row],[Item]])</f>
        <v>Yedexi VIIParaffinium</v>
      </c>
      <c r="C141" s="8" t="s">
        <v>52</v>
      </c>
      <c r="D141" s="14" t="s">
        <v>61</v>
      </c>
      <c r="E141" s="7">
        <f>VLOOKUP(tbSellers[[#This Row],[Item]],tbMaterials[],4,FALSE)</f>
        <v>62</v>
      </c>
      <c r="F141" s="40">
        <v>1</v>
      </c>
      <c r="G141" s="47">
        <v>44029</v>
      </c>
      <c r="H141" s="70" t="str">
        <f>IF(_xlfn.IFNA(VLOOKUP(tbSellers[[#This Row],[Item]],tbShoppingList[],1,FALSE),"")&lt;&gt;"","Yes","")</f>
        <v/>
      </c>
      <c r="I141" s="4"/>
      <c r="J141" s="22"/>
    </row>
    <row r="142" spans="2:10" s="2" customFormat="1" ht="27.95" hidden="1" customHeight="1" x14ac:dyDescent="0.25">
      <c r="B142" s="2" t="str">
        <f>_xlfn.CONCAT(tbSellers[[#This Row],[Station]],tbSellers[[#This Row],[Item]])</f>
        <v>Nancangz XVSodium</v>
      </c>
      <c r="C142" s="8" t="s">
        <v>54</v>
      </c>
      <c r="D142" s="14" t="s">
        <v>9</v>
      </c>
      <c r="E142" s="7">
        <f>VLOOKUP(tbSellers[[#This Row],[Item]],tbMaterials[],4,FALSE)</f>
        <v>41</v>
      </c>
      <c r="F142" s="40">
        <v>1</v>
      </c>
      <c r="G142" s="47">
        <v>44030</v>
      </c>
      <c r="H142" s="70" t="str">
        <f>IF(_xlfn.IFNA(VLOOKUP(tbSellers[[#This Row],[Item]],tbShoppingList[],1,FALSE),"")&lt;&gt;"","Yes","")</f>
        <v/>
      </c>
      <c r="I142" s="4"/>
      <c r="J142" s="22"/>
    </row>
    <row r="143" spans="2:10" s="2" customFormat="1" ht="27.95" hidden="1" customHeight="1" x14ac:dyDescent="0.25">
      <c r="B143" s="2" t="str">
        <f>_xlfn.CONCAT(tbSellers[[#This Row],[Station]],tbSellers[[#This Row],[Item]])</f>
        <v>AlhaimPugneum</v>
      </c>
      <c r="C143" s="2" t="s">
        <v>270</v>
      </c>
      <c r="D143" s="14" t="s">
        <v>262</v>
      </c>
      <c r="E143" s="7">
        <f>VLOOKUP(tbSellers[[#This Row],[Item]],tbMaterials[],4,FALSE)</f>
        <v>138</v>
      </c>
      <c r="F143" s="40">
        <v>2</v>
      </c>
      <c r="G143" s="47"/>
      <c r="H143" s="70" t="str">
        <f>IF(_xlfn.IFNA(VLOOKUP(tbSellers[[#This Row],[Item]],tbShoppingList[],1,FALSE),"")&lt;&gt;"","Yes","")</f>
        <v/>
      </c>
      <c r="I143" s="4"/>
      <c r="J143" s="22"/>
    </row>
    <row r="144" spans="2:10" s="2" customFormat="1" ht="27.95" hidden="1" customHeight="1" x14ac:dyDescent="0.25">
      <c r="B144" s="2" t="str">
        <f>_xlfn.CONCAT(tbSellers[[#This Row],[Station]],tbSellers[[#This Row],[Item]])</f>
        <v>Seruss-EdogaCopper</v>
      </c>
      <c r="C144" s="2" t="s">
        <v>577</v>
      </c>
      <c r="D144" s="14" t="s">
        <v>5</v>
      </c>
      <c r="E144" s="7">
        <f>VLOOKUP(tbSellers[[#This Row],[Item]],tbMaterials[],4,FALSE)</f>
        <v>121</v>
      </c>
      <c r="F144" s="40">
        <v>1</v>
      </c>
      <c r="G144" s="47">
        <v>44029</v>
      </c>
      <c r="H144" s="70" t="str">
        <f>IF(_xlfn.IFNA(VLOOKUP(tbSellers[[#This Row],[Item]],tbShoppingList[],1,FALSE),"")&lt;&gt;"","Yes","")</f>
        <v/>
      </c>
      <c r="I144" s="4"/>
      <c r="J144" s="22"/>
    </row>
    <row r="145" spans="2:10" s="2" customFormat="1" ht="27.95" hidden="1" customHeight="1" x14ac:dyDescent="0.25">
      <c r="B145" s="2" t="str">
        <f>_xlfn.CONCAT(tbSellers[[#This Row],[Station]],tbSellers[[#This Row],[Item]])</f>
        <v>Nuswick-PayeSodium</v>
      </c>
      <c r="C145" s="2" t="s">
        <v>579</v>
      </c>
      <c r="D145" s="14" t="s">
        <v>9</v>
      </c>
      <c r="E145" s="7">
        <f>VLOOKUP(tbSellers[[#This Row],[Item]],tbMaterials[],4,FALSE)</f>
        <v>41</v>
      </c>
      <c r="F145" s="40">
        <v>1</v>
      </c>
      <c r="G145" s="47">
        <v>44029</v>
      </c>
      <c r="H145" s="70" t="str">
        <f>IF(_xlfn.IFNA(VLOOKUP(tbSellers[[#This Row],[Item]],tbShoppingList[],1,FALSE),"")&lt;&gt;"","Yes","")</f>
        <v/>
      </c>
      <c r="I145" s="4"/>
      <c r="J145" s="22"/>
    </row>
    <row r="146" spans="2:10" s="2" customFormat="1" ht="27.95" hidden="1" customHeight="1" x14ac:dyDescent="0.25">
      <c r="B146" s="2" t="str">
        <f>_xlfn.CONCAT(tbSellers[[#This Row],[Station]],tbSellers[[#This Row],[Item]])</f>
        <v>DohoeniaMagnetised Ferrite</v>
      </c>
      <c r="C146" s="2" t="s">
        <v>608</v>
      </c>
      <c r="D146" s="14" t="s">
        <v>246</v>
      </c>
      <c r="E146" s="7">
        <f>VLOOKUP(tbSellers[[#This Row],[Item]],tbMaterials[],4,FALSE)</f>
        <v>82</v>
      </c>
      <c r="F146" s="40">
        <v>1</v>
      </c>
      <c r="G146" s="47">
        <v>44029</v>
      </c>
      <c r="H146" s="70" t="str">
        <f>IF(_xlfn.IFNA(VLOOKUP(tbSellers[[#This Row],[Item]],tbShoppingList[],1,FALSE),"")&lt;&gt;"","Yes","")</f>
        <v/>
      </c>
      <c r="I146" s="4"/>
      <c r="J146" s="22"/>
    </row>
    <row r="147" spans="2:10" s="2" customFormat="1" ht="27.95" hidden="1" customHeight="1" x14ac:dyDescent="0.25">
      <c r="B147" s="2" t="str">
        <f>_xlfn.CONCAT(tbSellers[[#This Row],[Station]],tbSellers[[#This Row],[Item]])</f>
        <v>The DojoSodium</v>
      </c>
      <c r="C147" s="2" t="s">
        <v>665</v>
      </c>
      <c r="D147" s="14" t="s">
        <v>9</v>
      </c>
      <c r="E147" s="7">
        <f>VLOOKUP(tbSellers[[#This Row],[Item]],tbMaterials[],4,FALSE)</f>
        <v>41</v>
      </c>
      <c r="F147" s="40">
        <v>1</v>
      </c>
      <c r="G147" s="47">
        <v>44029</v>
      </c>
      <c r="H147" s="70" t="str">
        <f>IF(_xlfn.IFNA(VLOOKUP(tbSellers[[#This Row],[Item]],tbShoppingList[],1,FALSE),"")&lt;&gt;"","Yes","")</f>
        <v/>
      </c>
      <c r="I147" s="4"/>
      <c r="J147" s="22"/>
    </row>
    <row r="148" spans="2:10" s="2" customFormat="1" ht="27.95" hidden="1" customHeight="1" x14ac:dyDescent="0.25">
      <c r="B148" s="2" t="str">
        <f>_xlfn.CONCAT(tbSellers[[#This Row],[Station]],tbSellers[[#This Row],[Item]])</f>
        <v>HadzananPugneum</v>
      </c>
      <c r="C148" s="2" t="s">
        <v>731</v>
      </c>
      <c r="D148" s="14" t="s">
        <v>262</v>
      </c>
      <c r="E148" s="7">
        <f>VLOOKUP(tbSellers[[#This Row],[Item]],tbMaterials[],4,FALSE)</f>
        <v>138</v>
      </c>
      <c r="F148" s="40">
        <v>1</v>
      </c>
      <c r="G148" s="47"/>
      <c r="H148" s="70" t="str">
        <f>IF(_xlfn.IFNA(VLOOKUP(tbSellers[[#This Row],[Item]],tbShoppingList[],1,FALSE),"")&lt;&gt;"","Yes","")</f>
        <v/>
      </c>
      <c r="I148" s="4"/>
      <c r="J148" s="22"/>
    </row>
    <row r="149" spans="2:10" s="2" customFormat="1" ht="27.95" hidden="1" customHeight="1" x14ac:dyDescent="0.25">
      <c r="B149" s="2" t="str">
        <f>_xlfn.CONCAT(tbSellers[[#This Row],[Station]],tbSellers[[#This Row],[Item]])</f>
        <v>AxinweCopper</v>
      </c>
      <c r="C149" s="8" t="s">
        <v>771</v>
      </c>
      <c r="D149" s="14" t="s">
        <v>5</v>
      </c>
      <c r="E149" s="7">
        <f>VLOOKUP(tbSellers[[#This Row],[Item]],tbMaterials[],4,FALSE)</f>
        <v>121</v>
      </c>
      <c r="F149" s="40">
        <v>2</v>
      </c>
      <c r="G149" s="47"/>
      <c r="H149" s="70" t="str">
        <f>IF(_xlfn.IFNA(VLOOKUP(tbSellers[[#This Row],[Item]],tbShoppingList[],1,FALSE),"")&lt;&gt;"","Yes","")</f>
        <v/>
      </c>
      <c r="I149" s="4"/>
      <c r="J149" s="22"/>
    </row>
    <row r="150" spans="2:10" s="2" customFormat="1" ht="27.95" hidden="1" customHeight="1" x14ac:dyDescent="0.25">
      <c r="B150" s="2" t="str">
        <f>_xlfn.CONCAT(tbSellers[[#This Row],[Station]],tbSellers[[#This Row],[Item]])</f>
        <v>RekamadinOxygen</v>
      </c>
      <c r="C150" s="2" t="s">
        <v>591</v>
      </c>
      <c r="D150" s="14" t="s">
        <v>8</v>
      </c>
      <c r="E150" s="7">
        <f>VLOOKUP(tbSellers[[#This Row],[Item]],tbMaterials[],4,FALSE)</f>
        <v>34</v>
      </c>
      <c r="F150" s="40">
        <v>1</v>
      </c>
      <c r="G150" s="47">
        <v>44029</v>
      </c>
      <c r="H150" s="70" t="str">
        <f>IF(_xlfn.IFNA(VLOOKUP(tbSellers[[#This Row],[Item]],tbShoppingList[],1,FALSE),"")&lt;&gt;"","Yes","")</f>
        <v/>
      </c>
      <c r="I150" s="4"/>
      <c r="J150" s="22"/>
    </row>
    <row r="151" spans="2:10" s="2" customFormat="1" ht="27.95" hidden="1" customHeight="1" x14ac:dyDescent="0.25">
      <c r="B151" s="2" t="str">
        <f>_xlfn.CONCAT(tbSellers[[#This Row],[Station]],tbSellers[[#This Row],[Item]])</f>
        <v>Helkarsh VCopper</v>
      </c>
      <c r="C151" s="2" t="s">
        <v>272</v>
      </c>
      <c r="D151" s="14" t="s">
        <v>5</v>
      </c>
      <c r="E151" s="7">
        <f>VLOOKUP(tbSellers[[#This Row],[Item]],tbMaterials[],4,FALSE)</f>
        <v>121</v>
      </c>
      <c r="F151" s="40">
        <v>1</v>
      </c>
      <c r="G151" s="47"/>
      <c r="H151" s="70" t="str">
        <f>IF(_xlfn.IFNA(VLOOKUP(tbSellers[[#This Row],[Item]],tbShoppingList[],1,FALSE),"")&lt;&gt;"","Yes","")</f>
        <v/>
      </c>
      <c r="I151" s="4"/>
      <c r="J151" s="22"/>
    </row>
    <row r="152" spans="2:10" s="2" customFormat="1" ht="27.95" hidden="1" customHeight="1" x14ac:dyDescent="0.25">
      <c r="B152" s="2" t="str">
        <f>_xlfn.CONCAT(tbSellers[[#This Row],[Station]],tbSellers[[#This Row],[Item]])</f>
        <v>XishuanqCopper</v>
      </c>
      <c r="C152" s="8" t="s">
        <v>98</v>
      </c>
      <c r="D152" s="14" t="s">
        <v>5</v>
      </c>
      <c r="E152" s="7">
        <f>VLOOKUP(tbSellers[[#This Row],[Item]],tbMaterials[],4,FALSE)</f>
        <v>121</v>
      </c>
      <c r="F152" s="40">
        <v>1</v>
      </c>
      <c r="G152" s="47"/>
      <c r="H152" s="70" t="str">
        <f>IF(_xlfn.IFNA(VLOOKUP(tbSellers[[#This Row],[Item]],tbShoppingList[],1,FALSE),"")&lt;&gt;"","Yes","")</f>
        <v/>
      </c>
      <c r="I152" s="4"/>
      <c r="J152" s="22"/>
    </row>
    <row r="153" spans="2:10" s="2" customFormat="1" ht="27.95" hidden="1" customHeight="1" x14ac:dyDescent="0.25">
      <c r="B153" s="2" t="str">
        <f>_xlfn.CONCAT(tbSellers[[#This Row],[Station]],tbSellers[[#This Row],[Item]])</f>
        <v>Arjorda-KugCopper</v>
      </c>
      <c r="C153" s="8" t="s">
        <v>75</v>
      </c>
      <c r="D153" s="14" t="s">
        <v>5</v>
      </c>
      <c r="E153" s="7">
        <f>VLOOKUP(tbSellers[[#This Row],[Item]],tbMaterials[],4,FALSE)</f>
        <v>121</v>
      </c>
      <c r="F153" s="40">
        <v>2</v>
      </c>
      <c r="G153" s="47"/>
      <c r="H153" s="70" t="str">
        <f>IF(_xlfn.IFNA(VLOOKUP(tbSellers[[#This Row],[Item]],tbShoppingList[],1,FALSE),"")&lt;&gt;"","Yes","")</f>
        <v/>
      </c>
      <c r="I153" s="4"/>
      <c r="J153" s="22"/>
    </row>
    <row r="154" spans="2:10" s="2" customFormat="1" ht="27.95" hidden="1" customHeight="1" x14ac:dyDescent="0.25">
      <c r="B154" s="2" t="str">
        <f>_xlfn.CONCAT(tbSellers[[#This Row],[Station]],tbSellers[[#This Row],[Item]])</f>
        <v>Cuomul-TosSilver</v>
      </c>
      <c r="C154" s="2" t="s">
        <v>275</v>
      </c>
      <c r="D154" s="14" t="s">
        <v>19</v>
      </c>
      <c r="E154" s="7">
        <f>VLOOKUP(tbSellers[[#This Row],[Item]],tbMaterials[],4,FALSE)</f>
        <v>186</v>
      </c>
      <c r="F154" s="40">
        <v>1</v>
      </c>
      <c r="G154" s="47">
        <v>44030</v>
      </c>
      <c r="H154" s="70" t="str">
        <f>IF(_xlfn.IFNA(VLOOKUP(tbSellers[[#This Row],[Item]],tbShoppingList[],1,FALSE),"")&lt;&gt;"","Yes","")</f>
        <v/>
      </c>
      <c r="I154" s="4"/>
      <c r="J154" s="22"/>
    </row>
    <row r="155" spans="2:10" s="2" customFormat="1" ht="27.95" hidden="1" customHeight="1" x14ac:dyDescent="0.25">
      <c r="B155" s="2" t="str">
        <f>_xlfn.CONCAT(tbSellers[[#This Row],[Station]],tbSellers[[#This Row],[Item]])</f>
        <v>AlhaimCopper</v>
      </c>
      <c r="C155" s="2" t="s">
        <v>270</v>
      </c>
      <c r="D155" s="14" t="s">
        <v>5</v>
      </c>
      <c r="E155" s="7">
        <f>VLOOKUP(tbSellers[[#This Row],[Item]],tbMaterials[],4,FALSE)</f>
        <v>121</v>
      </c>
      <c r="F155" s="40">
        <v>1</v>
      </c>
      <c r="G155" s="47"/>
      <c r="H155" s="70" t="str">
        <f>IF(_xlfn.IFNA(VLOOKUP(tbSellers[[#This Row],[Item]],tbShoppingList[],1,FALSE),"")&lt;&gt;"","Yes","")</f>
        <v/>
      </c>
      <c r="I155" s="4"/>
      <c r="J155" s="22"/>
    </row>
    <row r="156" spans="2:10" s="2" customFormat="1" ht="27.95" hidden="1" customHeight="1" x14ac:dyDescent="0.25">
      <c r="B156" s="2" t="str">
        <f>_xlfn.CONCAT(tbSellers[[#This Row],[Station]],tbSellers[[#This Row],[Item]])</f>
        <v>Gepohalih IIIPure Ferrite</v>
      </c>
      <c r="C156" s="2" t="s">
        <v>490</v>
      </c>
      <c r="D156" s="14" t="s">
        <v>266</v>
      </c>
      <c r="E156" s="7">
        <f>VLOOKUP(tbSellers[[#This Row],[Item]],tbMaterials[],4,FALSE)</f>
        <v>28</v>
      </c>
      <c r="F156" s="40">
        <v>1</v>
      </c>
      <c r="G156" s="47">
        <v>44029</v>
      </c>
      <c r="H156" s="70" t="str">
        <f>IF(_xlfn.IFNA(VLOOKUP(tbSellers[[#This Row],[Item]],tbShoppingList[],1,FALSE),"")&lt;&gt;"","Yes","")</f>
        <v/>
      </c>
      <c r="I156" s="4"/>
      <c r="J156" s="22"/>
    </row>
    <row r="157" spans="2:10" s="2" customFormat="1" ht="27.95" hidden="1" customHeight="1" x14ac:dyDescent="0.25">
      <c r="B157" s="2" t="str">
        <f>_xlfn.CONCAT(tbSellers[[#This Row],[Station]],tbSellers[[#This Row],[Item]])</f>
        <v>Ubzhan-Reg V</v>
      </c>
      <c r="C157" s="2" t="s">
        <v>120</v>
      </c>
      <c r="D157" s="14"/>
      <c r="E157" s="7" t="e">
        <f>VLOOKUP(tbSellers[[#This Row],[Item]],tbMaterials[],4,FALSE)</f>
        <v>#N/A</v>
      </c>
      <c r="F157" s="40"/>
      <c r="G157" s="47"/>
      <c r="H157" s="70" t="str">
        <f>IF(_xlfn.IFNA(VLOOKUP(tbSellers[[#This Row],[Item]],tbShoppingList[],1,FALSE),"")&lt;&gt;"","Yes","")</f>
        <v/>
      </c>
      <c r="I157" s="4"/>
      <c r="J157" s="22"/>
    </row>
    <row r="158" spans="2:10" s="2" customFormat="1" ht="27.95" hidden="1" customHeight="1" x14ac:dyDescent="0.25">
      <c r="B158" s="2" t="str">
        <f>_xlfn.CONCAT(tbSellers[[#This Row],[Station]],tbSellers[[#This Row],[Item]])</f>
        <v>EeoocomaCopper</v>
      </c>
      <c r="C158" s="2" t="s">
        <v>564</v>
      </c>
      <c r="D158" s="14" t="s">
        <v>5</v>
      </c>
      <c r="E158" s="7">
        <f>VLOOKUP(tbSellers[[#This Row],[Item]],tbMaterials[],4,FALSE)</f>
        <v>121</v>
      </c>
      <c r="F158" s="40">
        <v>2</v>
      </c>
      <c r="G158" s="47"/>
      <c r="H158" s="70" t="str">
        <f>IF(_xlfn.IFNA(VLOOKUP(tbSellers[[#This Row],[Item]],tbShoppingList[],1,FALSE),"")&lt;&gt;"","Yes","")</f>
        <v/>
      </c>
      <c r="I158" s="4"/>
      <c r="J158" s="22"/>
    </row>
    <row r="159" spans="2:10" s="2" customFormat="1" ht="27.95" hidden="1" customHeight="1" x14ac:dyDescent="0.25">
      <c r="B159" s="2" t="str">
        <f>_xlfn.CONCAT(tbSellers[[#This Row],[Station]],tbSellers[[#This Row],[Item]])</f>
        <v>YendonoSilver</v>
      </c>
      <c r="C159" s="2" t="s">
        <v>575</v>
      </c>
      <c r="D159" s="14" t="s">
        <v>19</v>
      </c>
      <c r="E159" s="7">
        <f>VLOOKUP(tbSellers[[#This Row],[Item]],tbMaterials[],4,FALSE)</f>
        <v>186</v>
      </c>
      <c r="F159" s="40">
        <v>1</v>
      </c>
      <c r="G159" s="47">
        <v>44029</v>
      </c>
      <c r="H159" s="70" t="str">
        <f>IF(_xlfn.IFNA(VLOOKUP(tbSellers[[#This Row],[Item]],tbShoppingList[],1,FALSE),"")&lt;&gt;"","Yes","")</f>
        <v/>
      </c>
      <c r="I159" s="4"/>
      <c r="J159" s="22"/>
    </row>
    <row r="160" spans="2:10" s="2" customFormat="1" ht="27.95" hidden="1" customHeight="1" x14ac:dyDescent="0.25">
      <c r="B160" s="2" t="str">
        <f>_xlfn.CONCAT(tbSellers[[#This Row],[Station]],tbSellers[[#This Row],[Item]])</f>
        <v>OdaleroSodium</v>
      </c>
      <c r="C160" s="2" t="s">
        <v>604</v>
      </c>
      <c r="D160" s="14" t="s">
        <v>9</v>
      </c>
      <c r="E160" s="7">
        <f>VLOOKUP(tbSellers[[#This Row],[Item]],tbMaterials[],4,FALSE)</f>
        <v>41</v>
      </c>
      <c r="F160" s="40">
        <v>1</v>
      </c>
      <c r="G160" s="47">
        <v>44030</v>
      </c>
      <c r="H160" s="70" t="str">
        <f>IF(_xlfn.IFNA(VLOOKUP(tbSellers[[#This Row],[Item]],tbShoppingList[],1,FALSE),"")&lt;&gt;"","Yes","")</f>
        <v/>
      </c>
      <c r="I160" s="4"/>
      <c r="J160" s="22"/>
    </row>
    <row r="161" spans="2:10" s="2" customFormat="1" ht="27.95" hidden="1" customHeight="1" x14ac:dyDescent="0.25">
      <c r="B161" s="2" t="str">
        <f>_xlfn.CONCAT(tbSellers[[#This Row],[Station]],tbSellers[[#This Row],[Item]])</f>
        <v>Nicleve-EnskSalt</v>
      </c>
      <c r="C161" s="2" t="s">
        <v>654</v>
      </c>
      <c r="D161" s="14" t="s">
        <v>56</v>
      </c>
      <c r="E161" s="7">
        <f>VLOOKUP(tbSellers[[#This Row],[Item]],tbMaterials[],4,FALSE)</f>
        <v>299</v>
      </c>
      <c r="F161" s="40">
        <v>1</v>
      </c>
      <c r="G161" s="47">
        <v>44030</v>
      </c>
      <c r="H161" s="70" t="str">
        <f>IF(_xlfn.IFNA(VLOOKUP(tbSellers[[#This Row],[Item]],tbShoppingList[],1,FALSE),"")&lt;&gt;"","Yes","")</f>
        <v/>
      </c>
      <c r="I161" s="4"/>
      <c r="J161" s="22"/>
    </row>
    <row r="162" spans="2:10" s="2" customFormat="1" ht="27.95" hidden="1" customHeight="1" x14ac:dyDescent="0.25">
      <c r="B162" s="2" t="str">
        <f>_xlfn.CONCAT(tbSellers[[#This Row],[Station]],tbSellers[[#This Row],[Item]])</f>
        <v>Nikarep-EtsPure Ferrite</v>
      </c>
      <c r="C162" s="2" t="s">
        <v>656</v>
      </c>
      <c r="D162" s="14" t="s">
        <v>266</v>
      </c>
      <c r="E162" s="7">
        <f>VLOOKUP(tbSellers[[#This Row],[Item]],tbMaterials[],4,FALSE)</f>
        <v>28</v>
      </c>
      <c r="F162" s="40">
        <v>2</v>
      </c>
      <c r="G162" s="47">
        <v>44030</v>
      </c>
      <c r="H162" s="70" t="str">
        <f>IF(_xlfn.IFNA(VLOOKUP(tbSellers[[#This Row],[Item]],tbShoppingList[],1,FALSE),"")&lt;&gt;"","Yes","")</f>
        <v/>
      </c>
      <c r="I162" s="4"/>
      <c r="J162" s="22"/>
    </row>
    <row r="163" spans="2:10" s="2" customFormat="1" ht="27.95" hidden="1" customHeight="1" x14ac:dyDescent="0.25">
      <c r="B163" s="2" t="str">
        <f>_xlfn.CONCAT(tbSellers[[#This Row],[Station]],tbSellers[[#This Row],[Item]])</f>
        <v>The DojoOxygen</v>
      </c>
      <c r="C163" s="2" t="s">
        <v>665</v>
      </c>
      <c r="D163" s="14" t="s">
        <v>8</v>
      </c>
      <c r="E163" s="7">
        <f>VLOOKUP(tbSellers[[#This Row],[Item]],tbMaterials[],4,FALSE)</f>
        <v>34</v>
      </c>
      <c r="F163" s="40">
        <v>1</v>
      </c>
      <c r="G163" s="47">
        <v>44029</v>
      </c>
      <c r="H163" s="70" t="str">
        <f>IF(_xlfn.IFNA(VLOOKUP(tbSellers[[#This Row],[Item]],tbShoppingList[],1,FALSE),"")&lt;&gt;"","Yes","")</f>
        <v/>
      </c>
      <c r="I163" s="4"/>
      <c r="J163" s="22"/>
    </row>
    <row r="164" spans="2:10" s="2" customFormat="1" ht="27.95" hidden="1" customHeight="1" x14ac:dyDescent="0.25">
      <c r="B164" s="2" t="str">
        <f>_xlfn.CONCAT(tbSellers[[#This Row],[Station]],tbSellers[[#This Row],[Item]])</f>
        <v>AxinweSodium Nitrate</v>
      </c>
      <c r="C164" s="8" t="s">
        <v>771</v>
      </c>
      <c r="D164" s="14" t="s">
        <v>11</v>
      </c>
      <c r="E164" s="7">
        <f>VLOOKUP(tbSellers[[#This Row],[Item]],tbMaterials[],4,FALSE)</f>
        <v>82</v>
      </c>
      <c r="F164" s="40">
        <v>2</v>
      </c>
      <c r="G164" s="47"/>
      <c r="H164" s="70" t="str">
        <f>IF(_xlfn.IFNA(VLOOKUP(tbSellers[[#This Row],[Item]],tbShoppingList[],1,FALSE),"")&lt;&gt;"","Yes","")</f>
        <v/>
      </c>
      <c r="I164" s="4"/>
      <c r="J164" s="22"/>
    </row>
    <row r="165" spans="2:10" s="2" customFormat="1" ht="27.95" hidden="1" customHeight="1" x14ac:dyDescent="0.25">
      <c r="B165" s="2" t="str">
        <f>_xlfn.CONCAT(tbSellers[[#This Row],[Station]],tbSellers[[#This Row],[Item]])</f>
        <v>EgarondoSodium Nitrate</v>
      </c>
      <c r="C165" s="8" t="s">
        <v>74</v>
      </c>
      <c r="D165" s="14" t="s">
        <v>11</v>
      </c>
      <c r="E165" s="7">
        <f>VLOOKUP(tbSellers[[#This Row],[Item]],tbMaterials[],4,FALSE)</f>
        <v>82</v>
      </c>
      <c r="F165" s="40">
        <v>1</v>
      </c>
      <c r="G165" s="47"/>
      <c r="H165" s="70" t="str">
        <f>IF(_xlfn.IFNA(VLOOKUP(tbSellers[[#This Row],[Item]],tbShoppingList[],1,FALSE),"")&lt;&gt;"","Yes","")</f>
        <v/>
      </c>
      <c r="I165" s="4"/>
      <c r="J165" s="22"/>
    </row>
    <row r="166" spans="2:10" s="2" customFormat="1" ht="27.95" hidden="1" customHeight="1" x14ac:dyDescent="0.25">
      <c r="B166" s="2" t="str">
        <f>_xlfn.CONCAT(tbSellers[[#This Row],[Station]],tbSellers[[#This Row],[Item]])</f>
        <v>AnxiexPure Ferrite</v>
      </c>
      <c r="C166" s="2" t="s">
        <v>248</v>
      </c>
      <c r="D166" s="14" t="s">
        <v>266</v>
      </c>
      <c r="E166" s="7">
        <f>VLOOKUP(tbSellers[[#This Row],[Item]],tbMaterials[],4,FALSE)</f>
        <v>28</v>
      </c>
      <c r="F166" s="40">
        <v>1</v>
      </c>
      <c r="G166" s="47">
        <v>44030</v>
      </c>
      <c r="H166" s="70" t="str">
        <f>IF(_xlfn.IFNA(VLOOKUP(tbSellers[[#This Row],[Item]],tbShoppingList[],1,FALSE),"")&lt;&gt;"","Yes","")</f>
        <v/>
      </c>
      <c r="I166" s="4"/>
      <c r="J166" s="22"/>
    </row>
    <row r="167" spans="2:10" s="2" customFormat="1" ht="27.95" hidden="1" customHeight="1" x14ac:dyDescent="0.25">
      <c r="B167" s="2" t="str">
        <f>_xlfn.CONCAT(tbSellers[[#This Row],[Station]],tbSellers[[#This Row],[Item]])</f>
        <v>Paddoc-KehaSodium</v>
      </c>
      <c r="C167" s="8" t="s">
        <v>99</v>
      </c>
      <c r="D167" s="14" t="s">
        <v>9</v>
      </c>
      <c r="E167" s="7">
        <f>VLOOKUP(tbSellers[[#This Row],[Item]],tbMaterials[],4,FALSE)</f>
        <v>41</v>
      </c>
      <c r="F167" s="40">
        <v>1</v>
      </c>
      <c r="G167" s="47">
        <v>44030</v>
      </c>
      <c r="H167" s="70" t="str">
        <f>IF(_xlfn.IFNA(VLOOKUP(tbSellers[[#This Row],[Item]],tbShoppingList[],1,FALSE),"")&lt;&gt;"","Yes","")</f>
        <v/>
      </c>
      <c r="I167" s="4"/>
      <c r="J167" s="22"/>
    </row>
    <row r="168" spans="2:10" s="2" customFormat="1" ht="27.95" hidden="1" customHeight="1" x14ac:dyDescent="0.25">
      <c r="B168" s="2" t="str">
        <f>_xlfn.CONCAT(tbSellers[[#This Row],[Station]],tbSellers[[#This Row],[Item]])</f>
        <v>SeogwipMagnetised Ferrite</v>
      </c>
      <c r="C168" s="8" t="s">
        <v>239</v>
      </c>
      <c r="D168" s="14" t="s">
        <v>246</v>
      </c>
      <c r="E168" s="7">
        <f>VLOOKUP(tbSellers[[#This Row],[Item]],tbMaterials[],4,FALSE)</f>
        <v>82</v>
      </c>
      <c r="F168" s="40">
        <v>1</v>
      </c>
      <c r="G168" s="47"/>
      <c r="H168" s="70" t="str">
        <f>IF(_xlfn.IFNA(VLOOKUP(tbSellers[[#This Row],[Item]],tbShoppingList[],1,FALSE),"")&lt;&gt;"","Yes","")</f>
        <v/>
      </c>
      <c r="I168" s="4"/>
      <c r="J168" s="22"/>
    </row>
    <row r="169" spans="2:10" s="2" customFormat="1" ht="27.95" hidden="1" customHeight="1" x14ac:dyDescent="0.25">
      <c r="B169" s="2" t="str">
        <f>_xlfn.CONCAT(tbSellers[[#This Row],[Station]],tbSellers[[#This Row],[Item]])</f>
        <v>Urumqi XVMagnetised Ferrite</v>
      </c>
      <c r="C169" s="2" t="s">
        <v>116</v>
      </c>
      <c r="D169" s="14" t="s">
        <v>246</v>
      </c>
      <c r="E169" s="7">
        <f>VLOOKUP(tbSellers[[#This Row],[Item]],tbMaterials[],4,FALSE)</f>
        <v>82</v>
      </c>
      <c r="F169" s="40">
        <v>1</v>
      </c>
      <c r="G169" s="47"/>
      <c r="H169" s="70" t="str">
        <f>IF(_xlfn.IFNA(VLOOKUP(tbSellers[[#This Row],[Item]],tbShoppingList[],1,FALSE),"")&lt;&gt;"","Yes","")</f>
        <v/>
      </c>
      <c r="I169" s="4"/>
      <c r="J169" s="22"/>
    </row>
    <row r="170" spans="2:10" s="2" customFormat="1" ht="27.95" hidden="1" customHeight="1" x14ac:dyDescent="0.25">
      <c r="B170" s="2" t="str">
        <f>_xlfn.CONCAT(tbSellers[[#This Row],[Station]],tbSellers[[#This Row],[Item]])</f>
        <v>Arjorda-KugSodium Nitrate</v>
      </c>
      <c r="C170" s="8" t="s">
        <v>75</v>
      </c>
      <c r="D170" s="14" t="s">
        <v>11</v>
      </c>
      <c r="E170" s="7">
        <f>VLOOKUP(tbSellers[[#This Row],[Item]],tbMaterials[],4,FALSE)</f>
        <v>82</v>
      </c>
      <c r="F170" s="40">
        <v>1</v>
      </c>
      <c r="G170" s="47"/>
      <c r="H170" s="70" t="str">
        <f>IF(_xlfn.IFNA(VLOOKUP(tbSellers[[#This Row],[Item]],tbShoppingList[],1,FALSE),"")&lt;&gt;"","Yes","")</f>
        <v/>
      </c>
      <c r="I170" s="4"/>
      <c r="J170" s="22"/>
    </row>
    <row r="171" spans="2:10" s="2" customFormat="1" ht="27.95" hidden="1" customHeight="1" x14ac:dyDescent="0.25">
      <c r="B171" s="2" t="str">
        <f>_xlfn.CONCAT(tbSellers[[#This Row],[Station]],tbSellers[[#This Row],[Item]])</f>
        <v>Iijinc XVMagnetised Ferrite</v>
      </c>
      <c r="C171" s="2" t="s">
        <v>456</v>
      </c>
      <c r="D171" s="14" t="s">
        <v>246</v>
      </c>
      <c r="E171" s="7">
        <f>VLOOKUP(tbSellers[[#This Row],[Item]],tbMaterials[],4,FALSE)</f>
        <v>82</v>
      </c>
      <c r="F171" s="40">
        <v>1</v>
      </c>
      <c r="G171" s="47"/>
      <c r="H171" s="70" t="str">
        <f>IF(_xlfn.IFNA(VLOOKUP(tbSellers[[#This Row],[Item]],tbShoppingList[],1,FALSE),"")&lt;&gt;"","Yes","")</f>
        <v/>
      </c>
      <c r="I171" s="4"/>
      <c r="J171" s="22"/>
    </row>
    <row r="172" spans="2:10" s="2" customFormat="1" ht="27.95" hidden="1" customHeight="1" x14ac:dyDescent="0.25">
      <c r="B172" s="2" t="str">
        <f>_xlfn.CONCAT(tbSellers[[#This Row],[Station]],tbSellers[[#This Row],[Item]])</f>
        <v>Gepohalih IIIPhosphorus</v>
      </c>
      <c r="C172" s="2" t="s">
        <v>490</v>
      </c>
      <c r="D172" s="14" t="s">
        <v>34</v>
      </c>
      <c r="E172" s="7">
        <f>VLOOKUP(tbSellers[[#This Row],[Item]],tbMaterials[],4,FALSE)</f>
        <v>62</v>
      </c>
      <c r="F172" s="40">
        <v>1</v>
      </c>
      <c r="G172" s="47">
        <v>44029</v>
      </c>
      <c r="H172" s="70" t="str">
        <f>IF(_xlfn.IFNA(VLOOKUP(tbSellers[[#This Row],[Item]],tbShoppingList[],1,FALSE),"")&lt;&gt;"","Yes","")</f>
        <v/>
      </c>
      <c r="I172" s="4"/>
      <c r="J172" s="22"/>
    </row>
    <row r="173" spans="2:10" s="2" customFormat="1" ht="27.95" hidden="1" customHeight="1" x14ac:dyDescent="0.25">
      <c r="B173" s="2" t="str">
        <f>_xlfn.CONCAT(tbSellers[[#This Row],[Station]],tbSellers[[#This Row],[Item]])</f>
        <v>Yartan-AwkinChlorine</v>
      </c>
      <c r="C173" s="2" t="s">
        <v>326</v>
      </c>
      <c r="D173" s="14" t="s">
        <v>83</v>
      </c>
      <c r="E173" s="7">
        <f>VLOOKUP(tbSellers[[#This Row],[Item]],tbMaterials[],4,FALSE)</f>
        <v>602</v>
      </c>
      <c r="F173" s="40">
        <v>1</v>
      </c>
      <c r="G173" s="47">
        <v>44029</v>
      </c>
      <c r="H173" s="70" t="str">
        <f>IF(_xlfn.IFNA(VLOOKUP(tbSellers[[#This Row],[Item]],tbShoppingList[],1,FALSE),"")&lt;&gt;"","Yes","")</f>
        <v/>
      </c>
      <c r="I173" s="4"/>
      <c r="J173" s="22"/>
    </row>
    <row r="174" spans="2:10" s="2" customFormat="1" ht="27.95" hidden="1" customHeight="1" x14ac:dyDescent="0.25">
      <c r="B174" s="2" t="str">
        <f>_xlfn.CONCAT(tbSellers[[#This Row],[Station]],tbSellers[[#This Row],[Item]])</f>
        <v>Ancity-NiyhPhosphorus</v>
      </c>
      <c r="C174" s="8" t="s">
        <v>78</v>
      </c>
      <c r="D174" s="14" t="s">
        <v>34</v>
      </c>
      <c r="E174" s="7">
        <f>VLOOKUP(tbSellers[[#This Row],[Item]],tbMaterials[],4,FALSE)</f>
        <v>62</v>
      </c>
      <c r="F174" s="40">
        <v>1</v>
      </c>
      <c r="G174" s="47">
        <v>44030</v>
      </c>
      <c r="H174" s="70" t="str">
        <f>IF(_xlfn.IFNA(VLOOKUP(tbSellers[[#This Row],[Item]],tbShoppingList[],1,FALSE),"")&lt;&gt;"","Yes","")</f>
        <v/>
      </c>
      <c r="I174" s="4"/>
      <c r="J174" s="22"/>
    </row>
    <row r="175" spans="2:10" s="2" customFormat="1" ht="27.95" hidden="1" customHeight="1" x14ac:dyDescent="0.25">
      <c r="B175" s="2" t="str">
        <f>_xlfn.CONCAT(tbSellers[[#This Row],[Station]],tbSellers[[#This Row],[Item]])</f>
        <v>Nancangz XVOxygen</v>
      </c>
      <c r="C175" s="8" t="s">
        <v>54</v>
      </c>
      <c r="D175" s="14" t="s">
        <v>8</v>
      </c>
      <c r="E175" s="7">
        <f>VLOOKUP(tbSellers[[#This Row],[Item]],tbMaterials[],4,FALSE)</f>
        <v>34</v>
      </c>
      <c r="F175" s="40">
        <v>1</v>
      </c>
      <c r="G175" s="47">
        <v>44030</v>
      </c>
      <c r="H175" s="70" t="str">
        <f>IF(_xlfn.IFNA(VLOOKUP(tbSellers[[#This Row],[Item]],tbShoppingList[],1,FALSE),"")&lt;&gt;"","Yes","")</f>
        <v/>
      </c>
      <c r="I175" s="4"/>
      <c r="J175" s="22"/>
    </row>
    <row r="176" spans="2:10" s="2" customFormat="1" ht="27.95" hidden="1" customHeight="1" x14ac:dyDescent="0.25">
      <c r="B176" s="2" t="str">
        <f>_xlfn.CONCAT(tbSellers[[#This Row],[Station]],tbSellers[[#This Row],[Item]])</f>
        <v>WagormaIonised Cobalt</v>
      </c>
      <c r="C176" s="8" t="s">
        <v>115</v>
      </c>
      <c r="D176" s="14" t="s">
        <v>267</v>
      </c>
      <c r="E176" s="7">
        <f>VLOOKUP(tbSellers[[#This Row],[Item]],tbMaterials[],4,FALSE)</f>
        <v>401</v>
      </c>
      <c r="F176" s="40">
        <v>1</v>
      </c>
      <c r="G176" s="47">
        <v>44029</v>
      </c>
      <c r="H176" s="70" t="str">
        <f>IF(_xlfn.IFNA(VLOOKUP(tbSellers[[#This Row],[Item]],tbShoppingList[],1,FALSE),"")&lt;&gt;"","Yes","")</f>
        <v/>
      </c>
      <c r="I176" s="4"/>
      <c r="J176" s="22"/>
    </row>
    <row r="177" spans="2:10" s="2" customFormat="1" ht="27.95" hidden="1" customHeight="1" x14ac:dyDescent="0.25">
      <c r="B177" s="2" t="str">
        <f>_xlfn.CONCAT(tbSellers[[#This Row],[Station]],tbSellers[[#This Row],[Item]])</f>
        <v>XishuaiSilver</v>
      </c>
      <c r="C177" s="2" t="s">
        <v>95</v>
      </c>
      <c r="D177" s="14" t="s">
        <v>19</v>
      </c>
      <c r="E177" s="7">
        <f>VLOOKUP(tbSellers[[#This Row],[Item]],tbMaterials[],4,FALSE)</f>
        <v>186</v>
      </c>
      <c r="F177" s="40">
        <v>1</v>
      </c>
      <c r="G177" s="47">
        <v>44029</v>
      </c>
      <c r="H177" s="70" t="str">
        <f>IF(_xlfn.IFNA(VLOOKUP(tbSellers[[#This Row],[Item]],tbShoppingList[],1,FALSE),"")&lt;&gt;"","Yes","")</f>
        <v/>
      </c>
      <c r="I177" s="4"/>
      <c r="J177" s="22"/>
    </row>
    <row r="178" spans="2:10" s="2" customFormat="1" ht="27.95" hidden="1" customHeight="1" x14ac:dyDescent="0.25">
      <c r="B178" s="2" t="str">
        <f>_xlfn.CONCAT(tbSellers[[#This Row],[Station]],tbSellers[[#This Row],[Item]])</f>
        <v>XishuanqSodium Nitrate</v>
      </c>
      <c r="C178" s="8" t="s">
        <v>98</v>
      </c>
      <c r="D178" s="14" t="s">
        <v>11</v>
      </c>
      <c r="E178" s="7">
        <f>VLOOKUP(tbSellers[[#This Row],[Item]],tbMaterials[],4,FALSE)</f>
        <v>82</v>
      </c>
      <c r="F178" s="40">
        <v>1</v>
      </c>
      <c r="G178" s="47"/>
      <c r="H178" s="70" t="str">
        <f>IF(_xlfn.IFNA(VLOOKUP(tbSellers[[#This Row],[Item]],tbShoppingList[],1,FALSE),"")&lt;&gt;"","Yes","")</f>
        <v/>
      </c>
      <c r="I178" s="4"/>
      <c r="J178" s="22"/>
    </row>
    <row r="179" spans="2:10" s="2" customFormat="1" ht="27.95" hidden="1" customHeight="1" x14ac:dyDescent="0.25">
      <c r="B179" s="2" t="str">
        <f>_xlfn.CONCAT(tbSellers[[#This Row],[Station]],tbSellers[[#This Row],[Item]])</f>
        <v>XishuaiSodium</v>
      </c>
      <c r="C179" s="2" t="s">
        <v>95</v>
      </c>
      <c r="D179" s="14" t="s">
        <v>9</v>
      </c>
      <c r="E179" s="7">
        <f>VLOOKUP(tbSellers[[#This Row],[Item]],tbMaterials[],4,FALSE)</f>
        <v>41</v>
      </c>
      <c r="F179" s="40">
        <v>1</v>
      </c>
      <c r="G179" s="47">
        <v>44029</v>
      </c>
      <c r="H179" s="70" t="str">
        <f>IF(_xlfn.IFNA(VLOOKUP(tbSellers[[#This Row],[Item]],tbShoppingList[],1,FALSE),"")&lt;&gt;"","Yes","")</f>
        <v/>
      </c>
      <c r="I179" s="4"/>
      <c r="J179" s="22"/>
    </row>
    <row r="180" spans="2:10" s="2" customFormat="1" ht="27.95" hidden="1" customHeight="1" x14ac:dyDescent="0.25">
      <c r="B180" s="2" t="str">
        <f>_xlfn.CONCAT(tbSellers[[#This Row],[Station]],tbSellers[[#This Row],[Item]])</f>
        <v>NokungbMagnetised Ferrite</v>
      </c>
      <c r="C180" s="2" t="s">
        <v>271</v>
      </c>
      <c r="D180" s="14" t="s">
        <v>246</v>
      </c>
      <c r="E180" s="7">
        <f>VLOOKUP(tbSellers[[#This Row],[Item]],tbMaterials[],4,FALSE)</f>
        <v>82</v>
      </c>
      <c r="F180" s="40">
        <v>1</v>
      </c>
      <c r="G180" s="47">
        <v>44029</v>
      </c>
      <c r="H180" s="70" t="str">
        <f>IF(_xlfn.IFNA(VLOOKUP(tbSellers[[#This Row],[Item]],tbShoppingList[],1,FALSE),"")&lt;&gt;"","Yes","")</f>
        <v/>
      </c>
      <c r="I180" s="4"/>
      <c r="J180" s="22"/>
    </row>
    <row r="181" spans="2:10" s="2" customFormat="1" ht="27.95" hidden="1" customHeight="1" x14ac:dyDescent="0.25">
      <c r="B181" s="2" t="str">
        <f>_xlfn.CONCAT(tbSellers[[#This Row],[Station]],tbSellers[[#This Row],[Item]])</f>
        <v>EeoocomaMagnetised Ferrite</v>
      </c>
      <c r="C181" s="2" t="s">
        <v>564</v>
      </c>
      <c r="D181" s="14" t="s">
        <v>246</v>
      </c>
      <c r="E181" s="7">
        <f>VLOOKUP(tbSellers[[#This Row],[Item]],tbMaterials[],4,FALSE)</f>
        <v>82</v>
      </c>
      <c r="F181" s="40">
        <v>2</v>
      </c>
      <c r="G181" s="47"/>
      <c r="H181" s="70" t="str">
        <f>IF(_xlfn.IFNA(VLOOKUP(tbSellers[[#This Row],[Item]],tbShoppingList[],1,FALSE),"")&lt;&gt;"","Yes","")</f>
        <v/>
      </c>
      <c r="I181" s="4"/>
      <c r="J181" s="22"/>
    </row>
    <row r="182" spans="2:10" s="2" customFormat="1" ht="27.95" hidden="1" customHeight="1" x14ac:dyDescent="0.25">
      <c r="B182" s="2" t="str">
        <f>_xlfn.CONCAT(tbSellers[[#This Row],[Station]],tbSellers[[#This Row],[Item]])</f>
        <v>PuningtOxygen</v>
      </c>
      <c r="C182" s="2" t="s">
        <v>279</v>
      </c>
      <c r="D182" s="14" t="s">
        <v>8</v>
      </c>
      <c r="E182" s="7">
        <f>VLOOKUP(tbSellers[[#This Row],[Item]],tbMaterials[],4,FALSE)</f>
        <v>34</v>
      </c>
      <c r="F182" s="40">
        <v>1</v>
      </c>
      <c r="G182" s="47">
        <v>44030</v>
      </c>
      <c r="H182" s="70" t="str">
        <f>IF(_xlfn.IFNA(VLOOKUP(tbSellers[[#This Row],[Item]],tbShoppingList[],1,FALSE),"")&lt;&gt;"","Yes","")</f>
        <v/>
      </c>
      <c r="I182" s="4"/>
      <c r="J182" s="22"/>
    </row>
    <row r="183" spans="2:10" s="2" customFormat="1" ht="27.95" hidden="1" customHeight="1" x14ac:dyDescent="0.25">
      <c r="B183" s="2" t="str">
        <f>_xlfn.CONCAT(tbSellers[[#This Row],[Station]],tbSellers[[#This Row],[Item]])</f>
        <v>RidunxiMagnetised Ferrite</v>
      </c>
      <c r="C183" s="2" t="s">
        <v>573</v>
      </c>
      <c r="D183" s="14" t="s">
        <v>246</v>
      </c>
      <c r="E183" s="7">
        <f>VLOOKUP(tbSellers[[#This Row],[Item]],tbMaterials[],4,FALSE)</f>
        <v>82</v>
      </c>
      <c r="F183" s="40">
        <v>1</v>
      </c>
      <c r="G183" s="47"/>
      <c r="H183" s="70" t="str">
        <f>IF(_xlfn.IFNA(VLOOKUP(tbSellers[[#This Row],[Item]],tbShoppingList[],1,FALSE),"")&lt;&gt;"","Yes","")</f>
        <v/>
      </c>
      <c r="I183" s="4"/>
      <c r="J183" s="22"/>
    </row>
    <row r="184" spans="2:10" s="2" customFormat="1" ht="27.95" hidden="1" customHeight="1" x14ac:dyDescent="0.25">
      <c r="B184" s="2" t="str">
        <f>_xlfn.CONCAT(tbSellers[[#This Row],[Station]],tbSellers[[#This Row],[Item]])</f>
        <v>RidunxiSodium Nitrate</v>
      </c>
      <c r="C184" s="2" t="s">
        <v>573</v>
      </c>
      <c r="D184" s="14" t="s">
        <v>11</v>
      </c>
      <c r="E184" s="7">
        <f>VLOOKUP(tbSellers[[#This Row],[Item]],tbMaterials[],4,FALSE)</f>
        <v>82</v>
      </c>
      <c r="F184" s="40">
        <v>1</v>
      </c>
      <c r="G184" s="47"/>
      <c r="H184" s="70" t="str">
        <f>IF(_xlfn.IFNA(VLOOKUP(tbSellers[[#This Row],[Item]],tbShoppingList[],1,FALSE),"")&lt;&gt;"","Yes","")</f>
        <v/>
      </c>
      <c r="I184" s="4"/>
      <c r="J184" s="22"/>
    </row>
    <row r="185" spans="2:10" s="2" customFormat="1" ht="27.95" hidden="1" customHeight="1" x14ac:dyDescent="0.25">
      <c r="B185" s="2" t="str">
        <f>_xlfn.CONCAT(tbSellers[[#This Row],[Station]],tbSellers[[#This Row],[Item]])</f>
        <v>Seruss-EdogaChromatic Metal</v>
      </c>
      <c r="C185" s="2" t="s">
        <v>577</v>
      </c>
      <c r="D185" s="14" t="s">
        <v>261</v>
      </c>
      <c r="E185" s="7">
        <f>VLOOKUP(tbSellers[[#This Row],[Item]],tbMaterials[],4,FALSE)</f>
        <v>245</v>
      </c>
      <c r="F185" s="40">
        <v>1</v>
      </c>
      <c r="G185" s="47">
        <v>44029</v>
      </c>
      <c r="H185" s="70" t="str">
        <f>IF(_xlfn.IFNA(VLOOKUP(tbSellers[[#This Row],[Item]],tbShoppingList[],1,FALSE),"")&lt;&gt;"","Yes","")</f>
        <v/>
      </c>
      <c r="I185" s="4"/>
      <c r="J185" s="22"/>
    </row>
    <row r="186" spans="2:10" s="2" customFormat="1" ht="27.95" hidden="1" customHeight="1" x14ac:dyDescent="0.25">
      <c r="B186" s="2" t="str">
        <f>_xlfn.CONCAT(tbSellers[[#This Row],[Station]],tbSellers[[#This Row],[Item]])</f>
        <v>OdaleroOxygen</v>
      </c>
      <c r="C186" s="2" t="s">
        <v>604</v>
      </c>
      <c r="D186" s="14" t="s">
        <v>8</v>
      </c>
      <c r="E186" s="7">
        <f>VLOOKUP(tbSellers[[#This Row],[Item]],tbMaterials[],4,FALSE)</f>
        <v>34</v>
      </c>
      <c r="F186" s="40">
        <v>1</v>
      </c>
      <c r="G186" s="47">
        <v>44030</v>
      </c>
      <c r="H186" s="70" t="str">
        <f>IF(_xlfn.IFNA(VLOOKUP(tbSellers[[#This Row],[Item]],tbShoppingList[],1,FALSE),"")&lt;&gt;"","Yes","")</f>
        <v/>
      </c>
      <c r="I186" s="4"/>
      <c r="J186" s="22"/>
    </row>
    <row r="187" spans="2:10" s="2" customFormat="1" ht="27.95" hidden="1" customHeight="1" x14ac:dyDescent="0.25">
      <c r="B187" s="2" t="str">
        <f>_xlfn.CONCAT(tbSellers[[#This Row],[Station]],tbSellers[[#This Row],[Item]])</f>
        <v>DohoeniaAmmonia</v>
      </c>
      <c r="C187" s="2" t="s">
        <v>608</v>
      </c>
      <c r="D187" s="14" t="s">
        <v>84</v>
      </c>
      <c r="E187" s="7">
        <f>VLOOKUP(tbSellers[[#This Row],[Item]],tbMaterials[],4,FALSE)</f>
        <v>62</v>
      </c>
      <c r="F187" s="40">
        <v>2</v>
      </c>
      <c r="G187" s="47">
        <v>44029</v>
      </c>
      <c r="H187" s="70" t="str">
        <f>IF(_xlfn.IFNA(VLOOKUP(tbSellers[[#This Row],[Item]],tbShoppingList[],1,FALSE),"")&lt;&gt;"","Yes","")</f>
        <v/>
      </c>
      <c r="I187" s="4"/>
      <c r="J187" s="22"/>
    </row>
    <row r="188" spans="2:10" s="2" customFormat="1" ht="27.95" hidden="1" customHeight="1" x14ac:dyDescent="0.25">
      <c r="B188" s="2" t="str">
        <f>_xlfn.CONCAT(tbSellers[[#This Row],[Station]],tbSellers[[#This Row],[Item]])</f>
        <v>The DojoFerrite Dust</v>
      </c>
      <c r="C188" s="2" t="s">
        <v>665</v>
      </c>
      <c r="D188" s="14" t="s">
        <v>12</v>
      </c>
      <c r="E188" s="7">
        <f>VLOOKUP(tbSellers[[#This Row],[Item]],tbMaterials[],4,FALSE)</f>
        <v>14</v>
      </c>
      <c r="F188" s="40">
        <v>1</v>
      </c>
      <c r="G188" s="47">
        <v>44029</v>
      </c>
      <c r="H188" s="70" t="str">
        <f>IF(_xlfn.IFNA(VLOOKUP(tbSellers[[#This Row],[Item]],tbShoppingList[],1,FALSE),"")&lt;&gt;"","Yes","")</f>
        <v/>
      </c>
      <c r="I188" s="4"/>
      <c r="J188" s="22"/>
    </row>
    <row r="189" spans="2:10" s="2" customFormat="1" ht="27.95" hidden="1" customHeight="1" x14ac:dyDescent="0.25">
      <c r="B189" s="2" t="str">
        <f>_xlfn.CONCAT(tbSellers[[#This Row],[Station]],tbSellers[[#This Row],[Item]])</f>
        <v>Tijoriesth XIVPugneum</v>
      </c>
      <c r="C189" s="2" t="s">
        <v>698</v>
      </c>
      <c r="D189" s="14" t="s">
        <v>262</v>
      </c>
      <c r="E189" s="7">
        <f>VLOOKUP(tbSellers[[#This Row],[Item]],tbMaterials[],4,FALSE)</f>
        <v>138</v>
      </c>
      <c r="F189" s="40">
        <v>1</v>
      </c>
      <c r="G189" s="47">
        <v>44029</v>
      </c>
      <c r="H189" s="70" t="str">
        <f>IF(_xlfn.IFNA(VLOOKUP(tbSellers[[#This Row],[Item]],tbShoppingList[],1,FALSE),"")&lt;&gt;"","Yes","")</f>
        <v/>
      </c>
      <c r="I189" s="4"/>
      <c r="J189" s="22"/>
    </row>
    <row r="190" spans="2:10" s="2" customFormat="1" ht="27.95" hidden="1" customHeight="1" x14ac:dyDescent="0.25">
      <c r="B190" s="2" t="str">
        <f>_xlfn.CONCAT(tbSellers[[#This Row],[Station]],tbSellers[[#This Row],[Item]])</f>
        <v>Tijoriesth XIVTritium</v>
      </c>
      <c r="C190" s="2" t="s">
        <v>698</v>
      </c>
      <c r="D190" s="14" t="s">
        <v>25</v>
      </c>
      <c r="E190" s="7">
        <f>VLOOKUP(tbSellers[[#This Row],[Item]],tbMaterials[],4,FALSE)</f>
        <v>6</v>
      </c>
      <c r="F190" s="40">
        <v>2</v>
      </c>
      <c r="G190" s="47">
        <v>44029</v>
      </c>
      <c r="H190" s="70" t="str">
        <f>IF(_xlfn.IFNA(VLOOKUP(tbSellers[[#This Row],[Item]],tbShoppingList[],1,FALSE),"")&lt;&gt;"","Yes","")</f>
        <v>Yes</v>
      </c>
      <c r="I190" s="4"/>
      <c r="J190" s="22"/>
    </row>
    <row r="191" spans="2:10" s="2" customFormat="1" ht="27.95" hidden="1" customHeight="1" x14ac:dyDescent="0.25">
      <c r="B191" s="2" t="str">
        <f>_xlfn.CONCAT(tbSellers[[#This Row],[Station]],tbSellers[[#This Row],[Item]])</f>
        <v>HadzananMagnetised Ferrite</v>
      </c>
      <c r="C191" s="2" t="s">
        <v>731</v>
      </c>
      <c r="D191" s="14" t="s">
        <v>246</v>
      </c>
      <c r="E191" s="7">
        <f>VLOOKUP(tbSellers[[#This Row],[Item]],tbMaterials[],4,FALSE)</f>
        <v>82</v>
      </c>
      <c r="F191" s="40">
        <v>1</v>
      </c>
      <c r="G191" s="47"/>
      <c r="H191" s="70" t="str">
        <f>IF(_xlfn.IFNA(VLOOKUP(tbSellers[[#This Row],[Item]],tbShoppingList[],1,FALSE),"")&lt;&gt;"","Yes","")</f>
        <v/>
      </c>
      <c r="I191" s="4"/>
      <c r="J191" s="22"/>
    </row>
    <row r="192" spans="2:10" s="2" customFormat="1" ht="27.95" hidden="1" customHeight="1" x14ac:dyDescent="0.25">
      <c r="B192" s="2" t="str">
        <f>_xlfn.CONCAT(tbSellers[[#This Row],[Station]],tbSellers[[#This Row],[Item]])</f>
        <v>AxinweUranium</v>
      </c>
      <c r="C192" s="8" t="s">
        <v>771</v>
      </c>
      <c r="D192" s="14" t="s">
        <v>57</v>
      </c>
      <c r="E192" s="7">
        <f>VLOOKUP(tbSellers[[#This Row],[Item]],tbMaterials[],4,FALSE)</f>
        <v>62</v>
      </c>
      <c r="F192" s="40">
        <v>1</v>
      </c>
      <c r="G192" s="47"/>
      <c r="H192" s="70" t="str">
        <f>IF(_xlfn.IFNA(VLOOKUP(tbSellers[[#This Row],[Item]],tbShoppingList[],1,FALSE),"")&lt;&gt;"","Yes","")</f>
        <v/>
      </c>
      <c r="I192" s="4"/>
      <c r="J192" s="22"/>
    </row>
    <row r="193" spans="2:10" s="2" customFormat="1" ht="27.95" hidden="1" customHeight="1" x14ac:dyDescent="0.25">
      <c r="B193" s="2" t="str">
        <f>_xlfn.CONCAT(tbSellers[[#This Row],[Station]],tbSellers[[#This Row],[Item]])</f>
        <v>AxinweAmmonia</v>
      </c>
      <c r="C193" s="8" t="s">
        <v>771</v>
      </c>
      <c r="D193" s="14" t="s">
        <v>84</v>
      </c>
      <c r="E193" s="7">
        <f>VLOOKUP(tbSellers[[#This Row],[Item]],tbMaterials[],4,FALSE)</f>
        <v>62</v>
      </c>
      <c r="F193" s="40">
        <v>1</v>
      </c>
      <c r="G193" s="47"/>
      <c r="H193" s="70" t="str">
        <f>IF(_xlfn.IFNA(VLOOKUP(tbSellers[[#This Row],[Item]],tbShoppingList[],1,FALSE),"")&lt;&gt;"","Yes","")</f>
        <v/>
      </c>
      <c r="I193" s="4"/>
      <c r="J193" s="22"/>
    </row>
    <row r="194" spans="2:10" s="2" customFormat="1" ht="27.95" hidden="1" customHeight="1" x14ac:dyDescent="0.25">
      <c r="B194" s="2" t="str">
        <f>_xlfn.CONCAT(tbSellers[[#This Row],[Station]],tbSellers[[#This Row],[Item]])</f>
        <v>Kiheensbo XVIISalt</v>
      </c>
      <c r="C194" s="2" t="s">
        <v>254</v>
      </c>
      <c r="D194" s="14" t="s">
        <v>56</v>
      </c>
      <c r="E194" s="7">
        <f>VLOOKUP(tbSellers[[#This Row],[Item]],tbMaterials[],4,FALSE)</f>
        <v>299</v>
      </c>
      <c r="F194" s="40">
        <v>1</v>
      </c>
      <c r="G194" s="47">
        <v>44029</v>
      </c>
      <c r="H194" s="70" t="str">
        <f>IF(_xlfn.IFNA(VLOOKUP(tbSellers[[#This Row],[Item]],tbShoppingList[],1,FALSE),"")&lt;&gt;"","Yes","")</f>
        <v/>
      </c>
      <c r="I194" s="4"/>
      <c r="J194" s="22"/>
    </row>
    <row r="195" spans="2:10" s="2" customFormat="1" ht="27.95" hidden="1" customHeight="1" x14ac:dyDescent="0.25">
      <c r="B195" s="2" t="str">
        <f>_xlfn.CONCAT(tbSellers[[#This Row],[Station]],tbSellers[[#This Row],[Item]])</f>
        <v>NokungbPure Ferrite</v>
      </c>
      <c r="C195" s="2" t="s">
        <v>271</v>
      </c>
      <c r="D195" s="14" t="s">
        <v>266</v>
      </c>
      <c r="E195" s="7">
        <f>VLOOKUP(tbSellers[[#This Row],[Item]],tbMaterials[],4,FALSE)</f>
        <v>28</v>
      </c>
      <c r="F195" s="40">
        <v>1</v>
      </c>
      <c r="G195" s="47">
        <v>44029</v>
      </c>
      <c r="H195" s="70" t="str">
        <f>IF(_xlfn.IFNA(VLOOKUP(tbSellers[[#This Row],[Item]],tbShoppingList[],1,FALSE),"")&lt;&gt;"","Yes","")</f>
        <v/>
      </c>
      <c r="I195" s="4"/>
      <c r="J195" s="22"/>
    </row>
    <row r="196" spans="2:10" s="2" customFormat="1" ht="27.95" hidden="1" customHeight="1" x14ac:dyDescent="0.25">
      <c r="B196" s="2" t="str">
        <f>_xlfn.CONCAT(tbSellers[[#This Row],[Station]],tbSellers[[#This Row],[Item]])</f>
        <v>RekamadinUranium</v>
      </c>
      <c r="C196" s="2" t="s">
        <v>591</v>
      </c>
      <c r="D196" s="14" t="s">
        <v>57</v>
      </c>
      <c r="E196" s="7">
        <f>VLOOKUP(tbSellers[[#This Row],[Item]],tbMaterials[],4,FALSE)</f>
        <v>62</v>
      </c>
      <c r="F196" s="40">
        <v>2</v>
      </c>
      <c r="G196" s="47">
        <v>44029</v>
      </c>
      <c r="H196" s="70" t="str">
        <f>IF(_xlfn.IFNA(VLOOKUP(tbSellers[[#This Row],[Item]],tbShoppingList[],1,FALSE),"")&lt;&gt;"","Yes","")</f>
        <v/>
      </c>
      <c r="I196" s="4"/>
      <c r="J196" s="22"/>
    </row>
    <row r="197" spans="2:10" s="2" customFormat="1" ht="27.95" hidden="1" customHeight="1" x14ac:dyDescent="0.25">
      <c r="B197" s="2" t="str">
        <f>_xlfn.CONCAT(tbSellers[[#This Row],[Station]],tbSellers[[#This Row],[Item]])</f>
        <v>RekamadinSodium</v>
      </c>
      <c r="C197" s="2" t="s">
        <v>591</v>
      </c>
      <c r="D197" s="14" t="s">
        <v>9</v>
      </c>
      <c r="E197" s="7">
        <f>VLOOKUP(tbSellers[[#This Row],[Item]],tbMaterials[],4,FALSE)</f>
        <v>41</v>
      </c>
      <c r="F197" s="40">
        <v>1</v>
      </c>
      <c r="G197" s="47">
        <v>44029</v>
      </c>
      <c r="H197" s="70" t="str">
        <f>IF(_xlfn.IFNA(VLOOKUP(tbSellers[[#This Row],[Item]],tbShoppingList[],1,FALSE),"")&lt;&gt;"","Yes","")</f>
        <v/>
      </c>
      <c r="I197" s="4"/>
      <c r="J197" s="22"/>
    </row>
    <row r="198" spans="2:10" s="2" customFormat="1" ht="27.95" hidden="1" customHeight="1" x14ac:dyDescent="0.25">
      <c r="B198" s="2" t="str">
        <f>_xlfn.CONCAT(tbSellers[[#This Row],[Station]],tbSellers[[#This Row],[Item]])</f>
        <v>RekamadinTritium</v>
      </c>
      <c r="C198" s="2" t="s">
        <v>591</v>
      </c>
      <c r="D198" s="14" t="s">
        <v>25</v>
      </c>
      <c r="E198" s="7">
        <f>VLOOKUP(tbSellers[[#This Row],[Item]],tbMaterials[],4,FALSE)</f>
        <v>6</v>
      </c>
      <c r="F198" s="40">
        <v>2</v>
      </c>
      <c r="G198" s="47">
        <v>44029</v>
      </c>
      <c r="H198" s="70" t="str">
        <f>IF(_xlfn.IFNA(VLOOKUP(tbSellers[[#This Row],[Item]],tbShoppingList[],1,FALSE),"")&lt;&gt;"","Yes","")</f>
        <v>Yes</v>
      </c>
      <c r="I198" s="4"/>
      <c r="J198" s="22"/>
    </row>
    <row r="199" spans="2:10" s="2" customFormat="1" ht="27.95" hidden="1" customHeight="1" x14ac:dyDescent="0.25">
      <c r="B199" s="2" t="str">
        <f>_xlfn.CONCAT(tbSellers[[#This Row],[Station]],tbSellers[[#This Row],[Item]])</f>
        <v>Ancity-NiyhSilver</v>
      </c>
      <c r="C199" s="8" t="s">
        <v>78</v>
      </c>
      <c r="D199" s="14" t="s">
        <v>19</v>
      </c>
      <c r="E199" s="7">
        <f>VLOOKUP(tbSellers[[#This Row],[Item]],tbMaterials[],4,FALSE)</f>
        <v>186</v>
      </c>
      <c r="F199" s="40">
        <v>1</v>
      </c>
      <c r="G199" s="47">
        <v>44030</v>
      </c>
      <c r="H199" s="70" t="str">
        <f>IF(_xlfn.IFNA(VLOOKUP(tbSellers[[#This Row],[Item]],tbShoppingList[],1,FALSE),"")&lt;&gt;"","Yes","")</f>
        <v/>
      </c>
      <c r="I199" s="4"/>
      <c r="J199" s="22"/>
    </row>
    <row r="200" spans="2:10" s="2" customFormat="1" ht="27.95" hidden="1" customHeight="1" x14ac:dyDescent="0.25">
      <c r="B200" s="2" t="str">
        <f>_xlfn.CONCAT(tbSellers[[#This Row],[Station]],tbSellers[[#This Row],[Item]])</f>
        <v>Paddoc-KehaOxygen</v>
      </c>
      <c r="C200" s="8" t="s">
        <v>99</v>
      </c>
      <c r="D200" s="14" t="s">
        <v>8</v>
      </c>
      <c r="E200" s="7">
        <f>VLOOKUP(tbSellers[[#This Row],[Item]],tbMaterials[],4,FALSE)</f>
        <v>34</v>
      </c>
      <c r="F200" s="40">
        <v>1</v>
      </c>
      <c r="G200" s="47">
        <v>44030</v>
      </c>
      <c r="H200" s="70" t="str">
        <f>IF(_xlfn.IFNA(VLOOKUP(tbSellers[[#This Row],[Item]],tbShoppingList[],1,FALSE),"")&lt;&gt;"","Yes","")</f>
        <v/>
      </c>
      <c r="I200" s="4"/>
      <c r="J200" s="22"/>
    </row>
    <row r="201" spans="2:10" s="2" customFormat="1" ht="27.95" hidden="1" customHeight="1" x14ac:dyDescent="0.25">
      <c r="B201" s="2" t="str">
        <f>_xlfn.CONCAT(tbSellers[[#This Row],[Station]],tbSellers[[#This Row],[Item]])</f>
        <v>AlhaimParaffinium</v>
      </c>
      <c r="C201" s="2" t="s">
        <v>270</v>
      </c>
      <c r="D201" s="14" t="s">
        <v>61</v>
      </c>
      <c r="E201" s="7">
        <f>VLOOKUP(tbSellers[[#This Row],[Item]],tbMaterials[],4,FALSE)</f>
        <v>62</v>
      </c>
      <c r="F201" s="40">
        <v>1</v>
      </c>
      <c r="G201" s="47"/>
      <c r="H201" s="70" t="str">
        <f>IF(_xlfn.IFNA(VLOOKUP(tbSellers[[#This Row],[Item]],tbShoppingList[],1,FALSE),"")&lt;&gt;"","Yes","")</f>
        <v/>
      </c>
      <c r="I201" s="4"/>
      <c r="J201" s="22"/>
    </row>
    <row r="202" spans="2:10" s="2" customFormat="1" ht="27.95" hidden="1" customHeight="1" x14ac:dyDescent="0.25">
      <c r="B202" s="2" t="str">
        <f>_xlfn.CONCAT(tbSellers[[#This Row],[Station]],tbSellers[[#This Row],[Item]])</f>
        <v>NalangniCopper</v>
      </c>
      <c r="C202" s="8" t="s">
        <v>79</v>
      </c>
      <c r="D202" s="14" t="s">
        <v>5</v>
      </c>
      <c r="E202" s="7">
        <f>VLOOKUP(tbSellers[[#This Row],[Item]],tbMaterials[],4,FALSE)</f>
        <v>121</v>
      </c>
      <c r="F202" s="40">
        <v>1</v>
      </c>
      <c r="G202" s="47">
        <v>44030</v>
      </c>
      <c r="H202" s="70" t="str">
        <f>IF(_xlfn.IFNA(VLOOKUP(tbSellers[[#This Row],[Item]],tbShoppingList[],1,FALSE),"")&lt;&gt;"","Yes","")</f>
        <v/>
      </c>
      <c r="I202" s="4"/>
      <c r="J202" s="22"/>
    </row>
    <row r="203" spans="2:10" s="2" customFormat="1" ht="27.95" hidden="1" customHeight="1" x14ac:dyDescent="0.25">
      <c r="B203" s="2" t="str">
        <f>_xlfn.CONCAT(tbSellers[[#This Row],[Station]],tbSellers[[#This Row],[Item]])</f>
        <v>Yedexi VIICopper</v>
      </c>
      <c r="C203" s="8" t="s">
        <v>52</v>
      </c>
      <c r="D203" s="14" t="s">
        <v>5</v>
      </c>
      <c r="E203" s="7">
        <f>VLOOKUP(tbSellers[[#This Row],[Item]],tbMaterials[],4,FALSE)</f>
        <v>121</v>
      </c>
      <c r="F203" s="40">
        <v>1</v>
      </c>
      <c r="G203" s="47">
        <v>44029</v>
      </c>
      <c r="H203" s="70" t="str">
        <f>IF(_xlfn.IFNA(VLOOKUP(tbSellers[[#This Row],[Item]],tbShoppingList[],1,FALSE),"")&lt;&gt;"","Yes","")</f>
        <v/>
      </c>
      <c r="I203" s="4"/>
      <c r="J203" s="22"/>
    </row>
    <row r="204" spans="2:10" s="2" customFormat="1" ht="27.95" hidden="1" customHeight="1" x14ac:dyDescent="0.25">
      <c r="B204" s="2" t="str">
        <f>_xlfn.CONCAT(tbSellers[[#This Row],[Station]],tbSellers[[#This Row],[Item]])</f>
        <v>AlhaimPhosphorus</v>
      </c>
      <c r="C204" s="2" t="s">
        <v>270</v>
      </c>
      <c r="D204" s="14" t="s">
        <v>34</v>
      </c>
      <c r="E204" s="7">
        <f>VLOOKUP(tbSellers[[#This Row],[Item]],tbMaterials[],4,FALSE)</f>
        <v>62</v>
      </c>
      <c r="F204" s="40">
        <v>1</v>
      </c>
      <c r="G204" s="47"/>
      <c r="H204" s="70" t="str">
        <f>IF(_xlfn.IFNA(VLOOKUP(tbSellers[[#This Row],[Item]],tbShoppingList[],1,FALSE),"")&lt;&gt;"","Yes","")</f>
        <v/>
      </c>
      <c r="I204" s="4"/>
      <c r="J204" s="22"/>
    </row>
    <row r="205" spans="2:10" s="2" customFormat="1" ht="27.95" hidden="1" customHeight="1" x14ac:dyDescent="0.25">
      <c r="B205" s="2" t="str">
        <f>_xlfn.CONCAT(tbSellers[[#This Row],[Station]],tbSellers[[#This Row],[Item]])</f>
        <v>AnxiexSodium</v>
      </c>
      <c r="C205" s="2" t="s">
        <v>248</v>
      </c>
      <c r="D205" s="14" t="s">
        <v>9</v>
      </c>
      <c r="E205" s="7">
        <f>VLOOKUP(tbSellers[[#This Row],[Item]],tbMaterials[],4,FALSE)</f>
        <v>41</v>
      </c>
      <c r="F205" s="40">
        <v>1</v>
      </c>
      <c r="G205" s="47">
        <v>44030</v>
      </c>
      <c r="H205" s="70" t="str">
        <f>IF(_xlfn.IFNA(VLOOKUP(tbSellers[[#This Row],[Item]],tbShoppingList[],1,FALSE),"")&lt;&gt;"","Yes","")</f>
        <v/>
      </c>
      <c r="I205" s="4"/>
      <c r="J205" s="22"/>
    </row>
    <row r="206" spans="2:10" s="2" customFormat="1" ht="27.95" hidden="1" customHeight="1" x14ac:dyDescent="0.25">
      <c r="B206" s="2" t="str">
        <f>_xlfn.CONCAT(tbSellers[[#This Row],[Station]],tbSellers[[#This Row],[Item]])</f>
        <v>Cuomul-TosSodium</v>
      </c>
      <c r="C206" s="2" t="s">
        <v>275</v>
      </c>
      <c r="D206" s="14" t="s">
        <v>9</v>
      </c>
      <c r="E206" s="7">
        <f>VLOOKUP(tbSellers[[#This Row],[Item]],tbMaterials[],4,FALSE)</f>
        <v>41</v>
      </c>
      <c r="F206" s="40">
        <v>1</v>
      </c>
      <c r="G206" s="47">
        <v>44030</v>
      </c>
      <c r="H206" s="70" t="str">
        <f>IF(_xlfn.IFNA(VLOOKUP(tbSellers[[#This Row],[Item]],tbShoppingList[],1,FALSE),"")&lt;&gt;"","Yes","")</f>
        <v/>
      </c>
      <c r="I206" s="4"/>
      <c r="J206" s="22"/>
    </row>
    <row r="207" spans="2:10" s="2" customFormat="1" ht="27.95" hidden="1" customHeight="1" x14ac:dyDescent="0.25">
      <c r="B207" s="2" t="str">
        <f>_xlfn.CONCAT(tbSellers[[#This Row],[Station]],tbSellers[[#This Row],[Item]])</f>
        <v>EgarondoUranium</v>
      </c>
      <c r="C207" s="8" t="s">
        <v>74</v>
      </c>
      <c r="D207" s="14" t="s">
        <v>57</v>
      </c>
      <c r="E207" s="7">
        <f>VLOOKUP(tbSellers[[#This Row],[Item]],tbMaterials[],4,FALSE)</f>
        <v>62</v>
      </c>
      <c r="F207" s="40">
        <v>1</v>
      </c>
      <c r="G207" s="47"/>
      <c r="H207" s="70" t="str">
        <f>IF(_xlfn.IFNA(VLOOKUP(tbSellers[[#This Row],[Item]],tbShoppingList[],1,FALSE),"")&lt;&gt;"","Yes","")</f>
        <v/>
      </c>
      <c r="I207" s="4"/>
      <c r="J207" s="22"/>
    </row>
    <row r="208" spans="2:10" s="2" customFormat="1" ht="27.95" hidden="1" customHeight="1" x14ac:dyDescent="0.25">
      <c r="B208" s="2" t="str">
        <f>_xlfn.CONCAT(tbSellers[[#This Row],[Station]],tbSellers[[#This Row],[Item]])</f>
        <v>NalangniTritium</v>
      </c>
      <c r="C208" s="8" t="s">
        <v>79</v>
      </c>
      <c r="D208" s="14" t="s">
        <v>25</v>
      </c>
      <c r="E208" s="7">
        <f>VLOOKUP(tbSellers[[#This Row],[Item]],tbMaterials[],4,FALSE)</f>
        <v>6</v>
      </c>
      <c r="F208" s="40">
        <v>1</v>
      </c>
      <c r="G208" s="47">
        <v>44030</v>
      </c>
      <c r="H208" s="70" t="str">
        <f>IF(_xlfn.IFNA(VLOOKUP(tbSellers[[#This Row],[Item]],tbShoppingList[],1,FALSE),"")&lt;&gt;"","Yes","")</f>
        <v>Yes</v>
      </c>
      <c r="I208" s="4"/>
      <c r="J208" s="22"/>
    </row>
    <row r="209" spans="2:10" s="2" customFormat="1" ht="27.95" hidden="1" customHeight="1" x14ac:dyDescent="0.25">
      <c r="B209" s="2" t="str">
        <f>_xlfn.CONCAT(tbSellers[[#This Row],[Station]],tbSellers[[#This Row],[Item]])</f>
        <v>AnxiexOxygen</v>
      </c>
      <c r="C209" s="2" t="s">
        <v>248</v>
      </c>
      <c r="D209" s="14" t="s">
        <v>8</v>
      </c>
      <c r="E209" s="7">
        <f>VLOOKUP(tbSellers[[#This Row],[Item]],tbMaterials[],4,FALSE)</f>
        <v>34</v>
      </c>
      <c r="F209" s="40">
        <v>1</v>
      </c>
      <c r="G209" s="47">
        <v>44030</v>
      </c>
      <c r="H209" s="70" t="str">
        <f>IF(_xlfn.IFNA(VLOOKUP(tbSellers[[#This Row],[Item]],tbShoppingList[],1,FALSE),"")&lt;&gt;"","Yes","")</f>
        <v/>
      </c>
      <c r="I209" s="4"/>
      <c r="J209" s="22"/>
    </row>
    <row r="210" spans="2:10" s="2" customFormat="1" ht="27.95" hidden="1" customHeight="1" x14ac:dyDescent="0.25">
      <c r="B210" s="2" t="str">
        <f>_xlfn.CONCAT(tbSellers[[#This Row],[Station]],tbSellers[[#This Row],[Item]])</f>
        <v>Kiheensbo XVIISodium</v>
      </c>
      <c r="C210" s="2" t="s">
        <v>254</v>
      </c>
      <c r="D210" s="14" t="s">
        <v>9</v>
      </c>
      <c r="E210" s="7">
        <f>VLOOKUP(tbSellers[[#This Row],[Item]],tbMaterials[],4,FALSE)</f>
        <v>41</v>
      </c>
      <c r="F210" s="40">
        <v>1</v>
      </c>
      <c r="G210" s="47">
        <v>44029</v>
      </c>
      <c r="H210" s="70" t="str">
        <f>IF(_xlfn.IFNA(VLOOKUP(tbSellers[[#This Row],[Item]],tbShoppingList[],1,FALSE),"")&lt;&gt;"","Yes","")</f>
        <v/>
      </c>
      <c r="I210" s="4"/>
      <c r="J210" s="22"/>
    </row>
    <row r="211" spans="2:10" s="2" customFormat="1" ht="27.95" hidden="1" customHeight="1" x14ac:dyDescent="0.25">
      <c r="B211" s="2" t="str">
        <f>_xlfn.CONCAT(tbSellers[[#This Row],[Station]],tbSellers[[#This Row],[Item]])</f>
        <v>NokungbTritium</v>
      </c>
      <c r="C211" s="2" t="s">
        <v>271</v>
      </c>
      <c r="D211" s="14" t="s">
        <v>25</v>
      </c>
      <c r="E211" s="7">
        <f>VLOOKUP(tbSellers[[#This Row],[Item]],tbMaterials[],4,FALSE)</f>
        <v>6</v>
      </c>
      <c r="F211" s="40">
        <v>2</v>
      </c>
      <c r="G211" s="47">
        <v>44029</v>
      </c>
      <c r="H211" s="70" t="str">
        <f>IF(_xlfn.IFNA(VLOOKUP(tbSellers[[#This Row],[Item]],tbShoppingList[],1,FALSE),"")&lt;&gt;"","Yes","")</f>
        <v>Yes</v>
      </c>
      <c r="I211" s="4"/>
      <c r="J211" s="22"/>
    </row>
    <row r="212" spans="2:10" s="2" customFormat="1" ht="27.95" hidden="1" customHeight="1" x14ac:dyDescent="0.25">
      <c r="B212" s="2" t="str">
        <f>_xlfn.CONCAT(tbSellers[[#This Row],[Station]],tbSellers[[#This Row],[Item]])</f>
        <v>OqoideGold</v>
      </c>
      <c r="C212" s="2" t="s">
        <v>114</v>
      </c>
      <c r="D212" s="14" t="s">
        <v>24</v>
      </c>
      <c r="E212" s="7">
        <f>VLOOKUP(tbSellers[[#This Row],[Item]],tbMaterials[],4,FALSE)</f>
        <v>353</v>
      </c>
      <c r="F212" s="40">
        <v>1</v>
      </c>
      <c r="G212" s="47">
        <v>44030</v>
      </c>
      <c r="H212" s="70" t="str">
        <f>IF(_xlfn.IFNA(VLOOKUP(tbSellers[[#This Row],[Item]],tbShoppingList[],1,FALSE),"")&lt;&gt;"","Yes","")</f>
        <v/>
      </c>
      <c r="I212" s="4"/>
      <c r="J212" s="22"/>
    </row>
    <row r="213" spans="2:10" s="2" customFormat="1" ht="27.95" hidden="1" customHeight="1" x14ac:dyDescent="0.25">
      <c r="B213" s="2" t="str">
        <f>_xlfn.CONCAT(tbSellers[[#This Row],[Station]],tbSellers[[#This Row],[Item]])</f>
        <v>Ubzhan-Reg VSodium</v>
      </c>
      <c r="C213" s="2" t="s">
        <v>120</v>
      </c>
      <c r="D213" s="14" t="s">
        <v>9</v>
      </c>
      <c r="E213" s="7">
        <f>VLOOKUP(tbSellers[[#This Row],[Item]],tbMaterials[],4,FALSE)</f>
        <v>41</v>
      </c>
      <c r="F213" s="40">
        <v>1</v>
      </c>
      <c r="G213" s="47"/>
      <c r="H213" s="70" t="str">
        <f>IF(_xlfn.IFNA(VLOOKUP(tbSellers[[#This Row],[Item]],tbShoppingList[],1,FALSE),"")&lt;&gt;"","Yes","")</f>
        <v/>
      </c>
      <c r="I213" s="4"/>
      <c r="J213" s="22"/>
    </row>
    <row r="214" spans="2:10" s="2" customFormat="1" ht="27.95" hidden="1" customHeight="1" x14ac:dyDescent="0.25">
      <c r="B214" s="2" t="str">
        <f>_xlfn.CONCAT(tbSellers[[#This Row],[Station]],tbSellers[[#This Row],[Item]])</f>
        <v>Urumqi XVParaffinium</v>
      </c>
      <c r="C214" s="2" t="s">
        <v>116</v>
      </c>
      <c r="D214" s="14" t="s">
        <v>61</v>
      </c>
      <c r="E214" s="7">
        <f>VLOOKUP(tbSellers[[#This Row],[Item]],tbMaterials[],4,FALSE)</f>
        <v>62</v>
      </c>
      <c r="F214" s="40">
        <v>1</v>
      </c>
      <c r="G214" s="47"/>
      <c r="H214" s="70" t="str">
        <f>IF(_xlfn.IFNA(VLOOKUP(tbSellers[[#This Row],[Item]],tbShoppingList[],1,FALSE),"")&lt;&gt;"","Yes","")</f>
        <v/>
      </c>
      <c r="I214" s="4"/>
      <c r="J214" s="22"/>
    </row>
    <row r="215" spans="2:10" s="2" customFormat="1" ht="27.95" hidden="1" customHeight="1" x14ac:dyDescent="0.25">
      <c r="B215" s="2" t="str">
        <f>_xlfn.CONCAT(tbSellers[[#This Row],[Station]],tbSellers[[#This Row],[Item]])</f>
        <v>WagormaAmmonia</v>
      </c>
      <c r="C215" s="8" t="s">
        <v>115</v>
      </c>
      <c r="D215" s="14" t="s">
        <v>84</v>
      </c>
      <c r="E215" s="7">
        <f>VLOOKUP(tbSellers[[#This Row],[Item]],tbMaterials[],4,FALSE)</f>
        <v>62</v>
      </c>
      <c r="F215" s="40">
        <v>1</v>
      </c>
      <c r="G215" s="47">
        <v>44029</v>
      </c>
      <c r="H215" s="70" t="str">
        <f>IF(_xlfn.IFNA(VLOOKUP(tbSellers[[#This Row],[Item]],tbShoppingList[],1,FALSE),"")&lt;&gt;"","Yes","")</f>
        <v/>
      </c>
      <c r="I215" s="4"/>
      <c r="J215" s="22"/>
    </row>
    <row r="216" spans="2:10" s="2" customFormat="1" ht="27.95" hidden="1" customHeight="1" x14ac:dyDescent="0.25">
      <c r="B216" s="2" t="str">
        <f>_xlfn.CONCAT(tbSellers[[#This Row],[Station]],tbSellers[[#This Row],[Item]])</f>
        <v>NokungbSodium</v>
      </c>
      <c r="C216" s="2" t="s">
        <v>271</v>
      </c>
      <c r="D216" s="14" t="s">
        <v>9</v>
      </c>
      <c r="E216" s="7">
        <f>VLOOKUP(tbSellers[[#This Row],[Item]],tbMaterials[],4,FALSE)</f>
        <v>41</v>
      </c>
      <c r="F216" s="40">
        <v>1</v>
      </c>
      <c r="G216" s="47">
        <v>44029</v>
      </c>
      <c r="H216" s="70" t="str">
        <f>IF(_xlfn.IFNA(VLOOKUP(tbSellers[[#This Row],[Item]],tbShoppingList[],1,FALSE),"")&lt;&gt;"","Yes","")</f>
        <v/>
      </c>
      <c r="I216" s="4"/>
      <c r="J216" s="22"/>
    </row>
    <row r="217" spans="2:10" s="2" customFormat="1" ht="27.95" hidden="1" customHeight="1" x14ac:dyDescent="0.25">
      <c r="B217" s="2" t="str">
        <f>_xlfn.CONCAT(tbSellers[[#This Row],[Station]],tbSellers[[#This Row],[Item]])</f>
        <v>Paddoc-KehaFerrite Dust</v>
      </c>
      <c r="C217" s="8" t="s">
        <v>99</v>
      </c>
      <c r="D217" s="14" t="s">
        <v>12</v>
      </c>
      <c r="E217" s="7">
        <f>VLOOKUP(tbSellers[[#This Row],[Item]],tbMaterials[],4,FALSE)</f>
        <v>14</v>
      </c>
      <c r="F217" s="40">
        <v>1</v>
      </c>
      <c r="G217" s="47">
        <v>44030</v>
      </c>
      <c r="H217" s="70" t="str">
        <f>IF(_xlfn.IFNA(VLOOKUP(tbSellers[[#This Row],[Item]],tbShoppingList[],1,FALSE),"")&lt;&gt;"","Yes","")</f>
        <v/>
      </c>
      <c r="I217" s="4"/>
      <c r="J217" s="22"/>
    </row>
    <row r="218" spans="2:10" s="2" customFormat="1" ht="27.95" hidden="1" customHeight="1" x14ac:dyDescent="0.25">
      <c r="B218" s="2" t="str">
        <f>_xlfn.CONCAT(tbSellers[[#This Row],[Station]],tbSellers[[#This Row],[Item]])</f>
        <v>SeogwipPhosphorus</v>
      </c>
      <c r="C218" s="8" t="s">
        <v>239</v>
      </c>
      <c r="D218" s="14" t="s">
        <v>34</v>
      </c>
      <c r="E218" s="7">
        <f>VLOOKUP(tbSellers[[#This Row],[Item]],tbMaterials[],4,FALSE)</f>
        <v>62</v>
      </c>
      <c r="F218" s="40">
        <v>1</v>
      </c>
      <c r="G218" s="47"/>
      <c r="H218" s="70" t="str">
        <f>IF(_xlfn.IFNA(VLOOKUP(tbSellers[[#This Row],[Item]],tbShoppingList[],1,FALSE),"")&lt;&gt;"","Yes","")</f>
        <v/>
      </c>
      <c r="I218" s="4"/>
      <c r="J218" s="22"/>
    </row>
    <row r="219" spans="2:10" s="2" customFormat="1" ht="27.95" hidden="1" customHeight="1" x14ac:dyDescent="0.25">
      <c r="B219" s="2" t="str">
        <f>_xlfn.CONCAT(tbSellers[[#This Row],[Station]],tbSellers[[#This Row],[Item]])</f>
        <v>Iijinc XVAmmonia</v>
      </c>
      <c r="C219" s="2" t="s">
        <v>456</v>
      </c>
      <c r="D219" s="14" t="s">
        <v>84</v>
      </c>
      <c r="E219" s="7">
        <f>VLOOKUP(tbSellers[[#This Row],[Item]],tbMaterials[],4,FALSE)</f>
        <v>62</v>
      </c>
      <c r="F219" s="40">
        <v>2</v>
      </c>
      <c r="G219" s="47"/>
      <c r="H219" s="70" t="str">
        <f>IF(_xlfn.IFNA(VLOOKUP(tbSellers[[#This Row],[Item]],tbShoppingList[],1,FALSE),"")&lt;&gt;"","Yes","")</f>
        <v/>
      </c>
      <c r="I219" s="4"/>
      <c r="J219" s="22"/>
    </row>
    <row r="220" spans="2:10" s="2" customFormat="1" ht="27.95" hidden="1" customHeight="1" x14ac:dyDescent="0.25">
      <c r="B220" s="2" t="str">
        <f>_xlfn.CONCAT(tbSellers[[#This Row],[Station]],tbSellers[[#This Row],[Item]])</f>
        <v>Gepohalih IIIChromatic Metal</v>
      </c>
      <c r="C220" s="2" t="s">
        <v>490</v>
      </c>
      <c r="D220" s="14" t="s">
        <v>261</v>
      </c>
      <c r="E220" s="7">
        <f>VLOOKUP(tbSellers[[#This Row],[Item]],tbMaterials[],4,FALSE)</f>
        <v>245</v>
      </c>
      <c r="F220" s="40">
        <v>2</v>
      </c>
      <c r="G220" s="47">
        <v>44029</v>
      </c>
      <c r="H220" s="70" t="str">
        <f>IF(_xlfn.IFNA(VLOOKUP(tbSellers[[#This Row],[Item]],tbShoppingList[],1,FALSE),"")&lt;&gt;"","Yes","")</f>
        <v/>
      </c>
      <c r="I220" s="4"/>
      <c r="J220" s="22"/>
    </row>
    <row r="221" spans="2:10" s="2" customFormat="1" ht="27.95" hidden="1" customHeight="1" x14ac:dyDescent="0.25">
      <c r="B221" s="2" t="str">
        <f>_xlfn.CONCAT(tbSellers[[#This Row],[Station]],tbSellers[[#This Row],[Item]])</f>
        <v>Iijinc XVPyrite</v>
      </c>
      <c r="C221" s="2" t="s">
        <v>456</v>
      </c>
      <c r="D221" s="14" t="s">
        <v>119</v>
      </c>
      <c r="E221" s="7">
        <f>VLOOKUP(tbSellers[[#This Row],[Item]],tbMaterials[],4,FALSE)</f>
        <v>62</v>
      </c>
      <c r="F221" s="40">
        <v>2</v>
      </c>
      <c r="G221" s="47"/>
      <c r="H221" s="70" t="str">
        <f>IF(_xlfn.IFNA(VLOOKUP(tbSellers[[#This Row],[Item]],tbShoppingList[],1,FALSE),"")&lt;&gt;"","Yes","")</f>
        <v/>
      </c>
      <c r="I221" s="4"/>
      <c r="J221" s="22"/>
    </row>
    <row r="222" spans="2:10" s="2" customFormat="1" ht="27.95" hidden="1" customHeight="1" x14ac:dyDescent="0.25">
      <c r="B222" s="2" t="str">
        <f>_xlfn.CONCAT(tbSellers[[#This Row],[Station]],tbSellers[[#This Row],[Item]])</f>
        <v>Yartan-AwkinPugneum</v>
      </c>
      <c r="C222" s="2" t="s">
        <v>326</v>
      </c>
      <c r="D222" s="14" t="s">
        <v>262</v>
      </c>
      <c r="E222" s="7">
        <f>VLOOKUP(tbSellers[[#This Row],[Item]],tbMaterials[],4,FALSE)</f>
        <v>138</v>
      </c>
      <c r="F222" s="40">
        <v>1</v>
      </c>
      <c r="G222" s="47">
        <v>44029</v>
      </c>
      <c r="H222" s="70" t="str">
        <f>IF(_xlfn.IFNA(VLOOKUP(tbSellers[[#This Row],[Item]],tbShoppingList[],1,FALSE),"")&lt;&gt;"","Yes","")</f>
        <v/>
      </c>
      <c r="I222" s="4"/>
      <c r="J222" s="22"/>
    </row>
    <row r="223" spans="2:10" s="2" customFormat="1" ht="27.95" hidden="1" customHeight="1" x14ac:dyDescent="0.25">
      <c r="B223" s="2" t="str">
        <f>_xlfn.CONCAT(tbSellers[[#This Row],[Station]],tbSellers[[#This Row],[Item]])</f>
        <v>Kiheensbo XVIIOxygen</v>
      </c>
      <c r="C223" s="2" t="s">
        <v>254</v>
      </c>
      <c r="D223" s="14" t="s">
        <v>8</v>
      </c>
      <c r="E223" s="7">
        <f>VLOOKUP(tbSellers[[#This Row],[Item]],tbMaterials[],4,FALSE)</f>
        <v>34</v>
      </c>
      <c r="F223" s="40">
        <v>1</v>
      </c>
      <c r="G223" s="47">
        <v>44029</v>
      </c>
      <c r="H223" s="70" t="str">
        <f>IF(_xlfn.IFNA(VLOOKUP(tbSellers[[#This Row],[Item]],tbShoppingList[],1,FALSE),"")&lt;&gt;"","Yes","")</f>
        <v/>
      </c>
      <c r="I223" s="4"/>
      <c r="J223" s="22"/>
    </row>
    <row r="224" spans="2:10" s="2" customFormat="1" ht="27.95" hidden="1" customHeight="1" x14ac:dyDescent="0.25">
      <c r="B224" s="2" t="str">
        <f>_xlfn.CONCAT(tbSellers[[#This Row],[Station]],tbSellers[[#This Row],[Item]])</f>
        <v>Arjorda-KugDioxite</v>
      </c>
      <c r="C224" s="8" t="s">
        <v>75</v>
      </c>
      <c r="D224" s="14" t="s">
        <v>72</v>
      </c>
      <c r="E224" s="7">
        <f>VLOOKUP(tbSellers[[#This Row],[Item]],tbMaterials[],4,FALSE)</f>
        <v>62</v>
      </c>
      <c r="F224" s="40">
        <v>1</v>
      </c>
      <c r="G224" s="47"/>
      <c r="H224" s="70" t="str">
        <f>IF(_xlfn.IFNA(VLOOKUP(tbSellers[[#This Row],[Item]],tbShoppingList[],1,FALSE),"")&lt;&gt;"","Yes","")</f>
        <v/>
      </c>
      <c r="I224" s="4"/>
      <c r="J224" s="22"/>
    </row>
    <row r="225" spans="2:10" s="2" customFormat="1" ht="27.95" hidden="1" customHeight="1" x14ac:dyDescent="0.25">
      <c r="B225" s="2" t="str">
        <f>_xlfn.CONCAT(tbSellers[[#This Row],[Station]],tbSellers[[#This Row],[Item]])</f>
        <v>OqoideSodium</v>
      </c>
      <c r="C225" s="2" t="s">
        <v>114</v>
      </c>
      <c r="D225" s="14" t="s">
        <v>9</v>
      </c>
      <c r="E225" s="7">
        <f>VLOOKUP(tbSellers[[#This Row],[Item]],tbMaterials[],4,FALSE)</f>
        <v>41</v>
      </c>
      <c r="F225" s="40">
        <v>1</v>
      </c>
      <c r="G225" s="47">
        <v>44030</v>
      </c>
      <c r="H225" s="70" t="str">
        <f>IF(_xlfn.IFNA(VLOOKUP(tbSellers[[#This Row],[Item]],tbShoppingList[],1,FALSE),"")&lt;&gt;"","Yes","")</f>
        <v/>
      </c>
      <c r="I225" s="4"/>
      <c r="J225" s="22"/>
    </row>
    <row r="226" spans="2:10" s="2" customFormat="1" ht="27.95" hidden="1" customHeight="1" x14ac:dyDescent="0.25">
      <c r="B226" s="2" t="str">
        <f>_xlfn.CONCAT(tbSellers[[#This Row],[Station]],tbSellers[[#This Row],[Item]])</f>
        <v>OqoideOxygen</v>
      </c>
      <c r="C226" s="2" t="s">
        <v>114</v>
      </c>
      <c r="D226" s="14" t="s">
        <v>8</v>
      </c>
      <c r="E226" s="7">
        <f>VLOOKUP(tbSellers[[#This Row],[Item]],tbMaterials[],4,FALSE)</f>
        <v>34</v>
      </c>
      <c r="F226" s="40">
        <v>1</v>
      </c>
      <c r="G226" s="47">
        <v>44030</v>
      </c>
      <c r="H226" s="70" t="str">
        <f>IF(_xlfn.IFNA(VLOOKUP(tbSellers[[#This Row],[Item]],tbShoppingList[],1,FALSE),"")&lt;&gt;"","Yes","")</f>
        <v/>
      </c>
      <c r="I226" s="4"/>
      <c r="J226" s="22"/>
    </row>
    <row r="227" spans="2:10" s="2" customFormat="1" ht="27.95" hidden="1" customHeight="1" x14ac:dyDescent="0.25">
      <c r="B227" s="2" t="str">
        <f>_xlfn.CONCAT(tbSellers[[#This Row],[Station]],tbSellers[[#This Row],[Item]])</f>
        <v>OqoideFerrite Dust</v>
      </c>
      <c r="C227" s="2" t="s">
        <v>114</v>
      </c>
      <c r="D227" s="14" t="s">
        <v>12</v>
      </c>
      <c r="E227" s="7">
        <f>VLOOKUP(tbSellers[[#This Row],[Item]],tbMaterials[],4,FALSE)</f>
        <v>14</v>
      </c>
      <c r="F227" s="40">
        <v>1</v>
      </c>
      <c r="G227" s="47">
        <v>44030</v>
      </c>
      <c r="H227" s="70" t="str">
        <f>IF(_xlfn.IFNA(VLOOKUP(tbSellers[[#This Row],[Item]],tbShoppingList[],1,FALSE),"")&lt;&gt;"","Yes","")</f>
        <v/>
      </c>
      <c r="I227" s="4"/>
      <c r="J227" s="22"/>
    </row>
    <row r="228" spans="2:10" s="2" customFormat="1" ht="27.95" hidden="1" customHeight="1" x14ac:dyDescent="0.25">
      <c r="B228" s="2" t="str">
        <f>_xlfn.CONCAT(tbSellers[[#This Row],[Station]],tbSellers[[#This Row],[Item]])</f>
        <v>XishuaiOxygen</v>
      </c>
      <c r="C228" s="2" t="s">
        <v>95</v>
      </c>
      <c r="D228" s="14" t="s">
        <v>8</v>
      </c>
      <c r="E228" s="7">
        <f>VLOOKUP(tbSellers[[#This Row],[Item]],tbMaterials[],4,FALSE)</f>
        <v>34</v>
      </c>
      <c r="F228" s="40">
        <v>1</v>
      </c>
      <c r="G228" s="47">
        <v>44029</v>
      </c>
      <c r="H228" s="70" t="str">
        <f>IF(_xlfn.IFNA(VLOOKUP(tbSellers[[#This Row],[Item]],tbShoppingList[],1,FALSE),"")&lt;&gt;"","Yes","")</f>
        <v/>
      </c>
      <c r="I228" s="4"/>
      <c r="J228" s="22"/>
    </row>
    <row r="229" spans="2:10" s="2" customFormat="1" ht="27.95" hidden="1" customHeight="1" x14ac:dyDescent="0.25">
      <c r="B229" s="2" t="str">
        <f>_xlfn.CONCAT(tbSellers[[#This Row],[Station]],tbSellers[[#This Row],[Item]])</f>
        <v>XishuanqPyrite</v>
      </c>
      <c r="C229" s="8" t="s">
        <v>98</v>
      </c>
      <c r="D229" s="14" t="s">
        <v>119</v>
      </c>
      <c r="E229" s="7">
        <f>VLOOKUP(tbSellers[[#This Row],[Item]],tbMaterials[],4,FALSE)</f>
        <v>62</v>
      </c>
      <c r="F229" s="40">
        <v>1</v>
      </c>
      <c r="G229" s="47"/>
      <c r="H229" s="70" t="str">
        <f>IF(_xlfn.IFNA(VLOOKUP(tbSellers[[#This Row],[Item]],tbShoppingList[],1,FALSE),"")&lt;&gt;"","Yes","")</f>
        <v/>
      </c>
      <c r="I229" s="4"/>
      <c r="J229" s="22"/>
    </row>
    <row r="230" spans="2:10" s="2" customFormat="1" ht="27.95" hidden="1" customHeight="1" x14ac:dyDescent="0.25">
      <c r="B230" s="2" t="str">
        <f>_xlfn.CONCAT(tbSellers[[#This Row],[Station]],tbSellers[[#This Row],[Item]])</f>
        <v>Yedexi VIISodium</v>
      </c>
      <c r="C230" s="8" t="s">
        <v>52</v>
      </c>
      <c r="D230" s="14" t="s">
        <v>9</v>
      </c>
      <c r="E230" s="7">
        <f>VLOOKUP(tbSellers[[#This Row],[Item]],tbMaterials[],4,FALSE)</f>
        <v>41</v>
      </c>
      <c r="F230" s="40">
        <v>1</v>
      </c>
      <c r="G230" s="47">
        <v>44029</v>
      </c>
      <c r="H230" s="70" t="str">
        <f>IF(_xlfn.IFNA(VLOOKUP(tbSellers[[#This Row],[Item]],tbShoppingList[],1,FALSE),"")&lt;&gt;"","Yes","")</f>
        <v/>
      </c>
      <c r="I230" s="4"/>
      <c r="J230" s="22"/>
    </row>
    <row r="231" spans="2:10" s="2" customFormat="1" ht="27.95" hidden="1" customHeight="1" x14ac:dyDescent="0.25">
      <c r="B231" s="2" t="str">
        <f>_xlfn.CONCAT(tbSellers[[#This Row],[Station]],tbSellers[[#This Row],[Item]])</f>
        <v>Arjorda-KugPyrite</v>
      </c>
      <c r="C231" s="8" t="s">
        <v>75</v>
      </c>
      <c r="D231" s="14" t="s">
        <v>119</v>
      </c>
      <c r="E231" s="7">
        <f>VLOOKUP(tbSellers[[#This Row],[Item]],tbMaterials[],4,FALSE)</f>
        <v>62</v>
      </c>
      <c r="F231" s="40">
        <v>1</v>
      </c>
      <c r="G231" s="47"/>
      <c r="H231" s="70" t="str">
        <f>IF(_xlfn.IFNA(VLOOKUP(tbSellers[[#This Row],[Item]],tbShoppingList[],1,FALSE),"")&lt;&gt;"","Yes","")</f>
        <v/>
      </c>
      <c r="I231" s="4"/>
      <c r="J231" s="22"/>
    </row>
    <row r="232" spans="2:10" s="2" customFormat="1" ht="27.95" hidden="1" customHeight="1" x14ac:dyDescent="0.25">
      <c r="B232" s="2" t="str">
        <f>_xlfn.CONCAT(tbSellers[[#This Row],[Station]],tbSellers[[#This Row],[Item]])</f>
        <v>PuningtFerrite Dust</v>
      </c>
      <c r="C232" s="2" t="s">
        <v>279</v>
      </c>
      <c r="D232" s="14" t="s">
        <v>12</v>
      </c>
      <c r="E232" s="7">
        <f>VLOOKUP(tbSellers[[#This Row],[Item]],tbMaterials[],4,FALSE)</f>
        <v>14</v>
      </c>
      <c r="F232" s="40">
        <v>1</v>
      </c>
      <c r="G232" s="47">
        <v>44030</v>
      </c>
      <c r="H232" s="70" t="str">
        <f>IF(_xlfn.IFNA(VLOOKUP(tbSellers[[#This Row],[Item]],tbShoppingList[],1,FALSE),"")&lt;&gt;"","Yes","")</f>
        <v/>
      </c>
      <c r="I232" s="4"/>
      <c r="J232" s="22"/>
    </row>
    <row r="233" spans="2:10" s="2" customFormat="1" ht="27.95" hidden="1" customHeight="1" x14ac:dyDescent="0.25">
      <c r="B233" s="2" t="str">
        <f>_xlfn.CONCAT(tbSellers[[#This Row],[Station]],tbSellers[[#This Row],[Item]])</f>
        <v>Helkarsh VUranium</v>
      </c>
      <c r="C233" s="2" t="s">
        <v>272</v>
      </c>
      <c r="D233" s="14" t="s">
        <v>57</v>
      </c>
      <c r="E233" s="7">
        <f>VLOOKUP(tbSellers[[#This Row],[Item]],tbMaterials[],4,FALSE)</f>
        <v>62</v>
      </c>
      <c r="F233" s="40">
        <v>1</v>
      </c>
      <c r="G233" s="47"/>
      <c r="H233" s="70" t="str">
        <f>IF(_xlfn.IFNA(VLOOKUP(tbSellers[[#This Row],[Item]],tbShoppingList[],1,FALSE),"")&lt;&gt;"","Yes","")</f>
        <v/>
      </c>
      <c r="I233" s="4"/>
      <c r="J233" s="22"/>
    </row>
    <row r="234" spans="2:10" s="2" customFormat="1" ht="27.95" hidden="1" customHeight="1" x14ac:dyDescent="0.25">
      <c r="B234" s="2" t="str">
        <f>_xlfn.CONCAT(tbSellers[[#This Row],[Station]],tbSellers[[#This Row],[Item]])</f>
        <v>Nancangz XVFerrite Dust</v>
      </c>
      <c r="C234" s="8" t="s">
        <v>54</v>
      </c>
      <c r="D234" s="14" t="s">
        <v>12</v>
      </c>
      <c r="E234" s="7">
        <f>VLOOKUP(tbSellers[[#This Row],[Item]],tbMaterials[],4,FALSE)</f>
        <v>14</v>
      </c>
      <c r="F234" s="40">
        <v>1</v>
      </c>
      <c r="G234" s="47">
        <v>44030</v>
      </c>
      <c r="H234" s="70" t="str">
        <f>IF(_xlfn.IFNA(VLOOKUP(tbSellers[[#This Row],[Item]],tbShoppingList[],1,FALSE),"")&lt;&gt;"","Yes","")</f>
        <v/>
      </c>
      <c r="I234" s="4"/>
      <c r="J234" s="22"/>
    </row>
    <row r="235" spans="2:10" s="2" customFormat="1" ht="27.95" hidden="1" customHeight="1" x14ac:dyDescent="0.25">
      <c r="B235" s="2" t="str">
        <f>_xlfn.CONCAT(tbSellers[[#This Row],[Station]],tbSellers[[#This Row],[Item]])</f>
        <v>Gepohalih IIICobalt</v>
      </c>
      <c r="C235" s="2" t="s">
        <v>490</v>
      </c>
      <c r="D235" s="14" t="s">
        <v>6</v>
      </c>
      <c r="E235" s="7">
        <f>VLOOKUP(tbSellers[[#This Row],[Item]],tbMaterials[],4,FALSE)</f>
        <v>198</v>
      </c>
      <c r="F235" s="40">
        <v>1</v>
      </c>
      <c r="G235" s="47">
        <v>44029</v>
      </c>
      <c r="H235" s="70" t="str">
        <f>IF(_xlfn.IFNA(VLOOKUP(tbSellers[[#This Row],[Item]],tbShoppingList[],1,FALSE),"")&lt;&gt;"","Yes","")</f>
        <v/>
      </c>
      <c r="I235" s="4"/>
      <c r="J235" s="22"/>
    </row>
    <row r="236" spans="2:10" s="2" customFormat="1" ht="27.95" hidden="1" customHeight="1" x14ac:dyDescent="0.25">
      <c r="B236" s="2" t="str">
        <f>_xlfn.CONCAT(tbSellers[[#This Row],[Station]],tbSellers[[#This Row],[Item]])</f>
        <v>Ubzhan-Reg VOxygen</v>
      </c>
      <c r="C236" s="2" t="s">
        <v>120</v>
      </c>
      <c r="D236" s="14" t="s">
        <v>8</v>
      </c>
      <c r="E236" s="7">
        <f>VLOOKUP(tbSellers[[#This Row],[Item]],tbMaterials[],4,FALSE)</f>
        <v>34</v>
      </c>
      <c r="F236" s="40">
        <v>1</v>
      </c>
      <c r="G236" s="47"/>
      <c r="H236" s="70" t="str">
        <f>IF(_xlfn.IFNA(VLOOKUP(tbSellers[[#This Row],[Item]],tbShoppingList[],1,FALSE),"")&lt;&gt;"","Yes","")</f>
        <v/>
      </c>
      <c r="I236" s="4"/>
      <c r="J236" s="22"/>
    </row>
    <row r="237" spans="2:10" s="2" customFormat="1" ht="27.95" hidden="1" customHeight="1" x14ac:dyDescent="0.25">
      <c r="B237" s="2" t="str">
        <f>_xlfn.CONCAT(tbSellers[[#This Row],[Station]],tbSellers[[#This Row],[Item]])</f>
        <v>Urumqi XVUranium</v>
      </c>
      <c r="C237" s="2" t="s">
        <v>116</v>
      </c>
      <c r="D237" s="14" t="s">
        <v>57</v>
      </c>
      <c r="E237" s="7">
        <f>VLOOKUP(tbSellers[[#This Row],[Item]],tbMaterials[],4,FALSE)</f>
        <v>62</v>
      </c>
      <c r="F237" s="40">
        <v>2</v>
      </c>
      <c r="G237" s="47"/>
      <c r="H237" s="70" t="str">
        <f>IF(_xlfn.IFNA(VLOOKUP(tbSellers[[#This Row],[Item]],tbShoppingList[],1,FALSE),"")&lt;&gt;"","Yes","")</f>
        <v/>
      </c>
      <c r="I237" s="4"/>
      <c r="J237" s="22"/>
    </row>
    <row r="238" spans="2:10" s="2" customFormat="1" ht="27.95" hidden="1" customHeight="1" x14ac:dyDescent="0.25">
      <c r="B238" s="2" t="str">
        <f>_xlfn.CONCAT(tbSellers[[#This Row],[Station]],tbSellers[[#This Row],[Item]])</f>
        <v>Urumqi XVAmmonia</v>
      </c>
      <c r="C238" s="2" t="s">
        <v>116</v>
      </c>
      <c r="D238" s="14" t="s">
        <v>84</v>
      </c>
      <c r="E238" s="7">
        <f>VLOOKUP(tbSellers[[#This Row],[Item]],tbMaterials[],4,FALSE)</f>
        <v>62</v>
      </c>
      <c r="F238" s="40">
        <v>2</v>
      </c>
      <c r="G238" s="47"/>
      <c r="H238" s="70" t="str">
        <f>IF(_xlfn.IFNA(VLOOKUP(tbSellers[[#This Row],[Item]],tbShoppingList[],1,FALSE),"")&lt;&gt;"","Yes","")</f>
        <v/>
      </c>
      <c r="I238" s="4"/>
      <c r="J238" s="22"/>
    </row>
    <row r="239" spans="2:10" s="2" customFormat="1" ht="27.95" hidden="1" customHeight="1" x14ac:dyDescent="0.25">
      <c r="B239" s="2" t="str">
        <f>_xlfn.CONCAT(tbSellers[[#This Row],[Station]],tbSellers[[#This Row],[Item]])</f>
        <v>Helkarsh VDioxite</v>
      </c>
      <c r="C239" s="2" t="s">
        <v>272</v>
      </c>
      <c r="D239" s="14" t="s">
        <v>72</v>
      </c>
      <c r="E239" s="7">
        <f>VLOOKUP(tbSellers[[#This Row],[Item]],tbMaterials[],4,FALSE)</f>
        <v>62</v>
      </c>
      <c r="F239" s="40">
        <v>2</v>
      </c>
      <c r="G239" s="47"/>
      <c r="H239" s="70" t="str">
        <f>IF(_xlfn.IFNA(VLOOKUP(tbSellers[[#This Row],[Item]],tbShoppingList[],1,FALSE),"")&lt;&gt;"","Yes","")</f>
        <v/>
      </c>
      <c r="I239" s="4"/>
      <c r="J239" s="22"/>
    </row>
    <row r="240" spans="2:10" s="2" customFormat="1" ht="27.95" hidden="1" customHeight="1" x14ac:dyDescent="0.25">
      <c r="B240" s="2" t="str">
        <f>_xlfn.CONCAT(tbSellers[[#This Row],[Station]],tbSellers[[#This Row],[Item]])</f>
        <v>WagormaSodium</v>
      </c>
      <c r="C240" s="8" t="s">
        <v>115</v>
      </c>
      <c r="D240" s="14" t="s">
        <v>9</v>
      </c>
      <c r="E240" s="7">
        <f>VLOOKUP(tbSellers[[#This Row],[Item]],tbMaterials[],4,FALSE)</f>
        <v>41</v>
      </c>
      <c r="F240" s="40">
        <v>1</v>
      </c>
      <c r="G240" s="47">
        <v>44029</v>
      </c>
      <c r="H240" s="70" t="str">
        <f>IF(_xlfn.IFNA(VLOOKUP(tbSellers[[#This Row],[Item]],tbShoppingList[],1,FALSE),"")&lt;&gt;"","Yes","")</f>
        <v/>
      </c>
      <c r="I240" s="4"/>
      <c r="J240" s="22"/>
    </row>
    <row r="241" spans="2:10" s="2" customFormat="1" ht="27.95" hidden="1" customHeight="1" x14ac:dyDescent="0.25">
      <c r="B241" s="2" t="str">
        <f>_xlfn.CONCAT(tbSellers[[#This Row],[Station]],tbSellers[[#This Row],[Item]])</f>
        <v>WagormaOxygen</v>
      </c>
      <c r="C241" s="8" t="s">
        <v>115</v>
      </c>
      <c r="D241" s="14" t="s">
        <v>8</v>
      </c>
      <c r="E241" s="7">
        <f>VLOOKUP(tbSellers[[#This Row],[Item]],tbMaterials[],4,FALSE)</f>
        <v>34</v>
      </c>
      <c r="F241" s="40">
        <v>1</v>
      </c>
      <c r="G241" s="47">
        <v>44029</v>
      </c>
      <c r="H241" s="70" t="str">
        <f>IF(_xlfn.IFNA(VLOOKUP(tbSellers[[#This Row],[Item]],tbShoppingList[],1,FALSE),"")&lt;&gt;"","Yes","")</f>
        <v/>
      </c>
      <c r="I241" s="4"/>
      <c r="J241" s="22"/>
    </row>
    <row r="242" spans="2:10" s="2" customFormat="1" ht="27.95" hidden="1" customHeight="1" x14ac:dyDescent="0.25">
      <c r="B242" s="2" t="str">
        <f>_xlfn.CONCAT(tbSellers[[#This Row],[Station]],tbSellers[[#This Row],[Item]])</f>
        <v>EeoocomaPyrite</v>
      </c>
      <c r="C242" s="2" t="s">
        <v>564</v>
      </c>
      <c r="D242" s="14" t="s">
        <v>119</v>
      </c>
      <c r="E242" s="7">
        <f>VLOOKUP(tbSellers[[#This Row],[Item]],tbMaterials[],4,FALSE)</f>
        <v>62</v>
      </c>
      <c r="F242" s="40">
        <v>1</v>
      </c>
      <c r="G242" s="47"/>
      <c r="H242" s="70" t="str">
        <f>IF(_xlfn.IFNA(VLOOKUP(tbSellers[[#This Row],[Item]],tbShoppingList[],1,FALSE),"")&lt;&gt;"","Yes","")</f>
        <v/>
      </c>
      <c r="I242" s="4"/>
      <c r="J242" s="22"/>
    </row>
    <row r="243" spans="2:10" s="2" customFormat="1" ht="27.95" hidden="1" customHeight="1" x14ac:dyDescent="0.25">
      <c r="B243" s="2" t="str">
        <f>_xlfn.CONCAT(tbSellers[[#This Row],[Station]],tbSellers[[#This Row],[Item]])</f>
        <v>EeoocomaDioxite</v>
      </c>
      <c r="C243" s="2" t="s">
        <v>564</v>
      </c>
      <c r="D243" s="14" t="s">
        <v>72</v>
      </c>
      <c r="E243" s="7">
        <f>VLOOKUP(tbSellers[[#This Row],[Item]],tbMaterials[],4,FALSE)</f>
        <v>62</v>
      </c>
      <c r="F243" s="40">
        <v>1</v>
      </c>
      <c r="G243" s="47"/>
      <c r="H243" s="70" t="str">
        <f>IF(_xlfn.IFNA(VLOOKUP(tbSellers[[#This Row],[Item]],tbShoppingList[],1,FALSE),"")&lt;&gt;"","Yes","")</f>
        <v/>
      </c>
      <c r="I243" s="4"/>
      <c r="J243" s="22"/>
    </row>
    <row r="244" spans="2:10" s="2" customFormat="1" ht="27.95" hidden="1" customHeight="1" x14ac:dyDescent="0.25">
      <c r="B244" s="2" t="str">
        <f>_xlfn.CONCAT(tbSellers[[#This Row],[Station]],tbSellers[[#This Row],[Item]])</f>
        <v>EeoocomaAmmonia</v>
      </c>
      <c r="C244" s="2" t="s">
        <v>564</v>
      </c>
      <c r="D244" s="14" t="s">
        <v>84</v>
      </c>
      <c r="E244" s="7">
        <f>VLOOKUP(tbSellers[[#This Row],[Item]],tbMaterials[],4,FALSE)</f>
        <v>62</v>
      </c>
      <c r="F244" s="40">
        <v>1</v>
      </c>
      <c r="G244" s="47"/>
      <c r="H244" s="70" t="str">
        <f>IF(_xlfn.IFNA(VLOOKUP(tbSellers[[#This Row],[Item]],tbShoppingList[],1,FALSE),"")&lt;&gt;"","Yes","")</f>
        <v/>
      </c>
      <c r="I244" s="4"/>
      <c r="J244" s="22"/>
    </row>
    <row r="245" spans="2:10" s="2" customFormat="1" ht="27.95" hidden="1" customHeight="1" x14ac:dyDescent="0.25">
      <c r="B245" s="2" t="str">
        <f>_xlfn.CONCAT(tbSellers[[#This Row],[Station]],tbSellers[[#This Row],[Item]])</f>
        <v>EeoocomaUranium</v>
      </c>
      <c r="C245" s="2" t="s">
        <v>564</v>
      </c>
      <c r="D245" s="14" t="s">
        <v>57</v>
      </c>
      <c r="E245" s="7">
        <f>VLOOKUP(tbSellers[[#This Row],[Item]],tbMaterials[],4,FALSE)</f>
        <v>62</v>
      </c>
      <c r="F245" s="40">
        <v>2</v>
      </c>
      <c r="G245" s="47"/>
      <c r="H245" s="70" t="str">
        <f>IF(_xlfn.IFNA(VLOOKUP(tbSellers[[#This Row],[Item]],tbShoppingList[],1,FALSE),"")&lt;&gt;"","Yes","")</f>
        <v/>
      </c>
      <c r="I245" s="4"/>
      <c r="J245" s="22"/>
    </row>
    <row r="246" spans="2:10" s="2" customFormat="1" ht="27.95" hidden="1" customHeight="1" x14ac:dyDescent="0.25">
      <c r="B246" s="2" t="str">
        <f>_xlfn.CONCAT(tbSellers[[#This Row],[Station]],tbSellers[[#This Row],[Item]])</f>
        <v>Paddoc-KehaPyrite</v>
      </c>
      <c r="C246" s="8" t="s">
        <v>99</v>
      </c>
      <c r="D246" s="14" t="s">
        <v>119</v>
      </c>
      <c r="E246" s="7">
        <f>VLOOKUP(tbSellers[[#This Row],[Item]],tbMaterials[],4,FALSE)</f>
        <v>62</v>
      </c>
      <c r="F246" s="40">
        <v>2</v>
      </c>
      <c r="G246" s="47">
        <v>44030</v>
      </c>
      <c r="H246" s="70" t="str">
        <f>IF(_xlfn.IFNA(VLOOKUP(tbSellers[[#This Row],[Item]],tbShoppingList[],1,FALSE),"")&lt;&gt;"","Yes","")</f>
        <v/>
      </c>
      <c r="I246" s="4"/>
      <c r="J246" s="22"/>
    </row>
    <row r="247" spans="2:10" s="2" customFormat="1" ht="27.95" hidden="1" customHeight="1" x14ac:dyDescent="0.25">
      <c r="B247" s="2" t="str">
        <f>_xlfn.CONCAT(tbSellers[[#This Row],[Station]],tbSellers[[#This Row],[Item]])</f>
        <v>XishuanqPhosphorus</v>
      </c>
      <c r="C247" s="8" t="s">
        <v>98</v>
      </c>
      <c r="D247" s="14" t="s">
        <v>34</v>
      </c>
      <c r="E247" s="7">
        <f>VLOOKUP(tbSellers[[#This Row],[Item]],tbMaterials[],4,FALSE)</f>
        <v>62</v>
      </c>
      <c r="F247" s="40">
        <v>2</v>
      </c>
      <c r="G247" s="47"/>
      <c r="H247" s="70" t="str">
        <f>IF(_xlfn.IFNA(VLOOKUP(tbSellers[[#This Row],[Item]],tbShoppingList[],1,FALSE),"")&lt;&gt;"","Yes","")</f>
        <v/>
      </c>
      <c r="I247" s="4"/>
      <c r="J247" s="22"/>
    </row>
    <row r="248" spans="2:10" s="2" customFormat="1" ht="27.95" hidden="1" customHeight="1" x14ac:dyDescent="0.25">
      <c r="B248" s="2" t="str">
        <f>_xlfn.CONCAT(tbSellers[[#This Row],[Station]],tbSellers[[#This Row],[Item]])</f>
        <v>Ancity-NiyhSodium</v>
      </c>
      <c r="C248" s="8" t="s">
        <v>78</v>
      </c>
      <c r="D248" s="14" t="s">
        <v>9</v>
      </c>
      <c r="E248" s="7">
        <f>VLOOKUP(tbSellers[[#This Row],[Item]],tbMaterials[],4,FALSE)</f>
        <v>41</v>
      </c>
      <c r="F248" s="40">
        <v>1</v>
      </c>
      <c r="G248" s="47">
        <v>44030</v>
      </c>
      <c r="H248" s="70" t="str">
        <f>IF(_xlfn.IFNA(VLOOKUP(tbSellers[[#This Row],[Item]],tbShoppingList[],1,FALSE),"")&lt;&gt;"","Yes","")</f>
        <v/>
      </c>
      <c r="I248" s="4"/>
      <c r="J248" s="22"/>
    </row>
    <row r="249" spans="2:10" s="2" customFormat="1" ht="27.95" hidden="1" customHeight="1" x14ac:dyDescent="0.25">
      <c r="B249" s="2" t="str">
        <f>_xlfn.CONCAT(tbSellers[[#This Row],[Station]],tbSellers[[#This Row],[Item]])</f>
        <v>RidunxiPhosphorus</v>
      </c>
      <c r="C249" s="2" t="s">
        <v>573</v>
      </c>
      <c r="D249" s="14" t="s">
        <v>34</v>
      </c>
      <c r="E249" s="7">
        <f>VLOOKUP(tbSellers[[#This Row],[Item]],tbMaterials[],4,FALSE)</f>
        <v>62</v>
      </c>
      <c r="F249" s="40">
        <v>1</v>
      </c>
      <c r="G249" s="47"/>
      <c r="H249" s="70" t="str">
        <f>IF(_xlfn.IFNA(VLOOKUP(tbSellers[[#This Row],[Item]],tbShoppingList[],1,FALSE),"")&lt;&gt;"","Yes","")</f>
        <v/>
      </c>
      <c r="I249" s="4"/>
      <c r="J249" s="22"/>
    </row>
    <row r="250" spans="2:10" s="2" customFormat="1" ht="27.95" hidden="1" customHeight="1" x14ac:dyDescent="0.25">
      <c r="B250" s="2" t="str">
        <f>_xlfn.CONCAT(tbSellers[[#This Row],[Station]],tbSellers[[#This Row],[Item]])</f>
        <v>RidunxiParaffinium</v>
      </c>
      <c r="C250" s="2" t="s">
        <v>573</v>
      </c>
      <c r="D250" s="14" t="s">
        <v>61</v>
      </c>
      <c r="E250" s="7">
        <f>VLOOKUP(tbSellers[[#This Row],[Item]],tbMaterials[],4,FALSE)</f>
        <v>62</v>
      </c>
      <c r="F250" s="40">
        <v>1</v>
      </c>
      <c r="G250" s="47"/>
      <c r="H250" s="70" t="str">
        <f>IF(_xlfn.IFNA(VLOOKUP(tbSellers[[#This Row],[Item]],tbShoppingList[],1,FALSE),"")&lt;&gt;"","Yes","")</f>
        <v/>
      </c>
      <c r="I250" s="4"/>
      <c r="J250" s="22"/>
    </row>
    <row r="251" spans="2:10" s="2" customFormat="1" ht="27.95" hidden="1" customHeight="1" x14ac:dyDescent="0.25">
      <c r="B251" s="2" t="str">
        <f>_xlfn.CONCAT(tbSellers[[#This Row],[Station]],tbSellers[[#This Row],[Item]])</f>
        <v>YendonoSodium</v>
      </c>
      <c r="C251" s="2" t="s">
        <v>575</v>
      </c>
      <c r="D251" s="14" t="s">
        <v>9</v>
      </c>
      <c r="E251" s="7">
        <f>VLOOKUP(tbSellers[[#This Row],[Item]],tbMaterials[],4,FALSE)</f>
        <v>41</v>
      </c>
      <c r="F251" s="40">
        <v>1</v>
      </c>
      <c r="G251" s="47">
        <v>44029</v>
      </c>
      <c r="H251" s="70" t="str">
        <f>IF(_xlfn.IFNA(VLOOKUP(tbSellers[[#This Row],[Item]],tbShoppingList[],1,FALSE),"")&lt;&gt;"","Yes","")</f>
        <v/>
      </c>
      <c r="I251" s="4"/>
      <c r="J251" s="22"/>
    </row>
    <row r="252" spans="2:10" s="2" customFormat="1" ht="27.95" hidden="1" customHeight="1" x14ac:dyDescent="0.25">
      <c r="B252" s="2" t="str">
        <f>_xlfn.CONCAT(tbSellers[[#This Row],[Station]],tbSellers[[#This Row],[Item]])</f>
        <v>YendonoOxygen</v>
      </c>
      <c r="C252" s="2" t="s">
        <v>575</v>
      </c>
      <c r="D252" s="14" t="s">
        <v>8</v>
      </c>
      <c r="E252" s="7">
        <f>VLOOKUP(tbSellers[[#This Row],[Item]],tbMaterials[],4,FALSE)</f>
        <v>34</v>
      </c>
      <c r="F252" s="40">
        <v>1</v>
      </c>
      <c r="G252" s="47">
        <v>44029</v>
      </c>
      <c r="H252" s="70" t="str">
        <f>IF(_xlfn.IFNA(VLOOKUP(tbSellers[[#This Row],[Item]],tbShoppingList[],1,FALSE),"")&lt;&gt;"","Yes","")</f>
        <v/>
      </c>
      <c r="I252" s="4"/>
      <c r="J252" s="22"/>
    </row>
    <row r="253" spans="2:10" s="2" customFormat="1" ht="27.95" hidden="1" customHeight="1" x14ac:dyDescent="0.25">
      <c r="B253" s="2" t="str">
        <f>_xlfn.CONCAT(tbSellers[[#This Row],[Station]],tbSellers[[#This Row],[Item]])</f>
        <v>Seruss-EdogaChlorine</v>
      </c>
      <c r="C253" s="2" t="s">
        <v>577</v>
      </c>
      <c r="D253" s="14" t="s">
        <v>83</v>
      </c>
      <c r="E253" s="7">
        <f>VLOOKUP(tbSellers[[#This Row],[Item]],tbMaterials[],4,FALSE)</f>
        <v>602</v>
      </c>
      <c r="F253" s="40">
        <v>1</v>
      </c>
      <c r="G253" s="47">
        <v>44029</v>
      </c>
      <c r="H253" s="70" t="str">
        <f>IF(_xlfn.IFNA(VLOOKUP(tbSellers[[#This Row],[Item]],tbShoppingList[],1,FALSE),"")&lt;&gt;"","Yes","")</f>
        <v/>
      </c>
      <c r="I253" s="4"/>
      <c r="J253" s="22"/>
    </row>
    <row r="254" spans="2:10" s="2" customFormat="1" ht="27.95" hidden="1" customHeight="1" x14ac:dyDescent="0.25">
      <c r="B254" s="2" t="str">
        <f>_xlfn.CONCAT(tbSellers[[#This Row],[Station]],tbSellers[[#This Row],[Item]])</f>
        <v>Seruss-EdogaPhosphorus</v>
      </c>
      <c r="C254" s="2" t="s">
        <v>577</v>
      </c>
      <c r="D254" s="14" t="s">
        <v>34</v>
      </c>
      <c r="E254" s="7">
        <f>VLOOKUP(tbSellers[[#This Row],[Item]],tbMaterials[],4,FALSE)</f>
        <v>62</v>
      </c>
      <c r="F254" s="40">
        <v>1</v>
      </c>
      <c r="G254" s="47">
        <v>44029</v>
      </c>
      <c r="H254" s="70" t="str">
        <f>IF(_xlfn.IFNA(VLOOKUP(tbSellers[[#This Row],[Item]],tbShoppingList[],1,FALSE),"")&lt;&gt;"","Yes","")</f>
        <v/>
      </c>
      <c r="I254" s="4"/>
      <c r="J254" s="22"/>
    </row>
    <row r="255" spans="2:10" s="2" customFormat="1" ht="27.95" hidden="1" customHeight="1" x14ac:dyDescent="0.25">
      <c r="B255" s="2" t="str">
        <f>_xlfn.CONCAT(tbSellers[[#This Row],[Station]],tbSellers[[#This Row],[Item]])</f>
        <v>Seruss-EdogaSodium</v>
      </c>
      <c r="C255" s="2" t="s">
        <v>577</v>
      </c>
      <c r="D255" s="14" t="s">
        <v>9</v>
      </c>
      <c r="E255" s="7">
        <f>VLOOKUP(tbSellers[[#This Row],[Item]],tbMaterials[],4,FALSE)</f>
        <v>41</v>
      </c>
      <c r="F255" s="40">
        <v>1</v>
      </c>
      <c r="G255" s="47">
        <v>44029</v>
      </c>
      <c r="H255" s="70" t="str">
        <f>IF(_xlfn.IFNA(VLOOKUP(tbSellers[[#This Row],[Item]],tbShoppingList[],1,FALSE),"")&lt;&gt;"","Yes","")</f>
        <v/>
      </c>
      <c r="I255" s="4"/>
      <c r="J255" s="22"/>
    </row>
    <row r="256" spans="2:10" s="2" customFormat="1" ht="27.95" hidden="1" customHeight="1" x14ac:dyDescent="0.25">
      <c r="B256" s="2" t="str">
        <f>_xlfn.CONCAT(tbSellers[[#This Row],[Station]],tbSellers[[#This Row],[Item]])</f>
        <v>Nuswick-PayeGold</v>
      </c>
      <c r="C256" s="2" t="s">
        <v>579</v>
      </c>
      <c r="D256" s="14" t="s">
        <v>24</v>
      </c>
      <c r="E256" s="7">
        <f>VLOOKUP(tbSellers[[#This Row],[Item]],tbMaterials[],4,FALSE)</f>
        <v>353</v>
      </c>
      <c r="F256" s="40">
        <v>1</v>
      </c>
      <c r="G256" s="47">
        <v>44029</v>
      </c>
      <c r="H256" s="70" t="str">
        <f>IF(_xlfn.IFNA(VLOOKUP(tbSellers[[#This Row],[Item]],tbShoppingList[],1,FALSE),"")&lt;&gt;"","Yes","")</f>
        <v/>
      </c>
      <c r="I256" s="4"/>
      <c r="J256" s="22"/>
    </row>
    <row r="257" spans="2:10" s="2" customFormat="1" ht="27.95" hidden="1" customHeight="1" x14ac:dyDescent="0.25">
      <c r="B257" s="2" t="str">
        <f>_xlfn.CONCAT(tbSellers[[#This Row],[Station]],tbSellers[[#This Row],[Item]])</f>
        <v>Nuswick-PayeCopper</v>
      </c>
      <c r="C257" s="2" t="s">
        <v>579</v>
      </c>
      <c r="D257" s="14" t="s">
        <v>5</v>
      </c>
      <c r="E257" s="7">
        <f>VLOOKUP(tbSellers[[#This Row],[Item]],tbMaterials[],4,FALSE)</f>
        <v>121</v>
      </c>
      <c r="F257" s="40">
        <v>1</v>
      </c>
      <c r="G257" s="47">
        <v>44029</v>
      </c>
      <c r="H257" s="70" t="str">
        <f>IF(_xlfn.IFNA(VLOOKUP(tbSellers[[#This Row],[Item]],tbShoppingList[],1,FALSE),"")&lt;&gt;"","Yes","")</f>
        <v/>
      </c>
      <c r="I257" s="4"/>
      <c r="J257" s="22"/>
    </row>
    <row r="258" spans="2:10" s="2" customFormat="1" ht="27.95" hidden="1" customHeight="1" x14ac:dyDescent="0.25">
      <c r="B258" s="2" t="str">
        <f>_xlfn.CONCAT(tbSellers[[#This Row],[Station]],tbSellers[[#This Row],[Item]])</f>
        <v>OdaleroSodium Nitrate</v>
      </c>
      <c r="C258" s="2" t="s">
        <v>604</v>
      </c>
      <c r="D258" s="14" t="s">
        <v>11</v>
      </c>
      <c r="E258" s="7">
        <f>VLOOKUP(tbSellers[[#This Row],[Item]],tbMaterials[],4,FALSE)</f>
        <v>82</v>
      </c>
      <c r="F258" s="40">
        <v>2</v>
      </c>
      <c r="G258" s="47">
        <v>44030</v>
      </c>
      <c r="H258" s="70" t="str">
        <f>IF(_xlfn.IFNA(VLOOKUP(tbSellers[[#This Row],[Item]],tbShoppingList[],1,FALSE),"")&lt;&gt;"","Yes","")</f>
        <v/>
      </c>
      <c r="I258" s="4"/>
      <c r="J258" s="22"/>
    </row>
    <row r="259" spans="2:10" s="2" customFormat="1" ht="27.95" hidden="1" customHeight="1" x14ac:dyDescent="0.25">
      <c r="B259" s="2" t="str">
        <f>_xlfn.CONCAT(tbSellers[[#This Row],[Station]],tbSellers[[#This Row],[Item]])</f>
        <v>EwiscunUranium</v>
      </c>
      <c r="C259" s="2" t="s">
        <v>607</v>
      </c>
      <c r="D259" s="14" t="s">
        <v>57</v>
      </c>
      <c r="E259" s="7">
        <f>VLOOKUP(tbSellers[[#This Row],[Item]],tbMaterials[],4,FALSE)</f>
        <v>62</v>
      </c>
      <c r="F259" s="40">
        <v>1</v>
      </c>
      <c r="G259" s="47"/>
      <c r="H259" s="70" t="str">
        <f>IF(_xlfn.IFNA(VLOOKUP(tbSellers[[#This Row],[Item]],tbShoppingList[],1,FALSE),"")&lt;&gt;"","Yes","")</f>
        <v/>
      </c>
      <c r="I259" s="4"/>
      <c r="J259" s="22"/>
    </row>
    <row r="260" spans="2:10" s="2" customFormat="1" ht="27.95" hidden="1" customHeight="1" x14ac:dyDescent="0.25">
      <c r="B260" s="2" t="str">
        <f>_xlfn.CONCAT(tbSellers[[#This Row],[Station]],tbSellers[[#This Row],[Item]])</f>
        <v>EwiscunAmmonia</v>
      </c>
      <c r="C260" s="2" t="s">
        <v>607</v>
      </c>
      <c r="D260" s="14" t="s">
        <v>84</v>
      </c>
      <c r="E260" s="7">
        <f>VLOOKUP(tbSellers[[#This Row],[Item]],tbMaterials[],4,FALSE)</f>
        <v>62</v>
      </c>
      <c r="F260" s="40">
        <v>1</v>
      </c>
      <c r="G260" s="47"/>
      <c r="H260" s="70" t="str">
        <f>IF(_xlfn.IFNA(VLOOKUP(tbSellers[[#This Row],[Item]],tbShoppingList[],1,FALSE),"")&lt;&gt;"","Yes","")</f>
        <v/>
      </c>
      <c r="I260" s="4"/>
      <c r="J260" s="22"/>
    </row>
    <row r="261" spans="2:10" s="2" customFormat="1" ht="27.95" hidden="1" customHeight="1" x14ac:dyDescent="0.25">
      <c r="B261" s="2" t="str">
        <f>_xlfn.CONCAT(tbSellers[[#This Row],[Station]],tbSellers[[#This Row],[Item]])</f>
        <v>DohoeniaSodium</v>
      </c>
      <c r="C261" s="2" t="s">
        <v>608</v>
      </c>
      <c r="D261" s="14" t="s">
        <v>9</v>
      </c>
      <c r="E261" s="7">
        <f>VLOOKUP(tbSellers[[#This Row],[Item]],tbMaterials[],4,FALSE)</f>
        <v>41</v>
      </c>
      <c r="F261" s="40">
        <v>1</v>
      </c>
      <c r="G261" s="47">
        <v>44029</v>
      </c>
      <c r="H261" s="70" t="str">
        <f>IF(_xlfn.IFNA(VLOOKUP(tbSellers[[#This Row],[Item]],tbShoppingList[],1,FALSE),"")&lt;&gt;"","Yes","")</f>
        <v/>
      </c>
      <c r="I261" s="4"/>
      <c r="J261" s="22"/>
    </row>
    <row r="262" spans="2:10" s="2" customFormat="1" ht="27.95" hidden="1" customHeight="1" x14ac:dyDescent="0.25">
      <c r="B262" s="2" t="str">
        <f>_xlfn.CONCAT(tbSellers[[#This Row],[Station]],tbSellers[[#This Row],[Item]])</f>
        <v>DohoeniaOxygen</v>
      </c>
      <c r="C262" s="2" t="s">
        <v>608</v>
      </c>
      <c r="D262" s="14" t="s">
        <v>8</v>
      </c>
      <c r="E262" s="7">
        <f>VLOOKUP(tbSellers[[#This Row],[Item]],tbMaterials[],4,FALSE)</f>
        <v>34</v>
      </c>
      <c r="F262" s="40">
        <v>1</v>
      </c>
      <c r="G262" s="47">
        <v>44029</v>
      </c>
      <c r="H262" s="70" t="str">
        <f>IF(_xlfn.IFNA(VLOOKUP(tbSellers[[#This Row],[Item]],tbShoppingList[],1,FALSE),"")&lt;&gt;"","Yes","")</f>
        <v/>
      </c>
      <c r="I262" s="4"/>
      <c r="J262" s="22"/>
    </row>
    <row r="263" spans="2:10" s="2" customFormat="1" ht="27.95" hidden="1" customHeight="1" x14ac:dyDescent="0.25">
      <c r="B263" s="2" t="str">
        <f>_xlfn.CONCAT(tbSellers[[#This Row],[Station]],tbSellers[[#This Row],[Item]])</f>
        <v>DohoeniaFerrite Dust</v>
      </c>
      <c r="C263" s="2" t="s">
        <v>608</v>
      </c>
      <c r="D263" s="14" t="s">
        <v>12</v>
      </c>
      <c r="E263" s="7">
        <f>VLOOKUP(tbSellers[[#This Row],[Item]],tbMaterials[],4,FALSE)</f>
        <v>14</v>
      </c>
      <c r="F263" s="40">
        <v>1</v>
      </c>
      <c r="G263" s="47">
        <v>44029</v>
      </c>
      <c r="H263" s="70" t="str">
        <f>IF(_xlfn.IFNA(VLOOKUP(tbSellers[[#This Row],[Item]],tbShoppingList[],1,FALSE),"")&lt;&gt;"","Yes","")</f>
        <v/>
      </c>
      <c r="I263" s="4"/>
      <c r="J263" s="22"/>
    </row>
    <row r="264" spans="2:10" s="2" customFormat="1" ht="27.95" hidden="1" customHeight="1" x14ac:dyDescent="0.25">
      <c r="B264" s="2" t="str">
        <f>_xlfn.CONCAT(tbSellers[[#This Row],[Station]],tbSellers[[#This Row],[Item]])</f>
        <v>Nicleve-EnskGold</v>
      </c>
      <c r="C264" s="2" t="s">
        <v>654</v>
      </c>
      <c r="D264" s="14" t="s">
        <v>24</v>
      </c>
      <c r="E264" s="7">
        <f>VLOOKUP(tbSellers[[#This Row],[Item]],tbMaterials[],4,FALSE)</f>
        <v>353</v>
      </c>
      <c r="F264" s="40">
        <v>1</v>
      </c>
      <c r="G264" s="47">
        <v>44030</v>
      </c>
      <c r="H264" s="70" t="str">
        <f>IF(_xlfn.IFNA(VLOOKUP(tbSellers[[#This Row],[Item]],tbShoppingList[],1,FALSE),"")&lt;&gt;"","Yes","")</f>
        <v/>
      </c>
      <c r="I264" s="4"/>
      <c r="J264" s="22"/>
    </row>
    <row r="265" spans="2:10" s="2" customFormat="1" ht="27.95" hidden="1" customHeight="1" x14ac:dyDescent="0.25">
      <c r="B265" s="2" t="str">
        <f>_xlfn.CONCAT(tbSellers[[#This Row],[Station]],tbSellers[[#This Row],[Item]])</f>
        <v>Nicleve-EnskSodium</v>
      </c>
      <c r="C265" s="2" t="s">
        <v>654</v>
      </c>
      <c r="D265" s="14" t="s">
        <v>9</v>
      </c>
      <c r="E265" s="7">
        <f>VLOOKUP(tbSellers[[#This Row],[Item]],tbMaterials[],4,FALSE)</f>
        <v>41</v>
      </c>
      <c r="F265" s="40">
        <v>1</v>
      </c>
      <c r="G265" s="47">
        <v>44030</v>
      </c>
      <c r="H265" s="70" t="str">
        <f>IF(_xlfn.IFNA(VLOOKUP(tbSellers[[#This Row],[Item]],tbShoppingList[],1,FALSE),"")&lt;&gt;"","Yes","")</f>
        <v/>
      </c>
      <c r="I265" s="4"/>
      <c r="J265" s="22"/>
    </row>
    <row r="266" spans="2:10" s="2" customFormat="1" ht="27.95" hidden="1" customHeight="1" x14ac:dyDescent="0.25">
      <c r="B266" s="2" t="str">
        <f>_xlfn.CONCAT(tbSellers[[#This Row],[Station]],tbSellers[[#This Row],[Item]])</f>
        <v>Nicleve-EnskOxygen</v>
      </c>
      <c r="C266" s="2" t="s">
        <v>654</v>
      </c>
      <c r="D266" s="14" t="s">
        <v>8</v>
      </c>
      <c r="E266" s="7">
        <f>VLOOKUP(tbSellers[[#This Row],[Item]],tbMaterials[],4,FALSE)</f>
        <v>34</v>
      </c>
      <c r="F266" s="40">
        <v>1</v>
      </c>
      <c r="G266" s="47">
        <v>44030</v>
      </c>
      <c r="H266" s="70" t="str">
        <f>IF(_xlfn.IFNA(VLOOKUP(tbSellers[[#This Row],[Item]],tbShoppingList[],1,FALSE),"")&lt;&gt;"","Yes","")</f>
        <v/>
      </c>
      <c r="I266" s="4"/>
      <c r="J266" s="22"/>
    </row>
    <row r="267" spans="2:10" s="2" customFormat="1" ht="27.95" hidden="1" customHeight="1" x14ac:dyDescent="0.25">
      <c r="B267" s="2" t="str">
        <f>_xlfn.CONCAT(tbSellers[[#This Row],[Station]],tbSellers[[#This Row],[Item]])</f>
        <v>Nicleve-EnskFerrite Dust</v>
      </c>
      <c r="C267" s="2" t="s">
        <v>654</v>
      </c>
      <c r="D267" s="14" t="s">
        <v>12</v>
      </c>
      <c r="E267" s="7">
        <f>VLOOKUP(tbSellers[[#This Row],[Item]],tbMaterials[],4,FALSE)</f>
        <v>14</v>
      </c>
      <c r="F267" s="40">
        <v>1</v>
      </c>
      <c r="G267" s="47">
        <v>44030</v>
      </c>
      <c r="H267" s="70" t="str">
        <f>IF(_xlfn.IFNA(VLOOKUP(tbSellers[[#This Row],[Item]],tbShoppingList[],1,FALSE),"")&lt;&gt;"","Yes","")</f>
        <v/>
      </c>
      <c r="I267" s="4"/>
      <c r="J267" s="22"/>
    </row>
    <row r="268" spans="2:10" s="2" customFormat="1" ht="27.95" hidden="1" customHeight="1" x14ac:dyDescent="0.25">
      <c r="B268" s="2" t="str">
        <f>_xlfn.CONCAT(tbSellers[[#This Row],[Station]],tbSellers[[#This Row],[Item]])</f>
        <v>Nikarep-EtsSodium</v>
      </c>
      <c r="C268" s="2" t="s">
        <v>656</v>
      </c>
      <c r="D268" s="14" t="s">
        <v>9</v>
      </c>
      <c r="E268" s="7">
        <f>VLOOKUP(tbSellers[[#This Row],[Item]],tbMaterials[],4,FALSE)</f>
        <v>41</v>
      </c>
      <c r="F268" s="40">
        <v>1</v>
      </c>
      <c r="G268" s="47">
        <v>44030</v>
      </c>
      <c r="H268" s="70" t="str">
        <f>IF(_xlfn.IFNA(VLOOKUP(tbSellers[[#This Row],[Item]],tbShoppingList[],1,FALSE),"")&lt;&gt;"","Yes","")</f>
        <v/>
      </c>
      <c r="I268" s="4"/>
      <c r="J268" s="22"/>
    </row>
    <row r="269" spans="2:10" s="2" customFormat="1" ht="27.95" hidden="1" customHeight="1" x14ac:dyDescent="0.25">
      <c r="B269" s="2" t="str">
        <f>_xlfn.CONCAT(tbSellers[[#This Row],[Station]],tbSellers[[#This Row],[Item]])</f>
        <v>Nikarep-EtsOxygen</v>
      </c>
      <c r="C269" s="2" t="s">
        <v>656</v>
      </c>
      <c r="D269" s="14" t="s">
        <v>8</v>
      </c>
      <c r="E269" s="7">
        <f>VLOOKUP(tbSellers[[#This Row],[Item]],tbMaterials[],4,FALSE)</f>
        <v>34</v>
      </c>
      <c r="F269" s="40">
        <v>1</v>
      </c>
      <c r="G269" s="47">
        <v>44030</v>
      </c>
      <c r="H269" s="70" t="str">
        <f>IF(_xlfn.IFNA(VLOOKUP(tbSellers[[#This Row],[Item]],tbShoppingList[],1,FALSE),"")&lt;&gt;"","Yes","")</f>
        <v/>
      </c>
      <c r="I269" s="4"/>
      <c r="J269" s="22"/>
    </row>
    <row r="270" spans="2:10" s="2" customFormat="1" ht="27.95" hidden="1" customHeight="1" x14ac:dyDescent="0.25">
      <c r="B270" s="2" t="str">
        <f>_xlfn.CONCAT(tbSellers[[#This Row],[Station]],tbSellers[[#This Row],[Item]])</f>
        <v>Nikarep-EtsFerrite Dust</v>
      </c>
      <c r="C270" s="2" t="s">
        <v>656</v>
      </c>
      <c r="D270" s="14" t="s">
        <v>12</v>
      </c>
      <c r="E270" s="7">
        <f>VLOOKUP(tbSellers[[#This Row],[Item]],tbMaterials[],4,FALSE)</f>
        <v>14</v>
      </c>
      <c r="F270" s="40">
        <v>1</v>
      </c>
      <c r="G270" s="47">
        <v>44030</v>
      </c>
      <c r="H270" s="70" t="str">
        <f>IF(_xlfn.IFNA(VLOOKUP(tbSellers[[#This Row],[Item]],tbShoppingList[],1,FALSE),"")&lt;&gt;"","Yes","")</f>
        <v/>
      </c>
      <c r="I270" s="4"/>
      <c r="J270" s="22"/>
    </row>
    <row r="271" spans="2:10" s="2" customFormat="1" ht="27.95" hidden="1" customHeight="1" x14ac:dyDescent="0.25">
      <c r="B271" s="2" t="str">
        <f>_xlfn.CONCAT(tbSellers[[#This Row],[Station]],tbSellers[[#This Row],[Item]])</f>
        <v>The DojoCopper</v>
      </c>
      <c r="C271" s="2" t="s">
        <v>665</v>
      </c>
      <c r="D271" s="14" t="s">
        <v>5</v>
      </c>
      <c r="E271" s="7">
        <f>VLOOKUP(tbSellers[[#This Row],[Item]],tbMaterials[],4,FALSE)</f>
        <v>121</v>
      </c>
      <c r="F271" s="40">
        <v>2</v>
      </c>
      <c r="G271" s="47">
        <v>44029</v>
      </c>
      <c r="H271" s="70" t="str">
        <f>IF(_xlfn.IFNA(VLOOKUP(tbSellers[[#This Row],[Item]],tbShoppingList[],1,FALSE),"")&lt;&gt;"","Yes","")</f>
        <v/>
      </c>
      <c r="I271" s="4"/>
      <c r="J271" s="22"/>
    </row>
    <row r="272" spans="2:10" s="2" customFormat="1" ht="27.95" hidden="1" customHeight="1" x14ac:dyDescent="0.25">
      <c r="B272" s="2" t="str">
        <f>_xlfn.CONCAT(tbSellers[[#This Row],[Station]],tbSellers[[#This Row],[Item]])</f>
        <v>Yartan-AwkinSodium</v>
      </c>
      <c r="C272" s="2" t="s">
        <v>326</v>
      </c>
      <c r="D272" s="14" t="s">
        <v>9</v>
      </c>
      <c r="E272" s="7">
        <f>VLOOKUP(tbSellers[[#This Row],[Item]],tbMaterials[],4,FALSE)</f>
        <v>41</v>
      </c>
      <c r="F272" s="40">
        <v>1</v>
      </c>
      <c r="G272" s="47">
        <v>44029</v>
      </c>
      <c r="H272" s="70" t="str">
        <f>IF(_xlfn.IFNA(VLOOKUP(tbSellers[[#This Row],[Item]],tbShoppingList[],1,FALSE),"")&lt;&gt;"","Yes","")</f>
        <v/>
      </c>
      <c r="I272" s="4"/>
      <c r="J272" s="22"/>
    </row>
    <row r="273" spans="2:10" s="2" customFormat="1" ht="27.95" hidden="1" customHeight="1" x14ac:dyDescent="0.25">
      <c r="B273" s="2" t="str">
        <f>_xlfn.CONCAT(tbSellers[[#This Row],[Station]],tbSellers[[#This Row],[Item]])</f>
        <v>Yartan-AwkinOxygen</v>
      </c>
      <c r="C273" s="2" t="s">
        <v>326</v>
      </c>
      <c r="D273" s="14" t="s">
        <v>8</v>
      </c>
      <c r="E273" s="7">
        <f>VLOOKUP(tbSellers[[#This Row],[Item]],tbMaterials[],4,FALSE)</f>
        <v>34</v>
      </c>
      <c r="F273" s="40">
        <v>1</v>
      </c>
      <c r="G273" s="47">
        <v>44029</v>
      </c>
      <c r="H273" s="70" t="str">
        <f>IF(_xlfn.IFNA(VLOOKUP(tbSellers[[#This Row],[Item]],tbShoppingList[],1,FALSE),"")&lt;&gt;"","Yes","")</f>
        <v/>
      </c>
      <c r="I273" s="4"/>
      <c r="J273" s="22"/>
    </row>
    <row r="274" spans="2:10" s="2" customFormat="1" ht="27.95" hidden="1" customHeight="1" x14ac:dyDescent="0.25">
      <c r="B274" s="2" t="str">
        <f>_xlfn.CONCAT(tbSellers[[#This Row],[Station]],tbSellers[[#This Row],[Item]])</f>
        <v>Tijoriesth XIVPlatinum</v>
      </c>
      <c r="C274" s="2" t="s">
        <v>698</v>
      </c>
      <c r="D274" s="14" t="s">
        <v>18</v>
      </c>
      <c r="E274" s="7">
        <f>VLOOKUP(tbSellers[[#This Row],[Item]],tbMaterials[],4,FALSE)</f>
        <v>505</v>
      </c>
      <c r="F274" s="40">
        <v>2</v>
      </c>
      <c r="G274" s="47">
        <v>44029</v>
      </c>
      <c r="H274" s="70" t="str">
        <f>IF(_xlfn.IFNA(VLOOKUP(tbSellers[[#This Row],[Item]],tbShoppingList[],1,FALSE),"")&lt;&gt;"","Yes","")</f>
        <v/>
      </c>
      <c r="I274" s="4"/>
      <c r="J274" s="22"/>
    </row>
    <row r="275" spans="2:10" s="2" customFormat="1" ht="27.95" hidden="1" customHeight="1" x14ac:dyDescent="0.25">
      <c r="B275" s="2" t="str">
        <f>_xlfn.CONCAT(tbSellers[[#This Row],[Station]],tbSellers[[#This Row],[Item]])</f>
        <v>Tijoriesth XIVChromatic Metal</v>
      </c>
      <c r="C275" s="2" t="s">
        <v>698</v>
      </c>
      <c r="D275" s="14" t="s">
        <v>261</v>
      </c>
      <c r="E275" s="7">
        <f>VLOOKUP(tbSellers[[#This Row],[Item]],tbMaterials[],4,FALSE)</f>
        <v>245</v>
      </c>
      <c r="F275" s="40">
        <v>2</v>
      </c>
      <c r="G275" s="47">
        <v>44029</v>
      </c>
      <c r="H275" s="70" t="str">
        <f>IF(_xlfn.IFNA(VLOOKUP(tbSellers[[#This Row],[Item]],tbShoppingList[],1,FALSE),"")&lt;&gt;"","Yes","")</f>
        <v/>
      </c>
      <c r="I275" s="4"/>
      <c r="J275" s="22"/>
    </row>
    <row r="276" spans="2:10" s="2" customFormat="1" ht="27.95" hidden="1" customHeight="1" x14ac:dyDescent="0.25">
      <c r="B276" s="2" t="str">
        <f>_xlfn.CONCAT(tbSellers[[#This Row],[Station]],tbSellers[[#This Row],[Item]])</f>
        <v>Yedexi VIIOxygen</v>
      </c>
      <c r="C276" s="8" t="s">
        <v>52</v>
      </c>
      <c r="D276" s="14" t="s">
        <v>8</v>
      </c>
      <c r="E276" s="7">
        <f>VLOOKUP(tbSellers[[#This Row],[Item]],tbMaterials[],4,FALSE)</f>
        <v>34</v>
      </c>
      <c r="F276" s="40">
        <v>1</v>
      </c>
      <c r="G276" s="47">
        <v>44029</v>
      </c>
      <c r="H276" s="70" t="str">
        <f>IF(_xlfn.IFNA(VLOOKUP(tbSellers[[#This Row],[Item]],tbShoppingList[],1,FALSE),"")&lt;&gt;"","Yes","")</f>
        <v/>
      </c>
      <c r="I276" s="4"/>
      <c r="J276" s="22"/>
    </row>
    <row r="277" spans="2:10" s="2" customFormat="1" ht="27.95" hidden="1" customHeight="1" x14ac:dyDescent="0.25">
      <c r="B277" s="2" t="str">
        <f>_xlfn.CONCAT(tbSellers[[#This Row],[Station]],tbSellers[[#This Row],[Item]])</f>
        <v>Yedexi VIIFerrite Dust</v>
      </c>
      <c r="C277" s="8" t="s">
        <v>52</v>
      </c>
      <c r="D277" s="14" t="s">
        <v>12</v>
      </c>
      <c r="E277" s="7">
        <f>VLOOKUP(tbSellers[[#This Row],[Item]],tbMaterials[],4,FALSE)</f>
        <v>14</v>
      </c>
      <c r="F277" s="40">
        <v>1</v>
      </c>
      <c r="G277" s="47">
        <v>44029</v>
      </c>
      <c r="H277" s="70" t="str">
        <f>IF(_xlfn.IFNA(VLOOKUP(tbSellers[[#This Row],[Item]],tbShoppingList[],1,FALSE),"")&lt;&gt;"","Yes","")</f>
        <v/>
      </c>
      <c r="I277" s="4"/>
      <c r="J277" s="22"/>
    </row>
    <row r="278" spans="2:10" s="2" customFormat="1" ht="27.95" hidden="1" customHeight="1" x14ac:dyDescent="0.25">
      <c r="B278" s="2" t="str">
        <f>_xlfn.CONCAT(tbSellers[[#This Row],[Station]],tbSellers[[#This Row],[Item]])</f>
        <v>Tijoriesth XIVPure Ferrite</v>
      </c>
      <c r="C278" s="2" t="s">
        <v>698</v>
      </c>
      <c r="D278" s="14" t="s">
        <v>266</v>
      </c>
      <c r="E278" s="7">
        <f>VLOOKUP(tbSellers[[#This Row],[Item]],tbMaterials[],4,FALSE)</f>
        <v>28</v>
      </c>
      <c r="F278" s="40">
        <v>2</v>
      </c>
      <c r="G278" s="47">
        <v>44029</v>
      </c>
      <c r="H278" s="70" t="str">
        <f>IF(_xlfn.IFNA(VLOOKUP(tbSellers[[#This Row],[Item]],tbShoppingList[],1,FALSE),"")&lt;&gt;"","Yes","")</f>
        <v/>
      </c>
      <c r="I278" s="4"/>
      <c r="J278" s="22"/>
    </row>
    <row r="279" spans="2:10" s="2" customFormat="1" ht="27.95" hidden="1" customHeight="1" x14ac:dyDescent="0.25">
      <c r="B279" s="2" t="str">
        <f>_xlfn.CONCAT(tbSellers[[#This Row],[Station]],tbSellers[[#This Row],[Item]])</f>
        <v>HadzananPyrite</v>
      </c>
      <c r="C279" s="2" t="s">
        <v>731</v>
      </c>
      <c r="D279" s="14" t="s">
        <v>119</v>
      </c>
      <c r="E279" s="7">
        <f>VLOOKUP(tbSellers[[#This Row],[Item]],tbMaterials[],4,FALSE)</f>
        <v>62</v>
      </c>
      <c r="F279" s="40">
        <v>1</v>
      </c>
      <c r="G279" s="47"/>
      <c r="H279" s="70" t="str">
        <f>IF(_xlfn.IFNA(VLOOKUP(tbSellers[[#This Row],[Item]],tbShoppingList[],1,FALSE),"")&lt;&gt;"","Yes","")</f>
        <v/>
      </c>
      <c r="I279" s="4"/>
      <c r="J279" s="22"/>
    </row>
    <row r="280" spans="2:10" s="2" customFormat="1" ht="27.95" hidden="1" customHeight="1" x14ac:dyDescent="0.25">
      <c r="B280" s="2" t="str">
        <f>_xlfn.CONCAT(tbSellers[[#This Row],[Station]],tbSellers[[#This Row],[Item]])</f>
        <v>HadzananParaffinium</v>
      </c>
      <c r="C280" s="2" t="s">
        <v>731</v>
      </c>
      <c r="D280" s="14" t="s">
        <v>61</v>
      </c>
      <c r="E280" s="7">
        <f>VLOOKUP(tbSellers[[#This Row],[Item]],tbMaterials[],4,FALSE)</f>
        <v>62</v>
      </c>
      <c r="F280" s="40">
        <v>2</v>
      </c>
      <c r="G280" s="47"/>
      <c r="H280" s="70" t="str">
        <f>IF(_xlfn.IFNA(VLOOKUP(tbSellers[[#This Row],[Item]],tbShoppingList[],1,FALSE),"")&lt;&gt;"","Yes","")</f>
        <v/>
      </c>
      <c r="I280" s="4"/>
      <c r="J280" s="22"/>
    </row>
    <row r="281" spans="2:10" s="2" customFormat="1" ht="27.95" hidden="1" customHeight="1" x14ac:dyDescent="0.25">
      <c r="B281" s="2" t="str">
        <f>_xlfn.CONCAT(tbSellers[[#This Row],[Station]],tbSellers[[#This Row],[Item]])</f>
        <v>HadzananPhosphorus</v>
      </c>
      <c r="C281" s="2" t="s">
        <v>731</v>
      </c>
      <c r="D281" s="14" t="s">
        <v>34</v>
      </c>
      <c r="E281" s="7">
        <f>VLOOKUP(tbSellers[[#This Row],[Item]],tbMaterials[],4,FALSE)</f>
        <v>62</v>
      </c>
      <c r="F281" s="40">
        <v>2</v>
      </c>
      <c r="G281" s="47"/>
      <c r="H281" s="70" t="str">
        <f>IF(_xlfn.IFNA(VLOOKUP(tbSellers[[#This Row],[Item]],tbShoppingList[],1,FALSE),"")&lt;&gt;"","Yes","")</f>
        <v/>
      </c>
      <c r="I281" s="4"/>
      <c r="J281" s="22"/>
    </row>
    <row r="282" spans="2:10" s="2" customFormat="1" ht="27.95" hidden="1" customHeight="1" x14ac:dyDescent="0.25">
      <c r="B282" s="2" t="str">
        <f>_xlfn.CONCAT(tbSellers[[#This Row],[Station]],tbSellers[[#This Row],[Item]])</f>
        <v>AxinweSodium</v>
      </c>
      <c r="C282" s="8" t="s">
        <v>771</v>
      </c>
      <c r="D282" s="14" t="s">
        <v>9</v>
      </c>
      <c r="E282" s="7">
        <f>VLOOKUP(tbSellers[[#This Row],[Item]],tbMaterials[],4,FALSE)</f>
        <v>41</v>
      </c>
      <c r="F282" s="40">
        <v>1</v>
      </c>
      <c r="G282" s="47"/>
      <c r="H282" s="70" t="str">
        <f>IF(_xlfn.IFNA(VLOOKUP(tbSellers[[#This Row],[Item]],tbShoppingList[],1,FALSE),"")&lt;&gt;"","Yes","")</f>
        <v/>
      </c>
      <c r="I282" s="4"/>
      <c r="J282" s="22"/>
    </row>
    <row r="283" spans="2:10" s="2" customFormat="1" ht="27.95" hidden="1" customHeight="1" x14ac:dyDescent="0.25">
      <c r="B283" s="2" t="str">
        <f>_xlfn.CONCAT(tbSellers[[#This Row],[Station]],tbSellers[[#This Row],[Item]])</f>
        <v>RekamadinIonised Cobalt</v>
      </c>
      <c r="C283" s="2" t="s">
        <v>591</v>
      </c>
      <c r="D283" s="14" t="s">
        <v>267</v>
      </c>
      <c r="E283" s="7">
        <f>VLOOKUP(tbSellers[[#This Row],[Item]],tbMaterials[],4,FALSE)</f>
        <v>401</v>
      </c>
      <c r="F283" s="40">
        <v>2</v>
      </c>
      <c r="G283" s="47">
        <v>44029</v>
      </c>
      <c r="H283" s="70" t="str">
        <f>IF(_xlfn.IFNA(VLOOKUP(tbSellers[[#This Row],[Item]],tbShoppingList[],1,FALSE),"")&lt;&gt;"","Yes","")</f>
        <v/>
      </c>
      <c r="I283" s="4"/>
      <c r="J283" s="22"/>
    </row>
    <row r="284" spans="2:10" s="2" customFormat="1" ht="27.95" hidden="1" customHeight="1" x14ac:dyDescent="0.25">
      <c r="B284" s="2" t="str">
        <f>_xlfn.CONCAT(tbSellers[[#This Row],[Station]],tbSellers[[#This Row],[Item]])</f>
        <v>AlhaimSodium</v>
      </c>
      <c r="C284" s="2" t="s">
        <v>270</v>
      </c>
      <c r="D284" s="14" t="s">
        <v>9</v>
      </c>
      <c r="E284" s="7">
        <f>VLOOKUP(tbSellers[[#This Row],[Item]],tbMaterials[],4,FALSE)</f>
        <v>41</v>
      </c>
      <c r="F284" s="40">
        <v>1</v>
      </c>
      <c r="G284" s="47"/>
      <c r="H284" s="70" t="str">
        <f>IF(_xlfn.IFNA(VLOOKUP(tbSellers[[#This Row],[Item]],tbShoppingList[],1,FALSE),"")&lt;&gt;"","Yes","")</f>
        <v/>
      </c>
      <c r="I284" s="4"/>
      <c r="J284" s="22"/>
    </row>
    <row r="285" spans="2:10" s="2" customFormat="1" ht="27.95" hidden="1" customHeight="1" x14ac:dyDescent="0.25">
      <c r="B285" s="2" t="str">
        <f>_xlfn.CONCAT(tbSellers[[#This Row],[Station]],tbSellers[[#This Row],[Item]])</f>
        <v>PuningtPlatinum</v>
      </c>
      <c r="C285" s="2" t="s">
        <v>279</v>
      </c>
      <c r="D285" s="14" t="s">
        <v>18</v>
      </c>
      <c r="E285" s="7">
        <f>VLOOKUP(tbSellers[[#This Row],[Item]],tbMaterials[],4,FALSE)</f>
        <v>505</v>
      </c>
      <c r="F285" s="40">
        <v>1</v>
      </c>
      <c r="G285" s="47">
        <v>44030</v>
      </c>
      <c r="H285" s="70" t="str">
        <f>IF(_xlfn.IFNA(VLOOKUP(tbSellers[[#This Row],[Item]],tbShoppingList[],1,FALSE),"")&lt;&gt;"","Yes","")</f>
        <v/>
      </c>
      <c r="I285" s="4"/>
      <c r="J285" s="22"/>
    </row>
    <row r="286" spans="2:10" s="2" customFormat="1" ht="27.95" hidden="1" customHeight="1" x14ac:dyDescent="0.25">
      <c r="B286" s="2" t="str">
        <f>_xlfn.CONCAT(tbSellers[[#This Row],[Station]],tbSellers[[#This Row],[Item]])</f>
        <v>Cuomul-TosOxygen</v>
      </c>
      <c r="C286" s="2" t="s">
        <v>275</v>
      </c>
      <c r="D286" s="14" t="s">
        <v>8</v>
      </c>
      <c r="E286" s="7">
        <f>VLOOKUP(tbSellers[[#This Row],[Item]],tbMaterials[],4,FALSE)</f>
        <v>34</v>
      </c>
      <c r="F286" s="40">
        <v>1</v>
      </c>
      <c r="G286" s="47">
        <v>44030</v>
      </c>
      <c r="H286" s="70" t="str">
        <f>IF(_xlfn.IFNA(VLOOKUP(tbSellers[[#This Row],[Item]],tbShoppingList[],1,FALSE),"")&lt;&gt;"","Yes","")</f>
        <v/>
      </c>
      <c r="I286" s="4"/>
      <c r="J286" s="22"/>
    </row>
    <row r="287" spans="2:10" s="2" customFormat="1" ht="27.95" hidden="1" customHeight="1" x14ac:dyDescent="0.25">
      <c r="B287" s="2" t="str">
        <f>_xlfn.CONCAT(tbSellers[[#This Row],[Station]],tbSellers[[#This Row],[Item]])</f>
        <v>Yartan-AwkinFerrite Dust</v>
      </c>
      <c r="C287" s="2" t="s">
        <v>326</v>
      </c>
      <c r="D287" s="14" t="s">
        <v>12</v>
      </c>
      <c r="E287" s="7">
        <f>VLOOKUP(tbSellers[[#This Row],[Item]],tbMaterials[],4,FALSE)</f>
        <v>14</v>
      </c>
      <c r="F287" s="40">
        <v>1</v>
      </c>
      <c r="G287" s="47">
        <v>44029</v>
      </c>
      <c r="H287" s="70" t="str">
        <f>IF(_xlfn.IFNA(VLOOKUP(tbSellers[[#This Row],[Item]],tbShoppingList[],1,FALSE),"")&lt;&gt;"","Yes","")</f>
        <v/>
      </c>
      <c r="I287" s="4"/>
      <c r="J287" s="22"/>
    </row>
    <row r="288" spans="2:10" s="2" customFormat="1" ht="27.95" hidden="1" customHeight="1" x14ac:dyDescent="0.25">
      <c r="B288" s="2" t="str">
        <f>_xlfn.CONCAT(tbSellers[[#This Row],[Station]],tbSellers[[#This Row],[Item]])</f>
        <v>NalangniSodium</v>
      </c>
      <c r="C288" s="8" t="s">
        <v>79</v>
      </c>
      <c r="D288" s="14" t="s">
        <v>9</v>
      </c>
      <c r="E288" s="7">
        <f>VLOOKUP(tbSellers[[#This Row],[Item]],tbMaterials[],4,FALSE)</f>
        <v>41</v>
      </c>
      <c r="F288" s="40">
        <v>1</v>
      </c>
      <c r="G288" s="47">
        <v>44030</v>
      </c>
      <c r="H288" s="70" t="str">
        <f>IF(_xlfn.IFNA(VLOOKUP(tbSellers[[#This Row],[Item]],tbShoppingList[],1,FALSE),"")&lt;&gt;"","Yes","")</f>
        <v/>
      </c>
      <c r="I288" s="4"/>
      <c r="J288" s="22"/>
    </row>
    <row r="289" spans="2:10" s="2" customFormat="1" ht="27.95" hidden="1" customHeight="1" x14ac:dyDescent="0.25">
      <c r="B289" s="2" t="str">
        <f>_xlfn.CONCAT(tbSellers[[#This Row],[Station]],tbSellers[[#This Row],[Item]])</f>
        <v>Iijinc XVSodium</v>
      </c>
      <c r="C289" s="2" t="s">
        <v>456</v>
      </c>
      <c r="D289" s="14" t="s">
        <v>9</v>
      </c>
      <c r="E289" s="7">
        <f>VLOOKUP(tbSellers[[#This Row],[Item]],tbMaterials[],4,FALSE)</f>
        <v>41</v>
      </c>
      <c r="F289" s="40">
        <v>1</v>
      </c>
      <c r="G289" s="47"/>
      <c r="H289" s="70" t="str">
        <f>IF(_xlfn.IFNA(VLOOKUP(tbSellers[[#This Row],[Item]],tbShoppingList[],1,FALSE),"")&lt;&gt;"","Yes","")</f>
        <v/>
      </c>
      <c r="I289" s="4"/>
      <c r="J289" s="22"/>
    </row>
    <row r="290" spans="2:10" s="2" customFormat="1" ht="27.95" hidden="1" customHeight="1" x14ac:dyDescent="0.25">
      <c r="B290" s="2" t="str">
        <f>_xlfn.CONCAT(tbSellers[[#This Row],[Station]],tbSellers[[#This Row],[Item]])</f>
        <v>AnxiexFerrite Dust</v>
      </c>
      <c r="C290" s="2" t="s">
        <v>248</v>
      </c>
      <c r="D290" s="14" t="s">
        <v>12</v>
      </c>
      <c r="E290" s="7">
        <f>VLOOKUP(tbSellers[[#This Row],[Item]],tbMaterials[],4,FALSE)</f>
        <v>14</v>
      </c>
      <c r="F290" s="40">
        <v>1</v>
      </c>
      <c r="G290" s="47">
        <v>44030</v>
      </c>
      <c r="H290" s="70" t="str">
        <f>IF(_xlfn.IFNA(VLOOKUP(tbSellers[[#This Row],[Item]],tbShoppingList[],1,FALSE),"")&lt;&gt;"","Yes","")</f>
        <v/>
      </c>
      <c r="I290" s="4"/>
      <c r="J290" s="22"/>
    </row>
    <row r="291" spans="2:10" s="2" customFormat="1" ht="27.95" hidden="1" customHeight="1" x14ac:dyDescent="0.25">
      <c r="B291" s="2" t="str">
        <f>_xlfn.CONCAT(tbSellers[[#This Row],[Station]],tbSellers[[#This Row],[Item]])</f>
        <v>OqoideSalt</v>
      </c>
      <c r="C291" s="2" t="s">
        <v>114</v>
      </c>
      <c r="D291" s="14" t="s">
        <v>56</v>
      </c>
      <c r="E291" s="7">
        <f>VLOOKUP(tbSellers[[#This Row],[Item]],tbMaterials[],4,FALSE)</f>
        <v>299</v>
      </c>
      <c r="F291" s="40">
        <v>1</v>
      </c>
      <c r="G291" s="47">
        <v>44030</v>
      </c>
      <c r="H291" s="70" t="str">
        <f>IF(_xlfn.IFNA(VLOOKUP(tbSellers[[#This Row],[Item]],tbShoppingList[],1,FALSE),"")&lt;&gt;"","Yes","")</f>
        <v/>
      </c>
      <c r="I291" s="4"/>
      <c r="J291" s="22"/>
    </row>
    <row r="292" spans="2:10" s="2" customFormat="1" ht="27.95" hidden="1" customHeight="1" x14ac:dyDescent="0.25">
      <c r="B292" s="2" t="str">
        <f>_xlfn.CONCAT(tbSellers[[#This Row],[Station]],tbSellers[[#This Row],[Item]])</f>
        <v>Ancity-NiyhOxygen</v>
      </c>
      <c r="C292" s="8" t="s">
        <v>78</v>
      </c>
      <c r="D292" s="14" t="s">
        <v>8</v>
      </c>
      <c r="E292" s="7">
        <f>VLOOKUP(tbSellers[[#This Row],[Item]],tbMaterials[],4,FALSE)</f>
        <v>34</v>
      </c>
      <c r="F292" s="40">
        <v>1</v>
      </c>
      <c r="G292" s="47">
        <v>44030</v>
      </c>
      <c r="H292" s="70" t="str">
        <f>IF(_xlfn.IFNA(VLOOKUP(tbSellers[[#This Row],[Item]],tbShoppingList[],1,FALSE),"")&lt;&gt;"","Yes","")</f>
        <v/>
      </c>
      <c r="I292" s="4"/>
      <c r="J292" s="22"/>
    </row>
    <row r="293" spans="2:10" s="2" customFormat="1" ht="27.95" hidden="1" customHeight="1" x14ac:dyDescent="0.25">
      <c r="B293" s="2" t="str">
        <f>_xlfn.CONCAT(tbSellers[[#This Row],[Station]],tbSellers[[#This Row],[Item]])</f>
        <v>EgarondoSodium</v>
      </c>
      <c r="C293" s="8" t="s">
        <v>74</v>
      </c>
      <c r="D293" s="14" t="s">
        <v>9</v>
      </c>
      <c r="E293" s="7">
        <f>VLOOKUP(tbSellers[[#This Row],[Item]],tbMaterials[],4,FALSE)</f>
        <v>41</v>
      </c>
      <c r="F293" s="40">
        <v>1</v>
      </c>
      <c r="G293" s="47"/>
      <c r="H293" s="70" t="str">
        <f>IF(_xlfn.IFNA(VLOOKUP(tbSellers[[#This Row],[Item]],tbShoppingList[],1,FALSE),"")&lt;&gt;"","Yes","")</f>
        <v/>
      </c>
      <c r="I293" s="4"/>
      <c r="J293" s="22"/>
    </row>
    <row r="294" spans="2:10" s="2" customFormat="1" ht="27.95" hidden="1" customHeight="1" x14ac:dyDescent="0.25">
      <c r="B294" s="2" t="str">
        <f>_xlfn.CONCAT(tbSellers[[#This Row],[Station]],tbSellers[[#This Row],[Item]])</f>
        <v>Helkarsh VSodium</v>
      </c>
      <c r="C294" s="2" t="s">
        <v>272</v>
      </c>
      <c r="D294" s="14" t="s">
        <v>9</v>
      </c>
      <c r="E294" s="7">
        <f>VLOOKUP(tbSellers[[#This Row],[Item]],tbMaterials[],4,FALSE)</f>
        <v>41</v>
      </c>
      <c r="F294" s="40">
        <v>1</v>
      </c>
      <c r="G294" s="47"/>
      <c r="H294" s="70" t="str">
        <f>IF(_xlfn.IFNA(VLOOKUP(tbSellers[[#This Row],[Item]],tbShoppingList[],1,FALSE),"")&lt;&gt;"","Yes","")</f>
        <v/>
      </c>
      <c r="I294" s="4"/>
      <c r="J294" s="22"/>
    </row>
    <row r="295" spans="2:10" s="2" customFormat="1" ht="27.95" hidden="1" customHeight="1" x14ac:dyDescent="0.25">
      <c r="B295" s="2" t="str">
        <f>_xlfn.CONCAT(tbSellers[[#This Row],[Station]],tbSellers[[#This Row],[Item]])</f>
        <v>Kiheensbo XVIIPure Ferrite</v>
      </c>
      <c r="C295" s="2" t="s">
        <v>254</v>
      </c>
      <c r="D295" s="14" t="s">
        <v>266</v>
      </c>
      <c r="E295" s="7">
        <f>VLOOKUP(tbSellers[[#This Row],[Item]],tbMaterials[],4,FALSE)</f>
        <v>28</v>
      </c>
      <c r="F295" s="40">
        <v>1</v>
      </c>
      <c r="G295" s="47">
        <v>44029</v>
      </c>
      <c r="H295" s="70" t="str">
        <f>IF(_xlfn.IFNA(VLOOKUP(tbSellers[[#This Row],[Item]],tbShoppingList[],1,FALSE),"")&lt;&gt;"","Yes","")</f>
        <v/>
      </c>
      <c r="I295" s="4"/>
      <c r="J295" s="22"/>
    </row>
    <row r="296" spans="2:10" s="2" customFormat="1" ht="27.95" hidden="1" customHeight="1" x14ac:dyDescent="0.25">
      <c r="B296" s="2" t="str">
        <f>_xlfn.CONCAT(tbSellers[[#This Row],[Station]],tbSellers[[#This Row],[Item]])</f>
        <v>Nancangz XVGold</v>
      </c>
      <c r="C296" s="8" t="s">
        <v>54</v>
      </c>
      <c r="D296" s="14" t="s">
        <v>24</v>
      </c>
      <c r="E296" s="7">
        <f>VLOOKUP(tbSellers[[#This Row],[Item]],tbMaterials[],4,FALSE)</f>
        <v>353</v>
      </c>
      <c r="F296" s="40">
        <v>2</v>
      </c>
      <c r="G296" s="47">
        <v>44030</v>
      </c>
      <c r="H296" s="70" t="str">
        <f>IF(_xlfn.IFNA(VLOOKUP(tbSellers[[#This Row],[Item]],tbShoppingList[],1,FALSE),"")&lt;&gt;"","Yes","")</f>
        <v/>
      </c>
      <c r="I296" s="4"/>
      <c r="J296" s="22"/>
    </row>
    <row r="297" spans="2:10" s="2" customFormat="1" ht="27.95" hidden="1" customHeight="1" x14ac:dyDescent="0.25">
      <c r="B297" s="2" t="str">
        <f>_xlfn.CONCAT(tbSellers[[#This Row],[Station]],tbSellers[[#This Row],[Item]])</f>
        <v>NokungbOxygen</v>
      </c>
      <c r="C297" s="2" t="s">
        <v>271</v>
      </c>
      <c r="D297" s="14" t="s">
        <v>8</v>
      </c>
      <c r="E297" s="7">
        <f>VLOOKUP(tbSellers[[#This Row],[Item]],tbMaterials[],4,FALSE)</f>
        <v>34</v>
      </c>
      <c r="F297" s="40">
        <v>1</v>
      </c>
      <c r="G297" s="47">
        <v>44029</v>
      </c>
      <c r="H297" s="70" t="str">
        <f>IF(_xlfn.IFNA(VLOOKUP(tbSellers[[#This Row],[Item]],tbShoppingList[],1,FALSE),"")&lt;&gt;"","Yes","")</f>
        <v/>
      </c>
      <c r="I297" s="4"/>
      <c r="J297" s="22"/>
    </row>
    <row r="298" spans="2:10" s="2" customFormat="1" ht="27.95" hidden="1" customHeight="1" x14ac:dyDescent="0.25">
      <c r="B298" s="2" t="str">
        <f>_xlfn.CONCAT(tbSellers[[#This Row],[Station]],tbSellers[[#This Row],[Item]])</f>
        <v>Paddoc-KehaIonised Cobalt</v>
      </c>
      <c r="C298" s="8" t="s">
        <v>99</v>
      </c>
      <c r="D298" s="14" t="s">
        <v>267</v>
      </c>
      <c r="E298" s="7">
        <f>VLOOKUP(tbSellers[[#This Row],[Item]],tbMaterials[],4,FALSE)</f>
        <v>401</v>
      </c>
      <c r="F298" s="40">
        <v>2</v>
      </c>
      <c r="G298" s="47">
        <v>44030</v>
      </c>
      <c r="H298" s="70" t="str">
        <f>IF(_xlfn.IFNA(VLOOKUP(tbSellers[[#This Row],[Item]],tbShoppingList[],1,FALSE),"")&lt;&gt;"","Yes","")</f>
        <v/>
      </c>
      <c r="I298" s="4"/>
      <c r="J298" s="22"/>
    </row>
    <row r="299" spans="2:10" s="2" customFormat="1" ht="27.95" hidden="1" customHeight="1" x14ac:dyDescent="0.25">
      <c r="B299" s="2" t="str">
        <f>_xlfn.CONCAT(tbSellers[[#This Row],[Station]],tbSellers[[#This Row],[Item]])</f>
        <v>SeogwipSodium</v>
      </c>
      <c r="C299" s="8" t="s">
        <v>239</v>
      </c>
      <c r="D299" s="14" t="s">
        <v>9</v>
      </c>
      <c r="E299" s="7">
        <f>VLOOKUP(tbSellers[[#This Row],[Item]],tbMaterials[],4,FALSE)</f>
        <v>41</v>
      </c>
      <c r="F299" s="40">
        <v>1</v>
      </c>
      <c r="G299" s="47"/>
      <c r="H299" s="70" t="str">
        <f>IF(_xlfn.IFNA(VLOOKUP(tbSellers[[#This Row],[Item]],tbShoppingList[],1,FALSE),"")&lt;&gt;"","Yes","")</f>
        <v/>
      </c>
      <c r="I299" s="4"/>
      <c r="J299" s="22"/>
    </row>
    <row r="300" spans="2:10" s="2" customFormat="1" ht="27.95" hidden="1" customHeight="1" x14ac:dyDescent="0.25">
      <c r="B300" s="2" t="str">
        <f>_xlfn.CONCAT(tbSellers[[#This Row],[Station]],tbSellers[[#This Row],[Item]])</f>
        <v>Ubzhan-Reg VFerrite Dust</v>
      </c>
      <c r="C300" s="2" t="s">
        <v>120</v>
      </c>
      <c r="D300" s="14" t="s">
        <v>12</v>
      </c>
      <c r="E300" s="7">
        <f>VLOOKUP(tbSellers[[#This Row],[Item]],tbMaterials[],4,FALSE)</f>
        <v>14</v>
      </c>
      <c r="F300" s="40">
        <v>1</v>
      </c>
      <c r="G300" s="47"/>
      <c r="H300" s="70" t="str">
        <f>IF(_xlfn.IFNA(VLOOKUP(tbSellers[[#This Row],[Item]],tbShoppingList[],1,FALSE),"")&lt;&gt;"","Yes","")</f>
        <v/>
      </c>
      <c r="I300" s="4"/>
      <c r="J300" s="22"/>
    </row>
    <row r="301" spans="2:10" s="2" customFormat="1" ht="27.95" hidden="1" customHeight="1" x14ac:dyDescent="0.25">
      <c r="B301" s="2" t="str">
        <f>_xlfn.CONCAT(tbSellers[[#This Row],[Station]],tbSellers[[#This Row],[Item]])</f>
        <v>Urumqi XVSodium</v>
      </c>
      <c r="C301" s="2" t="s">
        <v>116</v>
      </c>
      <c r="D301" s="14" t="s">
        <v>9</v>
      </c>
      <c r="E301" s="7">
        <f>VLOOKUP(tbSellers[[#This Row],[Item]],tbMaterials[],4,FALSE)</f>
        <v>41</v>
      </c>
      <c r="F301" s="40">
        <v>1</v>
      </c>
      <c r="G301" s="47"/>
      <c r="H301" s="70" t="str">
        <f>IF(_xlfn.IFNA(VLOOKUP(tbSellers[[#This Row],[Item]],tbShoppingList[],1,FALSE),"")&lt;&gt;"","Yes","")</f>
        <v/>
      </c>
      <c r="I301" s="4"/>
      <c r="J301" s="22"/>
    </row>
    <row r="302" spans="2:10" s="2" customFormat="1" ht="27.95" hidden="1" customHeight="1" x14ac:dyDescent="0.25">
      <c r="B302" s="2" t="str">
        <f>_xlfn.CONCAT(tbSellers[[#This Row],[Station]],tbSellers[[#This Row],[Item]])</f>
        <v>WagormaFerrite Dust</v>
      </c>
      <c r="C302" s="8" t="s">
        <v>115</v>
      </c>
      <c r="D302" s="14" t="s">
        <v>12</v>
      </c>
      <c r="E302" s="7">
        <f>VLOOKUP(tbSellers[[#This Row],[Item]],tbMaterials[],4,FALSE)</f>
        <v>14</v>
      </c>
      <c r="F302" s="40">
        <v>1</v>
      </c>
      <c r="G302" s="47">
        <v>44029</v>
      </c>
      <c r="H302" s="70" t="str">
        <f>IF(_xlfn.IFNA(VLOOKUP(tbSellers[[#This Row],[Item]],tbShoppingList[],1,FALSE),"")&lt;&gt;"","Yes","")</f>
        <v/>
      </c>
      <c r="I302" s="4"/>
      <c r="J302" s="22"/>
    </row>
    <row r="303" spans="2:10" s="2" customFormat="1" ht="27.95" hidden="1" customHeight="1" x14ac:dyDescent="0.25">
      <c r="B303" s="2" t="str">
        <f>_xlfn.CONCAT(tbSellers[[#This Row],[Station]],tbSellers[[#This Row],[Item]])</f>
        <v>XishuaiFerrite Dust</v>
      </c>
      <c r="C303" s="2" t="s">
        <v>95</v>
      </c>
      <c r="D303" s="14" t="s">
        <v>12</v>
      </c>
      <c r="E303" s="7">
        <f>VLOOKUP(tbSellers[[#This Row],[Item]],tbMaterials[],4,FALSE)</f>
        <v>14</v>
      </c>
      <c r="F303" s="40">
        <v>1</v>
      </c>
      <c r="G303" s="47">
        <v>44029</v>
      </c>
      <c r="H303" s="70" t="str">
        <f>IF(_xlfn.IFNA(VLOOKUP(tbSellers[[#This Row],[Item]],tbShoppingList[],1,FALSE),"")&lt;&gt;"","Yes","")</f>
        <v/>
      </c>
      <c r="I303" s="4"/>
      <c r="J303" s="22"/>
    </row>
    <row r="304" spans="2:10" s="2" customFormat="1" ht="27.95" hidden="1" customHeight="1" x14ac:dyDescent="0.25">
      <c r="B304" s="2" t="str">
        <f>_xlfn.CONCAT(tbSellers[[#This Row],[Station]],tbSellers[[#This Row],[Item]])</f>
        <v>XishuanqSodium</v>
      </c>
      <c r="C304" s="8" t="s">
        <v>98</v>
      </c>
      <c r="D304" s="14" t="s">
        <v>9</v>
      </c>
      <c r="E304" s="7">
        <f>VLOOKUP(tbSellers[[#This Row],[Item]],tbMaterials[],4,FALSE)</f>
        <v>41</v>
      </c>
      <c r="F304" s="40">
        <v>1</v>
      </c>
      <c r="G304" s="47"/>
      <c r="H304" s="70" t="str">
        <f>IF(_xlfn.IFNA(VLOOKUP(tbSellers[[#This Row],[Item]],tbShoppingList[],1,FALSE),"")&lt;&gt;"","Yes","")</f>
        <v/>
      </c>
      <c r="I304" s="4"/>
      <c r="J304" s="22"/>
    </row>
    <row r="305" spans="2:10" s="2" customFormat="1" ht="27.95" hidden="1" customHeight="1" x14ac:dyDescent="0.25">
      <c r="B305" s="2" t="str">
        <f>_xlfn.CONCAT(tbSellers[[#This Row],[Station]],tbSellers[[#This Row],[Item]])</f>
        <v>Yedexi VIIPugneum</v>
      </c>
      <c r="C305" s="8" t="s">
        <v>52</v>
      </c>
      <c r="D305" s="14" t="s">
        <v>262</v>
      </c>
      <c r="E305" s="7">
        <f>VLOOKUP(tbSellers[[#This Row],[Item]],tbMaterials[],4,FALSE)</f>
        <v>138</v>
      </c>
      <c r="F305" s="40">
        <v>2</v>
      </c>
      <c r="G305" s="47">
        <v>44029</v>
      </c>
      <c r="H305" s="70" t="str">
        <f>IF(_xlfn.IFNA(VLOOKUP(tbSellers[[#This Row],[Item]],tbShoppingList[],1,FALSE),"")&lt;&gt;"","Yes","")</f>
        <v/>
      </c>
      <c r="I305" s="4"/>
      <c r="J305" s="22"/>
    </row>
    <row r="306" spans="2:10" s="2" customFormat="1" ht="27.95" hidden="1" customHeight="1" x14ac:dyDescent="0.25">
      <c r="B306" s="2" t="str">
        <f>_xlfn.CONCAT(tbSellers[[#This Row],[Station]],tbSellers[[#This Row],[Item]])</f>
        <v>Arjorda-KugSodium</v>
      </c>
      <c r="C306" s="8" t="s">
        <v>75</v>
      </c>
      <c r="D306" s="14" t="s">
        <v>9</v>
      </c>
      <c r="E306" s="7">
        <f>VLOOKUP(tbSellers[[#This Row],[Item]],tbMaterials[],4,FALSE)</f>
        <v>41</v>
      </c>
      <c r="F306" s="40">
        <v>1</v>
      </c>
      <c r="G306" s="47"/>
      <c r="H306" s="70" t="str">
        <f>IF(_xlfn.IFNA(VLOOKUP(tbSellers[[#This Row],[Item]],tbShoppingList[],1,FALSE),"")&lt;&gt;"","Yes","")</f>
        <v/>
      </c>
      <c r="I306" s="4"/>
      <c r="J306" s="22"/>
    </row>
    <row r="307" spans="2:10" s="2" customFormat="1" ht="27.95" hidden="1" customHeight="1" x14ac:dyDescent="0.25">
      <c r="B307" s="2" t="str">
        <f>_xlfn.CONCAT(tbSellers[[#This Row],[Station]],tbSellers[[#This Row],[Item]])</f>
        <v>EeoocomaSodium</v>
      </c>
      <c r="C307" s="2" t="s">
        <v>564</v>
      </c>
      <c r="D307" s="14" t="s">
        <v>9</v>
      </c>
      <c r="E307" s="7">
        <f>VLOOKUP(tbSellers[[#This Row],[Item]],tbMaterials[],4,FALSE)</f>
        <v>41</v>
      </c>
      <c r="F307" s="40">
        <v>1</v>
      </c>
      <c r="G307" s="47"/>
      <c r="H307" s="70" t="str">
        <f>IF(_xlfn.IFNA(VLOOKUP(tbSellers[[#This Row],[Item]],tbShoppingList[],1,FALSE),"")&lt;&gt;"","Yes","")</f>
        <v/>
      </c>
      <c r="I307" s="4"/>
      <c r="J307" s="22"/>
    </row>
    <row r="308" spans="2:10" s="2" customFormat="1" ht="27.95" hidden="1" customHeight="1" x14ac:dyDescent="0.25">
      <c r="B308" s="2" t="str">
        <f>_xlfn.CONCAT(tbSellers[[#This Row],[Station]],tbSellers[[#This Row],[Item]])</f>
        <v>RidunxiSodium</v>
      </c>
      <c r="C308" s="2" t="s">
        <v>573</v>
      </c>
      <c r="D308" s="14" t="s">
        <v>9</v>
      </c>
      <c r="E308" s="7">
        <f>VLOOKUP(tbSellers[[#This Row],[Item]],tbMaterials[],4,FALSE)</f>
        <v>41</v>
      </c>
      <c r="F308" s="40">
        <v>1</v>
      </c>
      <c r="G308" s="47"/>
      <c r="H308" s="70" t="str">
        <f>IF(_xlfn.IFNA(VLOOKUP(tbSellers[[#This Row],[Item]],tbShoppingList[],1,FALSE),"")&lt;&gt;"","Yes","")</f>
        <v/>
      </c>
      <c r="I308" s="4"/>
      <c r="J308" s="22"/>
    </row>
    <row r="309" spans="2:10" s="2" customFormat="1" ht="27.95" hidden="1" customHeight="1" x14ac:dyDescent="0.25">
      <c r="B309" s="2" t="str">
        <f>_xlfn.CONCAT(tbSellers[[#This Row],[Station]],tbSellers[[#This Row],[Item]])</f>
        <v>YendonoPure Ferrite</v>
      </c>
      <c r="C309" s="2" t="s">
        <v>575</v>
      </c>
      <c r="D309" s="14" t="s">
        <v>266</v>
      </c>
      <c r="E309" s="7">
        <f>VLOOKUP(tbSellers[[#This Row],[Item]],tbMaterials[],4,FALSE)</f>
        <v>28</v>
      </c>
      <c r="F309" s="40">
        <v>1</v>
      </c>
      <c r="G309" s="47">
        <v>44029</v>
      </c>
      <c r="H309" s="70" t="str">
        <f>IF(_xlfn.IFNA(VLOOKUP(tbSellers[[#This Row],[Item]],tbShoppingList[],1,FALSE),"")&lt;&gt;"","Yes","")</f>
        <v/>
      </c>
      <c r="I309" s="4"/>
      <c r="J309" s="22"/>
    </row>
    <row r="310" spans="2:10" s="2" customFormat="1" ht="27.95" hidden="1" customHeight="1" x14ac:dyDescent="0.25">
      <c r="B310" s="2" t="str">
        <f>_xlfn.CONCAT(tbSellers[[#This Row],[Station]],tbSellers[[#This Row],[Item]])</f>
        <v>Seruss-EdogaOxygen</v>
      </c>
      <c r="C310" s="2" t="s">
        <v>577</v>
      </c>
      <c r="D310" s="14" t="s">
        <v>8</v>
      </c>
      <c r="E310" s="7">
        <f>VLOOKUP(tbSellers[[#This Row],[Item]],tbMaterials[],4,FALSE)</f>
        <v>34</v>
      </c>
      <c r="F310" s="40">
        <v>1</v>
      </c>
      <c r="G310" s="47">
        <v>44029</v>
      </c>
      <c r="H310" s="70" t="str">
        <f>IF(_xlfn.IFNA(VLOOKUP(tbSellers[[#This Row],[Item]],tbShoppingList[],1,FALSE),"")&lt;&gt;"","Yes","")</f>
        <v/>
      </c>
      <c r="I310" s="4"/>
      <c r="J310" s="22"/>
    </row>
    <row r="311" spans="2:10" s="2" customFormat="1" ht="27.95" hidden="1" customHeight="1" x14ac:dyDescent="0.25">
      <c r="B311" s="2" t="str">
        <f>_xlfn.CONCAT(tbSellers[[#This Row],[Station]],tbSellers[[#This Row],[Item]])</f>
        <v>Nuswick-PayeIonised Cobalt</v>
      </c>
      <c r="C311" s="2" t="s">
        <v>579</v>
      </c>
      <c r="D311" s="14" t="s">
        <v>267</v>
      </c>
      <c r="E311" s="7">
        <f>VLOOKUP(tbSellers[[#This Row],[Item]],tbMaterials[],4,FALSE)</f>
        <v>401</v>
      </c>
      <c r="F311" s="40">
        <v>1</v>
      </c>
      <c r="G311" s="47">
        <v>44029</v>
      </c>
      <c r="H311" s="70" t="str">
        <f>IF(_xlfn.IFNA(VLOOKUP(tbSellers[[#This Row],[Item]],tbShoppingList[],1,FALSE),"")&lt;&gt;"","Yes","")</f>
        <v/>
      </c>
      <c r="I311" s="4"/>
      <c r="J311" s="22"/>
    </row>
    <row r="312" spans="2:10" s="2" customFormat="1" ht="27.95" hidden="1" customHeight="1" x14ac:dyDescent="0.25">
      <c r="B312" s="2" t="str">
        <f>_xlfn.CONCAT(tbSellers[[#This Row],[Station]],tbSellers[[#This Row],[Item]])</f>
        <v>OdaleroFerrite Dust</v>
      </c>
      <c r="C312" s="2" t="s">
        <v>604</v>
      </c>
      <c r="D312" s="14" t="s">
        <v>12</v>
      </c>
      <c r="E312" s="7">
        <f>VLOOKUP(tbSellers[[#This Row],[Item]],tbMaterials[],4,FALSE)</f>
        <v>14</v>
      </c>
      <c r="F312" s="40">
        <v>1</v>
      </c>
      <c r="G312" s="47">
        <v>44030</v>
      </c>
      <c r="H312" s="70" t="str">
        <f>IF(_xlfn.IFNA(VLOOKUP(tbSellers[[#This Row],[Item]],tbShoppingList[],1,FALSE),"")&lt;&gt;"","Yes","")</f>
        <v/>
      </c>
      <c r="I312" s="4"/>
      <c r="J312" s="22"/>
    </row>
    <row r="313" spans="2:10" s="2" customFormat="1" ht="27.95" hidden="1" customHeight="1" x14ac:dyDescent="0.25">
      <c r="B313" s="2" t="str">
        <f>_xlfn.CONCAT(tbSellers[[#This Row],[Station]],tbSellers[[#This Row],[Item]])</f>
        <v>EwiscunSodium</v>
      </c>
      <c r="C313" s="2" t="s">
        <v>607</v>
      </c>
      <c r="D313" s="14" t="s">
        <v>9</v>
      </c>
      <c r="E313" s="7">
        <f>VLOOKUP(tbSellers[[#This Row],[Item]],tbMaterials[],4,FALSE)</f>
        <v>41</v>
      </c>
      <c r="F313" s="40">
        <v>1</v>
      </c>
      <c r="G313" s="47"/>
      <c r="H313" s="70" t="str">
        <f>IF(_xlfn.IFNA(VLOOKUP(tbSellers[[#This Row],[Item]],tbShoppingList[],1,FALSE),"")&lt;&gt;"","Yes","")</f>
        <v/>
      </c>
      <c r="I313" s="4"/>
      <c r="J313" s="22"/>
    </row>
    <row r="314" spans="2:10" s="2" customFormat="1" ht="27.95" hidden="1" customHeight="1" x14ac:dyDescent="0.25">
      <c r="B314" s="2" t="str">
        <f>_xlfn.CONCAT(tbSellers[[#This Row],[Station]],tbSellers[[#This Row],[Item]])</f>
        <v>DohoeniaPlatinum</v>
      </c>
      <c r="C314" s="2" t="s">
        <v>608</v>
      </c>
      <c r="D314" s="14" t="s">
        <v>18</v>
      </c>
      <c r="E314" s="7">
        <f>VLOOKUP(tbSellers[[#This Row],[Item]],tbMaterials[],4,FALSE)</f>
        <v>505</v>
      </c>
      <c r="F314" s="40">
        <v>2</v>
      </c>
      <c r="G314" s="47">
        <v>44029</v>
      </c>
      <c r="H314" s="70" t="str">
        <f>IF(_xlfn.IFNA(VLOOKUP(tbSellers[[#This Row],[Item]],tbShoppingList[],1,FALSE),"")&lt;&gt;"","Yes","")</f>
        <v/>
      </c>
      <c r="I314" s="4"/>
      <c r="J314" s="22"/>
    </row>
    <row r="315" spans="2:10" s="2" customFormat="1" ht="27.95" hidden="1" customHeight="1" x14ac:dyDescent="0.25">
      <c r="B315" s="2" t="str">
        <f>_xlfn.CONCAT(tbSellers[[#This Row],[Station]],tbSellers[[#This Row],[Item]])</f>
        <v>Nicleve-EnskParaffinium</v>
      </c>
      <c r="C315" s="2" t="s">
        <v>654</v>
      </c>
      <c r="D315" s="14" t="s">
        <v>61</v>
      </c>
      <c r="E315" s="7">
        <f>VLOOKUP(tbSellers[[#This Row],[Item]],tbMaterials[],4,FALSE)</f>
        <v>62</v>
      </c>
      <c r="F315" s="40">
        <v>2</v>
      </c>
      <c r="G315" s="47">
        <v>44030</v>
      </c>
      <c r="H315" s="70" t="str">
        <f>IF(_xlfn.IFNA(VLOOKUP(tbSellers[[#This Row],[Item]],tbShoppingList[],1,FALSE),"")&lt;&gt;"","Yes","")</f>
        <v/>
      </c>
      <c r="I315" s="4"/>
      <c r="J315" s="22"/>
    </row>
    <row r="316" spans="2:10" s="2" customFormat="1" ht="27.95" hidden="1" customHeight="1" x14ac:dyDescent="0.25">
      <c r="B316" s="2" t="str">
        <f>_xlfn.CONCAT(tbSellers[[#This Row],[Station]],tbSellers[[#This Row],[Item]])</f>
        <v>Tijoriesth XIVSodium</v>
      </c>
      <c r="C316" s="2" t="s">
        <v>698</v>
      </c>
      <c r="D316" s="14" t="s">
        <v>9</v>
      </c>
      <c r="E316" s="7">
        <f>VLOOKUP(tbSellers[[#This Row],[Item]],tbMaterials[],4,FALSE)</f>
        <v>41</v>
      </c>
      <c r="F316" s="40">
        <v>1</v>
      </c>
      <c r="G316" s="47">
        <v>44029</v>
      </c>
      <c r="H316" s="70" t="str">
        <f>IF(_xlfn.IFNA(VLOOKUP(tbSellers[[#This Row],[Item]],tbShoppingList[],1,FALSE),"")&lt;&gt;"","Yes","")</f>
        <v/>
      </c>
      <c r="I316" s="4"/>
      <c r="J316" s="22"/>
    </row>
    <row r="317" spans="2:10" s="2" customFormat="1" ht="27.95" hidden="1" customHeight="1" x14ac:dyDescent="0.25">
      <c r="B317" s="2" t="str">
        <f>_xlfn.CONCAT(tbSellers[[#This Row],[Station]],tbSellers[[#This Row],[Item]])</f>
        <v>HadzananSodium</v>
      </c>
      <c r="C317" s="2" t="s">
        <v>731</v>
      </c>
      <c r="D317" s="14" t="s">
        <v>9</v>
      </c>
      <c r="E317" s="7">
        <f>VLOOKUP(tbSellers[[#This Row],[Item]],tbMaterials[],4,FALSE)</f>
        <v>41</v>
      </c>
      <c r="F317" s="40">
        <v>1</v>
      </c>
      <c r="G317" s="47"/>
      <c r="H317" s="70" t="str">
        <f>IF(_xlfn.IFNA(VLOOKUP(tbSellers[[#This Row],[Item]],tbShoppingList[],1,FALSE),"")&lt;&gt;"","Yes","")</f>
        <v/>
      </c>
      <c r="I317" s="4"/>
      <c r="J317" s="22"/>
    </row>
    <row r="318" spans="2:10" s="2" customFormat="1" ht="27.95" hidden="1" customHeight="1" x14ac:dyDescent="0.25">
      <c r="B318" s="2" t="str">
        <f>_xlfn.CONCAT(tbSellers[[#This Row],[Station]],tbSellers[[#This Row],[Item]])</f>
        <v>AxinweOxygen</v>
      </c>
      <c r="C318" s="8" t="s">
        <v>771</v>
      </c>
      <c r="D318" s="14" t="s">
        <v>8</v>
      </c>
      <c r="E318" s="7">
        <f>VLOOKUP(tbSellers[[#This Row],[Item]],tbMaterials[],4,FALSE)</f>
        <v>34</v>
      </c>
      <c r="F318" s="40">
        <v>1</v>
      </c>
      <c r="G318" s="47"/>
      <c r="H318" s="70" t="str">
        <f>IF(_xlfn.IFNA(VLOOKUP(tbSellers[[#This Row],[Item]],tbShoppingList[],1,FALSE),"")&lt;&gt;"","Yes","")</f>
        <v/>
      </c>
      <c r="I318" s="4"/>
      <c r="J318" s="22"/>
    </row>
    <row r="319" spans="2:10" s="2" customFormat="1" ht="27.95" hidden="1" customHeight="1" x14ac:dyDescent="0.25">
      <c r="B319" s="2" t="str">
        <f>_xlfn.CONCAT(tbSellers[[#This Row],[Station]],tbSellers[[#This Row],[Item]])</f>
        <v>Tijoriesth XIVOxygen</v>
      </c>
      <c r="C319" s="2" t="s">
        <v>698</v>
      </c>
      <c r="D319" s="14" t="s">
        <v>8</v>
      </c>
      <c r="E319" s="7">
        <f>VLOOKUP(tbSellers[[#This Row],[Item]],tbMaterials[],4,FALSE)</f>
        <v>34</v>
      </c>
      <c r="F319" s="40">
        <v>1</v>
      </c>
      <c r="G319" s="47">
        <v>44029</v>
      </c>
      <c r="H319" s="70" t="str">
        <f>IF(_xlfn.IFNA(VLOOKUP(tbSellers[[#This Row],[Item]],tbShoppingList[],1,FALSE),"")&lt;&gt;"","Yes","")</f>
        <v/>
      </c>
      <c r="I319" s="4"/>
      <c r="J319" s="22"/>
    </row>
    <row r="320" spans="2:10" s="2" customFormat="1" ht="27.95" hidden="1" customHeight="1" x14ac:dyDescent="0.25">
      <c r="B320" s="2" t="str">
        <f>_xlfn.CONCAT(tbSellers[[#This Row],[Station]],tbSellers[[#This Row],[Item]])</f>
        <v>AlhaimOxygen</v>
      </c>
      <c r="C320" s="2" t="s">
        <v>270</v>
      </c>
      <c r="D320" s="14" t="s">
        <v>8</v>
      </c>
      <c r="E320" s="7">
        <f>VLOOKUP(tbSellers[[#This Row],[Item]],tbMaterials[],4,FALSE)</f>
        <v>34</v>
      </c>
      <c r="F320" s="40">
        <v>1</v>
      </c>
      <c r="G320" s="47">
        <v>44018</v>
      </c>
      <c r="H320" s="70" t="str">
        <f>IF(_xlfn.IFNA(VLOOKUP(tbSellers[[#This Row],[Item]],tbShoppingList[],1,FALSE),"")&lt;&gt;"","Yes","")</f>
        <v/>
      </c>
      <c r="I320" s="4"/>
      <c r="J320" s="22"/>
    </row>
    <row r="321" spans="2:10" s="2" customFormat="1" ht="27.95" hidden="1" customHeight="1" x14ac:dyDescent="0.25">
      <c r="B321" s="2" t="str">
        <f>_xlfn.CONCAT(tbSellers[[#This Row],[Station]],tbSellers[[#This Row],[Item]])</f>
        <v>OdaleroPyrite</v>
      </c>
      <c r="C321" s="2" t="s">
        <v>604</v>
      </c>
      <c r="D321" s="14" t="s">
        <v>119</v>
      </c>
      <c r="E321" s="7">
        <f>VLOOKUP(tbSellers[[#This Row],[Item]],tbMaterials[],4,FALSE)</f>
        <v>62</v>
      </c>
      <c r="F321" s="40">
        <v>2</v>
      </c>
      <c r="G321" s="47">
        <v>44030</v>
      </c>
      <c r="H321" s="70" t="str">
        <f>IF(_xlfn.IFNA(VLOOKUP(tbSellers[[#This Row],[Item]],tbShoppingList[],1,FALSE),"")&lt;&gt;"","Yes","")</f>
        <v/>
      </c>
      <c r="I321" s="4"/>
      <c r="J321" s="22"/>
    </row>
    <row r="322" spans="2:10" s="2" customFormat="1" ht="27.95" hidden="1" customHeight="1" x14ac:dyDescent="0.25">
      <c r="B322" s="2" t="str">
        <f>_xlfn.CONCAT(tbSellers[[#This Row],[Station]],tbSellers[[#This Row],[Item]])</f>
        <v>Ancity-NiyhFerrite Dust</v>
      </c>
      <c r="C322" s="8" t="s">
        <v>78</v>
      </c>
      <c r="D322" s="14" t="s">
        <v>12</v>
      </c>
      <c r="E322" s="7">
        <f>VLOOKUP(tbSellers[[#This Row],[Item]],tbMaterials[],4,FALSE)</f>
        <v>14</v>
      </c>
      <c r="F322" s="40">
        <v>1</v>
      </c>
      <c r="G322" s="47">
        <v>44030</v>
      </c>
      <c r="H322" s="70" t="str">
        <f>IF(_xlfn.IFNA(VLOOKUP(tbSellers[[#This Row],[Item]],tbShoppingList[],1,FALSE),"")&lt;&gt;"","Yes","")</f>
        <v/>
      </c>
      <c r="I322" s="4"/>
      <c r="J322" s="22"/>
    </row>
    <row r="323" spans="2:10" s="2" customFormat="1" ht="27.95" hidden="1" customHeight="1" x14ac:dyDescent="0.25">
      <c r="B323" s="2" t="str">
        <f>_xlfn.CONCAT(tbSellers[[#This Row],[Station]],tbSellers[[#This Row],[Item]])</f>
        <v>Helkarsh VOxygen</v>
      </c>
      <c r="C323" s="2" t="s">
        <v>272</v>
      </c>
      <c r="D323" s="14" t="s">
        <v>8</v>
      </c>
      <c r="E323" s="7">
        <f>VLOOKUP(tbSellers[[#This Row],[Item]],tbMaterials[],4,FALSE)</f>
        <v>34</v>
      </c>
      <c r="F323" s="40">
        <v>1</v>
      </c>
      <c r="G323" s="47">
        <v>44016</v>
      </c>
      <c r="H323" s="70" t="str">
        <f>IF(_xlfn.IFNA(VLOOKUP(tbSellers[[#This Row],[Item]],tbShoppingList[],1,FALSE),"")&lt;&gt;"","Yes","")</f>
        <v/>
      </c>
      <c r="I323" s="4"/>
      <c r="J323" s="22"/>
    </row>
    <row r="324" spans="2:10" s="2" customFormat="1" ht="27.95" hidden="1" customHeight="1" x14ac:dyDescent="0.25">
      <c r="B324" s="2" t="str">
        <f>_xlfn.CONCAT(tbSellers[[#This Row],[Station]],tbSellers[[#This Row],[Item]])</f>
        <v>Kiheensbo XVIIMagnetised Ferrite</v>
      </c>
      <c r="C324" s="2" t="s">
        <v>254</v>
      </c>
      <c r="D324" s="14" t="s">
        <v>246</v>
      </c>
      <c r="E324" s="7">
        <f>VLOOKUP(tbSellers[[#This Row],[Item]],tbMaterials[],4,FALSE)</f>
        <v>82</v>
      </c>
      <c r="F324" s="40">
        <v>1</v>
      </c>
      <c r="G324" s="47">
        <v>44029</v>
      </c>
      <c r="H324" s="70" t="str">
        <f>IF(_xlfn.IFNA(VLOOKUP(tbSellers[[#This Row],[Item]],tbShoppingList[],1,FALSE),"")&lt;&gt;"","Yes","")</f>
        <v/>
      </c>
      <c r="I324" s="4"/>
      <c r="J324" s="22"/>
    </row>
    <row r="325" spans="2:10" s="2" customFormat="1" ht="27.95" hidden="1" customHeight="1" x14ac:dyDescent="0.25">
      <c r="B325" s="2" t="str">
        <f>_xlfn.CONCAT(tbSellers[[#This Row],[Station]],tbSellers[[#This Row],[Item]])</f>
        <v>Nancangz XVPyrite</v>
      </c>
      <c r="C325" s="8" t="s">
        <v>54</v>
      </c>
      <c r="D325" s="14" t="s">
        <v>119</v>
      </c>
      <c r="E325" s="7">
        <f>VLOOKUP(tbSellers[[#This Row],[Item]],tbMaterials[],4,FALSE)</f>
        <v>62</v>
      </c>
      <c r="F325" s="40">
        <v>2</v>
      </c>
      <c r="G325" s="47">
        <v>44030</v>
      </c>
      <c r="H325" s="70" t="str">
        <f>IF(_xlfn.IFNA(VLOOKUP(tbSellers[[#This Row],[Item]],tbShoppingList[],1,FALSE),"")&lt;&gt;"","Yes","")</f>
        <v/>
      </c>
      <c r="I325" s="4"/>
      <c r="J325" s="22"/>
    </row>
    <row r="326" spans="2:10" s="2" customFormat="1" ht="27.95" hidden="1" customHeight="1" x14ac:dyDescent="0.25">
      <c r="B326" s="2" t="str">
        <f>_xlfn.CONCAT(tbSellers[[#This Row],[Station]],tbSellers[[#This Row],[Item]])</f>
        <v>NokungbFerrite Dust</v>
      </c>
      <c r="C326" s="2" t="s">
        <v>271</v>
      </c>
      <c r="D326" s="14" t="s">
        <v>12</v>
      </c>
      <c r="E326" s="7">
        <f>VLOOKUP(tbSellers[[#This Row],[Item]],tbMaterials[],4,FALSE)</f>
        <v>14</v>
      </c>
      <c r="F326" s="40">
        <v>1</v>
      </c>
      <c r="G326" s="47">
        <v>44029</v>
      </c>
      <c r="H326" s="70" t="str">
        <f>IF(_xlfn.IFNA(VLOOKUP(tbSellers[[#This Row],[Item]],tbShoppingList[],1,FALSE),"")&lt;&gt;"","Yes","")</f>
        <v/>
      </c>
      <c r="I326" s="4"/>
      <c r="J326" s="22"/>
    </row>
    <row r="327" spans="2:10" s="2" customFormat="1" ht="27.95" hidden="1" customHeight="1" x14ac:dyDescent="0.25">
      <c r="B327" s="2" t="str">
        <f>_xlfn.CONCAT(tbSellers[[#This Row],[Station]],tbSellers[[#This Row],[Item]])</f>
        <v>Paddoc-KehaSodium Nitrate</v>
      </c>
      <c r="C327" s="8" t="s">
        <v>99</v>
      </c>
      <c r="D327" s="14" t="s">
        <v>11</v>
      </c>
      <c r="E327" s="7">
        <f>VLOOKUP(tbSellers[[#This Row],[Item]],tbMaterials[],4,FALSE)</f>
        <v>82</v>
      </c>
      <c r="F327" s="40">
        <v>2</v>
      </c>
      <c r="G327" s="47">
        <v>44030</v>
      </c>
      <c r="H327" s="70" t="str">
        <f>IF(_xlfn.IFNA(VLOOKUP(tbSellers[[#This Row],[Item]],tbShoppingList[],1,FALSE),"")&lt;&gt;"","Yes","")</f>
        <v/>
      </c>
      <c r="I327" s="4"/>
      <c r="J327" s="22"/>
    </row>
    <row r="328" spans="2:10" s="2" customFormat="1" ht="27.95" hidden="1" customHeight="1" x14ac:dyDescent="0.25">
      <c r="B328" s="2" t="str">
        <f>_xlfn.CONCAT(tbSellers[[#This Row],[Station]],tbSellers[[#This Row],[Item]])</f>
        <v>PuningtGold</v>
      </c>
      <c r="C328" s="2" t="s">
        <v>279</v>
      </c>
      <c r="D328" s="14" t="s">
        <v>24</v>
      </c>
      <c r="E328" s="7">
        <f>VLOOKUP(tbSellers[[#This Row],[Item]],tbMaterials[],4,FALSE)</f>
        <v>353</v>
      </c>
      <c r="F328" s="40">
        <v>2</v>
      </c>
      <c r="G328" s="47">
        <v>44030</v>
      </c>
      <c r="H328" s="70" t="str">
        <f>IF(_xlfn.IFNA(VLOOKUP(tbSellers[[#This Row],[Item]],tbShoppingList[],1,FALSE),"")&lt;&gt;"","Yes","")</f>
        <v/>
      </c>
      <c r="I328" s="4"/>
      <c r="J328" s="22"/>
    </row>
    <row r="329" spans="2:10" s="2" customFormat="1" ht="27.95" hidden="1" customHeight="1" x14ac:dyDescent="0.25">
      <c r="B329" s="2" t="str">
        <f>_xlfn.CONCAT(tbSellers[[#This Row],[Station]],tbSellers[[#This Row],[Item]])</f>
        <v>SeogwipOxygen</v>
      </c>
      <c r="C329" s="8" t="s">
        <v>239</v>
      </c>
      <c r="D329" s="14" t="s">
        <v>8</v>
      </c>
      <c r="E329" s="7">
        <f>VLOOKUP(tbSellers[[#This Row],[Item]],tbMaterials[],4,FALSE)</f>
        <v>34</v>
      </c>
      <c r="F329" s="40">
        <v>1</v>
      </c>
      <c r="G329" s="47">
        <v>44018</v>
      </c>
      <c r="H329" s="70" t="str">
        <f>IF(_xlfn.IFNA(VLOOKUP(tbSellers[[#This Row],[Item]],tbShoppingList[],1,FALSE),"")&lt;&gt;"","Yes","")</f>
        <v/>
      </c>
      <c r="I329" s="4"/>
      <c r="J329" s="22"/>
    </row>
    <row r="330" spans="2:10" s="66" customFormat="1" ht="27.95" hidden="1" customHeight="1" x14ac:dyDescent="0.25">
      <c r="B330" s="66" t="str">
        <f>_xlfn.CONCAT(tbSellers[[#This Row],[Station]],tbSellers[[#This Row],[Item]])</f>
        <v>AstaixoFerrite Dust</v>
      </c>
      <c r="C330" s="8" t="s">
        <v>917</v>
      </c>
      <c r="D330" s="14" t="s">
        <v>12</v>
      </c>
      <c r="E330" s="7">
        <f>VLOOKUP(tbSellers[[#This Row],[Item]],tbMaterials[],4,FALSE)</f>
        <v>14</v>
      </c>
      <c r="F330" s="40">
        <v>1</v>
      </c>
      <c r="G330" s="47">
        <v>44031</v>
      </c>
      <c r="H330" s="70" t="str">
        <f>IF(_xlfn.IFNA(VLOOKUP(tbSellers[[#This Row],[Item]],tbShoppingList[],1,FALSE),"")&lt;&gt;"","Yes","")</f>
        <v/>
      </c>
      <c r="I330" s="4"/>
      <c r="J330" s="22"/>
    </row>
    <row r="331" spans="2:10" s="66" customFormat="1" ht="27.95" hidden="1" customHeight="1" x14ac:dyDescent="0.25">
      <c r="B331" s="66" t="str">
        <f>_xlfn.CONCAT(tbSellers[[#This Row],[Station]],tbSellers[[#This Row],[Item]])</f>
        <v>AstaixoCobalt</v>
      </c>
      <c r="C331" s="8" t="s">
        <v>917</v>
      </c>
      <c r="D331" s="14" t="s">
        <v>6</v>
      </c>
      <c r="E331" s="7">
        <f>VLOOKUP(tbSellers[[#This Row],[Item]],tbMaterials[],4,FALSE)</f>
        <v>198</v>
      </c>
      <c r="F331" s="40">
        <v>1</v>
      </c>
      <c r="G331" s="47">
        <v>44031</v>
      </c>
      <c r="H331" s="70" t="str">
        <f>IF(_xlfn.IFNA(VLOOKUP(tbSellers[[#This Row],[Item]],tbShoppingList[],1,FALSE),"")&lt;&gt;"","Yes","")</f>
        <v/>
      </c>
      <c r="I331" s="4"/>
      <c r="J331" s="22"/>
    </row>
    <row r="332" spans="2:10" s="66" customFormat="1" ht="27.95" hidden="1" customHeight="1" x14ac:dyDescent="0.25">
      <c r="B332" s="66" t="str">
        <f>_xlfn.CONCAT(tbSellers[[#This Row],[Station]],tbSellers[[#This Row],[Item]])</f>
        <v>AstaixoOxygen</v>
      </c>
      <c r="C332" s="8" t="s">
        <v>917</v>
      </c>
      <c r="D332" s="14" t="s">
        <v>8</v>
      </c>
      <c r="E332" s="7">
        <f>VLOOKUP(tbSellers[[#This Row],[Item]],tbMaterials[],4,FALSE)</f>
        <v>34</v>
      </c>
      <c r="F332" s="40">
        <v>1</v>
      </c>
      <c r="G332" s="47">
        <v>44031</v>
      </c>
      <c r="H332" s="70" t="str">
        <f>IF(_xlfn.IFNA(VLOOKUP(tbSellers[[#This Row],[Item]],tbShoppingList[],1,FALSE),"")&lt;&gt;"","Yes","")</f>
        <v/>
      </c>
      <c r="I332" s="4"/>
      <c r="J332" s="22"/>
    </row>
    <row r="333" spans="2:10" s="66" customFormat="1" ht="27.95" hidden="1" customHeight="1" x14ac:dyDescent="0.25">
      <c r="B333" s="66" t="str">
        <f>_xlfn.CONCAT(tbSellers[[#This Row],[Station]],tbSellers[[#This Row],[Item]])</f>
        <v>AstaixoSodium</v>
      </c>
      <c r="C333" s="8" t="s">
        <v>917</v>
      </c>
      <c r="D333" s="14" t="s">
        <v>9</v>
      </c>
      <c r="E333" s="7">
        <f>VLOOKUP(tbSellers[[#This Row],[Item]],tbMaterials[],4,FALSE)</f>
        <v>41</v>
      </c>
      <c r="F333" s="40">
        <v>1</v>
      </c>
      <c r="G333" s="47">
        <v>44031</v>
      </c>
      <c r="H333" s="70" t="str">
        <f>IF(_xlfn.IFNA(VLOOKUP(tbSellers[[#This Row],[Item]],tbShoppingList[],1,FALSE),"")&lt;&gt;"","Yes","")</f>
        <v/>
      </c>
      <c r="I333" s="4"/>
      <c r="J333" s="22"/>
    </row>
    <row r="334" spans="2:10" s="66" customFormat="1" ht="27.95" hidden="1" customHeight="1" x14ac:dyDescent="0.25">
      <c r="B334" s="66" t="str">
        <f>_xlfn.CONCAT(tbSellers[[#This Row],[Station]],tbSellers[[#This Row],[Item]])</f>
        <v>AstaixoCopper</v>
      </c>
      <c r="C334" s="8" t="s">
        <v>917</v>
      </c>
      <c r="D334" s="14" t="s">
        <v>5</v>
      </c>
      <c r="E334" s="7">
        <f>VLOOKUP(tbSellers[[#This Row],[Item]],tbMaterials[],4,FALSE)</f>
        <v>121</v>
      </c>
      <c r="F334" s="40">
        <v>1</v>
      </c>
      <c r="G334" s="47">
        <v>44031</v>
      </c>
      <c r="H334" s="70" t="str">
        <f>IF(_xlfn.IFNA(VLOOKUP(tbSellers[[#This Row],[Item]],tbShoppingList[],1,FALSE),"")&lt;&gt;"","Yes","")</f>
        <v/>
      </c>
      <c r="I334" s="4"/>
      <c r="J334" s="22"/>
    </row>
    <row r="335" spans="2:10" s="66" customFormat="1" ht="27.95" hidden="1" customHeight="1" x14ac:dyDescent="0.25">
      <c r="B335" s="66" t="str">
        <f>_xlfn.CONCAT(tbSellers[[#This Row],[Station]],tbSellers[[#This Row],[Item]])</f>
        <v>AstaixoChromatic Metal</v>
      </c>
      <c r="C335" s="8" t="s">
        <v>917</v>
      </c>
      <c r="D335" s="14" t="s">
        <v>261</v>
      </c>
      <c r="E335" s="7">
        <f>VLOOKUP(tbSellers[[#This Row],[Item]],tbMaterials[],4,FALSE)</f>
        <v>245</v>
      </c>
      <c r="F335" s="40">
        <v>1</v>
      </c>
      <c r="G335" s="47">
        <v>44031</v>
      </c>
      <c r="H335" s="70" t="str">
        <f>IF(_xlfn.IFNA(VLOOKUP(tbSellers[[#This Row],[Item]],tbShoppingList[],1,FALSE),"")&lt;&gt;"","Yes","")</f>
        <v/>
      </c>
      <c r="I335" s="4"/>
      <c r="J335" s="22"/>
    </row>
    <row r="336" spans="2:10" s="66" customFormat="1" ht="27.95" hidden="1" customHeight="1" x14ac:dyDescent="0.25">
      <c r="B336" s="66" t="str">
        <f>_xlfn.CONCAT(tbSellers[[#This Row],[Station]],tbSellers[[#This Row],[Item]])</f>
        <v>AstaixoPugneum</v>
      </c>
      <c r="C336" s="8" t="s">
        <v>917</v>
      </c>
      <c r="D336" s="14" t="s">
        <v>262</v>
      </c>
      <c r="E336" s="7">
        <f>VLOOKUP(tbSellers[[#This Row],[Item]],tbMaterials[],4,FALSE)</f>
        <v>138</v>
      </c>
      <c r="F336" s="40">
        <v>1</v>
      </c>
      <c r="G336" s="47">
        <v>44031</v>
      </c>
      <c r="H336" s="70" t="str">
        <f>IF(_xlfn.IFNA(VLOOKUP(tbSellers[[#This Row],[Item]],tbShoppingList[],1,FALSE),"")&lt;&gt;"","Yes","")</f>
        <v/>
      </c>
      <c r="I336" s="4"/>
      <c r="J336" s="22"/>
    </row>
    <row r="337" spans="2:10" s="66" customFormat="1" ht="27.95" hidden="1" customHeight="1" x14ac:dyDescent="0.25">
      <c r="B337" s="66" t="str">
        <f>_xlfn.CONCAT(tbSellers[[#This Row],[Station]],tbSellers[[#This Row],[Item]])</f>
        <v>AstaixoGold</v>
      </c>
      <c r="C337" s="8" t="s">
        <v>917</v>
      </c>
      <c r="D337" s="14" t="s">
        <v>24</v>
      </c>
      <c r="E337" s="7">
        <f>VLOOKUP(tbSellers[[#This Row],[Item]],tbMaterials[],4,FALSE)</f>
        <v>353</v>
      </c>
      <c r="F337" s="40">
        <v>1</v>
      </c>
      <c r="G337" s="47">
        <v>44031</v>
      </c>
      <c r="H337" s="70" t="str">
        <f>IF(_xlfn.IFNA(VLOOKUP(tbSellers[[#This Row],[Item]],tbShoppingList[],1,FALSE),"")&lt;&gt;"","Yes","")</f>
        <v/>
      </c>
      <c r="I337" s="4"/>
      <c r="J337" s="22"/>
    </row>
    <row r="338" spans="2:10" s="66" customFormat="1" ht="27.95" hidden="1" customHeight="1" x14ac:dyDescent="0.25">
      <c r="B338" s="66" t="str">
        <f>_xlfn.CONCAT(tbSellers[[#This Row],[Station]],tbSellers[[#This Row],[Item]])</f>
        <v>AstaixoPlatinum</v>
      </c>
      <c r="C338" s="8" t="s">
        <v>917</v>
      </c>
      <c r="D338" s="14" t="s">
        <v>18</v>
      </c>
      <c r="E338" s="7">
        <f>VLOOKUP(tbSellers[[#This Row],[Item]],tbMaterials[],4,FALSE)</f>
        <v>505</v>
      </c>
      <c r="F338" s="40">
        <v>2</v>
      </c>
      <c r="G338" s="47">
        <v>44031</v>
      </c>
      <c r="H338" s="70" t="str">
        <f>IF(_xlfn.IFNA(VLOOKUP(tbSellers[[#This Row],[Item]],tbShoppingList[],1,FALSE),"")&lt;&gt;"","Yes","")</f>
        <v/>
      </c>
      <c r="I338" s="4"/>
      <c r="J338" s="22"/>
    </row>
    <row r="339" spans="2:10" s="66" customFormat="1" ht="27.95" hidden="1" customHeight="1" x14ac:dyDescent="0.25">
      <c r="B339" s="66" t="str">
        <f>_xlfn.CONCAT(tbSellers[[#This Row],[Station]],tbSellers[[#This Row],[Item]])</f>
        <v>AstaixoTritium</v>
      </c>
      <c r="C339" s="8" t="s">
        <v>917</v>
      </c>
      <c r="D339" s="14" t="s">
        <v>25</v>
      </c>
      <c r="E339" s="7">
        <f>VLOOKUP(tbSellers[[#This Row],[Item]],tbMaterials[],4,FALSE)</f>
        <v>6</v>
      </c>
      <c r="F339" s="40">
        <v>2</v>
      </c>
      <c r="G339" s="47">
        <v>44031</v>
      </c>
      <c r="H339" s="70" t="str">
        <f>IF(_xlfn.IFNA(VLOOKUP(tbSellers[[#This Row],[Item]],tbShoppingList[],1,FALSE),"")&lt;&gt;"","Yes","")</f>
        <v>Yes</v>
      </c>
      <c r="I339" s="4"/>
      <c r="J339" s="22"/>
    </row>
    <row r="340" spans="2:10" s="2" customFormat="1" ht="27.95" hidden="1" customHeight="1" x14ac:dyDescent="0.25">
      <c r="B340" s="2" t="str">
        <f>_xlfn.CONCAT(tbSellers[[#This Row],[Station]],tbSellers[[#This Row],[Item]])</f>
        <v>Ubzhan-Reg V</v>
      </c>
      <c r="C340" s="2" t="s">
        <v>120</v>
      </c>
      <c r="D340" s="14"/>
      <c r="E340" s="7" t="e">
        <f>VLOOKUP(tbSellers[[#This Row],[Item]],tbMaterials[],4,FALSE)</f>
        <v>#N/A</v>
      </c>
      <c r="F340" s="40"/>
      <c r="G340" s="47"/>
      <c r="H340" s="70" t="str">
        <f>IF(_xlfn.IFNA(VLOOKUP(tbSellers[[#This Row],[Item]],tbShoppingList[],1,FALSE),"")&lt;&gt;"","Yes","")</f>
        <v/>
      </c>
      <c r="I340" s="4"/>
      <c r="J340" s="22"/>
    </row>
    <row r="341" spans="2:10" s="2" customFormat="1" ht="27.95" hidden="1" customHeight="1" x14ac:dyDescent="0.25">
      <c r="B341" s="2" t="str">
        <f>_xlfn.CONCAT(tbSellers[[#This Row],[Station]],tbSellers[[#This Row],[Item]])</f>
        <v>Urumqi XVOxygen</v>
      </c>
      <c r="C341" s="2" t="s">
        <v>116</v>
      </c>
      <c r="D341" s="14" t="s">
        <v>8</v>
      </c>
      <c r="E341" s="7">
        <f>VLOOKUP(tbSellers[[#This Row],[Item]],tbMaterials[],4,FALSE)</f>
        <v>34</v>
      </c>
      <c r="F341" s="40">
        <v>1</v>
      </c>
      <c r="G341" s="47">
        <v>44016</v>
      </c>
      <c r="H341" s="70" t="str">
        <f>IF(_xlfn.IFNA(VLOOKUP(tbSellers[[#This Row],[Item]],tbShoppingList[],1,FALSE),"")&lt;&gt;"","Yes","")</f>
        <v/>
      </c>
      <c r="I341" s="4"/>
      <c r="J341" s="22"/>
    </row>
    <row r="342" spans="2:10" s="2" customFormat="1" ht="27.95" hidden="1" customHeight="1" x14ac:dyDescent="0.25">
      <c r="B342" s="2" t="str">
        <f>_xlfn.CONCAT(tbSellers[[#This Row],[Station]],tbSellers[[#This Row],[Item]])</f>
        <v>WagormaGold</v>
      </c>
      <c r="C342" s="8" t="s">
        <v>115</v>
      </c>
      <c r="D342" s="14" t="s">
        <v>24</v>
      </c>
      <c r="E342" s="7">
        <f>VLOOKUP(tbSellers[[#This Row],[Item]],tbMaterials[],4,FALSE)</f>
        <v>353</v>
      </c>
      <c r="F342" s="40">
        <v>2</v>
      </c>
      <c r="G342" s="47">
        <v>44029</v>
      </c>
      <c r="H342" s="70" t="str">
        <f>IF(_xlfn.IFNA(VLOOKUP(tbSellers[[#This Row],[Item]],tbShoppingList[],1,FALSE),"")&lt;&gt;"","Yes","")</f>
        <v/>
      </c>
      <c r="I342" s="4"/>
      <c r="J342" s="22"/>
    </row>
    <row r="343" spans="2:10" s="2" customFormat="1" ht="27.95" hidden="1" customHeight="1" x14ac:dyDescent="0.25">
      <c r="B343" s="2" t="str">
        <f>_xlfn.CONCAT(tbSellers[[#This Row],[Station]],tbSellers[[#This Row],[Item]])</f>
        <v>XishuaiChlorine</v>
      </c>
      <c r="C343" s="2" t="s">
        <v>95</v>
      </c>
      <c r="D343" s="14" t="s">
        <v>83</v>
      </c>
      <c r="E343" s="7">
        <f>VLOOKUP(tbSellers[[#This Row],[Item]],tbMaterials[],4,FALSE)</f>
        <v>602</v>
      </c>
      <c r="F343" s="40">
        <v>2</v>
      </c>
      <c r="G343" s="47">
        <v>44029</v>
      </c>
      <c r="H343" s="70" t="str">
        <f>IF(_xlfn.IFNA(VLOOKUP(tbSellers[[#This Row],[Item]],tbShoppingList[],1,FALSE),"")&lt;&gt;"","Yes","")</f>
        <v/>
      </c>
      <c r="I343" s="4"/>
      <c r="J343" s="22"/>
    </row>
    <row r="344" spans="2:10" s="2" customFormat="1" ht="27.95" hidden="1" customHeight="1" x14ac:dyDescent="0.25">
      <c r="B344" s="2" t="str">
        <f>_xlfn.CONCAT(tbSellers[[#This Row],[Station]],tbSellers[[#This Row],[Item]])</f>
        <v>XishuanqOxygen</v>
      </c>
      <c r="C344" s="8" t="s">
        <v>98</v>
      </c>
      <c r="D344" s="14" t="s">
        <v>8</v>
      </c>
      <c r="E344" s="7">
        <f>VLOOKUP(tbSellers[[#This Row],[Item]],tbMaterials[],4,FALSE)</f>
        <v>34</v>
      </c>
      <c r="F344" s="40">
        <v>1</v>
      </c>
      <c r="G344" s="47">
        <v>44016</v>
      </c>
      <c r="H344" s="70" t="str">
        <f>IF(_xlfn.IFNA(VLOOKUP(tbSellers[[#This Row],[Item]],tbShoppingList[],1,FALSE),"")&lt;&gt;"","Yes","")</f>
        <v/>
      </c>
      <c r="I344" s="4"/>
      <c r="J344" s="22"/>
    </row>
    <row r="345" spans="2:10" s="2" customFormat="1" ht="27.95" hidden="1" customHeight="1" x14ac:dyDescent="0.25">
      <c r="B345" s="2" t="str">
        <f>_xlfn.CONCAT(tbSellers[[#This Row],[Station]],tbSellers[[#This Row],[Item]])</f>
        <v>Yedexi VIIUranium</v>
      </c>
      <c r="C345" s="8" t="s">
        <v>52</v>
      </c>
      <c r="D345" s="14" t="s">
        <v>57</v>
      </c>
      <c r="E345" s="7">
        <f>VLOOKUP(tbSellers[[#This Row],[Item]],tbMaterials[],4,FALSE)</f>
        <v>62</v>
      </c>
      <c r="F345" s="40">
        <v>2</v>
      </c>
      <c r="G345" s="47">
        <v>44029</v>
      </c>
      <c r="H345" s="70" t="str">
        <f>IF(_xlfn.IFNA(VLOOKUP(tbSellers[[#This Row],[Item]],tbShoppingList[],1,FALSE),"")&lt;&gt;"","Yes","")</f>
        <v/>
      </c>
      <c r="I345" s="4"/>
      <c r="J345" s="22"/>
    </row>
    <row r="346" spans="2:10" s="2" customFormat="1" ht="27.95" hidden="1" customHeight="1" x14ac:dyDescent="0.25">
      <c r="B346" s="2" t="str">
        <f>_xlfn.CONCAT(tbSellers[[#This Row],[Station]],tbSellers[[#This Row],[Item]])</f>
        <v>Yartan-AwkinSodium Nitrate</v>
      </c>
      <c r="C346" s="2" t="s">
        <v>326</v>
      </c>
      <c r="D346" s="14" t="s">
        <v>11</v>
      </c>
      <c r="E346" s="7">
        <f>VLOOKUP(tbSellers[[#This Row],[Item]],tbMaterials[],4,FALSE)</f>
        <v>82</v>
      </c>
      <c r="F346" s="40">
        <v>2</v>
      </c>
      <c r="G346" s="47">
        <v>44029</v>
      </c>
      <c r="H346" s="70" t="str">
        <f>IF(_xlfn.IFNA(VLOOKUP(tbSellers[[#This Row],[Item]],tbShoppingList[],1,FALSE),"")&lt;&gt;"","Yes","")</f>
        <v/>
      </c>
      <c r="I346" s="4"/>
      <c r="J346" s="22"/>
    </row>
    <row r="347" spans="2:10" s="2" customFormat="1" ht="27.95" hidden="1" customHeight="1" x14ac:dyDescent="0.25">
      <c r="B347" s="2" t="str">
        <f>_xlfn.CONCAT(tbSellers[[#This Row],[Station]],tbSellers[[#This Row],[Item]])</f>
        <v>Gepohalih IIISodium</v>
      </c>
      <c r="C347" s="2" t="s">
        <v>490</v>
      </c>
      <c r="D347" s="14" t="s">
        <v>9</v>
      </c>
      <c r="E347" s="7">
        <f>VLOOKUP(tbSellers[[#This Row],[Item]],tbMaterials[],4,FALSE)</f>
        <v>41</v>
      </c>
      <c r="F347" s="40">
        <v>1</v>
      </c>
      <c r="G347" s="47">
        <v>44029</v>
      </c>
      <c r="H347" s="70" t="str">
        <f>IF(_xlfn.IFNA(VLOOKUP(tbSellers[[#This Row],[Item]],tbShoppingList[],1,FALSE),"")&lt;&gt;"","Yes","")</f>
        <v/>
      </c>
      <c r="I347" s="4"/>
      <c r="J347" s="22"/>
    </row>
    <row r="348" spans="2:10" s="2" customFormat="1" ht="27.95" hidden="1" customHeight="1" x14ac:dyDescent="0.25">
      <c r="B348" s="2" t="str">
        <f>_xlfn.CONCAT(tbSellers[[#This Row],[Station]],tbSellers[[#This Row],[Item]])</f>
        <v>Iijinc XVOxygen</v>
      </c>
      <c r="C348" s="2" t="s">
        <v>456</v>
      </c>
      <c r="D348" s="14" t="s">
        <v>8</v>
      </c>
      <c r="E348" s="7">
        <f>VLOOKUP(tbSellers[[#This Row],[Item]],tbMaterials[],4,FALSE)</f>
        <v>34</v>
      </c>
      <c r="F348" s="40">
        <v>1</v>
      </c>
      <c r="G348" s="47">
        <v>44016</v>
      </c>
      <c r="H348" s="70" t="str">
        <f>IF(_xlfn.IFNA(VLOOKUP(tbSellers[[#This Row],[Item]],tbShoppingList[],1,FALSE),"")&lt;&gt;"","Yes","")</f>
        <v/>
      </c>
      <c r="I348" s="4"/>
      <c r="J348" s="22"/>
    </row>
    <row r="349" spans="2:10" s="2" customFormat="1" ht="27.95" hidden="1" customHeight="1" x14ac:dyDescent="0.25">
      <c r="B349" s="2" t="str">
        <f>_xlfn.CONCAT(tbSellers[[#This Row],[Station]],tbSellers[[#This Row],[Item]])</f>
        <v>Cuomul-TosFerrite Dust</v>
      </c>
      <c r="C349" s="2" t="s">
        <v>275</v>
      </c>
      <c r="D349" s="14" t="s">
        <v>12</v>
      </c>
      <c r="E349" s="7">
        <f>VLOOKUP(tbSellers[[#This Row],[Item]],tbMaterials[],4,FALSE)</f>
        <v>14</v>
      </c>
      <c r="F349" s="40">
        <v>1</v>
      </c>
      <c r="G349" s="47">
        <v>44030</v>
      </c>
      <c r="H349" s="70" t="str">
        <f>IF(_xlfn.IFNA(VLOOKUP(tbSellers[[#This Row],[Item]],tbShoppingList[],1,FALSE),"")&lt;&gt;"","Yes","")</f>
        <v/>
      </c>
      <c r="I349" s="4"/>
      <c r="J349" s="22"/>
    </row>
    <row r="350" spans="2:10" s="2" customFormat="1" ht="27.95" hidden="1" customHeight="1" x14ac:dyDescent="0.25">
      <c r="B350" s="2" t="str">
        <f>_xlfn.CONCAT(tbSellers[[#This Row],[Station]],tbSellers[[#This Row],[Item]])</f>
        <v>OqoideChromatic Metal</v>
      </c>
      <c r="C350" s="2" t="s">
        <v>114</v>
      </c>
      <c r="D350" s="14" t="s">
        <v>261</v>
      </c>
      <c r="E350" s="7">
        <f>VLOOKUP(tbSellers[[#This Row],[Item]],tbMaterials[],4,FALSE)</f>
        <v>245</v>
      </c>
      <c r="F350" s="40">
        <v>2</v>
      </c>
      <c r="G350" s="47">
        <v>44030</v>
      </c>
      <c r="H350" s="70" t="str">
        <f>IF(_xlfn.IFNA(VLOOKUP(tbSellers[[#This Row],[Item]],tbShoppingList[],1,FALSE),"")&lt;&gt;"","Yes","")</f>
        <v/>
      </c>
      <c r="I350" s="4"/>
      <c r="J350" s="22"/>
    </row>
    <row r="351" spans="2:10" s="2" customFormat="1" ht="27.95" hidden="1" customHeight="1" x14ac:dyDescent="0.25">
      <c r="B351" s="2" t="str">
        <f>_xlfn.CONCAT(tbSellers[[#This Row],[Station]],tbSellers[[#This Row],[Item]])</f>
        <v>AnxiexSalt</v>
      </c>
      <c r="C351" s="2" t="s">
        <v>248</v>
      </c>
      <c r="D351" s="14" t="s">
        <v>56</v>
      </c>
      <c r="E351" s="7">
        <f>VLOOKUP(tbSellers[[#This Row],[Item]],tbMaterials[],4,FALSE)</f>
        <v>299</v>
      </c>
      <c r="F351" s="40">
        <v>2</v>
      </c>
      <c r="G351" s="47">
        <v>44030</v>
      </c>
      <c r="H351" s="70" t="str">
        <f>IF(_xlfn.IFNA(VLOOKUP(tbSellers[[#This Row],[Item]],tbShoppingList[],1,FALSE),"")&lt;&gt;"","Yes","")</f>
        <v/>
      </c>
      <c r="I351" s="4"/>
      <c r="J351" s="22"/>
    </row>
    <row r="352" spans="2:10" s="2" customFormat="1" ht="27.95" hidden="1" customHeight="1" x14ac:dyDescent="0.25">
      <c r="B352" s="2" t="str">
        <f>_xlfn.CONCAT(tbSellers[[#This Row],[Station]],tbSellers[[#This Row],[Item]])</f>
        <v>NalangniOxygen</v>
      </c>
      <c r="C352" s="8" t="s">
        <v>79</v>
      </c>
      <c r="D352" s="14" t="s">
        <v>8</v>
      </c>
      <c r="E352" s="7">
        <f>VLOOKUP(tbSellers[[#This Row],[Item]],tbMaterials[],4,FALSE)</f>
        <v>34</v>
      </c>
      <c r="F352" s="40">
        <v>1</v>
      </c>
      <c r="G352" s="47">
        <v>44030</v>
      </c>
      <c r="H352" s="70" t="str">
        <f>IF(_xlfn.IFNA(VLOOKUP(tbSellers[[#This Row],[Item]],tbShoppingList[],1,FALSE),"")&lt;&gt;"","Yes","")</f>
        <v/>
      </c>
      <c r="I352" s="4"/>
      <c r="J352" s="22"/>
    </row>
    <row r="353" spans="2:10" s="2" customFormat="1" ht="27.95" hidden="1" customHeight="1" x14ac:dyDescent="0.25">
      <c r="B353" s="2" t="str">
        <f>_xlfn.CONCAT(tbSellers[[#This Row],[Station]],tbSellers[[#This Row],[Item]])</f>
        <v>EgarondoOxygen</v>
      </c>
      <c r="C353" s="8" t="s">
        <v>74</v>
      </c>
      <c r="D353" s="14" t="s">
        <v>8</v>
      </c>
      <c r="E353" s="7">
        <f>VLOOKUP(tbSellers[[#This Row],[Item]],tbMaterials[],4,FALSE)</f>
        <v>34</v>
      </c>
      <c r="F353" s="40">
        <v>1</v>
      </c>
      <c r="G353" s="47">
        <v>44016</v>
      </c>
      <c r="H353" s="70" t="str">
        <f>IF(_xlfn.IFNA(VLOOKUP(tbSellers[[#This Row],[Item]],tbShoppingList[],1,FALSE),"")&lt;&gt;"","Yes","")</f>
        <v/>
      </c>
      <c r="I353" s="4"/>
      <c r="J353" s="22"/>
    </row>
    <row r="354" spans="2:10" s="2" customFormat="1" ht="27.95" hidden="1" customHeight="1" x14ac:dyDescent="0.25">
      <c r="B354" s="2" t="str">
        <f>_xlfn.CONCAT(tbSellers[[#This Row],[Station]],tbSellers[[#This Row],[Item]])</f>
        <v>EeoocomaOxygen</v>
      </c>
      <c r="C354" s="2" t="s">
        <v>564</v>
      </c>
      <c r="D354" s="14" t="s">
        <v>8</v>
      </c>
      <c r="E354" s="7">
        <f>VLOOKUP(tbSellers[[#This Row],[Item]],tbMaterials[],4,FALSE)</f>
        <v>34</v>
      </c>
      <c r="F354" s="40">
        <v>1</v>
      </c>
      <c r="G354" s="47">
        <v>44016</v>
      </c>
      <c r="H354" s="70" t="str">
        <f>IF(_xlfn.IFNA(VLOOKUP(tbSellers[[#This Row],[Item]],tbShoppingList[],1,FALSE),"")&lt;&gt;"","Yes","")</f>
        <v/>
      </c>
      <c r="I354" s="4"/>
      <c r="J354" s="22"/>
    </row>
    <row r="355" spans="2:10" s="2" customFormat="1" ht="27.95" hidden="1" customHeight="1" x14ac:dyDescent="0.25">
      <c r="B355" s="2" t="str">
        <f>_xlfn.CONCAT(tbSellers[[#This Row],[Station]],tbSellers[[#This Row],[Item]])</f>
        <v>Arjorda-KugOxygen</v>
      </c>
      <c r="C355" s="8" t="s">
        <v>75</v>
      </c>
      <c r="D355" s="14" t="s">
        <v>8</v>
      </c>
      <c r="E355" s="7">
        <f>VLOOKUP(tbSellers[[#This Row],[Item]],tbMaterials[],4,FALSE)</f>
        <v>34</v>
      </c>
      <c r="F355" s="40">
        <v>1</v>
      </c>
      <c r="G355" s="47">
        <v>44018</v>
      </c>
      <c r="H355" s="70" t="str">
        <f>IF(_xlfn.IFNA(VLOOKUP(tbSellers[[#This Row],[Item]],tbShoppingList[],1,FALSE),"")&lt;&gt;"","Yes","")</f>
        <v/>
      </c>
      <c r="I355" s="4"/>
      <c r="J355" s="22"/>
    </row>
    <row r="356" spans="2:10" s="2" customFormat="1" ht="27.95" hidden="1" customHeight="1" x14ac:dyDescent="0.25">
      <c r="B356" s="2" t="str">
        <f>_xlfn.CONCAT(tbSellers[[#This Row],[Station]],tbSellers[[#This Row],[Item]])</f>
        <v>RidunxiOxygen</v>
      </c>
      <c r="C356" s="2" t="s">
        <v>573</v>
      </c>
      <c r="D356" s="14" t="s">
        <v>8</v>
      </c>
      <c r="E356" s="7">
        <f>VLOOKUP(tbSellers[[#This Row],[Item]],tbMaterials[],4,FALSE)</f>
        <v>34</v>
      </c>
      <c r="F356" s="40">
        <v>1</v>
      </c>
      <c r="G356" s="47">
        <v>44018</v>
      </c>
      <c r="H356" s="70" t="str">
        <f>IF(_xlfn.IFNA(VLOOKUP(tbSellers[[#This Row],[Item]],tbShoppingList[],1,FALSE),"")&lt;&gt;"","Yes","")</f>
        <v/>
      </c>
      <c r="I356" s="4"/>
      <c r="J356" s="22"/>
    </row>
    <row r="357" spans="2:10" s="2" customFormat="1" ht="27.95" hidden="1" customHeight="1" x14ac:dyDescent="0.25">
      <c r="B357" s="2" t="str">
        <f>_xlfn.CONCAT(tbSellers[[#This Row],[Station]],tbSellers[[#This Row],[Item]])</f>
        <v>YendonoChlorine</v>
      </c>
      <c r="C357" s="2" t="s">
        <v>575</v>
      </c>
      <c r="D357" s="14" t="s">
        <v>83</v>
      </c>
      <c r="E357" s="7">
        <f>VLOOKUP(tbSellers[[#This Row],[Item]],tbMaterials[],4,FALSE)</f>
        <v>602</v>
      </c>
      <c r="F357" s="40">
        <v>1</v>
      </c>
      <c r="G357" s="47">
        <v>44029</v>
      </c>
      <c r="H357" s="70" t="str">
        <f>IF(_xlfn.IFNA(VLOOKUP(tbSellers[[#This Row],[Item]],tbShoppingList[],1,FALSE),"")&lt;&gt;"","Yes","")</f>
        <v/>
      </c>
      <c r="I357" s="4"/>
      <c r="J357" s="22"/>
    </row>
    <row r="358" spans="2:10" s="2" customFormat="1" ht="27.95" hidden="1" customHeight="1" x14ac:dyDescent="0.25">
      <c r="B358" s="2" t="str">
        <f>_xlfn.CONCAT(tbSellers[[#This Row],[Station]],tbSellers[[#This Row],[Item]])</f>
        <v>Seruss-EdogaFerrite Dust</v>
      </c>
      <c r="C358" s="2" t="s">
        <v>577</v>
      </c>
      <c r="D358" s="14" t="s">
        <v>12</v>
      </c>
      <c r="E358" s="7">
        <f>VLOOKUP(tbSellers[[#This Row],[Item]],tbMaterials[],4,FALSE)</f>
        <v>14</v>
      </c>
      <c r="F358" s="40">
        <v>1</v>
      </c>
      <c r="G358" s="47">
        <v>44029</v>
      </c>
      <c r="H358" s="70" t="str">
        <f>IF(_xlfn.IFNA(VLOOKUP(tbSellers[[#This Row],[Item]],tbShoppingList[],1,FALSE),"")&lt;&gt;"","Yes","")</f>
        <v/>
      </c>
      <c r="I358" s="4"/>
      <c r="J358" s="22"/>
    </row>
    <row r="359" spans="2:10" s="2" customFormat="1" ht="27.95" hidden="1" customHeight="1" x14ac:dyDescent="0.25">
      <c r="B359" s="2" t="str">
        <f>_xlfn.CONCAT(tbSellers[[#This Row],[Station]],tbSellers[[#This Row],[Item]])</f>
        <v>Nuswick-PayeSilver</v>
      </c>
      <c r="C359" s="2" t="s">
        <v>579</v>
      </c>
      <c r="D359" s="14" t="s">
        <v>19</v>
      </c>
      <c r="E359" s="7">
        <f>VLOOKUP(tbSellers[[#This Row],[Item]],tbMaterials[],4,FALSE)</f>
        <v>186</v>
      </c>
      <c r="F359" s="40">
        <v>1</v>
      </c>
      <c r="G359" s="47">
        <v>44029</v>
      </c>
      <c r="H359" s="70" t="str">
        <f>IF(_xlfn.IFNA(VLOOKUP(tbSellers[[#This Row],[Item]],tbShoppingList[],1,FALSE),"")&lt;&gt;"","Yes","")</f>
        <v/>
      </c>
      <c r="I359" s="4"/>
      <c r="J359" s="22"/>
    </row>
    <row r="360" spans="2:10" s="2" customFormat="1" ht="27.95" hidden="1" customHeight="1" x14ac:dyDescent="0.25">
      <c r="B360" s="2" t="str">
        <f>_xlfn.CONCAT(tbSellers[[#This Row],[Station]],tbSellers[[#This Row],[Item]])</f>
        <v>EwiscunOxygen</v>
      </c>
      <c r="C360" s="2" t="s">
        <v>607</v>
      </c>
      <c r="D360" s="14" t="s">
        <v>8</v>
      </c>
      <c r="E360" s="7">
        <f>VLOOKUP(tbSellers[[#This Row],[Item]],tbMaterials[],4,FALSE)</f>
        <v>34</v>
      </c>
      <c r="F360" s="40">
        <v>1</v>
      </c>
      <c r="G360" s="47">
        <v>44016</v>
      </c>
      <c r="H360" s="70" t="str">
        <f>IF(_xlfn.IFNA(VLOOKUP(tbSellers[[#This Row],[Item]],tbShoppingList[],1,FALSE),"")&lt;&gt;"","Yes","")</f>
        <v/>
      </c>
      <c r="I360" s="4"/>
      <c r="J360" s="22"/>
    </row>
    <row r="361" spans="2:10" s="2" customFormat="1" ht="27.95" hidden="1" customHeight="1" x14ac:dyDescent="0.25">
      <c r="B361" s="2" t="str">
        <f>_xlfn.CONCAT(tbSellers[[#This Row],[Station]],tbSellers[[#This Row],[Item]])</f>
        <v>DohoeniaChlorine</v>
      </c>
      <c r="C361" s="2" t="s">
        <v>608</v>
      </c>
      <c r="D361" s="14" t="s">
        <v>83</v>
      </c>
      <c r="E361" s="7">
        <f>VLOOKUP(tbSellers[[#This Row],[Item]],tbMaterials[],4,FALSE)</f>
        <v>602</v>
      </c>
      <c r="F361" s="40">
        <v>2</v>
      </c>
      <c r="G361" s="47">
        <v>44029</v>
      </c>
      <c r="H361" s="70" t="str">
        <f>IF(_xlfn.IFNA(VLOOKUP(tbSellers[[#This Row],[Item]],tbShoppingList[],1,FALSE),"")&lt;&gt;"","Yes","")</f>
        <v/>
      </c>
      <c r="I361" s="4"/>
      <c r="J361" s="22"/>
    </row>
    <row r="362" spans="2:10" s="2" customFormat="1" ht="27.95" hidden="1" customHeight="1" x14ac:dyDescent="0.25">
      <c r="B362" s="2" t="str">
        <f>_xlfn.CONCAT(tbSellers[[#This Row],[Station]],tbSellers[[#This Row],[Item]])</f>
        <v>Nicleve-EnskAmmonia</v>
      </c>
      <c r="C362" s="2" t="s">
        <v>654</v>
      </c>
      <c r="D362" s="14" t="s">
        <v>84</v>
      </c>
      <c r="E362" s="7">
        <f>VLOOKUP(tbSellers[[#This Row],[Item]],tbMaterials[],4,FALSE)</f>
        <v>62</v>
      </c>
      <c r="F362" s="40">
        <v>2</v>
      </c>
      <c r="G362" s="47">
        <v>44030</v>
      </c>
      <c r="H362" s="70" t="str">
        <f>IF(_xlfn.IFNA(VLOOKUP(tbSellers[[#This Row],[Item]],tbShoppingList[],1,FALSE),"")&lt;&gt;"","Yes","")</f>
        <v/>
      </c>
      <c r="I362" s="4"/>
      <c r="J362" s="22"/>
    </row>
    <row r="363" spans="2:10" s="2" customFormat="1" ht="27.95" hidden="1" customHeight="1" x14ac:dyDescent="0.25">
      <c r="B363" s="2" t="str">
        <f>_xlfn.CONCAT(tbSellers[[#This Row],[Station]],tbSellers[[#This Row],[Item]])</f>
        <v>HadzananOxygen</v>
      </c>
      <c r="C363" s="2" t="s">
        <v>731</v>
      </c>
      <c r="D363" s="14" t="s">
        <v>8</v>
      </c>
      <c r="E363" s="7">
        <f>VLOOKUP(tbSellers[[#This Row],[Item]],tbMaterials[],4,FALSE)</f>
        <v>34</v>
      </c>
      <c r="F363" s="40">
        <v>1</v>
      </c>
      <c r="G363" s="47"/>
      <c r="H363" s="70" t="str">
        <f>IF(_xlfn.IFNA(VLOOKUP(tbSellers[[#This Row],[Item]],tbShoppingList[],1,FALSE),"")&lt;&gt;"","Yes","")</f>
        <v/>
      </c>
      <c r="I363" s="4"/>
      <c r="J363" s="22"/>
    </row>
    <row r="364" spans="2:10" s="2" customFormat="1" ht="27.95" hidden="1" customHeight="1" x14ac:dyDescent="0.25">
      <c r="B364" s="2" t="str">
        <f>_xlfn.CONCAT(tbSellers[[#This Row],[Station]],tbSellers[[#This Row],[Item]])</f>
        <v>Gepohalih IIIOxygen</v>
      </c>
      <c r="C364" s="2" t="s">
        <v>490</v>
      </c>
      <c r="D364" s="14" t="s">
        <v>8</v>
      </c>
      <c r="E364" s="7">
        <f>VLOOKUP(tbSellers[[#This Row],[Item]],tbMaterials[],4,FALSE)</f>
        <v>34</v>
      </c>
      <c r="F364" s="40">
        <v>1</v>
      </c>
      <c r="G364" s="47">
        <v>44029</v>
      </c>
      <c r="H364" s="70" t="str">
        <f>IF(_xlfn.IFNA(VLOOKUP(tbSellers[[#This Row],[Item]],tbShoppingList[],1,FALSE),"")&lt;&gt;"","Yes","")</f>
        <v/>
      </c>
      <c r="I364" s="4"/>
      <c r="J364" s="22"/>
    </row>
    <row r="365" spans="2:10" s="2" customFormat="1" ht="27.95" hidden="1" customHeight="1" x14ac:dyDescent="0.25">
      <c r="B365" s="2" t="str">
        <f>_xlfn.CONCAT(tbSellers[[#This Row],[Station]],tbSellers[[#This Row],[Item]])</f>
        <v>Iijinc XVPure Ferrite</v>
      </c>
      <c r="C365" s="2" t="s">
        <v>456</v>
      </c>
      <c r="D365" s="14" t="s">
        <v>266</v>
      </c>
      <c r="E365" s="7">
        <f>VLOOKUP(tbSellers[[#This Row],[Item]],tbMaterials[],4,FALSE)</f>
        <v>28</v>
      </c>
      <c r="F365" s="40">
        <v>2</v>
      </c>
      <c r="G365" s="47"/>
      <c r="H365" s="70" t="str">
        <f>IF(_xlfn.IFNA(VLOOKUP(tbSellers[[#This Row],[Item]],tbShoppingList[],1,FALSE),"")&lt;&gt;"","Yes","")</f>
        <v/>
      </c>
      <c r="I365" s="4"/>
      <c r="J365" s="22"/>
    </row>
    <row r="366" spans="2:10" s="2" customFormat="1" ht="27.95" hidden="1" customHeight="1" x14ac:dyDescent="0.25">
      <c r="B366" s="2" t="str">
        <f>_xlfn.CONCAT(tbSellers[[#This Row],[Station]],tbSellers[[#This Row],[Item]])</f>
        <v>Helkarsh VPure Ferrite</v>
      </c>
      <c r="C366" s="2" t="s">
        <v>272</v>
      </c>
      <c r="D366" s="14" t="s">
        <v>266</v>
      </c>
      <c r="E366" s="7">
        <f>VLOOKUP(tbSellers[[#This Row],[Item]],tbMaterials[],4,FALSE)</f>
        <v>28</v>
      </c>
      <c r="F366" s="40">
        <v>1</v>
      </c>
      <c r="G366" s="47">
        <v>44016</v>
      </c>
      <c r="H366" s="70" t="str">
        <f>IF(_xlfn.IFNA(VLOOKUP(tbSellers[[#This Row],[Item]],tbShoppingList[],1,FALSE),"")&lt;&gt;"","Yes","")</f>
        <v/>
      </c>
      <c r="I366" s="4"/>
      <c r="J366" s="22"/>
    </row>
    <row r="367" spans="2:10" s="2" customFormat="1" ht="27.95" hidden="1" customHeight="1" x14ac:dyDescent="0.25">
      <c r="B367" s="2" t="str">
        <f>_xlfn.CONCAT(tbSellers[[#This Row],[Station]],tbSellers[[#This Row],[Item]])</f>
        <v>Kiheensbo XVIIAmmonia</v>
      </c>
      <c r="C367" s="2" t="s">
        <v>254</v>
      </c>
      <c r="D367" s="14" t="s">
        <v>84</v>
      </c>
      <c r="E367" s="7">
        <f>VLOOKUP(tbSellers[[#This Row],[Item]],tbMaterials[],4,FALSE)</f>
        <v>62</v>
      </c>
      <c r="F367" s="40">
        <v>1</v>
      </c>
      <c r="G367" s="47">
        <v>44029</v>
      </c>
      <c r="H367" s="70" t="str">
        <f>IF(_xlfn.IFNA(VLOOKUP(tbSellers[[#This Row],[Item]],tbShoppingList[],1,FALSE),"")&lt;&gt;"","Yes","")</f>
        <v/>
      </c>
      <c r="I367" s="4"/>
      <c r="J367" s="22"/>
    </row>
    <row r="368" spans="2:10" s="2" customFormat="1" ht="27.95" hidden="1" customHeight="1" x14ac:dyDescent="0.25">
      <c r="B368" s="2" t="str">
        <f>_xlfn.CONCAT(tbSellers[[#This Row],[Station]],tbSellers[[#This Row],[Item]])</f>
        <v>SeogwipPure Ferrite</v>
      </c>
      <c r="C368" s="8" t="s">
        <v>239</v>
      </c>
      <c r="D368" s="14" t="s">
        <v>266</v>
      </c>
      <c r="E368" s="7">
        <f>VLOOKUP(tbSellers[[#This Row],[Item]],tbMaterials[],4,FALSE)</f>
        <v>28</v>
      </c>
      <c r="F368" s="40">
        <v>1</v>
      </c>
      <c r="G368" s="47">
        <v>44018</v>
      </c>
      <c r="H368" s="70" t="str">
        <f>IF(_xlfn.IFNA(VLOOKUP(tbSellers[[#This Row],[Item]],tbShoppingList[],1,FALSE),"")&lt;&gt;"","Yes","")</f>
        <v/>
      </c>
      <c r="I368" s="4"/>
      <c r="J368" s="22"/>
    </row>
    <row r="369" spans="2:10" s="2" customFormat="1" ht="27.95" hidden="1" customHeight="1" x14ac:dyDescent="0.25">
      <c r="B369" s="2" t="str">
        <f>_xlfn.CONCAT(tbSellers[[#This Row],[Station]],tbSellers[[#This Row],[Item]])</f>
        <v>NalangniFerrite Dust</v>
      </c>
      <c r="C369" s="8" t="s">
        <v>79</v>
      </c>
      <c r="D369" s="14" t="s">
        <v>12</v>
      </c>
      <c r="E369" s="7">
        <f>VLOOKUP(tbSellers[[#This Row],[Item]],tbMaterials[],4,FALSE)</f>
        <v>14</v>
      </c>
      <c r="F369" s="40">
        <v>1</v>
      </c>
      <c r="G369" s="47">
        <v>44030</v>
      </c>
      <c r="H369" s="70" t="str">
        <f>IF(_xlfn.IFNA(VLOOKUP(tbSellers[[#This Row],[Item]],tbShoppingList[],1,FALSE),"")&lt;&gt;"","Yes","")</f>
        <v/>
      </c>
      <c r="I369" s="4"/>
      <c r="J369" s="22"/>
    </row>
    <row r="370" spans="2:10" s="2" customFormat="1" ht="27.95" hidden="1" customHeight="1" x14ac:dyDescent="0.25">
      <c r="B370" s="2" t="str">
        <f>_xlfn.CONCAT(tbSellers[[#This Row],[Station]],tbSellers[[#This Row],[Item]])</f>
        <v>WagormaUranium</v>
      </c>
      <c r="C370" s="8" t="s">
        <v>115</v>
      </c>
      <c r="D370" s="14" t="s">
        <v>57</v>
      </c>
      <c r="E370" s="7">
        <f>VLOOKUP(tbSellers[[#This Row],[Item]],tbMaterials[],4,FALSE)</f>
        <v>62</v>
      </c>
      <c r="F370" s="40">
        <v>2</v>
      </c>
      <c r="G370" s="47">
        <v>44029</v>
      </c>
      <c r="H370" s="70" t="str">
        <f>IF(_xlfn.IFNA(VLOOKUP(tbSellers[[#This Row],[Item]],tbShoppingList[],1,FALSE),"")&lt;&gt;"","Yes","")</f>
        <v/>
      </c>
      <c r="I370" s="4"/>
      <c r="J370" s="22"/>
    </row>
    <row r="371" spans="2:10" s="2" customFormat="1" ht="27.95" hidden="1" customHeight="1" x14ac:dyDescent="0.25">
      <c r="B371" s="2" t="str">
        <f>_xlfn.CONCAT(tbSellers[[#This Row],[Station]],tbSellers[[#This Row],[Item]])</f>
        <v>EeoocomaPure Ferrite</v>
      </c>
      <c r="C371" s="2" t="s">
        <v>564</v>
      </c>
      <c r="D371" s="14" t="s">
        <v>266</v>
      </c>
      <c r="E371" s="7">
        <f>VLOOKUP(tbSellers[[#This Row],[Item]],tbMaterials[],4,FALSE)</f>
        <v>28</v>
      </c>
      <c r="F371" s="40">
        <v>2</v>
      </c>
      <c r="G371" s="47"/>
      <c r="H371" s="70" t="str">
        <f>IF(_xlfn.IFNA(VLOOKUP(tbSellers[[#This Row],[Item]],tbShoppingList[],1,FALSE),"")&lt;&gt;"","Yes","")</f>
        <v/>
      </c>
      <c r="I371" s="4"/>
      <c r="J371" s="22"/>
    </row>
    <row r="372" spans="2:10" s="2" customFormat="1" ht="27.95" hidden="1" customHeight="1" x14ac:dyDescent="0.25">
      <c r="B372" s="2" t="str">
        <f>_xlfn.CONCAT(tbSellers[[#This Row],[Station]],tbSellers[[#This Row],[Item]])</f>
        <v>Arjorda-KugPure Ferrite</v>
      </c>
      <c r="C372" s="8" t="s">
        <v>75</v>
      </c>
      <c r="D372" s="14" t="s">
        <v>266</v>
      </c>
      <c r="E372" s="7">
        <f>VLOOKUP(tbSellers[[#This Row],[Item]],tbMaterials[],4,FALSE)</f>
        <v>28</v>
      </c>
      <c r="F372" s="40">
        <v>2</v>
      </c>
      <c r="G372" s="47">
        <v>44018</v>
      </c>
      <c r="H372" s="70" t="str">
        <f>IF(_xlfn.IFNA(VLOOKUP(tbSellers[[#This Row],[Item]],tbShoppingList[],1,FALSE),"")&lt;&gt;"","Yes","")</f>
        <v/>
      </c>
      <c r="I372" s="4"/>
      <c r="J372" s="22"/>
    </row>
    <row r="373" spans="2:10" s="2" customFormat="1" ht="27.95" hidden="1" customHeight="1" x14ac:dyDescent="0.25">
      <c r="B373" s="2" t="str">
        <f>_xlfn.CONCAT(tbSellers[[#This Row],[Station]],tbSellers[[#This Row],[Item]])</f>
        <v>Ancity-NiyhTritium</v>
      </c>
      <c r="C373" s="8" t="s">
        <v>78</v>
      </c>
      <c r="D373" s="14" t="s">
        <v>25</v>
      </c>
      <c r="E373" s="7">
        <f>VLOOKUP(tbSellers[[#This Row],[Item]],tbMaterials[],4,FALSE)</f>
        <v>6</v>
      </c>
      <c r="F373" s="40">
        <v>2</v>
      </c>
      <c r="G373" s="47">
        <v>44030</v>
      </c>
      <c r="H373" s="70" t="str">
        <f>IF(_xlfn.IFNA(VLOOKUP(tbSellers[[#This Row],[Item]],tbShoppingList[],1,FALSE),"")&lt;&gt;"","Yes","")</f>
        <v>Yes</v>
      </c>
      <c r="I373" s="4"/>
      <c r="J373" s="22"/>
    </row>
    <row r="374" spans="2:10" s="2" customFormat="1" ht="27.95" hidden="1" customHeight="1" x14ac:dyDescent="0.25">
      <c r="B374" s="2" t="str">
        <f>_xlfn.CONCAT(tbSellers[[#This Row],[Station]],tbSellers[[#This Row],[Item]])</f>
        <v>RidunxiPure Ferrite</v>
      </c>
      <c r="C374" s="2" t="s">
        <v>573</v>
      </c>
      <c r="D374" s="14" t="s">
        <v>266</v>
      </c>
      <c r="E374" s="7">
        <f>VLOOKUP(tbSellers[[#This Row],[Item]],tbMaterials[],4,FALSE)</f>
        <v>28</v>
      </c>
      <c r="F374" s="40">
        <v>2</v>
      </c>
      <c r="G374" s="47"/>
      <c r="H374" s="70" t="str">
        <f>IF(_xlfn.IFNA(VLOOKUP(tbSellers[[#This Row],[Item]],tbShoppingList[],1,FALSE),"")&lt;&gt;"","Yes","")</f>
        <v/>
      </c>
      <c r="I374" s="4"/>
      <c r="J374" s="22"/>
    </row>
    <row r="375" spans="2:10" s="2" customFormat="1" ht="27.95" hidden="1" customHeight="1" x14ac:dyDescent="0.25">
      <c r="B375" s="2" t="str">
        <f>_xlfn.CONCAT(tbSellers[[#This Row],[Station]],tbSellers[[#This Row],[Item]])</f>
        <v>YendonoChromatic Metal</v>
      </c>
      <c r="C375" s="2" t="s">
        <v>575</v>
      </c>
      <c r="D375" s="14" t="s">
        <v>261</v>
      </c>
      <c r="E375" s="7">
        <f>VLOOKUP(tbSellers[[#This Row],[Item]],tbMaterials[],4,FALSE)</f>
        <v>245</v>
      </c>
      <c r="F375" s="40">
        <v>2</v>
      </c>
      <c r="G375" s="47">
        <v>44029</v>
      </c>
      <c r="H375" s="70" t="str">
        <f>IF(_xlfn.IFNA(VLOOKUP(tbSellers[[#This Row],[Item]],tbShoppingList[],1,FALSE),"")&lt;&gt;"","Yes","")</f>
        <v/>
      </c>
      <c r="I375" s="4"/>
      <c r="J375" s="22"/>
    </row>
    <row r="376" spans="2:10" s="2" customFormat="1" ht="27.95" hidden="1" customHeight="1" x14ac:dyDescent="0.25">
      <c r="B376" s="2" t="str">
        <f>_xlfn.CONCAT(tbSellers[[#This Row],[Station]],tbSellers[[#This Row],[Item]])</f>
        <v>Nuswick-PayeCobalt</v>
      </c>
      <c r="C376" s="2" t="s">
        <v>579</v>
      </c>
      <c r="D376" s="14" t="s">
        <v>6</v>
      </c>
      <c r="E376" s="7">
        <f>VLOOKUP(tbSellers[[#This Row],[Item]],tbMaterials[],4,FALSE)</f>
        <v>198</v>
      </c>
      <c r="F376" s="40">
        <v>1</v>
      </c>
      <c r="G376" s="47">
        <v>44029</v>
      </c>
      <c r="H376" s="70" t="str">
        <f>IF(_xlfn.IFNA(VLOOKUP(tbSellers[[#This Row],[Item]],tbShoppingList[],1,FALSE),"")&lt;&gt;"","Yes","")</f>
        <v/>
      </c>
      <c r="I376" s="4"/>
      <c r="J376" s="22"/>
    </row>
    <row r="377" spans="2:10" s="2" customFormat="1" ht="27.95" hidden="1" customHeight="1" x14ac:dyDescent="0.25">
      <c r="B377" s="2" t="str">
        <f>_xlfn.CONCAT(tbSellers[[#This Row],[Station]],tbSellers[[#This Row],[Item]])</f>
        <v>OdaleroPure Ferrite</v>
      </c>
      <c r="C377" s="2" t="s">
        <v>604</v>
      </c>
      <c r="D377" s="14" t="s">
        <v>266</v>
      </c>
      <c r="E377" s="7">
        <f>VLOOKUP(tbSellers[[#This Row],[Item]],tbMaterials[],4,FALSE)</f>
        <v>28</v>
      </c>
      <c r="F377" s="40">
        <v>2</v>
      </c>
      <c r="G377" s="47">
        <v>44030</v>
      </c>
      <c r="H377" s="70" t="str">
        <f>IF(_xlfn.IFNA(VLOOKUP(tbSellers[[#This Row],[Item]],tbShoppingList[],1,FALSE),"")&lt;&gt;"","Yes","")</f>
        <v/>
      </c>
      <c r="I377" s="4"/>
      <c r="J377" s="22"/>
    </row>
    <row r="378" spans="2:10" s="66" customFormat="1" ht="27.95" hidden="1" customHeight="1" x14ac:dyDescent="0.25">
      <c r="B378" s="66" t="str">
        <f>_xlfn.CONCAT(tbSellers[[#This Row],[Station]],tbSellers[[#This Row],[Item]])</f>
        <v>Ludonoss IVChlorine</v>
      </c>
      <c r="C378" s="66" t="s">
        <v>788</v>
      </c>
      <c r="D378" s="14" t="s">
        <v>83</v>
      </c>
      <c r="E378" s="7">
        <f>VLOOKUP(tbSellers[[#This Row],[Item]],tbMaterials[],4,FALSE)</f>
        <v>602</v>
      </c>
      <c r="F378" s="40">
        <v>1</v>
      </c>
      <c r="G378" s="47">
        <v>44020</v>
      </c>
      <c r="H378" s="70" t="str">
        <f>IF(_xlfn.IFNA(VLOOKUP(tbSellers[[#This Row],[Item]],tbShoppingList[],1,FALSE),"")&lt;&gt;"","Yes","")</f>
        <v/>
      </c>
      <c r="I378" s="4"/>
      <c r="J378" s="22"/>
    </row>
    <row r="379" spans="2:10" s="2" customFormat="1" ht="27.95" hidden="1" customHeight="1" x14ac:dyDescent="0.25">
      <c r="B379" s="2" t="str">
        <f>_xlfn.CONCAT(tbSellers[[#This Row],[Station]],tbSellers[[#This Row],[Item]])</f>
        <v>AxinweFerrite Dust</v>
      </c>
      <c r="C379" s="8" t="s">
        <v>771</v>
      </c>
      <c r="D379" s="14" t="s">
        <v>12</v>
      </c>
      <c r="E379" s="7">
        <f>VLOOKUP(tbSellers[[#This Row],[Item]],tbMaterials[],4,FALSE)</f>
        <v>14</v>
      </c>
      <c r="F379" s="40">
        <v>1</v>
      </c>
      <c r="G379" s="47"/>
      <c r="H379" s="70" t="str">
        <f>IF(_xlfn.IFNA(VLOOKUP(tbSellers[[#This Row],[Item]],tbShoppingList[],1,FALSE),"")&lt;&gt;"","Yes","")</f>
        <v/>
      </c>
      <c r="I379" s="4"/>
      <c r="J379" s="22"/>
    </row>
    <row r="380" spans="2:10" s="2" customFormat="1" ht="27.95" hidden="1" customHeight="1" x14ac:dyDescent="0.25">
      <c r="B380" s="2" t="str">
        <f>_xlfn.CONCAT(tbSellers[[#This Row],[Station]],tbSellers[[#This Row],[Item]])</f>
        <v>Tijoriesth XIVFerrite Dust</v>
      </c>
      <c r="C380" s="2" t="s">
        <v>698</v>
      </c>
      <c r="D380" s="14" t="s">
        <v>12</v>
      </c>
      <c r="E380" s="7">
        <f>VLOOKUP(tbSellers[[#This Row],[Item]],tbMaterials[],4,FALSE)</f>
        <v>14</v>
      </c>
      <c r="F380" s="40">
        <v>1</v>
      </c>
      <c r="G380" s="47">
        <v>44029</v>
      </c>
      <c r="H380" s="70" t="str">
        <f>IF(_xlfn.IFNA(VLOOKUP(tbSellers[[#This Row],[Item]],tbShoppingList[],1,FALSE),"")&lt;&gt;"","Yes","")</f>
        <v/>
      </c>
      <c r="I380" s="4"/>
      <c r="J380" s="22"/>
    </row>
    <row r="381" spans="2:10" s="2" customFormat="1" ht="27.95" hidden="1" customHeight="1" x14ac:dyDescent="0.25">
      <c r="B381" s="2" t="str">
        <f>_xlfn.CONCAT(tbSellers[[#This Row],[Station]],tbSellers[[#This Row],[Item]])</f>
        <v>HadzananFerrite Dust</v>
      </c>
      <c r="C381" s="2" t="s">
        <v>731</v>
      </c>
      <c r="D381" s="14" t="s">
        <v>12</v>
      </c>
      <c r="E381" s="7">
        <f>VLOOKUP(tbSellers[[#This Row],[Item]],tbMaterials[],4,FALSE)</f>
        <v>14</v>
      </c>
      <c r="F381" s="40">
        <v>1</v>
      </c>
      <c r="G381" s="47"/>
      <c r="H381" s="70" t="str">
        <f>IF(_xlfn.IFNA(VLOOKUP(tbSellers[[#This Row],[Item]],tbShoppingList[],1,FALSE),"")&lt;&gt;"","Yes","")</f>
        <v/>
      </c>
      <c r="I381" s="4"/>
      <c r="J381" s="22"/>
    </row>
    <row r="382" spans="2:10" s="2" customFormat="1" ht="27.95" hidden="1" customHeight="1" x14ac:dyDescent="0.25">
      <c r="B382" s="2" t="str">
        <f>_xlfn.CONCAT(tbSellers[[#This Row],[Station]],tbSellers[[#This Row],[Item]])</f>
        <v>AlhaimFerrite Dust</v>
      </c>
      <c r="C382" s="2" t="s">
        <v>270</v>
      </c>
      <c r="D382" s="14" t="s">
        <v>12</v>
      </c>
      <c r="E382" s="7">
        <f>VLOOKUP(tbSellers[[#This Row],[Item]],tbMaterials[],4,FALSE)</f>
        <v>14</v>
      </c>
      <c r="F382" s="40">
        <v>1</v>
      </c>
      <c r="G382" s="47">
        <v>44016</v>
      </c>
      <c r="H382" s="70" t="str">
        <f>IF(_xlfn.IFNA(VLOOKUP(tbSellers[[#This Row],[Item]],tbShoppingList[],1,FALSE),"")&lt;&gt;"","Yes","")</f>
        <v/>
      </c>
      <c r="I382" s="4"/>
      <c r="J382" s="22"/>
    </row>
    <row r="383" spans="2:10" s="2" customFormat="1" ht="27.95" hidden="1" customHeight="1" x14ac:dyDescent="0.25">
      <c r="B383" s="2" t="str">
        <f>_xlfn.CONCAT(tbSellers[[#This Row],[Station]],tbSellers[[#This Row],[Item]])</f>
        <v>Ancity-NiyhMagnetised Ferrite</v>
      </c>
      <c r="C383" s="8" t="s">
        <v>78</v>
      </c>
      <c r="D383" s="14" t="s">
        <v>246</v>
      </c>
      <c r="E383" s="7">
        <f>VLOOKUP(tbSellers[[#This Row],[Item]],tbMaterials[],4,FALSE)</f>
        <v>82</v>
      </c>
      <c r="F383" s="40">
        <v>2</v>
      </c>
      <c r="G383" s="47">
        <v>44030</v>
      </c>
      <c r="H383" s="70" t="str">
        <f>IF(_xlfn.IFNA(VLOOKUP(tbSellers[[#This Row],[Item]],tbShoppingList[],1,FALSE),"")&lt;&gt;"","Yes","")</f>
        <v/>
      </c>
      <c r="I383" s="4"/>
      <c r="J383" s="22"/>
    </row>
    <row r="384" spans="2:10" s="2" customFormat="1" ht="27.95" hidden="1" customHeight="1" x14ac:dyDescent="0.25">
      <c r="B384" s="2" t="str">
        <f>_xlfn.CONCAT(tbSellers[[#This Row],[Station]],tbSellers[[#This Row],[Item]])</f>
        <v>Helkarsh VFerrite Dust</v>
      </c>
      <c r="C384" s="2" t="s">
        <v>272</v>
      </c>
      <c r="D384" s="14" t="s">
        <v>12</v>
      </c>
      <c r="E384" s="7">
        <f>VLOOKUP(tbSellers[[#This Row],[Item]],tbMaterials[],4,FALSE)</f>
        <v>14</v>
      </c>
      <c r="F384" s="40">
        <v>1</v>
      </c>
      <c r="G384" s="47"/>
      <c r="H384" s="70" t="str">
        <f>IF(_xlfn.IFNA(VLOOKUP(tbSellers[[#This Row],[Item]],tbShoppingList[],1,FALSE),"")&lt;&gt;"","Yes","")</f>
        <v/>
      </c>
      <c r="I384" s="4"/>
      <c r="J384" s="22"/>
    </row>
    <row r="385" spans="2:10" s="2" customFormat="1" ht="27.95" hidden="1" customHeight="1" x14ac:dyDescent="0.25">
      <c r="B385" s="2" t="str">
        <f>_xlfn.CONCAT(tbSellers[[#This Row],[Station]],tbSellers[[#This Row],[Item]])</f>
        <v>Kiheensbo XVIIChlorine</v>
      </c>
      <c r="C385" s="2" t="s">
        <v>254</v>
      </c>
      <c r="D385" s="14" t="s">
        <v>83</v>
      </c>
      <c r="E385" s="7">
        <f>VLOOKUP(tbSellers[[#This Row],[Item]],tbMaterials[],4,FALSE)</f>
        <v>602</v>
      </c>
      <c r="F385" s="40">
        <v>2</v>
      </c>
      <c r="G385" s="47">
        <v>44029</v>
      </c>
      <c r="H385" s="70" t="str">
        <f>IF(_xlfn.IFNA(VLOOKUP(tbSellers[[#This Row],[Item]],tbShoppingList[],1,FALSE),"")&lt;&gt;"","Yes","")</f>
        <v/>
      </c>
      <c r="I385" s="4"/>
      <c r="J385" s="22"/>
    </row>
    <row r="386" spans="2:10" s="2" customFormat="1" ht="27.95" hidden="1" customHeight="1" x14ac:dyDescent="0.25">
      <c r="B386" s="2" t="str">
        <f>_xlfn.CONCAT(tbSellers[[#This Row],[Station]],tbSellers[[#This Row],[Item]])</f>
        <v>Nancangz XVTritium</v>
      </c>
      <c r="C386" s="8" t="s">
        <v>54</v>
      </c>
      <c r="D386" s="14" t="s">
        <v>25</v>
      </c>
      <c r="E386" s="7">
        <f>VLOOKUP(tbSellers[[#This Row],[Item]],tbMaterials[],4,FALSE)</f>
        <v>6</v>
      </c>
      <c r="F386" s="40">
        <v>2</v>
      </c>
      <c r="G386" s="47">
        <v>44030</v>
      </c>
      <c r="H386" s="70" t="str">
        <f>IF(_xlfn.IFNA(VLOOKUP(tbSellers[[#This Row],[Item]],tbShoppingList[],1,FALSE),"")&lt;&gt;"","Yes","")</f>
        <v>Yes</v>
      </c>
      <c r="I386" s="4"/>
      <c r="J386" s="22"/>
    </row>
    <row r="387" spans="2:10" s="2" customFormat="1" ht="27.95" hidden="1" customHeight="1" x14ac:dyDescent="0.25">
      <c r="B387" s="2" t="str">
        <f>_xlfn.CONCAT(tbSellers[[#This Row],[Station]],tbSellers[[#This Row],[Item]])</f>
        <v>NokungbSalt</v>
      </c>
      <c r="C387" s="2" t="s">
        <v>271</v>
      </c>
      <c r="D387" s="14" t="s">
        <v>56</v>
      </c>
      <c r="E387" s="7">
        <f>VLOOKUP(tbSellers[[#This Row],[Item]],tbMaterials[],4,FALSE)</f>
        <v>299</v>
      </c>
      <c r="F387" s="40">
        <v>2</v>
      </c>
      <c r="G387" s="47">
        <v>44029</v>
      </c>
      <c r="H387" s="70" t="str">
        <f>IF(_xlfn.IFNA(VLOOKUP(tbSellers[[#This Row],[Item]],tbShoppingList[],1,FALSE),"")&lt;&gt;"","Yes","")</f>
        <v/>
      </c>
      <c r="I387" s="4"/>
      <c r="J387" s="22"/>
    </row>
    <row r="388" spans="2:10" s="2" customFormat="1" ht="27.95" hidden="1" customHeight="1" x14ac:dyDescent="0.25">
      <c r="B388" s="2" t="str">
        <f>_xlfn.CONCAT(tbSellers[[#This Row],[Station]],tbSellers[[#This Row],[Item]])</f>
        <v>PuningtPure Ferrite</v>
      </c>
      <c r="C388" s="2" t="s">
        <v>279</v>
      </c>
      <c r="D388" s="14" t="s">
        <v>266</v>
      </c>
      <c r="E388" s="7">
        <f>VLOOKUP(tbSellers[[#This Row],[Item]],tbMaterials[],4,FALSE)</f>
        <v>28</v>
      </c>
      <c r="F388" s="40">
        <v>2</v>
      </c>
      <c r="G388" s="47">
        <v>44030</v>
      </c>
      <c r="H388" s="70" t="str">
        <f>IF(_xlfn.IFNA(VLOOKUP(tbSellers[[#This Row],[Item]],tbShoppingList[],1,FALSE),"")&lt;&gt;"","Yes","")</f>
        <v/>
      </c>
      <c r="I388" s="4"/>
      <c r="J388" s="22"/>
    </row>
    <row r="389" spans="2:10" s="2" customFormat="1" ht="27.95" hidden="1" customHeight="1" x14ac:dyDescent="0.25">
      <c r="B389" s="2" t="str">
        <f>_xlfn.CONCAT(tbSellers[[#This Row],[Station]],tbSellers[[#This Row],[Item]])</f>
        <v>SeogwipFerrite Dust</v>
      </c>
      <c r="C389" s="8" t="s">
        <v>239</v>
      </c>
      <c r="D389" s="14" t="s">
        <v>12</v>
      </c>
      <c r="E389" s="7">
        <f>VLOOKUP(tbSellers[[#This Row],[Item]],tbMaterials[],4,FALSE)</f>
        <v>14</v>
      </c>
      <c r="F389" s="40">
        <v>1</v>
      </c>
      <c r="G389" s="47"/>
      <c r="H389" s="70" t="str">
        <f>IF(_xlfn.IFNA(VLOOKUP(tbSellers[[#This Row],[Item]],tbShoppingList[],1,FALSE),"")&lt;&gt;"","Yes","")</f>
        <v/>
      </c>
      <c r="I389" s="4"/>
      <c r="J389" s="22"/>
    </row>
    <row r="390" spans="2:10" s="2" customFormat="1" ht="27.95" hidden="1" customHeight="1" x14ac:dyDescent="0.25">
      <c r="B390" s="2" t="str">
        <f>_xlfn.CONCAT(tbSellers[[#This Row],[Station]],tbSellers[[#This Row],[Item]])</f>
        <v>Ubzhan-Reg V</v>
      </c>
      <c r="C390" s="2" t="s">
        <v>120</v>
      </c>
      <c r="D390" s="14"/>
      <c r="E390" s="7" t="e">
        <f>VLOOKUP(tbSellers[[#This Row],[Item]],tbMaterials[],4,FALSE)</f>
        <v>#N/A</v>
      </c>
      <c r="F390" s="40"/>
      <c r="G390" s="47"/>
      <c r="H390" s="70" t="str">
        <f>IF(_xlfn.IFNA(VLOOKUP(tbSellers[[#This Row],[Item]],tbShoppingList[],1,FALSE),"")&lt;&gt;"","Yes","")</f>
        <v/>
      </c>
      <c r="I390" s="4"/>
      <c r="J390" s="22"/>
    </row>
    <row r="391" spans="2:10" s="2" customFormat="1" ht="27.95" hidden="1" customHeight="1" x14ac:dyDescent="0.25">
      <c r="B391" s="2" t="str">
        <f>_xlfn.CONCAT(tbSellers[[#This Row],[Station]],tbSellers[[#This Row],[Item]])</f>
        <v>Urumqi XVFerrite Dust</v>
      </c>
      <c r="C391" s="2" t="s">
        <v>116</v>
      </c>
      <c r="D391" s="14" t="s">
        <v>12</v>
      </c>
      <c r="E391" s="7">
        <f>VLOOKUP(tbSellers[[#This Row],[Item]],tbMaterials[],4,FALSE)</f>
        <v>14</v>
      </c>
      <c r="F391" s="40">
        <v>1</v>
      </c>
      <c r="G391" s="47">
        <v>44016</v>
      </c>
      <c r="H391" s="70" t="str">
        <f>IF(_xlfn.IFNA(VLOOKUP(tbSellers[[#This Row],[Item]],tbShoppingList[],1,FALSE),"")&lt;&gt;"","Yes","")</f>
        <v/>
      </c>
      <c r="I391" s="4"/>
      <c r="J391" s="22"/>
    </row>
    <row r="392" spans="2:10" s="2" customFormat="1" ht="27.95" hidden="1" customHeight="1" x14ac:dyDescent="0.25">
      <c r="B392" s="2" t="str">
        <f>_xlfn.CONCAT(tbSellers[[#This Row],[Station]],tbSellers[[#This Row],[Item]])</f>
        <v>WagormaPugneum</v>
      </c>
      <c r="C392" s="8" t="s">
        <v>115</v>
      </c>
      <c r="D392" s="14" t="s">
        <v>262</v>
      </c>
      <c r="E392" s="7">
        <f>VLOOKUP(tbSellers[[#This Row],[Item]],tbMaterials[],4,FALSE)</f>
        <v>138</v>
      </c>
      <c r="F392" s="40">
        <v>2</v>
      </c>
      <c r="G392" s="47">
        <v>44029</v>
      </c>
      <c r="H392" s="70" t="str">
        <f>IF(_xlfn.IFNA(VLOOKUP(tbSellers[[#This Row],[Item]],tbShoppingList[],1,FALSE),"")&lt;&gt;"","Yes","")</f>
        <v/>
      </c>
      <c r="I392" s="4"/>
      <c r="J392" s="22"/>
    </row>
    <row r="393" spans="2:10" s="2" customFormat="1" ht="27.95" hidden="1" customHeight="1" x14ac:dyDescent="0.25">
      <c r="B393" s="2" t="str">
        <f>_xlfn.CONCAT(tbSellers[[#This Row],[Station]],tbSellers[[#This Row],[Item]])</f>
        <v>XishuaiPugneum</v>
      </c>
      <c r="C393" s="2" t="s">
        <v>95</v>
      </c>
      <c r="D393" s="14" t="s">
        <v>262</v>
      </c>
      <c r="E393" s="7">
        <f>VLOOKUP(tbSellers[[#This Row],[Item]],tbMaterials[],4,FALSE)</f>
        <v>138</v>
      </c>
      <c r="F393" s="40">
        <v>2</v>
      </c>
      <c r="G393" s="47">
        <v>44029</v>
      </c>
      <c r="H393" s="70" t="str">
        <f>IF(_xlfn.IFNA(VLOOKUP(tbSellers[[#This Row],[Item]],tbShoppingList[],1,FALSE),"")&lt;&gt;"","Yes","")</f>
        <v/>
      </c>
      <c r="I393" s="4"/>
      <c r="J393" s="22"/>
    </row>
    <row r="394" spans="2:10" s="2" customFormat="1" ht="27.95" hidden="1" customHeight="1" x14ac:dyDescent="0.25">
      <c r="B394" s="2" t="str">
        <f>_xlfn.CONCAT(tbSellers[[#This Row],[Station]],tbSellers[[#This Row],[Item]])</f>
        <v>XishuanqFerrite Dust</v>
      </c>
      <c r="C394" s="8" t="s">
        <v>98</v>
      </c>
      <c r="D394" s="14" t="s">
        <v>12</v>
      </c>
      <c r="E394" s="7">
        <f>VLOOKUP(tbSellers[[#This Row],[Item]],tbMaterials[],4,FALSE)</f>
        <v>14</v>
      </c>
      <c r="F394" s="40">
        <v>1</v>
      </c>
      <c r="G394" s="47">
        <v>44016</v>
      </c>
      <c r="H394" s="70" t="str">
        <f>IF(_xlfn.IFNA(VLOOKUP(tbSellers[[#This Row],[Item]],tbShoppingList[],1,FALSE),"")&lt;&gt;"","Yes","")</f>
        <v/>
      </c>
      <c r="I394" s="4"/>
      <c r="J394" s="22"/>
    </row>
    <row r="395" spans="2:10" s="2" customFormat="1" ht="27.95" hidden="1" customHeight="1" x14ac:dyDescent="0.25">
      <c r="B395" s="2" t="str">
        <f>_xlfn.CONCAT(tbSellers[[#This Row],[Station]],tbSellers[[#This Row],[Item]])</f>
        <v>Yedexi VIISodium Nitrate</v>
      </c>
      <c r="C395" s="8" t="s">
        <v>52</v>
      </c>
      <c r="D395" s="14" t="s">
        <v>11</v>
      </c>
      <c r="E395" s="7">
        <f>VLOOKUP(tbSellers[[#This Row],[Item]],tbMaterials[],4,FALSE)</f>
        <v>82</v>
      </c>
      <c r="F395" s="40">
        <v>2</v>
      </c>
      <c r="G395" s="47">
        <v>44029</v>
      </c>
      <c r="H395" s="70" t="str">
        <f>IF(_xlfn.IFNA(VLOOKUP(tbSellers[[#This Row],[Item]],tbShoppingList[],1,FALSE),"")&lt;&gt;"","Yes","")</f>
        <v/>
      </c>
      <c r="I395" s="4"/>
      <c r="J395" s="22"/>
    </row>
    <row r="396" spans="2:10" s="2" customFormat="1" ht="27.95" hidden="1" customHeight="1" x14ac:dyDescent="0.25">
      <c r="B396" s="2" t="str">
        <f>_xlfn.CONCAT(tbSellers[[#This Row],[Station]],tbSellers[[#This Row],[Item]])</f>
        <v>RidunxiFerrite Dust</v>
      </c>
      <c r="C396" s="2" t="s">
        <v>573</v>
      </c>
      <c r="D396" s="14" t="s">
        <v>12</v>
      </c>
      <c r="E396" s="7">
        <f>VLOOKUP(tbSellers[[#This Row],[Item]],tbMaterials[],4,FALSE)</f>
        <v>14</v>
      </c>
      <c r="F396" s="40">
        <v>1</v>
      </c>
      <c r="G396" s="47">
        <v>44016</v>
      </c>
      <c r="H396" s="70" t="str">
        <f>IF(_xlfn.IFNA(VLOOKUP(tbSellers[[#This Row],[Item]],tbShoppingList[],1,FALSE),"")&lt;&gt;"","Yes","")</f>
        <v/>
      </c>
      <c r="I396" s="4"/>
      <c r="J396" s="22"/>
    </row>
    <row r="397" spans="2:10" s="2" customFormat="1" ht="27.95" hidden="1" customHeight="1" x14ac:dyDescent="0.25">
      <c r="B397" s="2" t="str">
        <f>_xlfn.CONCAT(tbSellers[[#This Row],[Station]],tbSellers[[#This Row],[Item]])</f>
        <v>Yartan-AwkinPure Ferrite</v>
      </c>
      <c r="C397" s="2" t="s">
        <v>326</v>
      </c>
      <c r="D397" s="14" t="s">
        <v>266</v>
      </c>
      <c r="E397" s="7">
        <f>VLOOKUP(tbSellers[[#This Row],[Item]],tbMaterials[],4,FALSE)</f>
        <v>28</v>
      </c>
      <c r="F397" s="40">
        <v>2</v>
      </c>
      <c r="G397" s="47">
        <v>44029</v>
      </c>
      <c r="H397" s="70" t="str">
        <f>IF(_xlfn.IFNA(VLOOKUP(tbSellers[[#This Row],[Item]],tbShoppingList[],1,FALSE),"")&lt;&gt;"","Yes","")</f>
        <v/>
      </c>
      <c r="I397" s="4"/>
      <c r="J397" s="22"/>
    </row>
    <row r="398" spans="2:10" s="2" customFormat="1" ht="27.95" hidden="1" customHeight="1" x14ac:dyDescent="0.25">
      <c r="B398" s="2" t="str">
        <f>_xlfn.CONCAT(tbSellers[[#This Row],[Station]],tbSellers[[#This Row],[Item]])</f>
        <v>Gepohalih IIIFerrite Dust</v>
      </c>
      <c r="C398" s="2" t="s">
        <v>490</v>
      </c>
      <c r="D398" s="14" t="s">
        <v>12</v>
      </c>
      <c r="E398" s="7">
        <f>VLOOKUP(tbSellers[[#This Row],[Item]],tbMaterials[],4,FALSE)</f>
        <v>14</v>
      </c>
      <c r="F398" s="40">
        <v>1</v>
      </c>
      <c r="G398" s="47">
        <v>44029</v>
      </c>
      <c r="H398" s="70" t="str">
        <f>IF(_xlfn.IFNA(VLOOKUP(tbSellers[[#This Row],[Item]],tbShoppingList[],1,FALSE),"")&lt;&gt;"","Yes","")</f>
        <v/>
      </c>
      <c r="I398" s="4"/>
      <c r="J398" s="22"/>
    </row>
    <row r="399" spans="2:10" s="2" customFormat="1" ht="27.95" hidden="1" customHeight="1" x14ac:dyDescent="0.25">
      <c r="B399" s="2" t="str">
        <f>_xlfn.CONCAT(tbSellers[[#This Row],[Station]],tbSellers[[#This Row],[Item]])</f>
        <v>Iijinc XVFerrite Dust</v>
      </c>
      <c r="C399" s="2" t="s">
        <v>456</v>
      </c>
      <c r="D399" s="14" t="s">
        <v>12</v>
      </c>
      <c r="E399" s="7">
        <f>VLOOKUP(tbSellers[[#This Row],[Item]],tbMaterials[],4,FALSE)</f>
        <v>14</v>
      </c>
      <c r="F399" s="40">
        <v>1</v>
      </c>
      <c r="G399" s="47">
        <v>44016</v>
      </c>
      <c r="H399" s="70" t="str">
        <f>IF(_xlfn.IFNA(VLOOKUP(tbSellers[[#This Row],[Item]],tbShoppingList[],1,FALSE),"")&lt;&gt;"","Yes","")</f>
        <v/>
      </c>
      <c r="I399" s="4"/>
      <c r="J399" s="22"/>
    </row>
    <row r="400" spans="2:10" s="2" customFormat="1" ht="27.95" hidden="1" customHeight="1" x14ac:dyDescent="0.25">
      <c r="B400" s="2" t="str">
        <f>_xlfn.CONCAT(tbSellers[[#This Row],[Station]],tbSellers[[#This Row],[Item]])</f>
        <v>Cuomul-TosPyrite</v>
      </c>
      <c r="C400" s="2" t="s">
        <v>275</v>
      </c>
      <c r="D400" s="14" t="s">
        <v>119</v>
      </c>
      <c r="E400" s="7">
        <f>VLOOKUP(tbSellers[[#This Row],[Item]],tbMaterials[],4,FALSE)</f>
        <v>62</v>
      </c>
      <c r="F400" s="40">
        <v>1</v>
      </c>
      <c r="G400" s="47">
        <v>44030</v>
      </c>
      <c r="H400" s="70" t="str">
        <f>IF(_xlfn.IFNA(VLOOKUP(tbSellers[[#This Row],[Item]],tbShoppingList[],1,FALSE),"")&lt;&gt;"","Yes","")</f>
        <v/>
      </c>
      <c r="I400" s="4"/>
      <c r="J400" s="22"/>
    </row>
    <row r="401" spans="2:11" s="2" customFormat="1" ht="27.95" hidden="1" customHeight="1" x14ac:dyDescent="0.25">
      <c r="B401" s="2" t="str">
        <f>_xlfn.CONCAT(tbSellers[[#This Row],[Station]],tbSellers[[#This Row],[Item]])</f>
        <v>OqoideMagnetised Ferrite</v>
      </c>
      <c r="C401" s="2" t="s">
        <v>114</v>
      </c>
      <c r="D401" s="14" t="s">
        <v>246</v>
      </c>
      <c r="E401" s="7">
        <f>VLOOKUP(tbSellers[[#This Row],[Item]],tbMaterials[],4,FALSE)</f>
        <v>82</v>
      </c>
      <c r="F401" s="40">
        <v>2</v>
      </c>
      <c r="G401" s="47">
        <v>44030</v>
      </c>
      <c r="H401" s="70" t="str">
        <f>IF(_xlfn.IFNA(VLOOKUP(tbSellers[[#This Row],[Item]],tbShoppingList[],1,FALSE),"")&lt;&gt;"","Yes","")</f>
        <v/>
      </c>
      <c r="I401" s="4"/>
      <c r="J401" s="22"/>
    </row>
    <row r="402" spans="2:11" s="2" customFormat="1" ht="27.95" hidden="1" customHeight="1" x14ac:dyDescent="0.25">
      <c r="B402" s="2" t="str">
        <f>_xlfn.CONCAT(tbSellers[[#This Row],[Station]],tbSellers[[#This Row],[Item]])</f>
        <v>AnxiexCopper</v>
      </c>
      <c r="C402" s="2" t="s">
        <v>248</v>
      </c>
      <c r="D402" s="14" t="s">
        <v>5</v>
      </c>
      <c r="E402" s="7">
        <f>VLOOKUP(tbSellers[[#This Row],[Item]],tbMaterials[],4,FALSE)</f>
        <v>121</v>
      </c>
      <c r="F402" s="40">
        <v>2</v>
      </c>
      <c r="G402" s="47">
        <v>44030</v>
      </c>
      <c r="H402" s="70" t="str">
        <f>IF(_xlfn.IFNA(VLOOKUP(tbSellers[[#This Row],[Item]],tbShoppingList[],1,FALSE),"")&lt;&gt;"","Yes","")</f>
        <v/>
      </c>
      <c r="I402" s="4"/>
      <c r="J402" s="22"/>
    </row>
    <row r="403" spans="2:11" s="66" customFormat="1" ht="27.95" hidden="1" customHeight="1" x14ac:dyDescent="0.25">
      <c r="B403" s="66" t="str">
        <f>_xlfn.CONCAT(tbSellers[[#This Row],[Station]],tbSellers[[#This Row],[Item]])</f>
        <v>ViisitysitFerrite Dust</v>
      </c>
      <c r="C403" s="66" t="s">
        <v>856</v>
      </c>
      <c r="D403" s="14" t="s">
        <v>12</v>
      </c>
      <c r="E403" s="7">
        <f>VLOOKUP(tbSellers[[#This Row],[Item]],tbMaterials[],4,FALSE)</f>
        <v>14</v>
      </c>
      <c r="F403" s="40">
        <v>1</v>
      </c>
      <c r="G403" s="47">
        <v>44029</v>
      </c>
      <c r="H403" s="70" t="str">
        <f>IF(_xlfn.IFNA(VLOOKUP(tbSellers[[#This Row],[Item]],tbShoppingList[],1,FALSE),"")&lt;&gt;"","Yes","")</f>
        <v/>
      </c>
      <c r="I403" s="4"/>
      <c r="J403" s="22"/>
    </row>
    <row r="404" spans="2:11" s="2" customFormat="1" ht="27.95" hidden="1" customHeight="1" x14ac:dyDescent="0.25">
      <c r="B404" s="2" t="str">
        <f>_xlfn.CONCAT(tbSellers[[#This Row],[Station]],tbSellers[[#This Row],[Item]])</f>
        <v>EgarondoFerrite Dust</v>
      </c>
      <c r="C404" s="8" t="s">
        <v>74</v>
      </c>
      <c r="D404" s="14" t="s">
        <v>12</v>
      </c>
      <c r="E404" s="7">
        <f>VLOOKUP(tbSellers[[#This Row],[Item]],tbMaterials[],4,FALSE)</f>
        <v>14</v>
      </c>
      <c r="F404" s="40">
        <v>1</v>
      </c>
      <c r="G404" s="47">
        <v>44016</v>
      </c>
      <c r="H404" s="70" t="str">
        <f>IF(_xlfn.IFNA(VLOOKUP(tbSellers[[#This Row],[Item]],tbShoppingList[],1,FALSE),"")&lt;&gt;"","Yes","")</f>
        <v/>
      </c>
      <c r="I404" s="4"/>
      <c r="J404" s="22"/>
    </row>
    <row r="405" spans="2:11" s="2" customFormat="1" ht="27.95" hidden="1" customHeight="1" x14ac:dyDescent="0.25">
      <c r="B405" s="2" t="str">
        <f>_xlfn.CONCAT(tbSellers[[#This Row],[Station]],tbSellers[[#This Row],[Item]])</f>
        <v>NalangniPure Ferrite</v>
      </c>
      <c r="C405" s="8" t="s">
        <v>79</v>
      </c>
      <c r="D405" s="14" t="s">
        <v>266</v>
      </c>
      <c r="E405" s="7">
        <f>VLOOKUP(tbSellers[[#This Row],[Item]],tbMaterials[],4,FALSE)</f>
        <v>28</v>
      </c>
      <c r="F405" s="40">
        <v>1</v>
      </c>
      <c r="G405" s="47">
        <v>44030</v>
      </c>
      <c r="H405" s="70" t="str">
        <f>IF(_xlfn.IFNA(VLOOKUP(tbSellers[[#This Row],[Item]],tbShoppingList[],1,FALSE),"")&lt;&gt;"","Yes","")</f>
        <v/>
      </c>
      <c r="I405" s="4"/>
      <c r="J405" s="22"/>
    </row>
    <row r="406" spans="2:11" s="2" customFormat="1" ht="27.95" hidden="1" customHeight="1" x14ac:dyDescent="0.25">
      <c r="B406" s="2" t="str">
        <f>_xlfn.CONCAT(tbSellers[[#This Row],[Station]],tbSellers[[#This Row],[Item]])</f>
        <v>EeoocomaFerrite Dust</v>
      </c>
      <c r="C406" s="2" t="s">
        <v>564</v>
      </c>
      <c r="D406" s="14" t="s">
        <v>12</v>
      </c>
      <c r="E406" s="7">
        <f>VLOOKUP(tbSellers[[#This Row],[Item]],tbMaterials[],4,FALSE)</f>
        <v>14</v>
      </c>
      <c r="F406" s="40">
        <v>1</v>
      </c>
      <c r="G406" s="47">
        <v>44016</v>
      </c>
      <c r="H406" s="70" t="str">
        <f>IF(_xlfn.IFNA(VLOOKUP(tbSellers[[#This Row],[Item]],tbShoppingList[],1,FALSE),"")&lt;&gt;"","Yes","")</f>
        <v/>
      </c>
      <c r="I406" s="4"/>
      <c r="J406" s="22"/>
    </row>
    <row r="407" spans="2:11" s="2" customFormat="1" ht="27.95" hidden="1" customHeight="1" x14ac:dyDescent="0.25">
      <c r="B407" s="2" t="str">
        <f>_xlfn.CONCAT(tbSellers[[#This Row],[Station]],tbSellers[[#This Row],[Item]])</f>
        <v>Arjorda-KugFerrite Dust</v>
      </c>
      <c r="C407" s="8" t="s">
        <v>75</v>
      </c>
      <c r="D407" s="14" t="s">
        <v>12</v>
      </c>
      <c r="E407" s="7">
        <f>VLOOKUP(tbSellers[[#This Row],[Item]],tbMaterials[],4,FALSE)</f>
        <v>14</v>
      </c>
      <c r="F407" s="40">
        <v>1</v>
      </c>
      <c r="G407" s="47">
        <v>44016</v>
      </c>
      <c r="H407" s="70" t="str">
        <f>IF(_xlfn.IFNA(VLOOKUP(tbSellers[[#This Row],[Item]],tbShoppingList[],1,FALSE),"")&lt;&gt;"","Yes","")</f>
        <v/>
      </c>
      <c r="I407" s="4"/>
      <c r="J407" s="22"/>
    </row>
    <row r="408" spans="2:11" s="2" customFormat="1" ht="27.95" hidden="1" customHeight="1" x14ac:dyDescent="0.25">
      <c r="B408" s="2" t="str">
        <f>_xlfn.CONCAT(tbSellers[[#This Row],[Station]],tbSellers[[#This Row],[Item]])</f>
        <v>YendonoPugneum</v>
      </c>
      <c r="C408" s="2" t="s">
        <v>575</v>
      </c>
      <c r="D408" s="14" t="s">
        <v>262</v>
      </c>
      <c r="E408" s="7">
        <f>VLOOKUP(tbSellers[[#This Row],[Item]],tbMaterials[],4,FALSE)</f>
        <v>138</v>
      </c>
      <c r="F408" s="40">
        <v>2</v>
      </c>
      <c r="G408" s="47">
        <v>44029</v>
      </c>
      <c r="H408" s="70" t="str">
        <f>IF(_xlfn.IFNA(VLOOKUP(tbSellers[[#This Row],[Item]],tbShoppingList[],1,FALSE),"")&lt;&gt;"","Yes","")</f>
        <v/>
      </c>
      <c r="I408" s="4"/>
      <c r="J408" s="22"/>
    </row>
    <row r="409" spans="2:11" s="2" customFormat="1" ht="27.95" hidden="1" customHeight="1" x14ac:dyDescent="0.25">
      <c r="B409" s="2" t="str">
        <f>_xlfn.CONCAT(tbSellers[[#This Row],[Station]],tbSellers[[#This Row],[Item]])</f>
        <v>Seruss-EdogaSalt</v>
      </c>
      <c r="C409" s="2" t="s">
        <v>577</v>
      </c>
      <c r="D409" s="14" t="s">
        <v>56</v>
      </c>
      <c r="E409" s="7">
        <f>VLOOKUP(tbSellers[[#This Row],[Item]],tbMaterials[],4,FALSE)</f>
        <v>299</v>
      </c>
      <c r="F409" s="40">
        <v>2</v>
      </c>
      <c r="G409" s="47">
        <v>44029</v>
      </c>
      <c r="H409" s="70" t="str">
        <f>IF(_xlfn.IFNA(VLOOKUP(tbSellers[[#This Row],[Item]],tbShoppingList[],1,FALSE),"")&lt;&gt;"","Yes","")</f>
        <v/>
      </c>
      <c r="I409" s="4"/>
      <c r="J409" s="22"/>
    </row>
    <row r="410" spans="2:11" s="2" customFormat="1" ht="27.95" hidden="1" customHeight="1" x14ac:dyDescent="0.25">
      <c r="B410" s="2" t="str">
        <f>_xlfn.CONCAT(tbSellers[[#This Row],[Station]],tbSellers[[#This Row],[Item]])</f>
        <v>Nuswick-PayeDioxite</v>
      </c>
      <c r="C410" s="2" t="s">
        <v>579</v>
      </c>
      <c r="D410" s="14" t="s">
        <v>72</v>
      </c>
      <c r="E410" s="7">
        <f>VLOOKUP(tbSellers[[#This Row],[Item]],tbMaterials[],4,FALSE)</f>
        <v>62</v>
      </c>
      <c r="F410" s="40">
        <v>2</v>
      </c>
      <c r="G410" s="47">
        <v>44029</v>
      </c>
      <c r="H410" s="70" t="str">
        <f>IF(_xlfn.IFNA(VLOOKUP(tbSellers[[#This Row],[Item]],tbShoppingList[],1,FALSE),"")&lt;&gt;"","Yes","")</f>
        <v/>
      </c>
      <c r="I410" s="4"/>
      <c r="J410" s="22"/>
    </row>
    <row r="411" spans="2:11" s="2" customFormat="1" ht="27.95" hidden="1" customHeight="1" x14ac:dyDescent="0.25">
      <c r="B411" s="2" t="str">
        <f>_xlfn.CONCAT(tbSellers[[#This Row],[Station]],tbSellers[[#This Row],[Item]])</f>
        <v>OdaleroParaffinium</v>
      </c>
      <c r="C411" s="2" t="s">
        <v>604</v>
      </c>
      <c r="D411" s="14" t="s">
        <v>61</v>
      </c>
      <c r="E411" s="7">
        <f>VLOOKUP(tbSellers[[#This Row],[Item]],tbMaterials[],4,FALSE)</f>
        <v>62</v>
      </c>
      <c r="F411" s="40">
        <v>2</v>
      </c>
      <c r="G411" s="47">
        <v>44030</v>
      </c>
      <c r="H411" s="70" t="str">
        <f>IF(_xlfn.IFNA(VLOOKUP(tbSellers[[#This Row],[Item]],tbShoppingList[],1,FALSE),"")&lt;&gt;"","Yes","")</f>
        <v/>
      </c>
      <c r="I411" s="4"/>
      <c r="J411" s="22"/>
    </row>
    <row r="412" spans="2:11" s="2" customFormat="1" ht="27.95" hidden="1" customHeight="1" x14ac:dyDescent="0.25">
      <c r="B412" s="2" t="str">
        <f>_xlfn.CONCAT(tbSellers[[#This Row],[Station]],tbSellers[[#This Row],[Item]])</f>
        <v>EwiscunFerrite Dust</v>
      </c>
      <c r="C412" s="2" t="s">
        <v>607</v>
      </c>
      <c r="D412" s="14" t="s">
        <v>12</v>
      </c>
      <c r="E412" s="7">
        <f>VLOOKUP(tbSellers[[#This Row],[Item]],tbMaterials[],4,FALSE)</f>
        <v>14</v>
      </c>
      <c r="F412" s="40">
        <v>1</v>
      </c>
      <c r="G412" s="47">
        <v>44016</v>
      </c>
      <c r="H412" s="70" t="str">
        <f>IF(_xlfn.IFNA(VLOOKUP(tbSellers[[#This Row],[Item]],tbShoppingList[],1,FALSE),"")&lt;&gt;"","Yes","")</f>
        <v/>
      </c>
      <c r="I412" s="4"/>
      <c r="J412" s="22"/>
    </row>
    <row r="413" spans="2:11" s="2" customFormat="1" ht="27.95" hidden="1" customHeight="1" x14ac:dyDescent="0.25">
      <c r="B413" s="2" t="str">
        <f>_xlfn.CONCAT(tbSellers[[#This Row],[Station]],tbSellers[[#This Row],[Item]])</f>
        <v>DohoeniaGold</v>
      </c>
      <c r="C413" s="2" t="s">
        <v>608</v>
      </c>
      <c r="D413" s="14" t="s">
        <v>24</v>
      </c>
      <c r="E413" s="7">
        <f>VLOOKUP(tbSellers[[#This Row],[Item]],tbMaterials[],4,FALSE)</f>
        <v>353</v>
      </c>
      <c r="F413" s="40">
        <v>2</v>
      </c>
      <c r="G413" s="47">
        <v>44029</v>
      </c>
      <c r="H413" s="70" t="str">
        <f>IF(_xlfn.IFNA(VLOOKUP(tbSellers[[#This Row],[Item]],tbShoppingList[],1,FALSE),"")&lt;&gt;"","Yes","")</f>
        <v/>
      </c>
      <c r="I413" s="4"/>
      <c r="J413" s="22"/>
    </row>
    <row r="414" spans="2:11" s="2" customFormat="1" ht="27.95" hidden="1" customHeight="1" x14ac:dyDescent="0.25">
      <c r="B414" s="2" t="str">
        <f>_xlfn.CONCAT(tbSellers[[#This Row],[Station]],tbSellers[[#This Row],[Item]])</f>
        <v>Iijinc XVTritium</v>
      </c>
      <c r="C414" s="2" t="s">
        <v>456</v>
      </c>
      <c r="D414" s="14" t="s">
        <v>25</v>
      </c>
      <c r="E414" s="7">
        <f>VLOOKUP(tbSellers[[#This Row],[Item]],tbMaterials[],4,FALSE)</f>
        <v>6</v>
      </c>
      <c r="F414" s="40">
        <v>1</v>
      </c>
      <c r="G414" s="47">
        <v>44018</v>
      </c>
      <c r="H414" s="70" t="str">
        <f>IF(_xlfn.IFNA(VLOOKUP(tbSellers[[#This Row],[Item]],tbShoppingList[],1,FALSE),"")&lt;&gt;"","Yes","")</f>
        <v>Yes</v>
      </c>
      <c r="I414" s="1"/>
      <c r="J414" s="4"/>
      <c r="K414" s="22"/>
    </row>
    <row r="415" spans="2:11" s="66" customFormat="1" ht="27.95" hidden="1" customHeight="1" x14ac:dyDescent="0.25">
      <c r="B415" s="66" t="str">
        <f>_xlfn.CONCAT(tbSellers[[#This Row],[Station]],tbSellers[[#This Row],[Item]])</f>
        <v>Silnoi-WocestFerrite Dust</v>
      </c>
      <c r="C415" s="66" t="s">
        <v>825</v>
      </c>
      <c r="D415" s="14" t="s">
        <v>12</v>
      </c>
      <c r="E415" s="7">
        <f>VLOOKUP(tbSellers[[#This Row],[Item]],tbMaterials[],4,FALSE)</f>
        <v>14</v>
      </c>
      <c r="F415" s="40">
        <v>1</v>
      </c>
      <c r="G415" s="47">
        <v>44030</v>
      </c>
      <c r="H415" s="70" t="str">
        <f>IF(_xlfn.IFNA(VLOOKUP(tbSellers[[#This Row],[Item]],tbShoppingList[],1,FALSE),"")&lt;&gt;"","Yes","")</f>
        <v/>
      </c>
      <c r="I415" s="1"/>
      <c r="J415" s="4"/>
      <c r="K415" s="22"/>
    </row>
    <row r="416" spans="2:11" s="66" customFormat="1" ht="27.95" hidden="1" customHeight="1" x14ac:dyDescent="0.25">
      <c r="B416" s="66" t="str">
        <f>_xlfn.CONCAT(tbSellers[[#This Row],[Station]],tbSellers[[#This Row],[Item]])</f>
        <v>Silnoi-WocestOxygen</v>
      </c>
      <c r="C416" s="66" t="s">
        <v>825</v>
      </c>
      <c r="D416" s="14" t="s">
        <v>8</v>
      </c>
      <c r="E416" s="7">
        <f>VLOOKUP(tbSellers[[#This Row],[Item]],tbMaterials[],4,FALSE)</f>
        <v>34</v>
      </c>
      <c r="F416" s="40">
        <v>1</v>
      </c>
      <c r="G416" s="47">
        <v>44030</v>
      </c>
      <c r="H416" s="70" t="str">
        <f>IF(_xlfn.IFNA(VLOOKUP(tbSellers[[#This Row],[Item]],tbShoppingList[],1,FALSE),"")&lt;&gt;"","Yes","")</f>
        <v/>
      </c>
      <c r="I416" s="1"/>
      <c r="J416" s="4"/>
      <c r="K416" s="22"/>
    </row>
    <row r="417" spans="2:11" s="66" customFormat="1" ht="27.95" hidden="1" customHeight="1" x14ac:dyDescent="0.25">
      <c r="B417" s="66" t="str">
        <f>_xlfn.CONCAT(tbSellers[[#This Row],[Station]],tbSellers[[#This Row],[Item]])</f>
        <v>Silnoi-WocestCobalt</v>
      </c>
      <c r="C417" s="66" t="s">
        <v>825</v>
      </c>
      <c r="D417" s="14" t="s">
        <v>6</v>
      </c>
      <c r="E417" s="7">
        <f>VLOOKUP(tbSellers[[#This Row],[Item]],tbMaterials[],4,FALSE)</f>
        <v>198</v>
      </c>
      <c r="F417" s="40">
        <v>1</v>
      </c>
      <c r="G417" s="47">
        <v>44030</v>
      </c>
      <c r="H417" s="70" t="str">
        <f>IF(_xlfn.IFNA(VLOOKUP(tbSellers[[#This Row],[Item]],tbShoppingList[],1,FALSE),"")&lt;&gt;"","Yes","")</f>
        <v/>
      </c>
      <c r="I417" s="1"/>
      <c r="J417" s="4"/>
      <c r="K417" s="22"/>
    </row>
    <row r="418" spans="2:11" s="66" customFormat="1" ht="27.95" hidden="1" customHeight="1" x14ac:dyDescent="0.25">
      <c r="B418" s="66" t="str">
        <f>_xlfn.CONCAT(tbSellers[[#This Row],[Station]],tbSellers[[#This Row],[Item]])</f>
        <v>Silnoi-WocestSodium</v>
      </c>
      <c r="C418" s="66" t="s">
        <v>825</v>
      </c>
      <c r="D418" s="14" t="s">
        <v>9</v>
      </c>
      <c r="E418" s="7">
        <f>VLOOKUP(tbSellers[[#This Row],[Item]],tbMaterials[],4,FALSE)</f>
        <v>41</v>
      </c>
      <c r="F418" s="40">
        <v>1</v>
      </c>
      <c r="G418" s="47">
        <v>44030</v>
      </c>
      <c r="H418" s="70" t="str">
        <f>IF(_xlfn.IFNA(VLOOKUP(tbSellers[[#This Row],[Item]],tbShoppingList[],1,FALSE),"")&lt;&gt;"","Yes","")</f>
        <v/>
      </c>
      <c r="I418" s="1"/>
      <c r="J418" s="4"/>
      <c r="K418" s="22"/>
    </row>
    <row r="419" spans="2:11" s="66" customFormat="1" ht="27.95" hidden="1" customHeight="1" x14ac:dyDescent="0.25">
      <c r="B419" s="66" t="str">
        <f>_xlfn.CONCAT(tbSellers[[#This Row],[Station]],tbSellers[[#This Row],[Item]])</f>
        <v>Silnoi-WocestCopper</v>
      </c>
      <c r="C419" s="66" t="s">
        <v>825</v>
      </c>
      <c r="D419" s="14" t="s">
        <v>5</v>
      </c>
      <c r="E419" s="7">
        <f>VLOOKUP(tbSellers[[#This Row],[Item]],tbMaterials[],4,FALSE)</f>
        <v>121</v>
      </c>
      <c r="F419" s="40">
        <v>1</v>
      </c>
      <c r="G419" s="47">
        <v>44030</v>
      </c>
      <c r="H419" s="70" t="str">
        <f>IF(_xlfn.IFNA(VLOOKUP(tbSellers[[#This Row],[Item]],tbShoppingList[],1,FALSE),"")&lt;&gt;"","Yes","")</f>
        <v/>
      </c>
      <c r="I419" s="1"/>
      <c r="J419" s="4"/>
      <c r="K419" s="22"/>
    </row>
    <row r="420" spans="2:11" s="66" customFormat="1" ht="27.95" hidden="1" customHeight="1" x14ac:dyDescent="0.25">
      <c r="B420" s="66" t="str">
        <f>_xlfn.CONCAT(tbSellers[[#This Row],[Station]],tbSellers[[#This Row],[Item]])</f>
        <v>Silnoi-WocestMagnetised Ferrite</v>
      </c>
      <c r="C420" s="66" t="s">
        <v>825</v>
      </c>
      <c r="D420" s="14" t="s">
        <v>246</v>
      </c>
      <c r="E420" s="7">
        <f>VLOOKUP(tbSellers[[#This Row],[Item]],tbMaterials[],4,FALSE)</f>
        <v>82</v>
      </c>
      <c r="F420" s="40">
        <v>1</v>
      </c>
      <c r="G420" s="47">
        <v>44030</v>
      </c>
      <c r="H420" s="70" t="str">
        <f>IF(_xlfn.IFNA(VLOOKUP(tbSellers[[#This Row],[Item]],tbShoppingList[],1,FALSE),"")&lt;&gt;"","Yes","")</f>
        <v/>
      </c>
      <c r="I420" s="1"/>
      <c r="J420" s="4"/>
      <c r="K420" s="22"/>
    </row>
    <row r="421" spans="2:11" s="66" customFormat="1" ht="27.95" hidden="1" customHeight="1" x14ac:dyDescent="0.25">
      <c r="B421" s="66" t="str">
        <f>_xlfn.CONCAT(tbSellers[[#This Row],[Station]],tbSellers[[#This Row],[Item]])</f>
        <v>Silnoi-WocestPlatinum</v>
      </c>
      <c r="C421" s="66" t="s">
        <v>825</v>
      </c>
      <c r="D421" s="14" t="s">
        <v>18</v>
      </c>
      <c r="E421" s="7">
        <f>VLOOKUP(tbSellers[[#This Row],[Item]],tbMaterials[],4,FALSE)</f>
        <v>505</v>
      </c>
      <c r="F421" s="40">
        <v>1</v>
      </c>
      <c r="G421" s="47">
        <v>44030</v>
      </c>
      <c r="H421" s="70" t="str">
        <f>IF(_xlfn.IFNA(VLOOKUP(tbSellers[[#This Row],[Item]],tbShoppingList[],1,FALSE),"")&lt;&gt;"","Yes","")</f>
        <v/>
      </c>
      <c r="I421" s="1"/>
      <c r="J421" s="4"/>
      <c r="K421" s="22"/>
    </row>
    <row r="422" spans="2:11" s="66" customFormat="1" ht="27.95" hidden="1" customHeight="1" x14ac:dyDescent="0.25">
      <c r="B422" s="66" t="str">
        <f>_xlfn.CONCAT(tbSellers[[#This Row],[Station]],tbSellers[[#This Row],[Item]])</f>
        <v>Silnoi-WocestSalt</v>
      </c>
      <c r="C422" s="66" t="s">
        <v>825</v>
      </c>
      <c r="D422" s="14" t="s">
        <v>56</v>
      </c>
      <c r="E422" s="7">
        <f>VLOOKUP(tbSellers[[#This Row],[Item]],tbMaterials[],4,FALSE)</f>
        <v>299</v>
      </c>
      <c r="F422" s="40">
        <v>1</v>
      </c>
      <c r="G422" s="47">
        <v>44030</v>
      </c>
      <c r="H422" s="70" t="str">
        <f>IF(_xlfn.IFNA(VLOOKUP(tbSellers[[#This Row],[Item]],tbShoppingList[],1,FALSE),"")&lt;&gt;"","Yes","")</f>
        <v/>
      </c>
      <c r="I422" s="1"/>
      <c r="J422" s="4"/>
      <c r="K422" s="22"/>
    </row>
    <row r="423" spans="2:11" s="66" customFormat="1" ht="27.95" hidden="1" customHeight="1" x14ac:dyDescent="0.25">
      <c r="B423" s="66" t="str">
        <f>_xlfn.CONCAT(tbSellers[[#This Row],[Station]],tbSellers[[#This Row],[Item]])</f>
        <v>Silnoi-WocestTritium</v>
      </c>
      <c r="C423" s="66" t="s">
        <v>825</v>
      </c>
      <c r="D423" s="14" t="s">
        <v>25</v>
      </c>
      <c r="E423" s="7">
        <f>VLOOKUP(tbSellers[[#This Row],[Item]],tbMaterials[],4,FALSE)</f>
        <v>6</v>
      </c>
      <c r="F423" s="40">
        <v>1</v>
      </c>
      <c r="G423" s="47">
        <v>44030</v>
      </c>
      <c r="H423" s="70" t="str">
        <f>IF(_xlfn.IFNA(VLOOKUP(tbSellers[[#This Row],[Item]],tbShoppingList[],1,FALSE),"")&lt;&gt;"","Yes","")</f>
        <v>Yes</v>
      </c>
      <c r="I423" s="1"/>
      <c r="J423" s="4"/>
      <c r="K423" s="22"/>
    </row>
    <row r="424" spans="2:11" s="66" customFormat="1" ht="27.95" hidden="1" customHeight="1" x14ac:dyDescent="0.25">
      <c r="B424" s="66" t="str">
        <f>_xlfn.CONCAT(tbSellers[[#This Row],[Station]],tbSellers[[#This Row],[Item]])</f>
        <v>Silnoi-WocestPyrite</v>
      </c>
      <c r="C424" s="66" t="s">
        <v>825</v>
      </c>
      <c r="D424" s="14" t="s">
        <v>119</v>
      </c>
      <c r="E424" s="7">
        <f>VLOOKUP(tbSellers[[#This Row],[Item]],tbMaterials[],4,FALSE)</f>
        <v>62</v>
      </c>
      <c r="F424" s="40">
        <v>2</v>
      </c>
      <c r="G424" s="47">
        <v>44030</v>
      </c>
      <c r="H424" s="70" t="str">
        <f>IF(_xlfn.IFNA(VLOOKUP(tbSellers[[#This Row],[Item]],tbShoppingList[],1,FALSE),"")&lt;&gt;"","Yes","")</f>
        <v/>
      </c>
      <c r="I424" s="1"/>
      <c r="J424" s="4"/>
      <c r="K424" s="22"/>
    </row>
    <row r="425" spans="2:11" s="66" customFormat="1" ht="27.95" hidden="1" customHeight="1" x14ac:dyDescent="0.25">
      <c r="B425" s="66" t="str">
        <f>_xlfn.CONCAT(tbSellers[[#This Row],[Station]],tbSellers[[#This Row],[Item]])</f>
        <v>Silnoi-WocestUranium</v>
      </c>
      <c r="C425" s="66" t="s">
        <v>825</v>
      </c>
      <c r="D425" s="14" t="s">
        <v>57</v>
      </c>
      <c r="E425" s="7">
        <f>VLOOKUP(tbSellers[[#This Row],[Item]],tbMaterials[],4,FALSE)</f>
        <v>62</v>
      </c>
      <c r="F425" s="40">
        <v>2</v>
      </c>
      <c r="G425" s="47">
        <v>44030</v>
      </c>
      <c r="H425" s="70" t="str">
        <f>IF(_xlfn.IFNA(VLOOKUP(tbSellers[[#This Row],[Item]],tbShoppingList[],1,FALSE),"")&lt;&gt;"","Yes","")</f>
        <v/>
      </c>
      <c r="I425" s="1"/>
      <c r="J425" s="4"/>
      <c r="K425" s="22"/>
    </row>
    <row r="426" spans="2:11" s="66" customFormat="1" ht="27.95" hidden="1" customHeight="1" x14ac:dyDescent="0.25">
      <c r="B426" s="66" t="str">
        <f>_xlfn.CONCAT(tbSellers[[#This Row],[Station]],tbSellers[[#This Row],[Item]])</f>
        <v>JukuokFerrite Dust</v>
      </c>
      <c r="C426" s="66" t="s">
        <v>829</v>
      </c>
      <c r="D426" s="14" t="s">
        <v>12</v>
      </c>
      <c r="E426" s="7">
        <f>VLOOKUP(tbSellers[[#This Row],[Item]],tbMaterials[],4,FALSE)</f>
        <v>14</v>
      </c>
      <c r="F426" s="40">
        <v>1</v>
      </c>
      <c r="G426" s="47">
        <v>44029</v>
      </c>
      <c r="H426" s="70" t="str">
        <f>IF(_xlfn.IFNA(VLOOKUP(tbSellers[[#This Row],[Item]],tbShoppingList[],1,FALSE),"")&lt;&gt;"","Yes","")</f>
        <v/>
      </c>
      <c r="I426" s="1"/>
      <c r="J426" s="4"/>
      <c r="K426" s="22"/>
    </row>
    <row r="427" spans="2:11" s="66" customFormat="1" ht="27.95" hidden="1" customHeight="1" x14ac:dyDescent="0.25">
      <c r="B427" s="66" t="str">
        <f>_xlfn.CONCAT(tbSellers[[#This Row],[Station]],tbSellers[[#This Row],[Item]])</f>
        <v>Silnoi-WocestAmmonia</v>
      </c>
      <c r="C427" s="66" t="s">
        <v>825</v>
      </c>
      <c r="D427" s="14" t="s">
        <v>84</v>
      </c>
      <c r="E427" s="7">
        <f>VLOOKUP(tbSellers[[#This Row],[Item]],tbMaterials[],4,FALSE)</f>
        <v>62</v>
      </c>
      <c r="F427" s="40">
        <v>2</v>
      </c>
      <c r="G427" s="47">
        <v>44030</v>
      </c>
      <c r="H427" s="70" t="str">
        <f>IF(_xlfn.IFNA(VLOOKUP(tbSellers[[#This Row],[Item]],tbShoppingList[],1,FALSE),"")&lt;&gt;"","Yes","")</f>
        <v/>
      </c>
      <c r="I427" s="1"/>
      <c r="J427" s="4"/>
      <c r="K427" s="22"/>
    </row>
    <row r="428" spans="2:11" s="2" customFormat="1" ht="27.95" hidden="1" customHeight="1" x14ac:dyDescent="0.25">
      <c r="B428" s="2" t="str">
        <f>_xlfn.CONCAT(tbSellers[[#This Row],[Station]],tbSellers[[#This Row],[Item]])</f>
        <v>PuningtSilver</v>
      </c>
      <c r="C428" s="2" t="s">
        <v>279</v>
      </c>
      <c r="D428" s="14" t="s">
        <v>19</v>
      </c>
      <c r="E428" s="7">
        <f>VLOOKUP(tbSellers[[#This Row],[Item]],tbMaterials[],4,FALSE)</f>
        <v>186</v>
      </c>
      <c r="F428" s="40">
        <v>2</v>
      </c>
      <c r="G428" s="47">
        <v>44030</v>
      </c>
      <c r="H428" s="70" t="str">
        <f>IF(_xlfn.IFNA(VLOOKUP(tbSellers[[#This Row],[Item]],tbShoppingList[],1,FALSE),"")&lt;&gt;"","Yes","")</f>
        <v/>
      </c>
      <c r="I428" s="1"/>
      <c r="J428" s="4"/>
      <c r="K428" s="22"/>
    </row>
    <row r="429" spans="2:11" s="2" customFormat="1" ht="27.95" hidden="1" customHeight="1" x14ac:dyDescent="0.25">
      <c r="B429" s="2" t="str">
        <f>_xlfn.CONCAT(tbSellers[[#This Row],[Station]],tbSellers[[#This Row],[Item]])</f>
        <v>Cuomul-TosUranium</v>
      </c>
      <c r="C429" s="2" t="s">
        <v>275</v>
      </c>
      <c r="D429" s="14" t="s">
        <v>57</v>
      </c>
      <c r="E429" s="7">
        <f>VLOOKUP(tbSellers[[#This Row],[Item]],tbMaterials[],4,FALSE)</f>
        <v>62</v>
      </c>
      <c r="F429" s="40">
        <v>2</v>
      </c>
      <c r="G429" s="47">
        <v>44030</v>
      </c>
      <c r="H429" s="70" t="str">
        <f>IF(_xlfn.IFNA(VLOOKUP(tbSellers[[#This Row],[Item]],tbShoppingList[],1,FALSE),"")&lt;&gt;"","Yes","")</f>
        <v/>
      </c>
      <c r="I429" s="1"/>
      <c r="J429" s="4"/>
      <c r="K429" s="22"/>
    </row>
    <row r="430" spans="2:11" s="2" customFormat="1" ht="27.95" hidden="1" customHeight="1" x14ac:dyDescent="0.25">
      <c r="B430" s="2" t="str">
        <f>_xlfn.CONCAT(tbSellers[[#This Row],[Station]],tbSellers[[#This Row],[Item]])</f>
        <v>Nancangz XVParaffinium</v>
      </c>
      <c r="C430" s="8" t="s">
        <v>54</v>
      </c>
      <c r="D430" s="14" t="s">
        <v>61</v>
      </c>
      <c r="E430" s="7">
        <f>VLOOKUP(tbSellers[[#This Row],[Item]],tbMaterials[],4,FALSE)</f>
        <v>62</v>
      </c>
      <c r="F430" s="40">
        <v>2</v>
      </c>
      <c r="G430" s="47">
        <v>44030</v>
      </c>
      <c r="H430" s="70" t="str">
        <f>IF(_xlfn.IFNA(VLOOKUP(tbSellers[[#This Row],[Item]],tbShoppingList[],1,FALSE),"")&lt;&gt;"","Yes","")</f>
        <v/>
      </c>
      <c r="I430" s="1"/>
      <c r="J430" s="4"/>
      <c r="K430" s="22"/>
    </row>
    <row r="431" spans="2:11" s="2" customFormat="1" ht="27.95" hidden="1" customHeight="1" x14ac:dyDescent="0.25">
      <c r="B431" s="2" t="str">
        <f>_xlfn.CONCAT(tbSellers[[#This Row],[Station]],tbSellers[[#This Row],[Item]])</f>
        <v>OqoideIonised Cobalt</v>
      </c>
      <c r="C431" s="2" t="s">
        <v>114</v>
      </c>
      <c r="D431" s="14" t="s">
        <v>267</v>
      </c>
      <c r="E431" s="7">
        <f>VLOOKUP(tbSellers[[#This Row],[Item]],tbMaterials[],4,FALSE)</f>
        <v>401</v>
      </c>
      <c r="F431" s="40">
        <v>2</v>
      </c>
      <c r="G431" s="47">
        <v>44030</v>
      </c>
      <c r="H431" s="70" t="str">
        <f>IF(_xlfn.IFNA(VLOOKUP(tbSellers[[#This Row],[Item]],tbShoppingList[],1,FALSE),"")&lt;&gt;"","Yes","")</f>
        <v/>
      </c>
      <c r="I431" s="1"/>
      <c r="J431" s="4"/>
      <c r="K431" s="22"/>
    </row>
    <row r="432" spans="2:11" s="2" customFormat="1" ht="27.95" hidden="1" customHeight="1" x14ac:dyDescent="0.25">
      <c r="B432" s="2" t="str">
        <f>_xlfn.CONCAT(tbSellers[[#This Row],[Station]],tbSellers[[#This Row],[Item]])</f>
        <v>Urumqi XVTritium</v>
      </c>
      <c r="C432" s="2" t="s">
        <v>116</v>
      </c>
      <c r="D432" s="14" t="s">
        <v>25</v>
      </c>
      <c r="E432" s="7">
        <f>VLOOKUP(tbSellers[[#This Row],[Item]],tbMaterials[],4,FALSE)</f>
        <v>6</v>
      </c>
      <c r="F432" s="40">
        <v>1</v>
      </c>
      <c r="G432" s="47">
        <v>44018</v>
      </c>
      <c r="H432" s="70" t="str">
        <f>IF(_xlfn.IFNA(VLOOKUP(tbSellers[[#This Row],[Item]],tbShoppingList[],1,FALSE),"")&lt;&gt;"","Yes","")</f>
        <v>Yes</v>
      </c>
      <c r="I432" s="1"/>
      <c r="J432" s="4"/>
      <c r="K432" s="22"/>
    </row>
    <row r="433" spans="2:11" s="2" customFormat="1" ht="27.95" hidden="1" customHeight="1" x14ac:dyDescent="0.25">
      <c r="B433" s="2" t="str">
        <f>_xlfn.CONCAT(tbSellers[[#This Row],[Station]],tbSellers[[#This Row],[Item]])</f>
        <v>AnxiexPyrite</v>
      </c>
      <c r="C433" s="2" t="s">
        <v>248</v>
      </c>
      <c r="D433" s="14" t="s">
        <v>119</v>
      </c>
      <c r="E433" s="7">
        <f>VLOOKUP(tbSellers[[#This Row],[Item]],tbMaterials[],4,FALSE)</f>
        <v>62</v>
      </c>
      <c r="F433" s="40">
        <v>2</v>
      </c>
      <c r="G433" s="47">
        <v>44030</v>
      </c>
      <c r="H433" s="70" t="str">
        <f>IF(_xlfn.IFNA(VLOOKUP(tbSellers[[#This Row],[Item]],tbShoppingList[],1,FALSE),"")&lt;&gt;"","Yes","")</f>
        <v/>
      </c>
      <c r="I433" s="1"/>
      <c r="J433" s="4"/>
      <c r="K433" s="22"/>
    </row>
    <row r="434" spans="2:11" s="66" customFormat="1" ht="27.95" hidden="1" customHeight="1" x14ac:dyDescent="0.25">
      <c r="B434" s="66" t="str">
        <f>_xlfn.CONCAT(tbSellers[[#This Row],[Station]],tbSellers[[#This Row],[Item]])</f>
        <v>NalangniPhosphorus</v>
      </c>
      <c r="C434" s="8" t="s">
        <v>79</v>
      </c>
      <c r="D434" s="14" t="s">
        <v>34</v>
      </c>
      <c r="E434" s="7">
        <f>VLOOKUP(tbSellers[[#This Row],[Item]],tbMaterials[],4,FALSE)</f>
        <v>62</v>
      </c>
      <c r="F434" s="40">
        <v>2</v>
      </c>
      <c r="G434" s="47">
        <v>44030</v>
      </c>
      <c r="H434" s="70" t="str">
        <f>IF(_xlfn.IFNA(VLOOKUP(tbSellers[[#This Row],[Item]],tbShoppingList[],1,FALSE),"")&lt;&gt;"","Yes","")</f>
        <v/>
      </c>
      <c r="I434" s="1"/>
      <c r="J434" s="4"/>
      <c r="K434" s="22"/>
    </row>
    <row r="435" spans="2:11" s="66" customFormat="1" ht="27.95" hidden="1" customHeight="1" x14ac:dyDescent="0.25">
      <c r="B435" s="66" t="str">
        <f>_xlfn.CONCAT(tbSellers[[#This Row],[Station]],tbSellers[[#This Row],[Item]])</f>
        <v>NalangniChlorine</v>
      </c>
      <c r="C435" s="8" t="s">
        <v>79</v>
      </c>
      <c r="D435" s="14" t="s">
        <v>83</v>
      </c>
      <c r="E435" s="7">
        <f>VLOOKUP(tbSellers[[#This Row],[Item]],tbMaterials[],4,FALSE)</f>
        <v>602</v>
      </c>
      <c r="F435" s="40">
        <v>2</v>
      </c>
      <c r="G435" s="47">
        <v>44030</v>
      </c>
      <c r="H435" s="70" t="str">
        <f>IF(_xlfn.IFNA(VLOOKUP(tbSellers[[#This Row],[Item]],tbShoppingList[],1,FALSE),"")&lt;&gt;"","Yes","")</f>
        <v/>
      </c>
      <c r="I435" s="1"/>
      <c r="J435" s="4"/>
      <c r="K435" s="22"/>
    </row>
    <row r="436" spans="2:11" s="2" customFormat="1" ht="27.95" hidden="1" customHeight="1" x14ac:dyDescent="0.25">
      <c r="B436" s="2" t="str">
        <f>_xlfn.CONCAT(tbSellers[[#This Row],[Station]],tbSellers[[#This Row],[Item]])</f>
        <v>Ancity-NiyhUranium</v>
      </c>
      <c r="C436" s="8" t="s">
        <v>78</v>
      </c>
      <c r="D436" s="14" t="s">
        <v>57</v>
      </c>
      <c r="E436" s="7">
        <f>VLOOKUP(tbSellers[[#This Row],[Item]],tbMaterials[],4,FALSE)</f>
        <v>62</v>
      </c>
      <c r="F436" s="40">
        <v>2</v>
      </c>
      <c r="G436" s="47">
        <v>44030</v>
      </c>
      <c r="H436" s="70" t="str">
        <f>IF(_xlfn.IFNA(VLOOKUP(tbSellers[[#This Row],[Item]],tbShoppingList[],1,FALSE),"")&lt;&gt;"","Yes","")</f>
        <v/>
      </c>
      <c r="I436" s="1"/>
      <c r="J436" s="4"/>
      <c r="K436" s="22"/>
    </row>
    <row r="437" spans="2:11" s="66" customFormat="1" ht="27.95" hidden="1" customHeight="1" x14ac:dyDescent="0.25">
      <c r="B437" s="66" t="str">
        <f>_xlfn.CONCAT(tbSellers[[#This Row],[Station]],tbSellers[[#This Row],[Item]])</f>
        <v>Ludonoss IVSalt</v>
      </c>
      <c r="C437" s="66" t="s">
        <v>788</v>
      </c>
      <c r="D437" s="14" t="s">
        <v>56</v>
      </c>
      <c r="E437" s="7">
        <f>VLOOKUP(tbSellers[[#This Row],[Item]],tbMaterials[],4,FALSE)</f>
        <v>299</v>
      </c>
      <c r="F437" s="40">
        <v>2</v>
      </c>
      <c r="G437" s="47"/>
      <c r="H437" s="70" t="str">
        <f>IF(_xlfn.IFNA(VLOOKUP(tbSellers[[#This Row],[Item]],tbShoppingList[],1,FALSE),"")&lt;&gt;"","Yes","")</f>
        <v/>
      </c>
      <c r="I437" s="1"/>
      <c r="J437" s="4"/>
      <c r="K437" s="22"/>
    </row>
    <row r="438" spans="2:11" s="66" customFormat="1" ht="27.95" hidden="1" customHeight="1" x14ac:dyDescent="0.25">
      <c r="B438" s="66" t="str">
        <f>_xlfn.CONCAT(tbSellers[[#This Row],[Station]],tbSellers[[#This Row],[Item]])</f>
        <v>Ludonoss IVCobalt</v>
      </c>
      <c r="C438" s="66" t="s">
        <v>788</v>
      </c>
      <c r="D438" s="14" t="s">
        <v>6</v>
      </c>
      <c r="E438" s="7">
        <f>VLOOKUP(tbSellers[[#This Row],[Item]],tbMaterials[],4,FALSE)</f>
        <v>198</v>
      </c>
      <c r="F438" s="40">
        <v>1</v>
      </c>
      <c r="G438" s="47"/>
      <c r="H438" s="70" t="str">
        <f>IF(_xlfn.IFNA(VLOOKUP(tbSellers[[#This Row],[Item]],tbShoppingList[],1,FALSE),"")&lt;&gt;"","Yes","")</f>
        <v/>
      </c>
      <c r="I438" s="1"/>
      <c r="J438" s="4"/>
      <c r="K438" s="22"/>
    </row>
    <row r="439" spans="2:11" s="66" customFormat="1" ht="27.95" hidden="1" customHeight="1" x14ac:dyDescent="0.25">
      <c r="B439" s="66" t="str">
        <f>_xlfn.CONCAT(tbSellers[[#This Row],[Station]],tbSellers[[#This Row],[Item]])</f>
        <v>Ludonoss IVSilver</v>
      </c>
      <c r="C439" s="66" t="s">
        <v>788</v>
      </c>
      <c r="D439" s="14" t="s">
        <v>19</v>
      </c>
      <c r="E439" s="7">
        <f>VLOOKUP(tbSellers[[#This Row],[Item]],tbMaterials[],4,FALSE)</f>
        <v>186</v>
      </c>
      <c r="F439" s="40">
        <v>1</v>
      </c>
      <c r="G439" s="47"/>
      <c r="H439" s="70" t="str">
        <f>IF(_xlfn.IFNA(VLOOKUP(tbSellers[[#This Row],[Item]],tbShoppingList[],1,FALSE),"")&lt;&gt;"","Yes","")</f>
        <v/>
      </c>
      <c r="I439" s="1"/>
      <c r="J439" s="4"/>
      <c r="K439" s="22"/>
    </row>
    <row r="440" spans="2:11" s="66" customFormat="1" ht="27.95" hidden="1" customHeight="1" x14ac:dyDescent="0.25">
      <c r="B440" s="66" t="str">
        <f>_xlfn.CONCAT(tbSellers[[#This Row],[Station]],tbSellers[[#This Row],[Item]])</f>
        <v>Ludonoss IVPugneum</v>
      </c>
      <c r="C440" s="66" t="s">
        <v>788</v>
      </c>
      <c r="D440" s="14" t="s">
        <v>262</v>
      </c>
      <c r="E440" s="7">
        <f>VLOOKUP(tbSellers[[#This Row],[Item]],tbMaterials[],4,FALSE)</f>
        <v>138</v>
      </c>
      <c r="F440" s="40">
        <v>1</v>
      </c>
      <c r="G440" s="47"/>
      <c r="H440" s="70" t="str">
        <f>IF(_xlfn.IFNA(VLOOKUP(tbSellers[[#This Row],[Item]],tbShoppingList[],1,FALSE),"")&lt;&gt;"","Yes","")</f>
        <v/>
      </c>
      <c r="I440" s="1"/>
      <c r="J440" s="4"/>
      <c r="K440" s="22"/>
    </row>
    <row r="441" spans="2:11" s="66" customFormat="1" ht="27.95" hidden="1" customHeight="1" x14ac:dyDescent="0.25">
      <c r="B441" s="66" t="str">
        <f>_xlfn.CONCAT(tbSellers[[#This Row],[Station]],tbSellers[[#This Row],[Item]])</f>
        <v>Ludonoss IVSodium Nitrate</v>
      </c>
      <c r="C441" s="66" t="s">
        <v>788</v>
      </c>
      <c r="D441" s="14" t="s">
        <v>11</v>
      </c>
      <c r="E441" s="7">
        <f>VLOOKUP(tbSellers[[#This Row],[Item]],tbMaterials[],4,FALSE)</f>
        <v>82</v>
      </c>
      <c r="F441" s="40">
        <v>1</v>
      </c>
      <c r="G441" s="47"/>
      <c r="H441" s="70" t="str">
        <f>IF(_xlfn.IFNA(VLOOKUP(tbSellers[[#This Row],[Item]],tbShoppingList[],1,FALSE),"")&lt;&gt;"","Yes","")</f>
        <v/>
      </c>
      <c r="I441" s="1"/>
      <c r="J441" s="4"/>
      <c r="K441" s="22"/>
    </row>
    <row r="442" spans="2:11" s="66" customFormat="1" ht="27.95" hidden="1" customHeight="1" x14ac:dyDescent="0.25">
      <c r="B442" s="66" t="str">
        <f>_xlfn.CONCAT(tbSellers[[#This Row],[Station]],tbSellers[[#This Row],[Item]])</f>
        <v>Ludonoss IVParaffinium</v>
      </c>
      <c r="C442" s="66" t="s">
        <v>788</v>
      </c>
      <c r="D442" s="14" t="s">
        <v>61</v>
      </c>
      <c r="E442" s="7">
        <f>VLOOKUP(tbSellers[[#This Row],[Item]],tbMaterials[],4,FALSE)</f>
        <v>62</v>
      </c>
      <c r="F442" s="40">
        <v>1</v>
      </c>
      <c r="G442" s="47"/>
      <c r="H442" s="70" t="str">
        <f>IF(_xlfn.IFNA(VLOOKUP(tbSellers[[#This Row],[Item]],tbShoppingList[],1,FALSE),"")&lt;&gt;"","Yes","")</f>
        <v/>
      </c>
      <c r="I442" s="1"/>
      <c r="J442" s="4"/>
      <c r="K442" s="22"/>
    </row>
    <row r="443" spans="2:11" s="66" customFormat="1" ht="27.95" hidden="1" customHeight="1" x14ac:dyDescent="0.25">
      <c r="B443" s="66" t="str">
        <f>_xlfn.CONCAT(tbSellers[[#This Row],[Station]],tbSellers[[#This Row],[Item]])</f>
        <v>Ludonoss IVSodium</v>
      </c>
      <c r="C443" s="66" t="s">
        <v>788</v>
      </c>
      <c r="D443" s="14" t="s">
        <v>9</v>
      </c>
      <c r="E443" s="7">
        <f>VLOOKUP(tbSellers[[#This Row],[Item]],tbMaterials[],4,FALSE)</f>
        <v>41</v>
      </c>
      <c r="F443" s="40">
        <v>1</v>
      </c>
      <c r="G443" s="47"/>
      <c r="H443" s="70" t="str">
        <f>IF(_xlfn.IFNA(VLOOKUP(tbSellers[[#This Row],[Item]],tbShoppingList[],1,FALSE),"")&lt;&gt;"","Yes","")</f>
        <v/>
      </c>
      <c r="I443" s="1"/>
      <c r="J443" s="4"/>
      <c r="K443" s="22"/>
    </row>
    <row r="444" spans="2:11" s="66" customFormat="1" ht="27.95" hidden="1" customHeight="1" x14ac:dyDescent="0.25">
      <c r="B444" s="66" t="str">
        <f>_xlfn.CONCAT(tbSellers[[#This Row],[Station]],tbSellers[[#This Row],[Item]])</f>
        <v>Ludonoss IVOxygen</v>
      </c>
      <c r="C444" s="66" t="s">
        <v>788</v>
      </c>
      <c r="D444" s="14" t="s">
        <v>8</v>
      </c>
      <c r="E444" s="7">
        <f>VLOOKUP(tbSellers[[#This Row],[Item]],tbMaterials[],4,FALSE)</f>
        <v>34</v>
      </c>
      <c r="F444" s="40">
        <v>1</v>
      </c>
      <c r="G444" s="47"/>
      <c r="H444" s="70" t="str">
        <f>IF(_xlfn.IFNA(VLOOKUP(tbSellers[[#This Row],[Item]],tbShoppingList[],1,FALSE),"")&lt;&gt;"","Yes","")</f>
        <v/>
      </c>
      <c r="I444" s="1"/>
      <c r="J444" s="4"/>
      <c r="K444" s="22"/>
    </row>
    <row r="445" spans="2:11" s="66" customFormat="1" ht="27.95" hidden="1" customHeight="1" x14ac:dyDescent="0.25">
      <c r="B445" s="66" t="str">
        <f>_xlfn.CONCAT(tbSellers[[#This Row],[Station]],tbSellers[[#This Row],[Item]])</f>
        <v>QixiexDioxite</v>
      </c>
      <c r="C445" s="66" t="s">
        <v>789</v>
      </c>
      <c r="D445" s="14" t="s">
        <v>72</v>
      </c>
      <c r="E445" s="7">
        <f>VLOOKUP(tbSellers[[#This Row],[Item]],tbMaterials[],4,FALSE)</f>
        <v>62</v>
      </c>
      <c r="F445" s="40">
        <v>1</v>
      </c>
      <c r="G445" s="47">
        <v>44030</v>
      </c>
      <c r="H445" s="70" t="str">
        <f>IF(_xlfn.IFNA(VLOOKUP(tbSellers[[#This Row],[Item]],tbShoppingList[],1,FALSE),"")&lt;&gt;"","Yes","")</f>
        <v/>
      </c>
      <c r="I445" s="1"/>
      <c r="J445" s="4"/>
      <c r="K445" s="22"/>
    </row>
    <row r="446" spans="2:11" s="66" customFormat="1" ht="27.95" hidden="1" customHeight="1" x14ac:dyDescent="0.25">
      <c r="B446" s="66" t="str">
        <f>_xlfn.CONCAT(tbSellers[[#This Row],[Station]],tbSellers[[#This Row],[Item]])</f>
        <v>Ludonoss IVFerrite Dust</v>
      </c>
      <c r="C446" s="66" t="s">
        <v>788</v>
      </c>
      <c r="D446" s="14" t="s">
        <v>12</v>
      </c>
      <c r="E446" s="7">
        <f>VLOOKUP(tbSellers[[#This Row],[Item]],tbMaterials[],4,FALSE)</f>
        <v>14</v>
      </c>
      <c r="F446" s="40">
        <v>1</v>
      </c>
      <c r="G446" s="47"/>
      <c r="H446" s="70" t="str">
        <f>IF(_xlfn.IFNA(VLOOKUP(tbSellers[[#This Row],[Item]],tbShoppingList[],1,FALSE),"")&lt;&gt;"","Yes","")</f>
        <v/>
      </c>
      <c r="I446" s="1"/>
      <c r="J446" s="4"/>
      <c r="K446" s="22"/>
    </row>
    <row r="447" spans="2:11" s="66" customFormat="1" ht="27.95" hidden="1" customHeight="1" x14ac:dyDescent="0.25">
      <c r="B447" s="66" t="str">
        <f>_xlfn.CONCAT(tbSellers[[#This Row],[Station]],tbSellers[[#This Row],[Item]])</f>
        <v>QixiexCobalt</v>
      </c>
      <c r="C447" s="66" t="s">
        <v>789</v>
      </c>
      <c r="D447" s="14" t="s">
        <v>6</v>
      </c>
      <c r="E447" s="7">
        <f>VLOOKUP(tbSellers[[#This Row],[Item]],tbMaterials[],4,FALSE)</f>
        <v>198</v>
      </c>
      <c r="F447" s="40">
        <v>1</v>
      </c>
      <c r="G447" s="47">
        <v>44030</v>
      </c>
      <c r="H447" s="70" t="str">
        <f>IF(_xlfn.IFNA(VLOOKUP(tbSellers[[#This Row],[Item]],tbShoppingList[],1,FALSE),"")&lt;&gt;"","Yes","")</f>
        <v/>
      </c>
      <c r="I447" s="1"/>
      <c r="J447" s="4"/>
      <c r="K447" s="22"/>
    </row>
    <row r="448" spans="2:11" s="66" customFormat="1" ht="27.95" hidden="1" customHeight="1" x14ac:dyDescent="0.25">
      <c r="B448" s="66" t="str">
        <f>_xlfn.CONCAT(tbSellers[[#This Row],[Station]],tbSellers[[#This Row],[Item]])</f>
        <v>QixiexIonised Cobalt</v>
      </c>
      <c r="C448" s="66" t="s">
        <v>789</v>
      </c>
      <c r="D448" s="14" t="s">
        <v>267</v>
      </c>
      <c r="E448" s="7">
        <f>VLOOKUP(tbSellers[[#This Row],[Item]],tbMaterials[],4,FALSE)</f>
        <v>401</v>
      </c>
      <c r="F448" s="40">
        <v>1</v>
      </c>
      <c r="G448" s="47">
        <v>44030</v>
      </c>
      <c r="H448" s="70" t="str">
        <f>IF(_xlfn.IFNA(VLOOKUP(tbSellers[[#This Row],[Item]],tbShoppingList[],1,FALSE),"")&lt;&gt;"","Yes","")</f>
        <v/>
      </c>
      <c r="I448" s="1"/>
      <c r="J448" s="4"/>
      <c r="K448" s="22"/>
    </row>
    <row r="449" spans="2:11" s="66" customFormat="1" ht="27.95" hidden="1" customHeight="1" x14ac:dyDescent="0.25">
      <c r="B449" s="66" t="str">
        <f>_xlfn.CONCAT(tbSellers[[#This Row],[Station]],tbSellers[[#This Row],[Item]])</f>
        <v>QixiexChromatic Metal</v>
      </c>
      <c r="C449" s="66" t="s">
        <v>789</v>
      </c>
      <c r="D449" s="14" t="s">
        <v>261</v>
      </c>
      <c r="E449" s="7">
        <f>VLOOKUP(tbSellers[[#This Row],[Item]],tbMaterials[],4,FALSE)</f>
        <v>245</v>
      </c>
      <c r="F449" s="40">
        <v>1</v>
      </c>
      <c r="G449" s="47">
        <v>44030</v>
      </c>
      <c r="H449" s="70" t="str">
        <f>IF(_xlfn.IFNA(VLOOKUP(tbSellers[[#This Row],[Item]],tbShoppingList[],1,FALSE),"")&lt;&gt;"","Yes","")</f>
        <v/>
      </c>
      <c r="I449" s="1"/>
      <c r="J449" s="4"/>
      <c r="K449" s="22"/>
    </row>
    <row r="450" spans="2:11" s="66" customFormat="1" ht="27.95" hidden="1" customHeight="1" x14ac:dyDescent="0.25">
      <c r="B450" s="66" t="str">
        <f>_xlfn.CONCAT(tbSellers[[#This Row],[Station]],tbSellers[[#This Row],[Item]])</f>
        <v>QixiexChlorine</v>
      </c>
      <c r="C450" s="66" t="s">
        <v>789</v>
      </c>
      <c r="D450" s="14" t="s">
        <v>83</v>
      </c>
      <c r="E450" s="7">
        <f>VLOOKUP(tbSellers[[#This Row],[Item]],tbMaterials[],4,FALSE)</f>
        <v>602</v>
      </c>
      <c r="F450" s="40">
        <v>1</v>
      </c>
      <c r="G450" s="47">
        <v>44030</v>
      </c>
      <c r="H450" s="70" t="str">
        <f>IF(_xlfn.IFNA(VLOOKUP(tbSellers[[#This Row],[Item]],tbShoppingList[],1,FALSE),"")&lt;&gt;"","Yes","")</f>
        <v/>
      </c>
      <c r="I450" s="1"/>
      <c r="J450" s="4"/>
      <c r="K450" s="22"/>
    </row>
    <row r="451" spans="2:11" s="66" customFormat="1" ht="27.95" hidden="1" customHeight="1" x14ac:dyDescent="0.25">
      <c r="B451" s="66" t="str">
        <f>_xlfn.CONCAT(tbSellers[[#This Row],[Station]],tbSellers[[#This Row],[Item]])</f>
        <v>QixiexSodium</v>
      </c>
      <c r="C451" s="66" t="s">
        <v>789</v>
      </c>
      <c r="D451" s="14" t="s">
        <v>9</v>
      </c>
      <c r="E451" s="7">
        <f>VLOOKUP(tbSellers[[#This Row],[Item]],tbMaterials[],4,FALSE)</f>
        <v>41</v>
      </c>
      <c r="F451" s="40">
        <v>1</v>
      </c>
      <c r="G451" s="47">
        <v>44030</v>
      </c>
      <c r="H451" s="70" t="str">
        <f>IF(_xlfn.IFNA(VLOOKUP(tbSellers[[#This Row],[Item]],tbShoppingList[],1,FALSE),"")&lt;&gt;"","Yes","")</f>
        <v/>
      </c>
      <c r="I451" s="1"/>
      <c r="J451" s="4"/>
      <c r="K451" s="22"/>
    </row>
    <row r="452" spans="2:11" s="66" customFormat="1" ht="27.95" hidden="1" customHeight="1" x14ac:dyDescent="0.25">
      <c r="B452" s="66" t="str">
        <f>_xlfn.CONCAT(tbSellers[[#This Row],[Station]],tbSellers[[#This Row],[Item]])</f>
        <v>QixiexOxygen</v>
      </c>
      <c r="C452" s="66" t="s">
        <v>789</v>
      </c>
      <c r="D452" s="14" t="s">
        <v>8</v>
      </c>
      <c r="E452" s="7">
        <f>VLOOKUP(tbSellers[[#This Row],[Item]],tbMaterials[],4,FALSE)</f>
        <v>34</v>
      </c>
      <c r="F452" s="40">
        <v>1</v>
      </c>
      <c r="G452" s="47">
        <v>44030</v>
      </c>
      <c r="H452" s="70" t="str">
        <f>IF(_xlfn.IFNA(VLOOKUP(tbSellers[[#This Row],[Item]],tbShoppingList[],1,FALSE),"")&lt;&gt;"","Yes","")</f>
        <v/>
      </c>
      <c r="I452" s="1"/>
      <c r="J452" s="4"/>
      <c r="K452" s="22"/>
    </row>
    <row r="453" spans="2:11" s="66" customFormat="1" ht="27.95" hidden="1" customHeight="1" x14ac:dyDescent="0.25">
      <c r="B453" s="66" t="str">
        <f>_xlfn.CONCAT(tbSellers[[#This Row],[Station]],tbSellers[[#This Row],[Item]])</f>
        <v>QixiexSilver</v>
      </c>
      <c r="C453" s="66" t="s">
        <v>789</v>
      </c>
      <c r="D453" s="14" t="s">
        <v>19</v>
      </c>
      <c r="E453" s="7">
        <f>VLOOKUP(tbSellers[[#This Row],[Item]],tbMaterials[],4,FALSE)</f>
        <v>186</v>
      </c>
      <c r="F453" s="40">
        <v>1</v>
      </c>
      <c r="G453" s="47">
        <v>44030</v>
      </c>
      <c r="H453" s="70" t="str">
        <f>IF(_xlfn.IFNA(VLOOKUP(tbSellers[[#This Row],[Item]],tbShoppingList[],1,FALSE),"")&lt;&gt;"","Yes","")</f>
        <v/>
      </c>
      <c r="I453" s="1"/>
      <c r="J453" s="4"/>
      <c r="K453" s="22"/>
    </row>
    <row r="454" spans="2:11" s="66" customFormat="1" ht="27.95" hidden="1" customHeight="1" x14ac:dyDescent="0.25">
      <c r="B454" s="66" t="str">
        <f>_xlfn.CONCAT(tbSellers[[#This Row],[Station]],tbSellers[[#This Row],[Item]])</f>
        <v>QixiexFerrite Dust</v>
      </c>
      <c r="C454" s="66" t="s">
        <v>789</v>
      </c>
      <c r="D454" s="14" t="s">
        <v>12</v>
      </c>
      <c r="E454" s="7">
        <f>VLOOKUP(tbSellers[[#This Row],[Item]],tbMaterials[],4,FALSE)</f>
        <v>14</v>
      </c>
      <c r="F454" s="40">
        <v>1</v>
      </c>
      <c r="G454" s="47">
        <v>44030</v>
      </c>
      <c r="H454" s="70" t="str">
        <f>IF(_xlfn.IFNA(VLOOKUP(tbSellers[[#This Row],[Item]],tbShoppingList[],1,FALSE),"")&lt;&gt;"","Yes","")</f>
        <v/>
      </c>
      <c r="I454" s="1"/>
      <c r="J454" s="4"/>
      <c r="K454" s="22"/>
    </row>
    <row r="455" spans="2:11" s="66" customFormat="1" ht="27.95" hidden="1" customHeight="1" x14ac:dyDescent="0.25">
      <c r="B455" s="66" t="str">
        <f>_xlfn.CONCAT(tbSellers[[#This Row],[Station]],tbSellers[[#This Row],[Item]])</f>
        <v>QixiexPlatinum</v>
      </c>
      <c r="C455" s="66" t="s">
        <v>789</v>
      </c>
      <c r="D455" s="14" t="s">
        <v>18</v>
      </c>
      <c r="E455" s="7">
        <f>VLOOKUP(tbSellers[[#This Row],[Item]],tbMaterials[],4,FALSE)</f>
        <v>505</v>
      </c>
      <c r="F455" s="40">
        <v>2</v>
      </c>
      <c r="G455" s="47">
        <v>44030</v>
      </c>
      <c r="H455" s="70" t="str">
        <f>IF(_xlfn.IFNA(VLOOKUP(tbSellers[[#This Row],[Item]],tbShoppingList[],1,FALSE),"")&lt;&gt;"","Yes","")</f>
        <v/>
      </c>
      <c r="I455" s="1"/>
      <c r="J455" s="4"/>
      <c r="K455" s="22"/>
    </row>
    <row r="456" spans="2:11" s="66" customFormat="1" ht="27.95" hidden="1" customHeight="1" x14ac:dyDescent="0.25">
      <c r="B456" s="66" t="str">
        <f>_xlfn.CONCAT(tbSellers[[#This Row],[Station]],tbSellers[[#This Row],[Item]])</f>
        <v>QixiexPhosphorus</v>
      </c>
      <c r="C456" s="66" t="s">
        <v>789</v>
      </c>
      <c r="D456" s="14" t="s">
        <v>34</v>
      </c>
      <c r="E456" s="7">
        <f>VLOOKUP(tbSellers[[#This Row],[Item]],tbMaterials[],4,FALSE)</f>
        <v>62</v>
      </c>
      <c r="F456" s="40">
        <v>2</v>
      </c>
      <c r="G456" s="47">
        <v>44030</v>
      </c>
      <c r="H456" s="70" t="str">
        <f>IF(_xlfn.IFNA(VLOOKUP(tbSellers[[#This Row],[Item]],tbShoppingList[],1,FALSE),"")&lt;&gt;"","Yes","")</f>
        <v/>
      </c>
      <c r="I456" s="1"/>
      <c r="J456" s="4"/>
      <c r="K456" s="22"/>
    </row>
    <row r="457" spans="2:11" s="66" customFormat="1" ht="27.95" hidden="1" customHeight="1" x14ac:dyDescent="0.25">
      <c r="B457" s="66" t="str">
        <f>_xlfn.CONCAT(tbSellers[[#This Row],[Station]],tbSellers[[#This Row],[Item]])</f>
        <v>QixiexSodium Nitrate</v>
      </c>
      <c r="C457" s="66" t="s">
        <v>789</v>
      </c>
      <c r="D457" s="14" t="s">
        <v>11</v>
      </c>
      <c r="E457" s="7">
        <f>VLOOKUP(tbSellers[[#This Row],[Item]],tbMaterials[],4,FALSE)</f>
        <v>82</v>
      </c>
      <c r="F457" s="40">
        <v>2</v>
      </c>
      <c r="G457" s="47">
        <v>44030</v>
      </c>
      <c r="H457" s="70" t="str">
        <f>IF(_xlfn.IFNA(VLOOKUP(tbSellers[[#This Row],[Item]],tbShoppingList[],1,FALSE),"")&lt;&gt;"","Yes","")</f>
        <v/>
      </c>
      <c r="I457" s="1"/>
      <c r="J457" s="4"/>
      <c r="K457" s="22"/>
    </row>
    <row r="458" spans="2:11" s="66" customFormat="1" ht="27.95" hidden="1" customHeight="1" x14ac:dyDescent="0.25">
      <c r="B458" s="66" t="str">
        <f>_xlfn.CONCAT(tbSellers[[#This Row],[Station]],tbSellers[[#This Row],[Item]])</f>
        <v>Humban-Yas XCobalt</v>
      </c>
      <c r="C458" s="66" t="s">
        <v>797</v>
      </c>
      <c r="D458" s="14" t="s">
        <v>6</v>
      </c>
      <c r="E458" s="7">
        <f>VLOOKUP(tbSellers[[#This Row],[Item]],tbMaterials[],4,FALSE)</f>
        <v>198</v>
      </c>
      <c r="F458" s="40">
        <v>1</v>
      </c>
      <c r="G458" s="47">
        <v>44029</v>
      </c>
      <c r="H458" s="70" t="str">
        <f>IF(_xlfn.IFNA(VLOOKUP(tbSellers[[#This Row],[Item]],tbShoppingList[],1,FALSE),"")&lt;&gt;"","Yes","")</f>
        <v/>
      </c>
      <c r="I458" s="1"/>
      <c r="J458" s="4"/>
      <c r="K458" s="22"/>
    </row>
    <row r="459" spans="2:11" s="66" customFormat="1" ht="27.95" hidden="1" customHeight="1" x14ac:dyDescent="0.25">
      <c r="B459" s="66" t="str">
        <f>_xlfn.CONCAT(tbSellers[[#This Row],[Station]],tbSellers[[#This Row],[Item]])</f>
        <v>Humban-Yas XAmmonia</v>
      </c>
      <c r="C459" s="66" t="s">
        <v>797</v>
      </c>
      <c r="D459" s="14" t="s">
        <v>84</v>
      </c>
      <c r="E459" s="7">
        <f>VLOOKUP(tbSellers[[#This Row],[Item]],tbMaterials[],4,FALSE)</f>
        <v>62</v>
      </c>
      <c r="F459" s="40">
        <v>1</v>
      </c>
      <c r="G459" s="47">
        <v>44029</v>
      </c>
      <c r="H459" s="70" t="str">
        <f>IF(_xlfn.IFNA(VLOOKUP(tbSellers[[#This Row],[Item]],tbShoppingList[],1,FALSE),"")&lt;&gt;"","Yes","")</f>
        <v/>
      </c>
      <c r="I459" s="1"/>
      <c r="J459" s="4"/>
      <c r="K459" s="22"/>
    </row>
    <row r="460" spans="2:11" s="66" customFormat="1" ht="27.95" hidden="1" customHeight="1" x14ac:dyDescent="0.25">
      <c r="B460" s="66" t="str">
        <f>_xlfn.CONCAT(tbSellers[[#This Row],[Station]],tbSellers[[#This Row],[Item]])</f>
        <v>Humban-Yas XIonised Cobalt</v>
      </c>
      <c r="C460" s="66" t="s">
        <v>797</v>
      </c>
      <c r="D460" s="14" t="s">
        <v>267</v>
      </c>
      <c r="E460" s="7">
        <f>VLOOKUP(tbSellers[[#This Row],[Item]],tbMaterials[],4,FALSE)</f>
        <v>401</v>
      </c>
      <c r="F460" s="40">
        <v>1</v>
      </c>
      <c r="G460" s="47">
        <v>44029</v>
      </c>
      <c r="H460" s="70" t="str">
        <f>IF(_xlfn.IFNA(VLOOKUP(tbSellers[[#This Row],[Item]],tbShoppingList[],1,FALSE),"")&lt;&gt;"","Yes","")</f>
        <v/>
      </c>
      <c r="I460" s="1"/>
      <c r="J460" s="4"/>
      <c r="K460" s="22"/>
    </row>
    <row r="461" spans="2:11" s="66" customFormat="1" ht="27.95" hidden="1" customHeight="1" x14ac:dyDescent="0.25">
      <c r="B461" s="66" t="str">
        <f>_xlfn.CONCAT(tbSellers[[#This Row],[Station]],tbSellers[[#This Row],[Item]])</f>
        <v>Humban-Yas XSodium</v>
      </c>
      <c r="C461" s="66" t="s">
        <v>797</v>
      </c>
      <c r="D461" s="14" t="s">
        <v>9</v>
      </c>
      <c r="E461" s="7">
        <f>VLOOKUP(tbSellers[[#This Row],[Item]],tbMaterials[],4,FALSE)</f>
        <v>41</v>
      </c>
      <c r="F461" s="40">
        <v>1</v>
      </c>
      <c r="G461" s="47">
        <v>44029</v>
      </c>
      <c r="H461" s="70" t="str">
        <f>IF(_xlfn.IFNA(VLOOKUP(tbSellers[[#This Row],[Item]],tbShoppingList[],1,FALSE),"")&lt;&gt;"","Yes","")</f>
        <v/>
      </c>
      <c r="I461" s="1"/>
      <c r="J461" s="4"/>
      <c r="K461" s="22"/>
    </row>
    <row r="462" spans="2:11" s="66" customFormat="1" ht="27.95" hidden="1" customHeight="1" x14ac:dyDescent="0.25">
      <c r="B462" s="66" t="str">
        <f>_xlfn.CONCAT(tbSellers[[#This Row],[Station]],tbSellers[[#This Row],[Item]])</f>
        <v>Humban-Yas XOxygen</v>
      </c>
      <c r="C462" s="66" t="s">
        <v>797</v>
      </c>
      <c r="D462" s="14" t="s">
        <v>8</v>
      </c>
      <c r="E462" s="7">
        <f>VLOOKUP(tbSellers[[#This Row],[Item]],tbMaterials[],4,FALSE)</f>
        <v>34</v>
      </c>
      <c r="F462" s="40">
        <v>1</v>
      </c>
      <c r="G462" s="47">
        <v>44029</v>
      </c>
      <c r="H462" s="70" t="str">
        <f>IF(_xlfn.IFNA(VLOOKUP(tbSellers[[#This Row],[Item]],tbShoppingList[],1,FALSE),"")&lt;&gt;"","Yes","")</f>
        <v/>
      </c>
      <c r="I462" s="1"/>
      <c r="J462" s="4"/>
      <c r="K462" s="22"/>
    </row>
    <row r="463" spans="2:11" s="66" customFormat="1" ht="27.95" hidden="1" customHeight="1" x14ac:dyDescent="0.25">
      <c r="B463" s="66" t="str">
        <f>_xlfn.CONCAT(tbSellers[[#This Row],[Station]],tbSellers[[#This Row],[Item]])</f>
        <v>Humban-Yas XFerrite Dust</v>
      </c>
      <c r="C463" s="66" t="s">
        <v>797</v>
      </c>
      <c r="D463" s="14" t="s">
        <v>12</v>
      </c>
      <c r="E463" s="7">
        <f>VLOOKUP(tbSellers[[#This Row],[Item]],tbMaterials[],4,FALSE)</f>
        <v>14</v>
      </c>
      <c r="F463" s="40">
        <v>1</v>
      </c>
      <c r="G463" s="47">
        <v>44029</v>
      </c>
      <c r="H463" s="70" t="str">
        <f>IF(_xlfn.IFNA(VLOOKUP(tbSellers[[#This Row],[Item]],tbShoppingList[],1,FALSE),"")&lt;&gt;"","Yes","")</f>
        <v/>
      </c>
      <c r="I463" s="1"/>
      <c r="J463" s="4"/>
      <c r="K463" s="22"/>
    </row>
    <row r="464" spans="2:11" s="66" customFormat="1" ht="27.95" hidden="1" customHeight="1" x14ac:dyDescent="0.25">
      <c r="B464" s="66" t="str">
        <f>_xlfn.CONCAT(tbSellers[[#This Row],[Station]],tbSellers[[#This Row],[Item]])</f>
        <v>Humban-Yas XPhosphorus</v>
      </c>
      <c r="C464" s="66" t="s">
        <v>797</v>
      </c>
      <c r="D464" s="14" t="s">
        <v>34</v>
      </c>
      <c r="E464" s="7">
        <f>VLOOKUP(tbSellers[[#This Row],[Item]],tbMaterials[],4,FALSE)</f>
        <v>62</v>
      </c>
      <c r="F464" s="40">
        <v>1</v>
      </c>
      <c r="G464" s="47">
        <v>44029</v>
      </c>
      <c r="H464" s="70" t="str">
        <f>IF(_xlfn.IFNA(VLOOKUP(tbSellers[[#This Row],[Item]],tbShoppingList[],1,FALSE),"")&lt;&gt;"","Yes","")</f>
        <v/>
      </c>
      <c r="I464" s="1"/>
      <c r="J464" s="4"/>
      <c r="K464" s="22"/>
    </row>
    <row r="465" spans="2:11" s="66" customFormat="1" ht="27.95" hidden="1" customHeight="1" x14ac:dyDescent="0.25">
      <c r="B465" s="66" t="str">
        <f>_xlfn.CONCAT(tbSellers[[#This Row],[Station]],tbSellers[[#This Row],[Item]])</f>
        <v>Humban-Yas XSilver</v>
      </c>
      <c r="C465" s="66" t="s">
        <v>797</v>
      </c>
      <c r="D465" s="14" t="s">
        <v>19</v>
      </c>
      <c r="E465" s="7">
        <f>VLOOKUP(tbSellers[[#This Row],[Item]],tbMaterials[],4,FALSE)</f>
        <v>186</v>
      </c>
      <c r="F465" s="40">
        <v>2</v>
      </c>
      <c r="G465" s="47">
        <v>44029</v>
      </c>
      <c r="H465" s="70" t="str">
        <f>IF(_xlfn.IFNA(VLOOKUP(tbSellers[[#This Row],[Item]],tbShoppingList[],1,FALSE),"")&lt;&gt;"","Yes","")</f>
        <v/>
      </c>
      <c r="I465" s="1"/>
      <c r="J465" s="4"/>
      <c r="K465" s="22"/>
    </row>
    <row r="466" spans="2:11" s="66" customFormat="1" ht="27.95" hidden="1" customHeight="1" x14ac:dyDescent="0.25">
      <c r="B466" s="66" t="str">
        <f>_xlfn.CONCAT(tbSellers[[#This Row],[Station]],tbSellers[[#This Row],[Item]])</f>
        <v>Humban-Yas XChromatic Metal</v>
      </c>
      <c r="C466" s="66" t="s">
        <v>797</v>
      </c>
      <c r="D466" s="14" t="s">
        <v>261</v>
      </c>
      <c r="E466" s="7">
        <f>VLOOKUP(tbSellers[[#This Row],[Item]],tbMaterials[],4,FALSE)</f>
        <v>245</v>
      </c>
      <c r="F466" s="40">
        <v>2</v>
      </c>
      <c r="G466" s="47">
        <v>44029</v>
      </c>
      <c r="H466" s="70" t="str">
        <f>IF(_xlfn.IFNA(VLOOKUP(tbSellers[[#This Row],[Item]],tbShoppingList[],1,FALSE),"")&lt;&gt;"","Yes","")</f>
        <v/>
      </c>
      <c r="I466" s="1"/>
      <c r="J466" s="4"/>
      <c r="K466" s="22"/>
    </row>
    <row r="467" spans="2:11" s="66" customFormat="1" ht="27.95" hidden="1" customHeight="1" x14ac:dyDescent="0.25">
      <c r="B467" s="66" t="str">
        <f>_xlfn.CONCAT(tbSellers[[#This Row],[Station]],tbSellers[[#This Row],[Item]])</f>
        <v>JukuokOxygen</v>
      </c>
      <c r="C467" s="66" t="s">
        <v>829</v>
      </c>
      <c r="D467" s="14" t="s">
        <v>8</v>
      </c>
      <c r="E467" s="7">
        <f>VLOOKUP(tbSellers[[#This Row],[Item]],tbMaterials[],4,FALSE)</f>
        <v>34</v>
      </c>
      <c r="F467" s="40">
        <v>1</v>
      </c>
      <c r="G467" s="47">
        <v>44029</v>
      </c>
      <c r="H467" s="70" t="str">
        <f>IF(_xlfn.IFNA(VLOOKUP(tbSellers[[#This Row],[Item]],tbShoppingList[],1,FALSE),"")&lt;&gt;"","Yes","")</f>
        <v/>
      </c>
      <c r="I467" s="1"/>
      <c r="J467" s="4"/>
      <c r="K467" s="22"/>
    </row>
    <row r="468" spans="2:11" s="66" customFormat="1" ht="27.95" hidden="1" customHeight="1" x14ac:dyDescent="0.25">
      <c r="B468" s="66" t="str">
        <f>_xlfn.CONCAT(tbSellers[[#This Row],[Station]],tbSellers[[#This Row],[Item]])</f>
        <v>JukuokSodium</v>
      </c>
      <c r="C468" s="66" t="s">
        <v>829</v>
      </c>
      <c r="D468" s="14" t="s">
        <v>9</v>
      </c>
      <c r="E468" s="7">
        <f>VLOOKUP(tbSellers[[#This Row],[Item]],tbMaterials[],4,FALSE)</f>
        <v>41</v>
      </c>
      <c r="F468" s="40">
        <v>1</v>
      </c>
      <c r="G468" s="47">
        <v>44029</v>
      </c>
      <c r="H468" s="70" t="str">
        <f>IF(_xlfn.IFNA(VLOOKUP(tbSellers[[#This Row],[Item]],tbShoppingList[],1,FALSE),"")&lt;&gt;"","Yes","")</f>
        <v/>
      </c>
      <c r="I468" s="1"/>
      <c r="J468" s="4"/>
      <c r="K468" s="22"/>
    </row>
    <row r="469" spans="2:11" s="66" customFormat="1" ht="27.95" hidden="1" customHeight="1" x14ac:dyDescent="0.25">
      <c r="B469" s="66" t="str">
        <f>_xlfn.CONCAT(tbSellers[[#This Row],[Station]],tbSellers[[#This Row],[Item]])</f>
        <v>JukuokCobalt</v>
      </c>
      <c r="C469" s="66" t="s">
        <v>829</v>
      </c>
      <c r="D469" s="14" t="s">
        <v>6</v>
      </c>
      <c r="E469" s="7">
        <f>VLOOKUP(tbSellers[[#This Row],[Item]],tbMaterials[],4,FALSE)</f>
        <v>198</v>
      </c>
      <c r="F469" s="40">
        <v>1</v>
      </c>
      <c r="G469" s="47">
        <v>44029</v>
      </c>
      <c r="H469" s="70" t="str">
        <f>IF(_xlfn.IFNA(VLOOKUP(tbSellers[[#This Row],[Item]],tbShoppingList[],1,FALSE),"")&lt;&gt;"","Yes","")</f>
        <v/>
      </c>
      <c r="I469" s="1"/>
      <c r="J469" s="4"/>
      <c r="K469" s="22"/>
    </row>
    <row r="470" spans="2:11" s="66" customFormat="1" ht="27.95" hidden="1" customHeight="1" x14ac:dyDescent="0.25">
      <c r="B470" s="66" t="str">
        <f>_xlfn.CONCAT(tbSellers[[#This Row],[Station]],tbSellers[[#This Row],[Item]])</f>
        <v>JukuokGold</v>
      </c>
      <c r="C470" s="66" t="s">
        <v>829</v>
      </c>
      <c r="D470" s="14" t="s">
        <v>24</v>
      </c>
      <c r="E470" s="7">
        <f>VLOOKUP(tbSellers[[#This Row],[Item]],tbMaterials[],4,FALSE)</f>
        <v>353</v>
      </c>
      <c r="F470" s="40">
        <v>1</v>
      </c>
      <c r="G470" s="47">
        <v>44029</v>
      </c>
      <c r="H470" s="70" t="str">
        <f>IF(_xlfn.IFNA(VLOOKUP(tbSellers[[#This Row],[Item]],tbShoppingList[],1,FALSE),"")&lt;&gt;"","Yes","")</f>
        <v/>
      </c>
      <c r="I470" s="1"/>
      <c r="J470" s="4"/>
      <c r="K470" s="22"/>
    </row>
    <row r="471" spans="2:11" s="66" customFormat="1" ht="27.95" hidden="1" customHeight="1" x14ac:dyDescent="0.25">
      <c r="B471" s="66" t="str">
        <f>_xlfn.CONCAT(tbSellers[[#This Row],[Station]],tbSellers[[#This Row],[Item]])</f>
        <v>JukuokPlatinum</v>
      </c>
      <c r="C471" s="66" t="s">
        <v>829</v>
      </c>
      <c r="D471" s="14" t="s">
        <v>18</v>
      </c>
      <c r="E471" s="7">
        <f>VLOOKUP(tbSellers[[#This Row],[Item]],tbMaterials[],4,FALSE)</f>
        <v>505</v>
      </c>
      <c r="F471" s="40">
        <v>1</v>
      </c>
      <c r="G471" s="47">
        <v>44029</v>
      </c>
      <c r="H471" s="70" t="str">
        <f>IF(_xlfn.IFNA(VLOOKUP(tbSellers[[#This Row],[Item]],tbShoppingList[],1,FALSE),"")&lt;&gt;"","Yes","")</f>
        <v/>
      </c>
      <c r="I471" s="1"/>
      <c r="J471" s="4"/>
      <c r="K471" s="22"/>
    </row>
    <row r="472" spans="2:11" s="66" customFormat="1" ht="27.95" hidden="1" customHeight="1" x14ac:dyDescent="0.25">
      <c r="B472" s="66" t="str">
        <f>_xlfn.CONCAT(tbSellers[[#This Row],[Station]],tbSellers[[#This Row],[Item]])</f>
        <v>JukuokPure Ferrite</v>
      </c>
      <c r="C472" s="66" t="s">
        <v>829</v>
      </c>
      <c r="D472" s="14" t="s">
        <v>266</v>
      </c>
      <c r="E472" s="7">
        <f>VLOOKUP(tbSellers[[#This Row],[Item]],tbMaterials[],4,FALSE)</f>
        <v>28</v>
      </c>
      <c r="F472" s="40">
        <v>1</v>
      </c>
      <c r="G472" s="47">
        <v>44029</v>
      </c>
      <c r="H472" s="70" t="str">
        <f>IF(_xlfn.IFNA(VLOOKUP(tbSellers[[#This Row],[Item]],tbShoppingList[],1,FALSE),"")&lt;&gt;"","Yes","")</f>
        <v/>
      </c>
      <c r="I472" s="1"/>
      <c r="J472" s="4"/>
      <c r="K472" s="22"/>
    </row>
    <row r="473" spans="2:11" s="66" customFormat="1" ht="27.95" hidden="1" customHeight="1" x14ac:dyDescent="0.25">
      <c r="B473" s="66" t="str">
        <f>_xlfn.CONCAT(tbSellers[[#This Row],[Station]],tbSellers[[#This Row],[Item]])</f>
        <v>JukuokTritium</v>
      </c>
      <c r="C473" s="66" t="s">
        <v>829</v>
      </c>
      <c r="D473" s="14" t="s">
        <v>25</v>
      </c>
      <c r="E473" s="7">
        <f>VLOOKUP(tbSellers[[#This Row],[Item]],tbMaterials[],4,FALSE)</f>
        <v>6</v>
      </c>
      <c r="F473" s="40">
        <v>1</v>
      </c>
      <c r="G473" s="47">
        <v>44029</v>
      </c>
      <c r="H473" s="70" t="str">
        <f>IF(_xlfn.IFNA(VLOOKUP(tbSellers[[#This Row],[Item]],tbShoppingList[],1,FALSE),"")&lt;&gt;"","Yes","")</f>
        <v>Yes</v>
      </c>
      <c r="I473" s="1"/>
      <c r="J473" s="4"/>
      <c r="K473" s="22"/>
    </row>
    <row r="474" spans="2:11" s="66" customFormat="1" ht="27.95" customHeight="1" x14ac:dyDescent="0.25">
      <c r="B474" s="66" t="str">
        <f>_xlfn.CONCAT(tbSellers[[#This Row],[Station]],tbSellers[[#This Row],[Item]])</f>
        <v>BootleFerrite Dust</v>
      </c>
      <c r="C474" s="66" t="s">
        <v>831</v>
      </c>
      <c r="D474" s="14" t="s">
        <v>12</v>
      </c>
      <c r="E474" s="7">
        <f>VLOOKUP(tbSellers[[#This Row],[Item]],tbMaterials[],4,FALSE)</f>
        <v>14</v>
      </c>
      <c r="F474" s="40">
        <v>1</v>
      </c>
      <c r="G474" s="47"/>
      <c r="H474" s="70" t="str">
        <f>IF(_xlfn.IFNA(VLOOKUP(tbSellers[[#This Row],[Item]],tbShoppingList[],1,FALSE),"")&lt;&gt;"","Yes","")</f>
        <v/>
      </c>
      <c r="I474" s="1"/>
      <c r="J474" s="4"/>
      <c r="K474" s="22"/>
    </row>
    <row r="475" spans="2:11" s="66" customFormat="1" ht="27.95" hidden="1" customHeight="1" x14ac:dyDescent="0.25">
      <c r="B475" s="66" t="str">
        <f>_xlfn.CONCAT(tbSellers[[#This Row],[Station]],tbSellers[[#This Row],[Item]])</f>
        <v>JukuokPugneum</v>
      </c>
      <c r="C475" s="66" t="s">
        <v>829</v>
      </c>
      <c r="D475" s="14" t="s">
        <v>262</v>
      </c>
      <c r="E475" s="7">
        <f>VLOOKUP(tbSellers[[#This Row],[Item]],tbMaterials[],4,FALSE)</f>
        <v>138</v>
      </c>
      <c r="F475" s="40">
        <v>2</v>
      </c>
      <c r="G475" s="47">
        <v>44029</v>
      </c>
      <c r="H475" s="70" t="str">
        <f>IF(_xlfn.IFNA(VLOOKUP(tbSellers[[#This Row],[Item]],tbShoppingList[],1,FALSE),"")&lt;&gt;"","Yes","")</f>
        <v/>
      </c>
      <c r="I475" s="1"/>
      <c r="J475" s="4"/>
      <c r="K475" s="22"/>
    </row>
    <row r="476" spans="2:11" s="66" customFormat="1" ht="27.95" customHeight="1" x14ac:dyDescent="0.25">
      <c r="B476" s="66" t="str">
        <f>_xlfn.CONCAT(tbSellers[[#This Row],[Station]],tbSellers[[#This Row],[Item]])</f>
        <v>BootleCobalt</v>
      </c>
      <c r="C476" s="66" t="s">
        <v>831</v>
      </c>
      <c r="D476" s="14" t="s">
        <v>6</v>
      </c>
      <c r="E476" s="7">
        <f>VLOOKUP(tbSellers[[#This Row],[Item]],tbMaterials[],4,FALSE)</f>
        <v>198</v>
      </c>
      <c r="F476" s="40">
        <v>1</v>
      </c>
      <c r="G476" s="47"/>
      <c r="H476" s="70" t="str">
        <f>IF(_xlfn.IFNA(VLOOKUP(tbSellers[[#This Row],[Item]],tbShoppingList[],1,FALSE),"")&lt;&gt;"","Yes","")</f>
        <v/>
      </c>
      <c r="I476" s="1"/>
      <c r="J476" s="4"/>
      <c r="K476" s="22"/>
    </row>
    <row r="477" spans="2:11" s="66" customFormat="1" ht="27.95" customHeight="1" x14ac:dyDescent="0.25">
      <c r="B477" s="66" t="str">
        <f>_xlfn.CONCAT(tbSellers[[#This Row],[Station]],tbSellers[[#This Row],[Item]])</f>
        <v>BootleOxygen</v>
      </c>
      <c r="C477" s="66" t="s">
        <v>831</v>
      </c>
      <c r="D477" s="14" t="s">
        <v>8</v>
      </c>
      <c r="E477" s="7">
        <f>VLOOKUP(tbSellers[[#This Row],[Item]],tbMaterials[],4,FALSE)</f>
        <v>34</v>
      </c>
      <c r="F477" s="40">
        <v>1</v>
      </c>
      <c r="G477" s="47"/>
      <c r="H477" s="70" t="str">
        <f>IF(_xlfn.IFNA(VLOOKUP(tbSellers[[#This Row],[Item]],tbShoppingList[],1,FALSE),"")&lt;&gt;"","Yes","")</f>
        <v/>
      </c>
      <c r="I477" s="1"/>
      <c r="J477" s="4"/>
      <c r="K477" s="22"/>
    </row>
    <row r="478" spans="2:11" s="66" customFormat="1" ht="27.95" customHeight="1" x14ac:dyDescent="0.25">
      <c r="B478" s="66" t="str">
        <f>_xlfn.CONCAT(tbSellers[[#This Row],[Station]],tbSellers[[#This Row],[Item]])</f>
        <v>BootleSodium</v>
      </c>
      <c r="C478" s="66" t="s">
        <v>831</v>
      </c>
      <c r="D478" s="14" t="s">
        <v>9</v>
      </c>
      <c r="E478" s="7">
        <f>VLOOKUP(tbSellers[[#This Row],[Item]],tbMaterials[],4,FALSE)</f>
        <v>41</v>
      </c>
      <c r="F478" s="40">
        <v>1</v>
      </c>
      <c r="G478" s="47"/>
      <c r="H478" s="70" t="str">
        <f>IF(_xlfn.IFNA(VLOOKUP(tbSellers[[#This Row],[Item]],tbShoppingList[],1,FALSE),"")&lt;&gt;"","Yes","")</f>
        <v/>
      </c>
      <c r="I478" s="1"/>
      <c r="J478" s="4"/>
      <c r="K478" s="22"/>
    </row>
    <row r="479" spans="2:11" s="66" customFormat="1" ht="27.95" customHeight="1" x14ac:dyDescent="0.25">
      <c r="B479" s="66" t="str">
        <f>_xlfn.CONCAT(tbSellers[[#This Row],[Station]],tbSellers[[#This Row],[Item]])</f>
        <v>BootlePlatinum</v>
      </c>
      <c r="C479" s="66" t="s">
        <v>831</v>
      </c>
      <c r="D479" s="14" t="s">
        <v>18</v>
      </c>
      <c r="E479" s="7">
        <f>VLOOKUP(tbSellers[[#This Row],[Item]],tbMaterials[],4,FALSE)</f>
        <v>505</v>
      </c>
      <c r="F479" s="40">
        <v>2</v>
      </c>
      <c r="G479" s="47"/>
      <c r="H479" s="70" t="str">
        <f>IF(_xlfn.IFNA(VLOOKUP(tbSellers[[#This Row],[Item]],tbShoppingList[],1,FALSE),"")&lt;&gt;"","Yes","")</f>
        <v/>
      </c>
      <c r="I479" s="1"/>
      <c r="J479" s="4"/>
      <c r="K479" s="22"/>
    </row>
    <row r="480" spans="2:11" s="66" customFormat="1" ht="27.95" customHeight="1" x14ac:dyDescent="0.25">
      <c r="B480" s="66" t="str">
        <f>_xlfn.CONCAT(tbSellers[[#This Row],[Station]],tbSellers[[#This Row],[Item]])</f>
        <v>BootlePugneum</v>
      </c>
      <c r="C480" s="66" t="s">
        <v>831</v>
      </c>
      <c r="D480" s="14" t="s">
        <v>262</v>
      </c>
      <c r="E480" s="7">
        <f>VLOOKUP(tbSellers[[#This Row],[Item]],tbMaterials[],4,FALSE)</f>
        <v>138</v>
      </c>
      <c r="F480" s="40">
        <v>2</v>
      </c>
      <c r="G480" s="47"/>
      <c r="H480" s="70" t="str">
        <f>IF(_xlfn.IFNA(VLOOKUP(tbSellers[[#This Row],[Item]],tbShoppingList[],1,FALSE),"")&lt;&gt;"","Yes","")</f>
        <v/>
      </c>
      <c r="I480" s="1"/>
      <c r="J480" s="4"/>
      <c r="K480" s="22"/>
    </row>
    <row r="481" spans="2:11" s="66" customFormat="1" ht="27.95" customHeight="1" x14ac:dyDescent="0.25">
      <c r="B481" s="66" t="str">
        <f>_xlfn.CONCAT(tbSellers[[#This Row],[Station]],tbSellers[[#This Row],[Item]])</f>
        <v>BootleIonised Cobalt</v>
      </c>
      <c r="C481" s="66" t="s">
        <v>831</v>
      </c>
      <c r="D481" s="14" t="s">
        <v>267</v>
      </c>
      <c r="E481" s="7">
        <f>VLOOKUP(tbSellers[[#This Row],[Item]],tbMaterials[],4,FALSE)</f>
        <v>401</v>
      </c>
      <c r="F481" s="40">
        <v>2</v>
      </c>
      <c r="G481" s="47"/>
      <c r="H481" s="70" t="str">
        <f>IF(_xlfn.IFNA(VLOOKUP(tbSellers[[#This Row],[Item]],tbShoppingList[],1,FALSE),"")&lt;&gt;"","Yes","")</f>
        <v/>
      </c>
      <c r="I481" s="1"/>
      <c r="J481" s="4"/>
      <c r="K481" s="22"/>
    </row>
    <row r="482" spans="2:11" s="66" customFormat="1" ht="27.95" customHeight="1" x14ac:dyDescent="0.25">
      <c r="B482" s="66" t="str">
        <f>_xlfn.CONCAT(tbSellers[[#This Row],[Station]],tbSellers[[#This Row],[Item]])</f>
        <v>BootlePhosphorus</v>
      </c>
      <c r="C482" s="66" t="s">
        <v>831</v>
      </c>
      <c r="D482" s="14" t="s">
        <v>34</v>
      </c>
      <c r="E482" s="7">
        <f>VLOOKUP(tbSellers[[#This Row],[Item]],tbMaterials[],4,FALSE)</f>
        <v>62</v>
      </c>
      <c r="F482" s="40">
        <v>1</v>
      </c>
      <c r="G482" s="47"/>
      <c r="H482" s="70" t="str">
        <f>IF(_xlfn.IFNA(VLOOKUP(tbSellers[[#This Row],[Item]],tbShoppingList[],1,FALSE),"")&lt;&gt;"","Yes","")</f>
        <v/>
      </c>
      <c r="I482" s="1"/>
      <c r="J482" s="4"/>
      <c r="K482" s="22"/>
    </row>
    <row r="483" spans="2:11" s="66" customFormat="1" ht="27.95" customHeight="1" x14ac:dyDescent="0.25">
      <c r="B483" s="66" t="str">
        <f>_xlfn.CONCAT(tbSellers[[#This Row],[Station]],tbSellers[[#This Row],[Item]])</f>
        <v>BootleChlorine</v>
      </c>
      <c r="C483" s="66" t="s">
        <v>831</v>
      </c>
      <c r="D483" s="14" t="s">
        <v>83</v>
      </c>
      <c r="E483" s="7">
        <f>VLOOKUP(tbSellers[[#This Row],[Item]],tbMaterials[],4,FALSE)</f>
        <v>602</v>
      </c>
      <c r="F483" s="40">
        <v>1</v>
      </c>
      <c r="G483" s="47"/>
      <c r="H483" s="70" t="str">
        <f>IF(_xlfn.IFNA(VLOOKUP(tbSellers[[#This Row],[Item]],tbShoppingList[],1,FALSE),"")&lt;&gt;"","Yes","")</f>
        <v/>
      </c>
      <c r="I483" s="1"/>
      <c r="J483" s="4"/>
      <c r="K483" s="22"/>
    </row>
    <row r="484" spans="2:11" s="66" customFormat="1" ht="27.95" customHeight="1" x14ac:dyDescent="0.25">
      <c r="B484" s="66" t="str">
        <f>_xlfn.CONCAT(tbSellers[[#This Row],[Station]],tbSellers[[#This Row],[Item]])</f>
        <v>BootleTritium</v>
      </c>
      <c r="C484" s="66" t="s">
        <v>831</v>
      </c>
      <c r="D484" s="14" t="s">
        <v>25</v>
      </c>
      <c r="E484" s="7">
        <f>VLOOKUP(tbSellers[[#This Row],[Item]],tbMaterials[],4,FALSE)</f>
        <v>6</v>
      </c>
      <c r="F484" s="40">
        <v>2</v>
      </c>
      <c r="G484" s="47">
        <v>44022</v>
      </c>
      <c r="H484" s="70" t="str">
        <f>IF(_xlfn.IFNA(VLOOKUP(tbSellers[[#This Row],[Item]],tbShoppingList[],1,FALSE),"")&lt;&gt;"","Yes","")</f>
        <v>Yes</v>
      </c>
      <c r="I484" s="1"/>
      <c r="J484" s="4"/>
      <c r="K484" s="22"/>
    </row>
    <row r="485" spans="2:11" s="66" customFormat="1" ht="27.95" hidden="1" customHeight="1" x14ac:dyDescent="0.25">
      <c r="B485" s="66" t="str">
        <f>_xlfn.CONCAT(tbSellers[[#This Row],[Station]],tbSellers[[#This Row],[Item]])</f>
        <v>BungarFerrite Dust</v>
      </c>
      <c r="C485" s="66" t="s">
        <v>823</v>
      </c>
      <c r="D485" s="14" t="s">
        <v>12</v>
      </c>
      <c r="E485" s="7">
        <f>VLOOKUP(tbSellers[[#This Row],[Item]],tbMaterials[],4,FALSE)</f>
        <v>14</v>
      </c>
      <c r="F485" s="40">
        <v>1</v>
      </c>
      <c r="G485" s="47">
        <v>44029</v>
      </c>
      <c r="H485" s="70" t="str">
        <f>IF(_xlfn.IFNA(VLOOKUP(tbSellers[[#This Row],[Item]],tbShoppingList[],1,FALSE),"")&lt;&gt;"","Yes","")</f>
        <v/>
      </c>
      <c r="I485" s="1"/>
      <c r="J485" s="4"/>
      <c r="K485" s="22"/>
    </row>
    <row r="486" spans="2:11" s="66" customFormat="1" ht="27.95" customHeight="1" x14ac:dyDescent="0.25">
      <c r="B486" s="66" t="str">
        <f>_xlfn.CONCAT(tbSellers[[#This Row],[Station]],tbSellers[[#This Row],[Item]])</f>
        <v>BootlePure Ferrite</v>
      </c>
      <c r="C486" s="66" t="s">
        <v>831</v>
      </c>
      <c r="D486" s="14" t="s">
        <v>266</v>
      </c>
      <c r="E486" s="7">
        <f>VLOOKUP(tbSellers[[#This Row],[Item]],tbMaterials[],4,FALSE)</f>
        <v>28</v>
      </c>
      <c r="F486" s="40">
        <v>1</v>
      </c>
      <c r="G486" s="47">
        <v>44022</v>
      </c>
      <c r="H486" s="70" t="str">
        <f>IF(_xlfn.IFNA(VLOOKUP(tbSellers[[#This Row],[Item]],tbShoppingList[],1,FALSE),"")&lt;&gt;"","Yes","")</f>
        <v/>
      </c>
      <c r="I486" s="1"/>
      <c r="J486" s="4"/>
      <c r="K486" s="22"/>
    </row>
    <row r="487" spans="2:11" s="66" customFormat="1" ht="27.95" hidden="1" customHeight="1" x14ac:dyDescent="0.25">
      <c r="B487" s="66" t="str">
        <f>_xlfn.CONCAT(tbSellers[[#This Row],[Station]],tbSellers[[#This Row],[Item]])</f>
        <v>BungarCobalt</v>
      </c>
      <c r="C487" s="66" t="s">
        <v>823</v>
      </c>
      <c r="D487" s="14" t="s">
        <v>6</v>
      </c>
      <c r="E487" s="7">
        <f>VLOOKUP(tbSellers[[#This Row],[Item]],tbMaterials[],4,FALSE)</f>
        <v>198</v>
      </c>
      <c r="F487" s="40">
        <v>1</v>
      </c>
      <c r="G487" s="47">
        <v>44029</v>
      </c>
      <c r="H487" s="70" t="str">
        <f>IF(_xlfn.IFNA(VLOOKUP(tbSellers[[#This Row],[Item]],tbShoppingList[],1,FALSE),"")&lt;&gt;"","Yes","")</f>
        <v/>
      </c>
      <c r="I487" s="1"/>
      <c r="J487" s="4"/>
      <c r="K487" s="22"/>
    </row>
    <row r="488" spans="2:11" s="66" customFormat="1" ht="27.95" hidden="1" customHeight="1" x14ac:dyDescent="0.25">
      <c r="B488" s="66" t="str">
        <f>_xlfn.CONCAT(tbSellers[[#This Row],[Station]],tbSellers[[#This Row],[Item]])</f>
        <v>BungarOxygen</v>
      </c>
      <c r="C488" s="66" t="s">
        <v>823</v>
      </c>
      <c r="D488" s="14" t="s">
        <v>8</v>
      </c>
      <c r="E488" s="7">
        <f>VLOOKUP(tbSellers[[#This Row],[Item]],tbMaterials[],4,FALSE)</f>
        <v>34</v>
      </c>
      <c r="F488" s="40">
        <v>1</v>
      </c>
      <c r="G488" s="47">
        <v>44029</v>
      </c>
      <c r="H488" s="70" t="str">
        <f>IF(_xlfn.IFNA(VLOOKUP(tbSellers[[#This Row],[Item]],tbShoppingList[],1,FALSE),"")&lt;&gt;"","Yes","")</f>
        <v/>
      </c>
      <c r="I488" s="1"/>
      <c r="J488" s="4"/>
      <c r="K488" s="22"/>
    </row>
    <row r="489" spans="2:11" s="66" customFormat="1" ht="27.95" hidden="1" customHeight="1" x14ac:dyDescent="0.25">
      <c r="B489" s="66" t="str">
        <f>_xlfn.CONCAT(tbSellers[[#This Row],[Station]],tbSellers[[#This Row],[Item]])</f>
        <v>BungarSodium</v>
      </c>
      <c r="C489" s="66" t="s">
        <v>823</v>
      </c>
      <c r="D489" s="14" t="s">
        <v>9</v>
      </c>
      <c r="E489" s="7">
        <f>VLOOKUP(tbSellers[[#This Row],[Item]],tbMaterials[],4,FALSE)</f>
        <v>41</v>
      </c>
      <c r="F489" s="40">
        <v>1</v>
      </c>
      <c r="G489" s="47">
        <v>44029</v>
      </c>
      <c r="H489" s="70" t="str">
        <f>IF(_xlfn.IFNA(VLOOKUP(tbSellers[[#This Row],[Item]],tbShoppingList[],1,FALSE),"")&lt;&gt;"","Yes","")</f>
        <v/>
      </c>
      <c r="I489" s="1"/>
      <c r="J489" s="4"/>
      <c r="K489" s="22"/>
    </row>
    <row r="490" spans="2:11" s="66" customFormat="1" ht="27.95" hidden="1" customHeight="1" x14ac:dyDescent="0.25">
      <c r="B490" s="66" t="str">
        <f>_xlfn.CONCAT(tbSellers[[#This Row],[Station]],tbSellers[[#This Row],[Item]])</f>
        <v>BungarSodium Nitrate</v>
      </c>
      <c r="C490" s="66" t="s">
        <v>823</v>
      </c>
      <c r="D490" s="14" t="s">
        <v>11</v>
      </c>
      <c r="E490" s="7">
        <f>VLOOKUP(tbSellers[[#This Row],[Item]],tbMaterials[],4,FALSE)</f>
        <v>82</v>
      </c>
      <c r="F490" s="40">
        <v>1</v>
      </c>
      <c r="G490" s="47">
        <v>44029</v>
      </c>
      <c r="H490" s="70" t="str">
        <f>IF(_xlfn.IFNA(VLOOKUP(tbSellers[[#This Row],[Item]],tbShoppingList[],1,FALSE),"")&lt;&gt;"","Yes","")</f>
        <v/>
      </c>
      <c r="I490" s="1"/>
      <c r="J490" s="4"/>
      <c r="K490" s="22"/>
    </row>
    <row r="491" spans="2:11" s="66" customFormat="1" ht="27.95" hidden="1" customHeight="1" x14ac:dyDescent="0.25">
      <c r="B491" s="66" t="str">
        <f>_xlfn.CONCAT(tbSellers[[#This Row],[Station]],tbSellers[[#This Row],[Item]])</f>
        <v>BungarChlorine</v>
      </c>
      <c r="C491" s="66" t="s">
        <v>823</v>
      </c>
      <c r="D491" s="14" t="s">
        <v>83</v>
      </c>
      <c r="E491" s="7">
        <f>VLOOKUP(tbSellers[[#This Row],[Item]],tbMaterials[],4,FALSE)</f>
        <v>602</v>
      </c>
      <c r="F491" s="40">
        <v>1</v>
      </c>
      <c r="G491" s="47">
        <v>44029</v>
      </c>
      <c r="H491" s="70" t="str">
        <f>IF(_xlfn.IFNA(VLOOKUP(tbSellers[[#This Row],[Item]],tbShoppingList[],1,FALSE),"")&lt;&gt;"","Yes","")</f>
        <v/>
      </c>
      <c r="I491" s="1"/>
      <c r="J491" s="4"/>
      <c r="K491" s="22"/>
    </row>
    <row r="492" spans="2:11" s="66" customFormat="1" ht="27.95" hidden="1" customHeight="1" x14ac:dyDescent="0.25">
      <c r="B492" s="66" t="str">
        <f>_xlfn.CONCAT(tbSellers[[#This Row],[Station]],tbSellers[[#This Row],[Item]])</f>
        <v>BungarPhosphorus</v>
      </c>
      <c r="C492" s="66" t="s">
        <v>823</v>
      </c>
      <c r="D492" s="14" t="s">
        <v>34</v>
      </c>
      <c r="E492" s="7">
        <f>VLOOKUP(tbSellers[[#This Row],[Item]],tbMaterials[],4,FALSE)</f>
        <v>62</v>
      </c>
      <c r="F492" s="40">
        <v>1</v>
      </c>
      <c r="G492" s="47">
        <v>44029</v>
      </c>
      <c r="H492" s="70" t="str">
        <f>IF(_xlfn.IFNA(VLOOKUP(tbSellers[[#This Row],[Item]],tbShoppingList[],1,FALSE),"")&lt;&gt;"","Yes","")</f>
        <v/>
      </c>
      <c r="I492" s="1"/>
      <c r="J492" s="4"/>
      <c r="K492" s="22"/>
    </row>
    <row r="493" spans="2:11" s="66" customFormat="1" ht="27.95" hidden="1" customHeight="1" x14ac:dyDescent="0.25">
      <c r="B493" s="66" t="str">
        <f>_xlfn.CONCAT(tbSellers[[#This Row],[Station]],tbSellers[[#This Row],[Item]])</f>
        <v>BungarPugneum</v>
      </c>
      <c r="C493" s="66" t="s">
        <v>823</v>
      </c>
      <c r="D493" s="14" t="s">
        <v>262</v>
      </c>
      <c r="E493" s="7">
        <f>VLOOKUP(tbSellers[[#This Row],[Item]],tbMaterials[],4,FALSE)</f>
        <v>138</v>
      </c>
      <c r="F493" s="40">
        <v>2</v>
      </c>
      <c r="G493" s="47">
        <v>44029</v>
      </c>
      <c r="H493" s="70" t="str">
        <f>IF(_xlfn.IFNA(VLOOKUP(tbSellers[[#This Row],[Item]],tbShoppingList[],1,FALSE),"")&lt;&gt;"","Yes","")</f>
        <v/>
      </c>
      <c r="I493" s="1"/>
      <c r="J493" s="4"/>
      <c r="K493" s="22"/>
    </row>
    <row r="494" spans="2:11" s="66" customFormat="1" ht="27.95" hidden="1" customHeight="1" x14ac:dyDescent="0.25">
      <c r="B494" s="66" t="str">
        <f>_xlfn.CONCAT(tbSellers[[#This Row],[Station]],tbSellers[[#This Row],[Item]])</f>
        <v>BungarChromatic Metal</v>
      </c>
      <c r="C494" s="66" t="s">
        <v>823</v>
      </c>
      <c r="D494" s="14" t="s">
        <v>261</v>
      </c>
      <c r="E494" s="7">
        <f>VLOOKUP(tbSellers[[#This Row],[Item]],tbMaterials[],4,FALSE)</f>
        <v>245</v>
      </c>
      <c r="F494" s="40">
        <v>2</v>
      </c>
      <c r="G494" s="47">
        <v>44029</v>
      </c>
      <c r="H494" s="70" t="str">
        <f>IF(_xlfn.IFNA(VLOOKUP(tbSellers[[#This Row],[Item]],tbShoppingList[],1,FALSE),"")&lt;&gt;"","Yes","")</f>
        <v/>
      </c>
      <c r="I494" s="1"/>
      <c r="J494" s="4"/>
      <c r="K494" s="22"/>
    </row>
    <row r="495" spans="2:11" s="66" customFormat="1" ht="27.95" hidden="1" customHeight="1" x14ac:dyDescent="0.25">
      <c r="B495" s="66" t="str">
        <f>_xlfn.CONCAT(tbSellers[[#This Row],[Station]],tbSellers[[#This Row],[Item]])</f>
        <v>GranqlFerrite Dust</v>
      </c>
      <c r="C495" s="66" t="s">
        <v>844</v>
      </c>
      <c r="D495" s="14" t="s">
        <v>12</v>
      </c>
      <c r="E495" s="7">
        <f>VLOOKUP(tbSellers[[#This Row],[Item]],tbMaterials[],4,FALSE)</f>
        <v>14</v>
      </c>
      <c r="F495" s="40">
        <v>1</v>
      </c>
      <c r="G495" s="47">
        <v>44029</v>
      </c>
      <c r="H495" s="70" t="str">
        <f>IF(_xlfn.IFNA(VLOOKUP(tbSellers[[#This Row],[Item]],tbShoppingList[],1,FALSE),"")&lt;&gt;"","Yes","")</f>
        <v/>
      </c>
      <c r="I495" s="1"/>
      <c r="J495" s="4"/>
      <c r="K495" s="22"/>
    </row>
    <row r="496" spans="2:11" s="66" customFormat="1" ht="27.95" hidden="1" customHeight="1" x14ac:dyDescent="0.25">
      <c r="B496" s="66" t="str">
        <f>_xlfn.CONCAT(tbSellers[[#This Row],[Station]],tbSellers[[#This Row],[Item]])</f>
        <v>BungarSalt</v>
      </c>
      <c r="C496" s="66" t="s">
        <v>823</v>
      </c>
      <c r="D496" s="14" t="s">
        <v>56</v>
      </c>
      <c r="E496" s="7">
        <f>VLOOKUP(tbSellers[[#This Row],[Item]],tbMaterials[],4,FALSE)</f>
        <v>299</v>
      </c>
      <c r="F496" s="40">
        <v>2</v>
      </c>
      <c r="G496" s="47">
        <v>44029</v>
      </c>
      <c r="H496" s="70" t="str">
        <f>IF(_xlfn.IFNA(VLOOKUP(tbSellers[[#This Row],[Item]],tbShoppingList[],1,FALSE),"")&lt;&gt;"","Yes","")</f>
        <v/>
      </c>
      <c r="I496" s="1"/>
      <c r="J496" s="4"/>
      <c r="K496" s="22"/>
    </row>
    <row r="497" spans="2:11" s="66" customFormat="1" ht="27.95" hidden="1" customHeight="1" x14ac:dyDescent="0.25">
      <c r="B497" s="66" t="str">
        <f>_xlfn.CONCAT(tbSellers[[#This Row],[Station]],tbSellers[[#This Row],[Item]])</f>
        <v>GranqlCobalt</v>
      </c>
      <c r="C497" s="66" t="s">
        <v>844</v>
      </c>
      <c r="D497" s="14" t="s">
        <v>6</v>
      </c>
      <c r="E497" s="7">
        <f>VLOOKUP(tbSellers[[#This Row],[Item]],tbMaterials[],4,FALSE)</f>
        <v>198</v>
      </c>
      <c r="F497" s="40">
        <v>1</v>
      </c>
      <c r="G497" s="47">
        <v>44029</v>
      </c>
      <c r="H497" s="70" t="str">
        <f>IF(_xlfn.IFNA(VLOOKUP(tbSellers[[#This Row],[Item]],tbShoppingList[],1,FALSE),"")&lt;&gt;"","Yes","")</f>
        <v/>
      </c>
      <c r="I497" s="1"/>
      <c r="J497" s="4"/>
      <c r="K497" s="22"/>
    </row>
    <row r="498" spans="2:11" s="66" customFormat="1" ht="27.95" hidden="1" customHeight="1" x14ac:dyDescent="0.25">
      <c r="B498" s="66" t="str">
        <f>_xlfn.CONCAT(tbSellers[[#This Row],[Station]],tbSellers[[#This Row],[Item]])</f>
        <v>GranqlOxygen</v>
      </c>
      <c r="C498" s="66" t="s">
        <v>844</v>
      </c>
      <c r="D498" s="14" t="s">
        <v>8</v>
      </c>
      <c r="E498" s="7">
        <f>VLOOKUP(tbSellers[[#This Row],[Item]],tbMaterials[],4,FALSE)</f>
        <v>34</v>
      </c>
      <c r="F498" s="40">
        <v>1</v>
      </c>
      <c r="G498" s="47">
        <v>44029</v>
      </c>
      <c r="H498" s="70" t="str">
        <f>IF(_xlfn.IFNA(VLOOKUP(tbSellers[[#This Row],[Item]],tbShoppingList[],1,FALSE),"")&lt;&gt;"","Yes","")</f>
        <v/>
      </c>
      <c r="I498" s="1"/>
      <c r="J498" s="4"/>
      <c r="K498" s="22"/>
    </row>
    <row r="499" spans="2:11" s="66" customFormat="1" ht="27.95" hidden="1" customHeight="1" x14ac:dyDescent="0.25">
      <c r="B499" s="66" t="str">
        <f>_xlfn.CONCAT(tbSellers[[#This Row],[Station]],tbSellers[[#This Row],[Item]])</f>
        <v>GranqlSodium</v>
      </c>
      <c r="C499" s="66" t="s">
        <v>844</v>
      </c>
      <c r="D499" s="14" t="s">
        <v>9</v>
      </c>
      <c r="E499" s="7">
        <f>VLOOKUP(tbSellers[[#This Row],[Item]],tbMaterials[],4,FALSE)</f>
        <v>41</v>
      </c>
      <c r="F499" s="40">
        <v>1</v>
      </c>
      <c r="G499" s="47">
        <v>44029</v>
      </c>
      <c r="H499" s="70" t="str">
        <f>IF(_xlfn.IFNA(VLOOKUP(tbSellers[[#This Row],[Item]],tbShoppingList[],1,FALSE),"")&lt;&gt;"","Yes","")</f>
        <v/>
      </c>
      <c r="I499" s="1"/>
      <c r="J499" s="4"/>
      <c r="K499" s="22"/>
    </row>
    <row r="500" spans="2:11" s="66" customFormat="1" ht="27.95" hidden="1" customHeight="1" x14ac:dyDescent="0.25">
      <c r="B500" s="66" t="str">
        <f>_xlfn.CONCAT(tbSellers[[#This Row],[Station]],tbSellers[[#This Row],[Item]])</f>
        <v>GranqlSalt</v>
      </c>
      <c r="C500" s="66" t="s">
        <v>844</v>
      </c>
      <c r="D500" s="14" t="s">
        <v>56</v>
      </c>
      <c r="E500" s="7">
        <f>VLOOKUP(tbSellers[[#This Row],[Item]],tbMaterials[],4,FALSE)</f>
        <v>299</v>
      </c>
      <c r="F500" s="40">
        <v>1</v>
      </c>
      <c r="G500" s="47">
        <v>44029</v>
      </c>
      <c r="H500" s="70" t="str">
        <f>IF(_xlfn.IFNA(VLOOKUP(tbSellers[[#This Row],[Item]],tbShoppingList[],1,FALSE),"")&lt;&gt;"","Yes","")</f>
        <v/>
      </c>
      <c r="I500" s="1"/>
      <c r="J500" s="4"/>
      <c r="K500" s="22"/>
    </row>
    <row r="501" spans="2:11" s="66" customFormat="1" ht="27.95" hidden="1" customHeight="1" x14ac:dyDescent="0.25">
      <c r="B501" s="66" t="str">
        <f>_xlfn.CONCAT(tbSellers[[#This Row],[Station]],tbSellers[[#This Row],[Item]])</f>
        <v>GranqlGold</v>
      </c>
      <c r="C501" s="66" t="s">
        <v>844</v>
      </c>
      <c r="D501" s="14" t="s">
        <v>24</v>
      </c>
      <c r="E501" s="7">
        <f>VLOOKUP(tbSellers[[#This Row],[Item]],tbMaterials[],4,FALSE)</f>
        <v>353</v>
      </c>
      <c r="F501" s="40">
        <v>1</v>
      </c>
      <c r="G501" s="47">
        <v>44029</v>
      </c>
      <c r="H501" s="70" t="str">
        <f>IF(_xlfn.IFNA(VLOOKUP(tbSellers[[#This Row],[Item]],tbShoppingList[],1,FALSE),"")&lt;&gt;"","Yes","")</f>
        <v/>
      </c>
      <c r="I501" s="1"/>
      <c r="J501" s="4"/>
      <c r="K501" s="22"/>
    </row>
    <row r="502" spans="2:11" s="66" customFormat="1" ht="27.95" hidden="1" customHeight="1" x14ac:dyDescent="0.25">
      <c r="B502" s="66" t="str">
        <f>_xlfn.CONCAT(tbSellers[[#This Row],[Station]],tbSellers[[#This Row],[Item]])</f>
        <v>GranqlTritium</v>
      </c>
      <c r="C502" s="66" t="s">
        <v>844</v>
      </c>
      <c r="D502" s="14" t="s">
        <v>25</v>
      </c>
      <c r="E502" s="7">
        <f>VLOOKUP(tbSellers[[#This Row],[Item]],tbMaterials[],4,FALSE)</f>
        <v>6</v>
      </c>
      <c r="F502" s="40">
        <v>1</v>
      </c>
      <c r="G502" s="47">
        <v>44029</v>
      </c>
      <c r="H502" s="70" t="str">
        <f>IF(_xlfn.IFNA(VLOOKUP(tbSellers[[#This Row],[Item]],tbShoppingList[],1,FALSE),"")&lt;&gt;"","Yes","")</f>
        <v>Yes</v>
      </c>
      <c r="I502" s="1"/>
      <c r="J502" s="4"/>
      <c r="K502" s="22"/>
    </row>
    <row r="503" spans="2:11" s="66" customFormat="1" ht="27.95" hidden="1" customHeight="1" x14ac:dyDescent="0.25">
      <c r="B503" s="66" t="str">
        <f>_xlfn.CONCAT(tbSellers[[#This Row],[Station]],tbSellers[[#This Row],[Item]])</f>
        <v>GranqlChlorine</v>
      </c>
      <c r="C503" s="66" t="s">
        <v>844</v>
      </c>
      <c r="D503" s="14" t="s">
        <v>83</v>
      </c>
      <c r="E503" s="7">
        <f>VLOOKUP(tbSellers[[#This Row],[Item]],tbMaterials[],4,FALSE)</f>
        <v>602</v>
      </c>
      <c r="F503" s="40">
        <v>1</v>
      </c>
      <c r="G503" s="47">
        <v>44029</v>
      </c>
      <c r="H503" s="70" t="str">
        <f>IF(_xlfn.IFNA(VLOOKUP(tbSellers[[#This Row],[Item]],tbShoppingList[],1,FALSE),"")&lt;&gt;"","Yes","")</f>
        <v/>
      </c>
      <c r="I503" s="1"/>
      <c r="J503" s="4"/>
      <c r="K503" s="22"/>
    </row>
    <row r="504" spans="2:11" s="66" customFormat="1" ht="27.95" hidden="1" customHeight="1" x14ac:dyDescent="0.25">
      <c r="B504" s="66" t="str">
        <f>_xlfn.CONCAT(tbSellers[[#This Row],[Station]],tbSellers[[#This Row],[Item]])</f>
        <v>GranqlPure Ferrite</v>
      </c>
      <c r="C504" s="66" t="s">
        <v>844</v>
      </c>
      <c r="D504" s="14" t="s">
        <v>266</v>
      </c>
      <c r="E504" s="7">
        <f>VLOOKUP(tbSellers[[#This Row],[Item]],tbMaterials[],4,FALSE)</f>
        <v>28</v>
      </c>
      <c r="F504" s="40">
        <v>2</v>
      </c>
      <c r="G504" s="47">
        <v>44029</v>
      </c>
      <c r="H504" s="70" t="str">
        <f>IF(_xlfn.IFNA(VLOOKUP(tbSellers[[#This Row],[Item]],tbShoppingList[],1,FALSE),"")&lt;&gt;"","Yes","")</f>
        <v/>
      </c>
      <c r="I504" s="1"/>
      <c r="J504" s="4"/>
      <c r="K504" s="22"/>
    </row>
    <row r="505" spans="2:11" s="66" customFormat="1" ht="27.95" hidden="1" customHeight="1" x14ac:dyDescent="0.25">
      <c r="B505" s="66" t="str">
        <f>_xlfn.CONCAT(tbSellers[[#This Row],[Station]],tbSellers[[#This Row],[Item]])</f>
        <v>JapariumhFerrite Dust</v>
      </c>
      <c r="C505" s="66" t="s">
        <v>845</v>
      </c>
      <c r="D505" s="14" t="s">
        <v>12</v>
      </c>
      <c r="E505" s="7">
        <f>VLOOKUP(tbSellers[[#This Row],[Item]],tbMaterials[],4,FALSE)</f>
        <v>14</v>
      </c>
      <c r="F505" s="40">
        <v>1</v>
      </c>
      <c r="G505" s="47">
        <v>44030</v>
      </c>
      <c r="H505" s="70" t="str">
        <f>IF(_xlfn.IFNA(VLOOKUP(tbSellers[[#This Row],[Item]],tbShoppingList[],1,FALSE),"")&lt;&gt;"","Yes","")</f>
        <v/>
      </c>
      <c r="I505" s="1"/>
      <c r="J505" s="4"/>
      <c r="K505" s="22"/>
    </row>
    <row r="506" spans="2:11" s="66" customFormat="1" ht="27.95" hidden="1" customHeight="1" x14ac:dyDescent="0.25">
      <c r="B506" s="66" t="str">
        <f>_xlfn.CONCAT(tbSellers[[#This Row],[Station]],tbSellers[[#This Row],[Item]])</f>
        <v>GranqlSilver</v>
      </c>
      <c r="C506" s="66" t="s">
        <v>844</v>
      </c>
      <c r="D506" s="14" t="s">
        <v>19</v>
      </c>
      <c r="E506" s="7">
        <f>VLOOKUP(tbSellers[[#This Row],[Item]],tbMaterials[],4,FALSE)</f>
        <v>186</v>
      </c>
      <c r="F506" s="40">
        <v>2</v>
      </c>
      <c r="G506" s="47">
        <v>44029</v>
      </c>
      <c r="H506" s="70" t="str">
        <f>IF(_xlfn.IFNA(VLOOKUP(tbSellers[[#This Row],[Item]],tbShoppingList[],1,FALSE),"")&lt;&gt;"","Yes","")</f>
        <v/>
      </c>
      <c r="I506" s="1"/>
      <c r="J506" s="4"/>
      <c r="K506" s="22"/>
    </row>
    <row r="507" spans="2:11" s="66" customFormat="1" ht="27.95" hidden="1" customHeight="1" x14ac:dyDescent="0.25">
      <c r="B507" s="66" t="str">
        <f>_xlfn.CONCAT(tbSellers[[#This Row],[Station]],tbSellers[[#This Row],[Item]])</f>
        <v>JapariumhCobalt</v>
      </c>
      <c r="C507" s="66" t="s">
        <v>845</v>
      </c>
      <c r="D507" s="14" t="s">
        <v>6</v>
      </c>
      <c r="E507" s="7">
        <f>VLOOKUP(tbSellers[[#This Row],[Item]],tbMaterials[],4,FALSE)</f>
        <v>198</v>
      </c>
      <c r="F507" s="40">
        <v>1</v>
      </c>
      <c r="G507" s="47">
        <v>44030</v>
      </c>
      <c r="H507" s="70" t="str">
        <f>IF(_xlfn.IFNA(VLOOKUP(tbSellers[[#This Row],[Item]],tbShoppingList[],1,FALSE),"")&lt;&gt;"","Yes","")</f>
        <v/>
      </c>
      <c r="I507" s="1"/>
      <c r="J507" s="4"/>
      <c r="K507" s="22"/>
    </row>
    <row r="508" spans="2:11" s="66" customFormat="1" ht="27.95" hidden="1" customHeight="1" x14ac:dyDescent="0.25">
      <c r="B508" s="66" t="str">
        <f>_xlfn.CONCAT(tbSellers[[#This Row],[Station]],tbSellers[[#This Row],[Item]])</f>
        <v>JapariumhOxygen</v>
      </c>
      <c r="C508" s="66" t="s">
        <v>845</v>
      </c>
      <c r="D508" s="14" t="s">
        <v>8</v>
      </c>
      <c r="E508" s="7">
        <f>VLOOKUP(tbSellers[[#This Row],[Item]],tbMaterials[],4,FALSE)</f>
        <v>34</v>
      </c>
      <c r="F508" s="40">
        <v>1</v>
      </c>
      <c r="G508" s="47">
        <v>44030</v>
      </c>
      <c r="H508" s="70" t="str">
        <f>IF(_xlfn.IFNA(VLOOKUP(tbSellers[[#This Row],[Item]],tbShoppingList[],1,FALSE),"")&lt;&gt;"","Yes","")</f>
        <v/>
      </c>
      <c r="I508" s="1"/>
      <c r="J508" s="4"/>
      <c r="K508" s="22"/>
    </row>
    <row r="509" spans="2:11" s="66" customFormat="1" ht="27.95" hidden="1" customHeight="1" x14ac:dyDescent="0.25">
      <c r="B509" s="66" t="str">
        <f>_xlfn.CONCAT(tbSellers[[#This Row],[Station]],tbSellers[[#This Row],[Item]])</f>
        <v>JapariumhSodium</v>
      </c>
      <c r="C509" s="66" t="s">
        <v>845</v>
      </c>
      <c r="D509" s="14" t="s">
        <v>9</v>
      </c>
      <c r="E509" s="7">
        <f>VLOOKUP(tbSellers[[#This Row],[Item]],tbMaterials[],4,FALSE)</f>
        <v>41</v>
      </c>
      <c r="F509" s="40">
        <v>1</v>
      </c>
      <c r="G509" s="47">
        <v>44030</v>
      </c>
      <c r="H509" s="70" t="str">
        <f>IF(_xlfn.IFNA(VLOOKUP(tbSellers[[#This Row],[Item]],tbShoppingList[],1,FALSE),"")&lt;&gt;"","Yes","")</f>
        <v/>
      </c>
      <c r="I509" s="1"/>
      <c r="J509" s="4"/>
      <c r="K509" s="22"/>
    </row>
    <row r="510" spans="2:11" s="66" customFormat="1" ht="27.95" hidden="1" customHeight="1" x14ac:dyDescent="0.25">
      <c r="B510" s="66" t="str">
        <f>_xlfn.CONCAT(tbSellers[[#This Row],[Station]],tbSellers[[#This Row],[Item]])</f>
        <v>JapariumhChlorine</v>
      </c>
      <c r="C510" s="66" t="s">
        <v>845</v>
      </c>
      <c r="D510" s="14" t="s">
        <v>83</v>
      </c>
      <c r="E510" s="7">
        <f>VLOOKUP(tbSellers[[#This Row],[Item]],tbMaterials[],4,FALSE)</f>
        <v>602</v>
      </c>
      <c r="F510" s="40">
        <v>1</v>
      </c>
      <c r="G510" s="47">
        <v>44030</v>
      </c>
      <c r="H510" s="70" t="str">
        <f>IF(_xlfn.IFNA(VLOOKUP(tbSellers[[#This Row],[Item]],tbShoppingList[],1,FALSE),"")&lt;&gt;"","Yes","")</f>
        <v/>
      </c>
      <c r="I510" s="1"/>
      <c r="J510" s="4"/>
      <c r="K510" s="22"/>
    </row>
    <row r="511" spans="2:11" s="66" customFormat="1" ht="27.95" hidden="1" customHeight="1" x14ac:dyDescent="0.25">
      <c r="B511" s="66" t="str">
        <f>_xlfn.CONCAT(tbSellers[[#This Row],[Station]],tbSellers[[#This Row],[Item]])</f>
        <v>JapariumhPure Ferrite</v>
      </c>
      <c r="C511" s="66" t="s">
        <v>845</v>
      </c>
      <c r="D511" s="14" t="s">
        <v>266</v>
      </c>
      <c r="E511" s="7">
        <f>VLOOKUP(tbSellers[[#This Row],[Item]],tbMaterials[],4,FALSE)</f>
        <v>28</v>
      </c>
      <c r="F511" s="40">
        <v>1</v>
      </c>
      <c r="G511" s="47">
        <v>44030</v>
      </c>
      <c r="H511" s="70" t="str">
        <f>IF(_xlfn.IFNA(VLOOKUP(tbSellers[[#This Row],[Item]],tbShoppingList[],1,FALSE),"")&lt;&gt;"","Yes","")</f>
        <v/>
      </c>
      <c r="I511" s="1"/>
      <c r="J511" s="4"/>
      <c r="K511" s="22"/>
    </row>
    <row r="512" spans="2:11" s="66" customFormat="1" ht="27.95" hidden="1" customHeight="1" x14ac:dyDescent="0.25">
      <c r="B512" s="66" t="str">
        <f>_xlfn.CONCAT(tbSellers[[#This Row],[Station]],tbSellers[[#This Row],[Item]])</f>
        <v>JapariumhGold</v>
      </c>
      <c r="C512" s="66" t="s">
        <v>845</v>
      </c>
      <c r="D512" s="14" t="s">
        <v>24</v>
      </c>
      <c r="E512" s="7">
        <f>VLOOKUP(tbSellers[[#This Row],[Item]],tbMaterials[],4,FALSE)</f>
        <v>353</v>
      </c>
      <c r="F512" s="40">
        <v>1</v>
      </c>
      <c r="G512" s="47">
        <v>44030</v>
      </c>
      <c r="H512" s="70" t="str">
        <f>IF(_xlfn.IFNA(VLOOKUP(tbSellers[[#This Row],[Item]],tbShoppingList[],1,FALSE),"")&lt;&gt;"","Yes","")</f>
        <v/>
      </c>
      <c r="I512" s="1"/>
      <c r="J512" s="4"/>
      <c r="K512" s="22"/>
    </row>
    <row r="513" spans="2:11" s="66" customFormat="1" ht="27.95" hidden="1" customHeight="1" x14ac:dyDescent="0.25">
      <c r="B513" s="66" t="str">
        <f>_xlfn.CONCAT(tbSellers[[#This Row],[Station]],tbSellers[[#This Row],[Item]])</f>
        <v>JapariumhUranium</v>
      </c>
      <c r="C513" s="66" t="s">
        <v>845</v>
      </c>
      <c r="D513" s="14" t="s">
        <v>57</v>
      </c>
      <c r="E513" s="7">
        <f>VLOOKUP(tbSellers[[#This Row],[Item]],tbMaterials[],4,FALSE)</f>
        <v>62</v>
      </c>
      <c r="F513" s="40">
        <v>1</v>
      </c>
      <c r="G513" s="47">
        <v>44030</v>
      </c>
      <c r="H513" s="70" t="str">
        <f>IF(_xlfn.IFNA(VLOOKUP(tbSellers[[#This Row],[Item]],tbShoppingList[],1,FALSE),"")&lt;&gt;"","Yes","")</f>
        <v/>
      </c>
      <c r="I513" s="1"/>
      <c r="J513" s="4"/>
      <c r="K513" s="22"/>
    </row>
    <row r="514" spans="2:11" s="66" customFormat="1" ht="27.95" hidden="1" customHeight="1" x14ac:dyDescent="0.25">
      <c r="B514" s="66" t="str">
        <f>_xlfn.CONCAT(tbSellers[[#This Row],[Station]],tbSellers[[#This Row],[Item]])</f>
        <v>JapariumhDioxite</v>
      </c>
      <c r="C514" s="66" t="s">
        <v>845</v>
      </c>
      <c r="D514" s="14" t="s">
        <v>72</v>
      </c>
      <c r="E514" s="7">
        <f>VLOOKUP(tbSellers[[#This Row],[Item]],tbMaterials[],4,FALSE)</f>
        <v>62</v>
      </c>
      <c r="F514" s="40">
        <v>2</v>
      </c>
      <c r="G514" s="47">
        <v>44030</v>
      </c>
      <c r="H514" s="70" t="str">
        <f>IF(_xlfn.IFNA(VLOOKUP(tbSellers[[#This Row],[Item]],tbShoppingList[],1,FALSE),"")&lt;&gt;"","Yes","")</f>
        <v/>
      </c>
      <c r="I514" s="1"/>
      <c r="J514" s="4"/>
      <c r="K514" s="22"/>
    </row>
    <row r="515" spans="2:11" s="66" customFormat="1" ht="27.95" hidden="1" customHeight="1" x14ac:dyDescent="0.25">
      <c r="B515" s="66" t="str">
        <f>_xlfn.CONCAT(tbSellers[[#This Row],[Station]],tbSellers[[#This Row],[Item]])</f>
        <v>JapariumhTritium</v>
      </c>
      <c r="C515" s="66" t="s">
        <v>845</v>
      </c>
      <c r="D515" s="14" t="s">
        <v>25</v>
      </c>
      <c r="E515" s="7">
        <f>VLOOKUP(tbSellers[[#This Row],[Item]],tbMaterials[],4,FALSE)</f>
        <v>6</v>
      </c>
      <c r="F515" s="40">
        <v>2</v>
      </c>
      <c r="G515" s="47">
        <v>44030</v>
      </c>
      <c r="H515" s="70" t="str">
        <f>IF(_xlfn.IFNA(VLOOKUP(tbSellers[[#This Row],[Item]],tbShoppingList[],1,FALSE),"")&lt;&gt;"","Yes","")</f>
        <v>Yes</v>
      </c>
      <c r="I515" s="1"/>
      <c r="J515" s="4"/>
      <c r="K515" s="22"/>
    </row>
    <row r="516" spans="2:11" s="66" customFormat="1" ht="27.95" hidden="1" customHeight="1" x14ac:dyDescent="0.25">
      <c r="B516" s="66" t="str">
        <f>_xlfn.CONCAT(tbSellers[[#This Row],[Station]],tbSellers[[#This Row],[Item]])</f>
        <v>ViisitysitOxygen</v>
      </c>
      <c r="C516" s="66" t="s">
        <v>856</v>
      </c>
      <c r="D516" s="14" t="s">
        <v>8</v>
      </c>
      <c r="E516" s="7">
        <f>VLOOKUP(tbSellers[[#This Row],[Item]],tbMaterials[],4,FALSE)</f>
        <v>34</v>
      </c>
      <c r="F516" s="40">
        <v>1</v>
      </c>
      <c r="G516" s="47">
        <v>44029</v>
      </c>
      <c r="H516" s="70" t="str">
        <f>IF(_xlfn.IFNA(VLOOKUP(tbSellers[[#This Row],[Item]],tbShoppingList[],1,FALSE),"")&lt;&gt;"","Yes","")</f>
        <v/>
      </c>
      <c r="I516" s="1"/>
      <c r="J516" s="4"/>
      <c r="K516" s="22"/>
    </row>
    <row r="517" spans="2:11" s="66" customFormat="1" ht="27.95" hidden="1" customHeight="1" x14ac:dyDescent="0.25">
      <c r="B517" s="66" t="str">
        <f>_xlfn.CONCAT(tbSellers[[#This Row],[Station]],tbSellers[[#This Row],[Item]])</f>
        <v>ViisitysitCobalt</v>
      </c>
      <c r="C517" s="66" t="s">
        <v>856</v>
      </c>
      <c r="D517" s="14" t="s">
        <v>6</v>
      </c>
      <c r="E517" s="7">
        <f>VLOOKUP(tbSellers[[#This Row],[Item]],tbMaterials[],4,FALSE)</f>
        <v>198</v>
      </c>
      <c r="F517" s="40">
        <v>1</v>
      </c>
      <c r="G517" s="47">
        <v>44029</v>
      </c>
      <c r="H517" s="70" t="str">
        <f>IF(_xlfn.IFNA(VLOOKUP(tbSellers[[#This Row],[Item]],tbShoppingList[],1,FALSE),"")&lt;&gt;"","Yes","")</f>
        <v/>
      </c>
      <c r="I517" s="1"/>
      <c r="J517" s="4"/>
      <c r="K517" s="22"/>
    </row>
    <row r="518" spans="2:11" s="66" customFormat="1" ht="27.95" hidden="1" customHeight="1" x14ac:dyDescent="0.25">
      <c r="B518" s="66" t="str">
        <f>_xlfn.CONCAT(tbSellers[[#This Row],[Station]],tbSellers[[#This Row],[Item]])</f>
        <v>ViisitysitSodium</v>
      </c>
      <c r="C518" s="66" t="s">
        <v>856</v>
      </c>
      <c r="D518" s="14" t="s">
        <v>9</v>
      </c>
      <c r="E518" s="7">
        <f>VLOOKUP(tbSellers[[#This Row],[Item]],tbMaterials[],4,FALSE)</f>
        <v>41</v>
      </c>
      <c r="F518" s="40">
        <v>1</v>
      </c>
      <c r="G518" s="47">
        <v>44029</v>
      </c>
      <c r="H518" s="70" t="str">
        <f>IF(_xlfn.IFNA(VLOOKUP(tbSellers[[#This Row],[Item]],tbShoppingList[],1,FALSE),"")&lt;&gt;"","Yes","")</f>
        <v/>
      </c>
      <c r="I518" s="1"/>
      <c r="J518" s="4"/>
      <c r="K518" s="22"/>
    </row>
    <row r="519" spans="2:11" s="66" customFormat="1" ht="27.95" hidden="1" customHeight="1" x14ac:dyDescent="0.25">
      <c r="B519" s="66" t="str">
        <f>_xlfn.CONCAT(tbSellers[[#This Row],[Station]],tbSellers[[#This Row],[Item]])</f>
        <v>ViisitysitCopper</v>
      </c>
      <c r="C519" s="66" t="s">
        <v>856</v>
      </c>
      <c r="D519" s="14" t="s">
        <v>5</v>
      </c>
      <c r="E519" s="7">
        <f>VLOOKUP(tbSellers[[#This Row],[Item]],tbMaterials[],4,FALSE)</f>
        <v>121</v>
      </c>
      <c r="F519" s="40">
        <v>1</v>
      </c>
      <c r="G519" s="47">
        <v>44029</v>
      </c>
      <c r="H519" s="70" t="str">
        <f>IF(_xlfn.IFNA(VLOOKUP(tbSellers[[#This Row],[Item]],tbShoppingList[],1,FALSE),"")&lt;&gt;"","Yes","")</f>
        <v/>
      </c>
      <c r="I519" s="1"/>
      <c r="J519" s="4"/>
      <c r="K519" s="22"/>
    </row>
    <row r="520" spans="2:11" s="66" customFormat="1" ht="27.95" hidden="1" customHeight="1" x14ac:dyDescent="0.25">
      <c r="B520" s="66" t="str">
        <f>_xlfn.CONCAT(tbSellers[[#This Row],[Station]],tbSellers[[#This Row],[Item]])</f>
        <v>ViisitysitPhosphorus</v>
      </c>
      <c r="C520" s="66" t="s">
        <v>856</v>
      </c>
      <c r="D520" s="14" t="s">
        <v>34</v>
      </c>
      <c r="E520" s="7">
        <f>VLOOKUP(tbSellers[[#This Row],[Item]],tbMaterials[],4,FALSE)</f>
        <v>62</v>
      </c>
      <c r="F520" s="40">
        <v>1</v>
      </c>
      <c r="G520" s="47">
        <v>44029</v>
      </c>
      <c r="H520" s="70" t="str">
        <f>IF(_xlfn.IFNA(VLOOKUP(tbSellers[[#This Row],[Item]],tbShoppingList[],1,FALSE),"")&lt;&gt;"","Yes","")</f>
        <v/>
      </c>
      <c r="I520" s="1"/>
      <c r="J520" s="4"/>
      <c r="K520" s="22"/>
    </row>
    <row r="521" spans="2:11" s="66" customFormat="1" ht="27.95" hidden="1" customHeight="1" x14ac:dyDescent="0.25">
      <c r="B521" s="66" t="str">
        <f>_xlfn.CONCAT(tbSellers[[#This Row],[Station]],tbSellers[[#This Row],[Item]])</f>
        <v>ViisitysitGold</v>
      </c>
      <c r="C521" s="66" t="s">
        <v>856</v>
      </c>
      <c r="D521" s="14" t="s">
        <v>24</v>
      </c>
      <c r="E521" s="7">
        <f>VLOOKUP(tbSellers[[#This Row],[Item]],tbMaterials[],4,FALSE)</f>
        <v>353</v>
      </c>
      <c r="F521" s="40">
        <v>1</v>
      </c>
      <c r="G521" s="47">
        <v>44029</v>
      </c>
      <c r="H521" s="70" t="str">
        <f>IF(_xlfn.IFNA(VLOOKUP(tbSellers[[#This Row],[Item]],tbShoppingList[],1,FALSE),"")&lt;&gt;"","Yes","")</f>
        <v/>
      </c>
      <c r="I521" s="1"/>
      <c r="J521" s="4"/>
      <c r="K521" s="22"/>
    </row>
    <row r="522" spans="2:11" s="66" customFormat="1" ht="27.95" hidden="1" customHeight="1" x14ac:dyDescent="0.25">
      <c r="B522" s="66" t="str">
        <f>_xlfn.CONCAT(tbSellers[[#This Row],[Station]],tbSellers[[#This Row],[Item]])</f>
        <v>ViisitysitPlatinum</v>
      </c>
      <c r="C522" s="66" t="s">
        <v>856</v>
      </c>
      <c r="D522" s="14" t="s">
        <v>18</v>
      </c>
      <c r="E522" s="7">
        <f>VLOOKUP(tbSellers[[#This Row],[Item]],tbMaterials[],4,FALSE)</f>
        <v>505</v>
      </c>
      <c r="F522" s="40">
        <v>1</v>
      </c>
      <c r="G522" s="47">
        <v>44029</v>
      </c>
      <c r="H522" s="70" t="str">
        <f>IF(_xlfn.IFNA(VLOOKUP(tbSellers[[#This Row],[Item]],tbShoppingList[],1,FALSE),"")&lt;&gt;"","Yes","")</f>
        <v/>
      </c>
      <c r="I522" s="1"/>
      <c r="J522" s="4"/>
      <c r="K522" s="22"/>
    </row>
    <row r="523" spans="2:11" s="66" customFormat="1" ht="27.95" hidden="1" customHeight="1" x14ac:dyDescent="0.25">
      <c r="B523" s="66" t="str">
        <f>_xlfn.CONCAT(tbSellers[[#This Row],[Station]],tbSellers[[#This Row],[Item]])</f>
        <v>ViisitysitDioxite</v>
      </c>
      <c r="C523" s="66" t="s">
        <v>856</v>
      </c>
      <c r="D523" s="14" t="s">
        <v>72</v>
      </c>
      <c r="E523" s="7">
        <f>VLOOKUP(tbSellers[[#This Row],[Item]],tbMaterials[],4,FALSE)</f>
        <v>62</v>
      </c>
      <c r="F523" s="40">
        <v>2</v>
      </c>
      <c r="G523" s="47">
        <v>44029</v>
      </c>
      <c r="H523" s="70" t="str">
        <f>IF(_xlfn.IFNA(VLOOKUP(tbSellers[[#This Row],[Item]],tbShoppingList[],1,FALSE),"")&lt;&gt;"","Yes","")</f>
        <v/>
      </c>
      <c r="I523" s="1"/>
      <c r="J523" s="4"/>
      <c r="K523" s="22"/>
    </row>
    <row r="524" spans="2:11" s="66" customFormat="1" ht="27.95" hidden="1" customHeight="1" x14ac:dyDescent="0.25">
      <c r="B524" s="66" t="str">
        <f>_xlfn.CONCAT(tbSellers[[#This Row],[Station]],tbSellers[[#This Row],[Item]])</f>
        <v>ViisitysitChromatic Metal</v>
      </c>
      <c r="C524" s="66" t="s">
        <v>856</v>
      </c>
      <c r="D524" s="14" t="s">
        <v>261</v>
      </c>
      <c r="E524" s="7">
        <f>VLOOKUP(tbSellers[[#This Row],[Item]],tbMaterials[],4,FALSE)</f>
        <v>245</v>
      </c>
      <c r="F524" s="40">
        <v>2</v>
      </c>
      <c r="G524" s="47">
        <v>44029</v>
      </c>
      <c r="H524" s="70" t="str">
        <f>IF(_xlfn.IFNA(VLOOKUP(tbSellers[[#This Row],[Item]],tbShoppingList[],1,FALSE),"")&lt;&gt;"","Yes","")</f>
        <v/>
      </c>
      <c r="I524" s="1"/>
      <c r="J524" s="4"/>
      <c r="K524" s="22"/>
    </row>
    <row r="525" spans="2:11" s="66" customFormat="1" ht="27.95" hidden="1" customHeight="1" x14ac:dyDescent="0.25">
      <c r="B525" s="66" t="str">
        <f>_xlfn.CONCAT(tbSellers[[#This Row],[Station]],tbSellers[[#This Row],[Item]])</f>
        <v>ViisitysitPyrite</v>
      </c>
      <c r="C525" s="66" t="s">
        <v>856</v>
      </c>
      <c r="D525" s="14" t="s">
        <v>119</v>
      </c>
      <c r="E525" s="7">
        <f>VLOOKUP(tbSellers[[#This Row],[Item]],tbMaterials[],4,FALSE)</f>
        <v>62</v>
      </c>
      <c r="F525" s="40">
        <v>1</v>
      </c>
      <c r="G525" s="47">
        <v>44029</v>
      </c>
      <c r="H525" s="70" t="str">
        <f>IF(_xlfn.IFNA(VLOOKUP(tbSellers[[#This Row],[Item]],tbShoppingList[],1,FALSE),"")&lt;&gt;"","Yes","")</f>
        <v/>
      </c>
      <c r="I525" s="1"/>
      <c r="J525" s="4"/>
      <c r="K525" s="22"/>
    </row>
    <row r="526" spans="2:11" s="66" customFormat="1" ht="27.95" hidden="1" customHeight="1" x14ac:dyDescent="0.25">
      <c r="B526" s="66" t="str">
        <f>_xlfn.CONCAT(tbSellers[[#This Row],[Station]],tbSellers[[#This Row],[Item]])</f>
        <v>ViisitysitPure Ferrite</v>
      </c>
      <c r="C526" s="66" t="s">
        <v>856</v>
      </c>
      <c r="D526" s="14" t="s">
        <v>266</v>
      </c>
      <c r="E526" s="7">
        <f>VLOOKUP(tbSellers[[#This Row],[Item]],tbMaterials[],4,FALSE)</f>
        <v>28</v>
      </c>
      <c r="F526" s="40">
        <v>2</v>
      </c>
      <c r="G526" s="47">
        <v>44029</v>
      </c>
      <c r="H526" s="70" t="str">
        <f>IF(_xlfn.IFNA(VLOOKUP(tbSellers[[#This Row],[Item]],tbShoppingList[],1,FALSE),"")&lt;&gt;"","Yes","")</f>
        <v/>
      </c>
      <c r="I526" s="1"/>
      <c r="J526" s="4"/>
      <c r="K526" s="22"/>
    </row>
    <row r="527" spans="2:11" s="66" customFormat="1" ht="27.95" hidden="1" customHeight="1" x14ac:dyDescent="0.25">
      <c r="B527" s="66" t="str">
        <f>_xlfn.CONCAT(tbSellers[[#This Row],[Station]],tbSellers[[#This Row],[Item]])</f>
        <v>ViisitysitPugneum</v>
      </c>
      <c r="C527" s="66" t="s">
        <v>856</v>
      </c>
      <c r="D527" s="14" t="s">
        <v>262</v>
      </c>
      <c r="E527" s="7">
        <f>VLOOKUP(tbSellers[[#This Row],[Item]],tbMaterials[],4,FALSE)</f>
        <v>138</v>
      </c>
      <c r="F527" s="40">
        <v>2</v>
      </c>
      <c r="G527" s="47">
        <v>44029</v>
      </c>
      <c r="H527" s="70" t="str">
        <f>IF(_xlfn.IFNA(VLOOKUP(tbSellers[[#This Row],[Item]],tbShoppingList[],1,FALSE),"")&lt;&gt;"","Yes","")</f>
        <v/>
      </c>
      <c r="I527" s="1"/>
      <c r="J527" s="4"/>
      <c r="K527" s="22"/>
    </row>
    <row r="528" spans="2:11" s="66" customFormat="1" ht="27.95" hidden="1" customHeight="1" x14ac:dyDescent="0.25">
      <c r="B528" s="66" t="str">
        <f>_xlfn.CONCAT(tbSellers[[#This Row],[Station]],tbSellers[[#This Row],[Item]])</f>
        <v>LiyluelFerrite Dust</v>
      </c>
      <c r="C528" s="66" t="s">
        <v>858</v>
      </c>
      <c r="D528" s="14" t="s">
        <v>12</v>
      </c>
      <c r="E528" s="7">
        <f>VLOOKUP(tbSellers[[#This Row],[Item]],tbMaterials[],4,FALSE)</f>
        <v>14</v>
      </c>
      <c r="F528" s="40">
        <v>1</v>
      </c>
      <c r="G528" s="47"/>
      <c r="H528" s="70" t="str">
        <f>IF(_xlfn.IFNA(VLOOKUP(tbSellers[[#This Row],[Item]],tbShoppingList[],1,FALSE),"")&lt;&gt;"","Yes","")</f>
        <v/>
      </c>
      <c r="I528" s="1"/>
      <c r="J528" s="4"/>
      <c r="K528" s="22"/>
    </row>
    <row r="529" spans="2:11" s="66" customFormat="1" ht="27.95" hidden="1" customHeight="1" x14ac:dyDescent="0.25">
      <c r="B529" s="66" t="str">
        <f>_xlfn.CONCAT(tbSellers[[#This Row],[Station]],tbSellers[[#This Row],[Item]])</f>
        <v>LiyluelCobalt</v>
      </c>
      <c r="C529" s="66" t="s">
        <v>858</v>
      </c>
      <c r="D529" s="14" t="s">
        <v>6</v>
      </c>
      <c r="E529" s="7">
        <f>VLOOKUP(tbSellers[[#This Row],[Item]],tbMaterials[],4,FALSE)</f>
        <v>198</v>
      </c>
      <c r="F529" s="40">
        <v>1</v>
      </c>
      <c r="G529" s="47"/>
      <c r="H529" s="70" t="str">
        <f>IF(_xlfn.IFNA(VLOOKUP(tbSellers[[#This Row],[Item]],tbShoppingList[],1,FALSE),"")&lt;&gt;"","Yes","")</f>
        <v/>
      </c>
      <c r="I529" s="1"/>
      <c r="J529" s="4"/>
      <c r="K529" s="22"/>
    </row>
    <row r="530" spans="2:11" s="66" customFormat="1" ht="27.95" hidden="1" customHeight="1" x14ac:dyDescent="0.25">
      <c r="B530" s="66" t="str">
        <f>_xlfn.CONCAT(tbSellers[[#This Row],[Station]],tbSellers[[#This Row],[Item]])</f>
        <v>LiyluelOxygen</v>
      </c>
      <c r="C530" s="66" t="s">
        <v>858</v>
      </c>
      <c r="D530" s="14" t="s">
        <v>8</v>
      </c>
      <c r="E530" s="7">
        <f>VLOOKUP(tbSellers[[#This Row],[Item]],tbMaterials[],4,FALSE)</f>
        <v>34</v>
      </c>
      <c r="F530" s="40">
        <v>1</v>
      </c>
      <c r="G530" s="47"/>
      <c r="H530" s="70" t="str">
        <f>IF(_xlfn.IFNA(VLOOKUP(tbSellers[[#This Row],[Item]],tbShoppingList[],1,FALSE),"")&lt;&gt;"","Yes","")</f>
        <v/>
      </c>
      <c r="I530" s="1"/>
      <c r="J530" s="4"/>
      <c r="K530" s="22"/>
    </row>
    <row r="531" spans="2:11" s="66" customFormat="1" ht="27.95" hidden="1" customHeight="1" x14ac:dyDescent="0.25">
      <c r="B531" s="66" t="str">
        <f>_xlfn.CONCAT(tbSellers[[#This Row],[Station]],tbSellers[[#This Row],[Item]])</f>
        <v>LiyluelSodium</v>
      </c>
      <c r="C531" s="66" t="s">
        <v>858</v>
      </c>
      <c r="D531" s="14" t="s">
        <v>9</v>
      </c>
      <c r="E531" s="7">
        <f>VLOOKUP(tbSellers[[#This Row],[Item]],tbMaterials[],4,FALSE)</f>
        <v>41</v>
      </c>
      <c r="F531" s="40">
        <v>1</v>
      </c>
      <c r="G531" s="47"/>
      <c r="H531" s="70" t="str">
        <f>IF(_xlfn.IFNA(VLOOKUP(tbSellers[[#This Row],[Item]],tbShoppingList[],1,FALSE),"")&lt;&gt;"","Yes","")</f>
        <v/>
      </c>
      <c r="I531" s="1"/>
      <c r="J531" s="4"/>
      <c r="K531" s="22"/>
    </row>
    <row r="532" spans="2:11" s="66" customFormat="1" ht="27.95" hidden="1" customHeight="1" x14ac:dyDescent="0.25">
      <c r="B532" s="66" t="str">
        <f>_xlfn.CONCAT(tbSellers[[#This Row],[Station]],tbSellers[[#This Row],[Item]])</f>
        <v>LiyluelMagnetised Ferrite</v>
      </c>
      <c r="C532" s="66" t="s">
        <v>858</v>
      </c>
      <c r="D532" s="14" t="s">
        <v>246</v>
      </c>
      <c r="E532" s="7">
        <f>VLOOKUP(tbSellers[[#This Row],[Item]],tbMaterials[],4,FALSE)</f>
        <v>82</v>
      </c>
      <c r="F532" s="40">
        <v>2</v>
      </c>
      <c r="G532" s="47"/>
      <c r="H532" s="70" t="str">
        <f>IF(_xlfn.IFNA(VLOOKUP(tbSellers[[#This Row],[Item]],tbShoppingList[],1,FALSE),"")&lt;&gt;"","Yes","")</f>
        <v/>
      </c>
      <c r="I532" s="1"/>
      <c r="J532" s="4"/>
      <c r="K532" s="22"/>
    </row>
    <row r="533" spans="2:11" s="66" customFormat="1" ht="27.95" hidden="1" customHeight="1" x14ac:dyDescent="0.25">
      <c r="B533" s="66" t="str">
        <f>_xlfn.CONCAT(tbSellers[[#This Row],[Station]],tbSellers[[#This Row],[Item]])</f>
        <v>LiyluelUranium</v>
      </c>
      <c r="C533" s="66" t="s">
        <v>858</v>
      </c>
      <c r="D533" s="14" t="s">
        <v>57</v>
      </c>
      <c r="E533" s="7">
        <f>VLOOKUP(tbSellers[[#This Row],[Item]],tbMaterials[],4,FALSE)</f>
        <v>62</v>
      </c>
      <c r="F533" s="40">
        <v>2</v>
      </c>
      <c r="G533" s="47"/>
      <c r="H533" s="70" t="str">
        <f>IF(_xlfn.IFNA(VLOOKUP(tbSellers[[#This Row],[Item]],tbShoppingList[],1,FALSE),"")&lt;&gt;"","Yes","")</f>
        <v/>
      </c>
      <c r="I533" s="1"/>
      <c r="J533" s="4"/>
      <c r="K533" s="22"/>
    </row>
    <row r="534" spans="2:11" s="66" customFormat="1" ht="27.95" hidden="1" customHeight="1" x14ac:dyDescent="0.25">
      <c r="B534" s="66" t="str">
        <f>_xlfn.CONCAT(tbSellers[[#This Row],[Station]],tbSellers[[#This Row],[Item]])</f>
        <v>LiyluelGold</v>
      </c>
      <c r="C534" s="66" t="s">
        <v>858</v>
      </c>
      <c r="D534" s="14" t="s">
        <v>24</v>
      </c>
      <c r="E534" s="7">
        <f>VLOOKUP(tbSellers[[#This Row],[Item]],tbMaterials[],4,FALSE)</f>
        <v>353</v>
      </c>
      <c r="F534" s="40">
        <v>2</v>
      </c>
      <c r="G534" s="47"/>
      <c r="H534" s="70" t="str">
        <f>IF(_xlfn.IFNA(VLOOKUP(tbSellers[[#This Row],[Item]],tbShoppingList[],1,FALSE),"")&lt;&gt;"","Yes","")</f>
        <v/>
      </c>
      <c r="I534" s="1"/>
      <c r="J534" s="4"/>
      <c r="K534" s="22"/>
    </row>
    <row r="535" spans="2:11" s="66" customFormat="1" ht="27.95" hidden="1" customHeight="1" x14ac:dyDescent="0.25">
      <c r="B535" s="66" t="str">
        <f>_xlfn.CONCAT(tbSellers[[#This Row],[Station]],tbSellers[[#This Row],[Item]])</f>
        <v>LiyluelAmmonia</v>
      </c>
      <c r="C535" s="66" t="s">
        <v>858</v>
      </c>
      <c r="D535" s="14" t="s">
        <v>84</v>
      </c>
      <c r="E535" s="7">
        <f>VLOOKUP(tbSellers[[#This Row],[Item]],tbMaterials[],4,FALSE)</f>
        <v>62</v>
      </c>
      <c r="F535" s="40">
        <v>1</v>
      </c>
      <c r="G535" s="47"/>
      <c r="H535" s="70" t="str">
        <f>IF(_xlfn.IFNA(VLOOKUP(tbSellers[[#This Row],[Item]],tbShoppingList[],1,FALSE),"")&lt;&gt;"","Yes","")</f>
        <v/>
      </c>
      <c r="I535" s="1"/>
      <c r="J535" s="4"/>
      <c r="K535" s="22"/>
    </row>
    <row r="536" spans="2:11" s="66" customFormat="1" ht="27.95" hidden="1" customHeight="1" x14ac:dyDescent="0.25">
      <c r="B536" s="66" t="str">
        <f>_xlfn.CONCAT(tbSellers[[#This Row],[Station]],tbSellers[[#This Row],[Item]])</f>
        <v>LiyluelIonised Cobalt</v>
      </c>
      <c r="C536" s="66" t="s">
        <v>858</v>
      </c>
      <c r="D536" s="14" t="s">
        <v>267</v>
      </c>
      <c r="E536" s="7">
        <f>VLOOKUP(tbSellers[[#This Row],[Item]],tbMaterials[],4,FALSE)</f>
        <v>401</v>
      </c>
      <c r="F536" s="40">
        <v>1</v>
      </c>
      <c r="G536" s="47"/>
      <c r="H536" s="70" t="str">
        <f>IF(_xlfn.IFNA(VLOOKUP(tbSellers[[#This Row],[Item]],tbShoppingList[],1,FALSE),"")&lt;&gt;"","Yes","")</f>
        <v/>
      </c>
      <c r="I536" s="1"/>
      <c r="J536" s="4"/>
      <c r="K536" s="22"/>
    </row>
    <row r="537" spans="2:11" s="66" customFormat="1" ht="27.95" hidden="1" customHeight="1" x14ac:dyDescent="0.25">
      <c r="B537" s="66" t="str">
        <f>_xlfn.CONCAT(tbSellers[[#This Row],[Station]],tbSellers[[#This Row],[Item]])</f>
        <v>LiyluelTritium</v>
      </c>
      <c r="C537" s="66" t="s">
        <v>858</v>
      </c>
      <c r="D537" s="14" t="s">
        <v>25</v>
      </c>
      <c r="E537" s="7">
        <f>VLOOKUP(tbSellers[[#This Row],[Item]],tbMaterials[],4,FALSE)</f>
        <v>6</v>
      </c>
      <c r="F537" s="40">
        <v>1</v>
      </c>
      <c r="G537" s="47"/>
      <c r="H537" s="70" t="str">
        <f>IF(_xlfn.IFNA(VLOOKUP(tbSellers[[#This Row],[Item]],tbShoppingList[],1,FALSE),"")&lt;&gt;"","Yes","")</f>
        <v>Yes</v>
      </c>
      <c r="I537" s="1"/>
      <c r="J537" s="4"/>
      <c r="K537" s="22"/>
    </row>
    <row r="538" spans="2:11" s="66" customFormat="1" ht="27.95" hidden="1" customHeight="1" x14ac:dyDescent="0.25">
      <c r="B538" s="66" t="str">
        <f>_xlfn.CONCAT(tbSellers[[#This Row],[Station]],tbSellers[[#This Row],[Item]])</f>
        <v>HoventFerrite Dust</v>
      </c>
      <c r="C538" s="66" t="s">
        <v>860</v>
      </c>
      <c r="D538" s="14" t="s">
        <v>12</v>
      </c>
      <c r="E538" s="7">
        <f>VLOOKUP(tbSellers[[#This Row],[Item]],tbMaterials[],4,FALSE)</f>
        <v>14</v>
      </c>
      <c r="F538" s="40">
        <v>1</v>
      </c>
      <c r="G538" s="47"/>
      <c r="H538" s="70" t="str">
        <f>IF(_xlfn.IFNA(VLOOKUP(tbSellers[[#This Row],[Item]],tbShoppingList[],1,FALSE),"")&lt;&gt;"","Yes","")</f>
        <v/>
      </c>
      <c r="I538" s="1"/>
      <c r="J538" s="4"/>
      <c r="K538" s="22"/>
    </row>
    <row r="539" spans="2:11" s="66" customFormat="1" ht="27.95" hidden="1" customHeight="1" x14ac:dyDescent="0.25">
      <c r="B539" s="66" t="str">
        <f>_xlfn.CONCAT(tbSellers[[#This Row],[Station]],tbSellers[[#This Row],[Item]])</f>
        <v>HoventCobalt</v>
      </c>
      <c r="C539" s="66" t="s">
        <v>860</v>
      </c>
      <c r="D539" s="14" t="s">
        <v>6</v>
      </c>
      <c r="E539" s="7">
        <f>VLOOKUP(tbSellers[[#This Row],[Item]],tbMaterials[],4,FALSE)</f>
        <v>198</v>
      </c>
      <c r="F539" s="40">
        <v>1</v>
      </c>
      <c r="G539" s="47"/>
      <c r="H539" s="70" t="str">
        <f>IF(_xlfn.IFNA(VLOOKUP(tbSellers[[#This Row],[Item]],tbShoppingList[],1,FALSE),"")&lt;&gt;"","Yes","")</f>
        <v/>
      </c>
      <c r="I539" s="1"/>
      <c r="J539" s="4"/>
      <c r="K539" s="22"/>
    </row>
    <row r="540" spans="2:11" s="66" customFormat="1" ht="27.95" hidden="1" customHeight="1" x14ac:dyDescent="0.25">
      <c r="B540" s="66" t="str">
        <f>_xlfn.CONCAT(tbSellers[[#This Row],[Station]],tbSellers[[#This Row],[Item]])</f>
        <v>HoventOxygen</v>
      </c>
      <c r="C540" s="66" t="s">
        <v>860</v>
      </c>
      <c r="D540" s="14" t="s">
        <v>8</v>
      </c>
      <c r="E540" s="7">
        <f>VLOOKUP(tbSellers[[#This Row],[Item]],tbMaterials[],4,FALSE)</f>
        <v>34</v>
      </c>
      <c r="F540" s="40">
        <v>1</v>
      </c>
      <c r="G540" s="47"/>
      <c r="H540" s="70" t="str">
        <f>IF(_xlfn.IFNA(VLOOKUP(tbSellers[[#This Row],[Item]],tbShoppingList[],1,FALSE),"")&lt;&gt;"","Yes","")</f>
        <v/>
      </c>
      <c r="I540" s="1"/>
      <c r="J540" s="4"/>
      <c r="K540" s="22"/>
    </row>
    <row r="541" spans="2:11" s="66" customFormat="1" ht="27.95" hidden="1" customHeight="1" x14ac:dyDescent="0.25">
      <c r="B541" s="66" t="str">
        <f>_xlfn.CONCAT(tbSellers[[#This Row],[Station]],tbSellers[[#This Row],[Item]])</f>
        <v>HoventSodium</v>
      </c>
      <c r="C541" s="66" t="s">
        <v>860</v>
      </c>
      <c r="D541" s="14" t="s">
        <v>9</v>
      </c>
      <c r="E541" s="7">
        <f>VLOOKUP(tbSellers[[#This Row],[Item]],tbMaterials[],4,FALSE)</f>
        <v>41</v>
      </c>
      <c r="F541" s="40">
        <v>1</v>
      </c>
      <c r="G541" s="47"/>
      <c r="H541" s="70" t="str">
        <f>IF(_xlfn.IFNA(VLOOKUP(tbSellers[[#This Row],[Item]],tbShoppingList[],1,FALSE),"")&lt;&gt;"","Yes","")</f>
        <v/>
      </c>
      <c r="I541" s="1"/>
      <c r="J541" s="4"/>
      <c r="K541" s="22"/>
    </row>
    <row r="542" spans="2:11" s="66" customFormat="1" ht="27.95" hidden="1" customHeight="1" x14ac:dyDescent="0.25">
      <c r="B542" s="66" t="str">
        <f>_xlfn.CONCAT(tbSellers[[#This Row],[Station]],tbSellers[[#This Row],[Item]])</f>
        <v>HoventPure Ferrite</v>
      </c>
      <c r="C542" s="66" t="s">
        <v>860</v>
      </c>
      <c r="D542" s="14" t="s">
        <v>266</v>
      </c>
      <c r="E542" s="7">
        <f>VLOOKUP(tbSellers[[#This Row],[Item]],tbMaterials[],4,FALSE)</f>
        <v>28</v>
      </c>
      <c r="F542" s="40">
        <v>2</v>
      </c>
      <c r="G542" s="47"/>
      <c r="H542" s="70" t="str">
        <f>IF(_xlfn.IFNA(VLOOKUP(tbSellers[[#This Row],[Item]],tbShoppingList[],1,FALSE),"")&lt;&gt;"","Yes","")</f>
        <v/>
      </c>
      <c r="I542" s="1"/>
      <c r="J542" s="4"/>
      <c r="K542" s="22"/>
    </row>
    <row r="543" spans="2:11" s="66" customFormat="1" ht="27.95" hidden="1" customHeight="1" x14ac:dyDescent="0.25">
      <c r="B543" s="66" t="str">
        <f>_xlfn.CONCAT(tbSellers[[#This Row],[Station]],tbSellers[[#This Row],[Item]])</f>
        <v>HoventIonised Cobalt</v>
      </c>
      <c r="C543" s="66" t="s">
        <v>860</v>
      </c>
      <c r="D543" s="14" t="s">
        <v>267</v>
      </c>
      <c r="E543" s="7">
        <f>VLOOKUP(tbSellers[[#This Row],[Item]],tbMaterials[],4,FALSE)</f>
        <v>401</v>
      </c>
      <c r="F543" s="40">
        <v>2</v>
      </c>
      <c r="G543" s="47"/>
      <c r="H543" s="70" t="str">
        <f>IF(_xlfn.IFNA(VLOOKUP(tbSellers[[#This Row],[Item]],tbShoppingList[],1,FALSE),"")&lt;&gt;"","Yes","")</f>
        <v/>
      </c>
      <c r="I543" s="1"/>
      <c r="J543" s="4"/>
      <c r="K543" s="22"/>
    </row>
    <row r="544" spans="2:11" s="66" customFormat="1" ht="27.95" hidden="1" customHeight="1" x14ac:dyDescent="0.25">
      <c r="B544" s="66" t="str">
        <f>_xlfn.CONCAT(tbSellers[[#This Row],[Station]],tbSellers[[#This Row],[Item]])</f>
        <v>HoventParaffinium</v>
      </c>
      <c r="C544" s="66" t="s">
        <v>860</v>
      </c>
      <c r="D544" s="14" t="s">
        <v>61</v>
      </c>
      <c r="E544" s="7">
        <f>VLOOKUP(tbSellers[[#This Row],[Item]],tbMaterials[],4,FALSE)</f>
        <v>62</v>
      </c>
      <c r="F544" s="40">
        <v>2</v>
      </c>
      <c r="G544" s="47"/>
      <c r="H544" s="70" t="str">
        <f>IF(_xlfn.IFNA(VLOOKUP(tbSellers[[#This Row],[Item]],tbShoppingList[],1,FALSE),"")&lt;&gt;"","Yes","")</f>
        <v/>
      </c>
      <c r="I544" s="1"/>
      <c r="J544" s="4"/>
      <c r="K544" s="22"/>
    </row>
    <row r="545" spans="2:11" s="66" customFormat="1" ht="27.95" hidden="1" customHeight="1" x14ac:dyDescent="0.25">
      <c r="B545" s="66" t="str">
        <f>_xlfn.CONCAT(tbSellers[[#This Row],[Station]],tbSellers[[#This Row],[Item]])</f>
        <v>HoventPhosphorus</v>
      </c>
      <c r="C545" s="66" t="s">
        <v>860</v>
      </c>
      <c r="D545" s="14" t="s">
        <v>34</v>
      </c>
      <c r="E545" s="7">
        <f>VLOOKUP(tbSellers[[#This Row],[Item]],tbMaterials[],4,FALSE)</f>
        <v>62</v>
      </c>
      <c r="F545" s="40">
        <v>2</v>
      </c>
      <c r="G545" s="47"/>
      <c r="H545" s="70" t="str">
        <f>IF(_xlfn.IFNA(VLOOKUP(tbSellers[[#This Row],[Item]],tbShoppingList[],1,FALSE),"")&lt;&gt;"","Yes","")</f>
        <v/>
      </c>
      <c r="I545" s="1"/>
      <c r="J545" s="4"/>
      <c r="K545" s="22"/>
    </row>
    <row r="546" spans="2:11" s="66" customFormat="1" ht="27.95" hidden="1" customHeight="1" x14ac:dyDescent="0.25">
      <c r="B546" s="66" t="str">
        <f>_xlfn.CONCAT(tbSellers[[#This Row],[Station]],tbSellers[[#This Row],[Item]])</f>
        <v>HoventSodium Nitrate</v>
      </c>
      <c r="C546" s="66" t="s">
        <v>860</v>
      </c>
      <c r="D546" s="14" t="s">
        <v>11</v>
      </c>
      <c r="E546" s="7">
        <f>VLOOKUP(tbSellers[[#This Row],[Item]],tbMaterials[],4,FALSE)</f>
        <v>82</v>
      </c>
      <c r="F546" s="40">
        <v>1</v>
      </c>
      <c r="G546" s="47"/>
      <c r="H546" s="70" t="str">
        <f>IF(_xlfn.IFNA(VLOOKUP(tbSellers[[#This Row],[Item]],tbShoppingList[],1,FALSE),"")&lt;&gt;"","Yes","")</f>
        <v/>
      </c>
      <c r="I546" s="1"/>
      <c r="J546" s="4"/>
      <c r="K546" s="22"/>
    </row>
    <row r="547" spans="2:11" s="66" customFormat="1" ht="27.95" hidden="1" customHeight="1" x14ac:dyDescent="0.25">
      <c r="B547" s="66" t="str">
        <f>_xlfn.CONCAT(tbSellers[[#This Row],[Station]],tbSellers[[#This Row],[Item]])</f>
        <v>HoventCopper</v>
      </c>
      <c r="C547" s="66" t="s">
        <v>860</v>
      </c>
      <c r="D547" s="14" t="s">
        <v>5</v>
      </c>
      <c r="E547" s="7">
        <f>VLOOKUP(tbSellers[[#This Row],[Item]],tbMaterials[],4,FALSE)</f>
        <v>121</v>
      </c>
      <c r="F547" s="40">
        <v>1</v>
      </c>
      <c r="G547" s="47"/>
      <c r="H547" s="70" t="str">
        <f>IF(_xlfn.IFNA(VLOOKUP(tbSellers[[#This Row],[Item]],tbShoppingList[],1,FALSE),"")&lt;&gt;"","Yes","")</f>
        <v/>
      </c>
      <c r="I547" s="1"/>
      <c r="J547" s="4"/>
      <c r="K547" s="22"/>
    </row>
    <row r="548" spans="2:11" s="66" customFormat="1" ht="27.95" hidden="1" customHeight="1" x14ac:dyDescent="0.25">
      <c r="B548" s="66" t="str">
        <f>_xlfn.CONCAT(tbSellers[[#This Row],[Station]],tbSellers[[#This Row],[Item]])</f>
        <v>LiyluelSalt</v>
      </c>
      <c r="C548" s="66" t="s">
        <v>858</v>
      </c>
      <c r="D548" s="14" t="s">
        <v>56</v>
      </c>
      <c r="E548" s="7">
        <f>VLOOKUP(tbSellers[[#This Row],[Item]],tbMaterials[],4,FALSE)</f>
        <v>299</v>
      </c>
      <c r="F548" s="40">
        <v>1</v>
      </c>
      <c r="G548" s="47"/>
      <c r="H548" s="70" t="str">
        <f>IF(_xlfn.IFNA(VLOOKUP(tbSellers[[#This Row],[Item]],tbShoppingList[],1,FALSE),"")&lt;&gt;"","Yes","")</f>
        <v/>
      </c>
      <c r="I548" s="1"/>
      <c r="J548" s="4"/>
      <c r="K548" s="22"/>
    </row>
    <row r="549" spans="2:11" s="66" customFormat="1" ht="27.95" hidden="1" customHeight="1" x14ac:dyDescent="0.25">
      <c r="B549" s="66" t="str">
        <f>_xlfn.CONCAT(tbSellers[[#This Row],[Station]],tbSellers[[#This Row],[Item]])</f>
        <v>HoventSilver</v>
      </c>
      <c r="C549" s="66" t="s">
        <v>860</v>
      </c>
      <c r="D549" s="14" t="s">
        <v>19</v>
      </c>
      <c r="E549" s="7">
        <f>VLOOKUP(tbSellers[[#This Row],[Item]],tbMaterials[],4,FALSE)</f>
        <v>186</v>
      </c>
      <c r="F549" s="40">
        <v>1</v>
      </c>
      <c r="G549" s="47"/>
      <c r="H549" s="70" t="str">
        <f>IF(_xlfn.IFNA(VLOOKUP(tbSellers[[#This Row],[Item]],tbShoppingList[],1,FALSE),"")&lt;&gt;"","Yes","")</f>
        <v/>
      </c>
      <c r="I549" s="1"/>
      <c r="J549" s="4"/>
      <c r="K549" s="22"/>
    </row>
    <row r="550" spans="2:11" s="66" customFormat="1" ht="27.95" hidden="1" customHeight="1" x14ac:dyDescent="0.25">
      <c r="B550" s="66" t="str">
        <f>_xlfn.CONCAT(tbSellers[[#This Row],[Station]],tbSellers[[#This Row],[Item]])</f>
        <v>HoventGold</v>
      </c>
      <c r="C550" s="66" t="s">
        <v>860</v>
      </c>
      <c r="D550" s="14" t="s">
        <v>24</v>
      </c>
      <c r="E550" s="7">
        <f>VLOOKUP(tbSellers[[#This Row],[Item]],tbMaterials[],4,FALSE)</f>
        <v>353</v>
      </c>
      <c r="F550" s="40">
        <v>1</v>
      </c>
      <c r="G550" s="47"/>
      <c r="H550" s="70" t="str">
        <f>IF(_xlfn.IFNA(VLOOKUP(tbSellers[[#This Row],[Item]],tbShoppingList[],1,FALSE),"")&lt;&gt;"","Yes","")</f>
        <v/>
      </c>
      <c r="I550" s="1"/>
      <c r="J550" s="4"/>
      <c r="K550" s="22"/>
    </row>
    <row r="551" spans="2:11" s="66" customFormat="1" ht="27.95" hidden="1" customHeight="1" x14ac:dyDescent="0.25">
      <c r="B551" s="66" t="str">
        <f>_xlfn.CONCAT(tbSellers[[#This Row],[Station]],tbSellers[[#This Row],[Item]])</f>
        <v>SelegzeFerrite Dust</v>
      </c>
      <c r="C551" s="66" t="s">
        <v>862</v>
      </c>
      <c r="D551" s="14" t="s">
        <v>12</v>
      </c>
      <c r="E551" s="7">
        <f>VLOOKUP(tbSellers[[#This Row],[Item]],tbMaterials[],4,FALSE)</f>
        <v>14</v>
      </c>
      <c r="F551" s="40">
        <v>1</v>
      </c>
      <c r="G551" s="47"/>
      <c r="H551" s="70" t="str">
        <f>IF(_xlfn.IFNA(VLOOKUP(tbSellers[[#This Row],[Item]],tbShoppingList[],1,FALSE),"")&lt;&gt;"","Yes","")</f>
        <v/>
      </c>
      <c r="I551" s="1"/>
      <c r="J551" s="4"/>
      <c r="K551" s="22"/>
    </row>
    <row r="552" spans="2:11" s="66" customFormat="1" ht="27.95" hidden="1" customHeight="1" x14ac:dyDescent="0.25">
      <c r="B552" s="66" t="str">
        <f>_xlfn.CONCAT(tbSellers[[#This Row],[Station]],tbSellers[[#This Row],[Item]])</f>
        <v>HoventPyrite</v>
      </c>
      <c r="C552" s="66" t="s">
        <v>860</v>
      </c>
      <c r="D552" s="14" t="s">
        <v>119</v>
      </c>
      <c r="E552" s="7">
        <f>VLOOKUP(tbSellers[[#This Row],[Item]],tbMaterials[],4,FALSE)</f>
        <v>62</v>
      </c>
      <c r="F552" s="40">
        <v>1</v>
      </c>
      <c r="G552" s="47"/>
      <c r="H552" s="70" t="str">
        <f>IF(_xlfn.IFNA(VLOOKUP(tbSellers[[#This Row],[Item]],tbShoppingList[],1,FALSE),"")&lt;&gt;"","Yes","")</f>
        <v/>
      </c>
      <c r="I552" s="1"/>
      <c r="J552" s="4"/>
      <c r="K552" s="22"/>
    </row>
    <row r="553" spans="2:11" s="66" customFormat="1" ht="27.95" hidden="1" customHeight="1" x14ac:dyDescent="0.25">
      <c r="B553" s="66" t="str">
        <f>_xlfn.CONCAT(tbSellers[[#This Row],[Station]],tbSellers[[#This Row],[Item]])</f>
        <v>SelegzeOxygen</v>
      </c>
      <c r="C553" s="66" t="s">
        <v>862</v>
      </c>
      <c r="D553" s="14" t="s">
        <v>8</v>
      </c>
      <c r="E553" s="7">
        <f>VLOOKUP(tbSellers[[#This Row],[Item]],tbMaterials[],4,FALSE)</f>
        <v>34</v>
      </c>
      <c r="F553" s="40">
        <v>1</v>
      </c>
      <c r="G553" s="47"/>
      <c r="H553" s="70" t="str">
        <f>IF(_xlfn.IFNA(VLOOKUP(tbSellers[[#This Row],[Item]],tbShoppingList[],1,FALSE),"")&lt;&gt;"","Yes","")</f>
        <v/>
      </c>
      <c r="I553" s="1"/>
      <c r="J553" s="4"/>
      <c r="K553" s="22"/>
    </row>
    <row r="554" spans="2:11" s="66" customFormat="1" ht="27.95" hidden="1" customHeight="1" x14ac:dyDescent="0.25">
      <c r="B554" s="66" t="str">
        <f>_xlfn.CONCAT(tbSellers[[#This Row],[Station]],tbSellers[[#This Row],[Item]])</f>
        <v>SelegzeCobalt</v>
      </c>
      <c r="C554" s="66" t="s">
        <v>862</v>
      </c>
      <c r="D554" s="14" t="s">
        <v>6</v>
      </c>
      <c r="E554" s="7">
        <f>VLOOKUP(tbSellers[[#This Row],[Item]],tbMaterials[],4,FALSE)</f>
        <v>198</v>
      </c>
      <c r="F554" s="40">
        <v>1</v>
      </c>
      <c r="G554" s="47"/>
      <c r="H554" s="70" t="str">
        <f>IF(_xlfn.IFNA(VLOOKUP(tbSellers[[#This Row],[Item]],tbShoppingList[],1,FALSE),"")&lt;&gt;"","Yes","")</f>
        <v/>
      </c>
      <c r="I554" s="1"/>
      <c r="J554" s="4"/>
      <c r="K554" s="22"/>
    </row>
    <row r="555" spans="2:11" s="66" customFormat="1" ht="27.95" hidden="1" customHeight="1" x14ac:dyDescent="0.25">
      <c r="B555" s="66" t="str">
        <f>_xlfn.CONCAT(tbSellers[[#This Row],[Station]],tbSellers[[#This Row],[Item]])</f>
        <v>SelegzeSodium</v>
      </c>
      <c r="C555" s="66" t="s">
        <v>862</v>
      </c>
      <c r="D555" s="14" t="s">
        <v>9</v>
      </c>
      <c r="E555" s="7">
        <f>VLOOKUP(tbSellers[[#This Row],[Item]],tbMaterials[],4,FALSE)</f>
        <v>41</v>
      </c>
      <c r="F555" s="40">
        <v>1</v>
      </c>
      <c r="G555" s="47"/>
      <c r="H555" s="70" t="str">
        <f>IF(_xlfn.IFNA(VLOOKUP(tbSellers[[#This Row],[Item]],tbShoppingList[],1,FALSE),"")&lt;&gt;"","Yes","")</f>
        <v/>
      </c>
      <c r="I555" s="1"/>
      <c r="J555" s="4"/>
      <c r="K555" s="22"/>
    </row>
    <row r="556" spans="2:11" s="66" customFormat="1" ht="27.95" hidden="1" customHeight="1" x14ac:dyDescent="0.25">
      <c r="B556" s="66" t="str">
        <f>_xlfn.CONCAT(tbSellers[[#This Row],[Station]],tbSellers[[#This Row],[Item]])</f>
        <v>SelegzePhosphorus</v>
      </c>
      <c r="C556" s="66" t="s">
        <v>862</v>
      </c>
      <c r="D556" s="14" t="s">
        <v>34</v>
      </c>
      <c r="E556" s="7">
        <f>VLOOKUP(tbSellers[[#This Row],[Item]],tbMaterials[],4,FALSE)</f>
        <v>62</v>
      </c>
      <c r="F556" s="40">
        <v>2</v>
      </c>
      <c r="G556" s="47"/>
      <c r="H556" s="70" t="str">
        <f>IF(_xlfn.IFNA(VLOOKUP(tbSellers[[#This Row],[Item]],tbShoppingList[],1,FALSE),"")&lt;&gt;"","Yes","")</f>
        <v/>
      </c>
      <c r="I556" s="1"/>
      <c r="J556" s="4"/>
      <c r="K556" s="22"/>
    </row>
    <row r="557" spans="2:11" s="66" customFormat="1" ht="27.95" hidden="1" customHeight="1" x14ac:dyDescent="0.25">
      <c r="B557" s="66" t="str">
        <f>_xlfn.CONCAT(tbSellers[[#This Row],[Station]],tbSellers[[#This Row],[Item]])</f>
        <v>SelegzeSilver</v>
      </c>
      <c r="C557" s="66" t="s">
        <v>862</v>
      </c>
      <c r="D557" s="14" t="s">
        <v>19</v>
      </c>
      <c r="E557" s="7">
        <f>VLOOKUP(tbSellers[[#This Row],[Item]],tbMaterials[],4,FALSE)</f>
        <v>186</v>
      </c>
      <c r="F557" s="40">
        <v>2</v>
      </c>
      <c r="G557" s="47"/>
      <c r="H557" s="70" t="str">
        <f>IF(_xlfn.IFNA(VLOOKUP(tbSellers[[#This Row],[Item]],tbShoppingList[],1,FALSE),"")&lt;&gt;"","Yes","")</f>
        <v/>
      </c>
      <c r="I557" s="1"/>
      <c r="J557" s="4"/>
      <c r="K557" s="22"/>
    </row>
    <row r="558" spans="2:11" s="66" customFormat="1" ht="27.95" hidden="1" customHeight="1" x14ac:dyDescent="0.25">
      <c r="B558" s="66" t="str">
        <f>_xlfn.CONCAT(tbSellers[[#This Row],[Station]],tbSellers[[#This Row],[Item]])</f>
        <v>SelegzeTritium</v>
      </c>
      <c r="C558" s="66" t="s">
        <v>862</v>
      </c>
      <c r="D558" s="14" t="s">
        <v>25</v>
      </c>
      <c r="E558" s="7">
        <f>VLOOKUP(tbSellers[[#This Row],[Item]],tbMaterials[],4,FALSE)</f>
        <v>6</v>
      </c>
      <c r="F558" s="40">
        <v>1</v>
      </c>
      <c r="G558" s="47"/>
      <c r="H558" s="70" t="str">
        <f>IF(_xlfn.IFNA(VLOOKUP(tbSellers[[#This Row],[Item]],tbShoppingList[],1,FALSE),"")&lt;&gt;"","Yes","")</f>
        <v>Yes</v>
      </c>
      <c r="I558" s="1"/>
      <c r="J558" s="4"/>
      <c r="K558" s="22"/>
    </row>
    <row r="559" spans="2:11" s="66" customFormat="1" ht="27.95" hidden="1" customHeight="1" x14ac:dyDescent="0.25">
      <c r="B559" s="66" t="str">
        <f>_xlfn.CONCAT(tbSellers[[#This Row],[Station]],tbSellers[[#This Row],[Item]])</f>
        <v>SelegzeDioxite</v>
      </c>
      <c r="C559" s="66" t="s">
        <v>862</v>
      </c>
      <c r="D559" s="14" t="s">
        <v>72</v>
      </c>
      <c r="E559" s="7">
        <f>VLOOKUP(tbSellers[[#This Row],[Item]],tbMaterials[],4,FALSE)</f>
        <v>62</v>
      </c>
      <c r="F559" s="40">
        <v>1</v>
      </c>
      <c r="G559" s="47"/>
      <c r="H559" s="70" t="str">
        <f>IF(_xlfn.IFNA(VLOOKUP(tbSellers[[#This Row],[Item]],tbShoppingList[],1,FALSE),"")&lt;&gt;"","Yes","")</f>
        <v/>
      </c>
      <c r="I559" s="1"/>
      <c r="J559" s="4"/>
      <c r="K559" s="22"/>
    </row>
    <row r="560" spans="2:11" s="66" customFormat="1" ht="27.95" hidden="1" customHeight="1" x14ac:dyDescent="0.25">
      <c r="B560" s="66" t="str">
        <f>_xlfn.CONCAT(tbSellers[[#This Row],[Station]],tbSellers[[#This Row],[Item]])</f>
        <v>SelegzeGold</v>
      </c>
      <c r="C560" s="66" t="s">
        <v>862</v>
      </c>
      <c r="D560" s="14" t="s">
        <v>24</v>
      </c>
      <c r="E560" s="7">
        <f>VLOOKUP(tbSellers[[#This Row],[Item]],tbMaterials[],4,FALSE)</f>
        <v>353</v>
      </c>
      <c r="F560" s="40">
        <v>1</v>
      </c>
      <c r="G560" s="47"/>
      <c r="H560" s="70" t="str">
        <f>IF(_xlfn.IFNA(VLOOKUP(tbSellers[[#This Row],[Item]],tbShoppingList[],1,FALSE),"")&lt;&gt;"","Yes","")</f>
        <v/>
      </c>
      <c r="I560" s="1"/>
      <c r="J560" s="4"/>
      <c r="K560" s="22"/>
    </row>
    <row r="561" spans="2:11" s="66" customFormat="1" ht="27.95" hidden="1" customHeight="1" x14ac:dyDescent="0.25">
      <c r="B561" s="66" t="str">
        <f>_xlfn.CONCAT(tbSellers[[#This Row],[Station]],tbSellers[[#This Row],[Item]])</f>
        <v>Nuswick-PayeTritium</v>
      </c>
      <c r="C561" s="66" t="s">
        <v>579</v>
      </c>
      <c r="D561" s="14" t="s">
        <v>25</v>
      </c>
      <c r="E561" s="7">
        <f>VLOOKUP(tbSellers[[#This Row],[Item]],tbMaterials[],4,FALSE)</f>
        <v>6</v>
      </c>
      <c r="F561" s="40">
        <v>2</v>
      </c>
      <c r="G561" s="47">
        <v>44029</v>
      </c>
      <c r="H561" s="70" t="str">
        <f>IF(_xlfn.IFNA(VLOOKUP(tbSellers[[#This Row],[Item]],tbShoppingList[],1,FALSE),"")&lt;&gt;"","Yes","")</f>
        <v>Yes</v>
      </c>
      <c r="I561" s="1"/>
      <c r="J561" s="4"/>
      <c r="K561" s="22"/>
    </row>
    <row r="562" spans="2:11" s="66" customFormat="1" ht="27.95" hidden="1" customHeight="1" x14ac:dyDescent="0.25">
      <c r="B562" s="66" t="str">
        <f>_xlfn.CONCAT(tbSellers[[#This Row],[Station]],tbSellers[[#This Row],[Item]])</f>
        <v>Yartan-AwkinIonised Cobalt</v>
      </c>
      <c r="C562" s="66" t="s">
        <v>326</v>
      </c>
      <c r="D562" s="14" t="s">
        <v>267</v>
      </c>
      <c r="E562" s="7">
        <f>VLOOKUP(tbSellers[[#This Row],[Item]],tbMaterials[],4,FALSE)</f>
        <v>401</v>
      </c>
      <c r="F562" s="40">
        <v>2</v>
      </c>
      <c r="G562" s="47">
        <v>44029</v>
      </c>
      <c r="H562" s="70" t="str">
        <f>IF(_xlfn.IFNA(VLOOKUP(tbSellers[[#This Row],[Item]],tbShoppingList[],1,FALSE),"")&lt;&gt;"","Yes","")</f>
        <v/>
      </c>
      <c r="I562" s="1"/>
      <c r="J562" s="4"/>
      <c r="K562" s="22"/>
    </row>
    <row r="563" spans="2:11" s="66" customFormat="1" ht="27.95" hidden="1" customHeight="1" x14ac:dyDescent="0.25">
      <c r="B563" s="66" t="str">
        <f>_xlfn.CONCAT(tbSellers[[#This Row],[Station]],tbSellers[[#This Row],[Item]])</f>
        <v>Yartan-AwkinUranium</v>
      </c>
      <c r="C563" s="66" t="s">
        <v>326</v>
      </c>
      <c r="D563" s="14" t="s">
        <v>57</v>
      </c>
      <c r="E563" s="7">
        <f>VLOOKUP(tbSellers[[#This Row],[Item]],tbMaterials[],4,FALSE)</f>
        <v>62</v>
      </c>
      <c r="F563" s="40">
        <v>2</v>
      </c>
      <c r="G563" s="47">
        <v>44029</v>
      </c>
      <c r="H563" s="70" t="str">
        <f>IF(_xlfn.IFNA(VLOOKUP(tbSellers[[#This Row],[Item]],tbShoppingList[],1,FALSE),"")&lt;&gt;"","Yes","")</f>
        <v/>
      </c>
      <c r="I563" s="1"/>
      <c r="J563" s="4"/>
      <c r="K563" s="22"/>
    </row>
    <row r="564" spans="2:11" s="66" customFormat="1" ht="27.95" hidden="1" customHeight="1" x14ac:dyDescent="0.25">
      <c r="B564" s="66" t="str">
        <f>_xlfn.CONCAT(tbSellers[[#This Row],[Station]],tbSellers[[#This Row],[Item]])</f>
        <v>NokungbParaffinium</v>
      </c>
      <c r="C564" s="66" t="s">
        <v>271</v>
      </c>
      <c r="D564" s="14" t="s">
        <v>61</v>
      </c>
      <c r="E564" s="7">
        <f>VLOOKUP(tbSellers[[#This Row],[Item]],tbMaterials[],4,FALSE)</f>
        <v>62</v>
      </c>
      <c r="F564" s="40">
        <v>2</v>
      </c>
      <c r="G564" s="47">
        <v>44029</v>
      </c>
      <c r="H564" s="70" t="str">
        <f>IF(_xlfn.IFNA(VLOOKUP(tbSellers[[#This Row],[Item]],tbShoppingList[],1,FALSE),"")&lt;&gt;"","Yes","")</f>
        <v/>
      </c>
      <c r="I564" s="1"/>
      <c r="J564" s="4"/>
      <c r="K564" s="22"/>
    </row>
    <row r="565" spans="2:11" s="66" customFormat="1" ht="27.95" hidden="1" customHeight="1" x14ac:dyDescent="0.25">
      <c r="B565" s="66" t="str">
        <f>_xlfn.CONCAT(tbSellers[[#This Row],[Station]],tbSellers[[#This Row],[Item]])</f>
        <v>NokungbChlorine</v>
      </c>
      <c r="C565" s="66" t="s">
        <v>271</v>
      </c>
      <c r="D565" s="14" t="s">
        <v>83</v>
      </c>
      <c r="E565" s="7">
        <f>VLOOKUP(tbSellers[[#This Row],[Item]],tbMaterials[],4,FALSE)</f>
        <v>602</v>
      </c>
      <c r="F565" s="40">
        <v>2</v>
      </c>
      <c r="G565" s="47">
        <v>44029</v>
      </c>
      <c r="H565" s="70" t="str">
        <f>IF(_xlfn.IFNA(VLOOKUP(tbSellers[[#This Row],[Item]],tbShoppingList[],1,FALSE),"")&lt;&gt;"","Yes","")</f>
        <v/>
      </c>
      <c r="I565" s="1"/>
      <c r="J565" s="4"/>
      <c r="K565" s="22"/>
    </row>
    <row r="566" spans="2:11" s="66" customFormat="1" ht="27.95" hidden="1" customHeight="1" x14ac:dyDescent="0.25">
      <c r="B566" s="66" t="str">
        <f>_xlfn.CONCAT(tbSellers[[#This Row],[Station]],tbSellers[[#This Row],[Item]])</f>
        <v>Seruss-EdogaGold</v>
      </c>
      <c r="C566" s="66" t="s">
        <v>577</v>
      </c>
      <c r="D566" s="14" t="s">
        <v>24</v>
      </c>
      <c r="E566" s="7">
        <f>VLOOKUP(tbSellers[[#This Row],[Item]],tbMaterials[],4,FALSE)</f>
        <v>353</v>
      </c>
      <c r="F566" s="40">
        <v>2</v>
      </c>
      <c r="G566" s="47">
        <v>44029</v>
      </c>
      <c r="H566" s="70" t="str">
        <f>IF(_xlfn.IFNA(VLOOKUP(tbSellers[[#This Row],[Item]],tbShoppingList[],1,FALSE),"")&lt;&gt;"","Yes","")</f>
        <v/>
      </c>
      <c r="I566" s="1"/>
      <c r="J566" s="4"/>
      <c r="K566" s="22"/>
    </row>
    <row r="567" spans="2:11" s="66" customFormat="1" ht="27.95" hidden="1" customHeight="1" x14ac:dyDescent="0.25">
      <c r="B567" s="66" t="str">
        <f>_xlfn.CONCAT(tbSellers[[#This Row],[Station]],tbSellers[[#This Row],[Item]])</f>
        <v>Yedexi VIITritium</v>
      </c>
      <c r="C567" s="8" t="s">
        <v>52</v>
      </c>
      <c r="D567" s="14" t="s">
        <v>25</v>
      </c>
      <c r="E567" s="7">
        <f>VLOOKUP(tbSellers[[#This Row],[Item]],tbMaterials[],4,FALSE)</f>
        <v>6</v>
      </c>
      <c r="F567" s="40">
        <v>2</v>
      </c>
      <c r="G567" s="47">
        <v>44029</v>
      </c>
      <c r="H567" s="70" t="str">
        <f>IF(_xlfn.IFNA(VLOOKUP(tbSellers[[#This Row],[Item]],tbShoppingList[],1,FALSE),"")&lt;&gt;"","Yes","")</f>
        <v>Yes</v>
      </c>
      <c r="I567" s="1"/>
      <c r="J567" s="4"/>
      <c r="K567" s="22"/>
    </row>
    <row r="568" spans="2:11" s="66" customFormat="1" ht="27.95" hidden="1" customHeight="1" x14ac:dyDescent="0.25">
      <c r="B568" s="66" t="str">
        <f>_xlfn.CONCAT(tbSellers[[#This Row],[Station]],tbSellers[[#This Row],[Item]])</f>
        <v>JukuokPyrite</v>
      </c>
      <c r="C568" s="66" t="s">
        <v>829</v>
      </c>
      <c r="D568" s="14" t="s">
        <v>119</v>
      </c>
      <c r="E568" s="7">
        <f>VLOOKUP(tbSellers[[#This Row],[Item]],tbMaterials[],4,FALSE)</f>
        <v>62</v>
      </c>
      <c r="F568" s="40">
        <v>2</v>
      </c>
      <c r="G568" s="47">
        <v>44029</v>
      </c>
      <c r="H568" s="70" t="str">
        <f>IF(_xlfn.IFNA(VLOOKUP(tbSellers[[#This Row],[Item]],tbShoppingList[],1,FALSE),"")&lt;&gt;"","Yes","")</f>
        <v/>
      </c>
      <c r="I568" s="1"/>
      <c r="J568" s="4"/>
      <c r="K568" s="22"/>
    </row>
    <row r="569" spans="2:11" s="66" customFormat="1" ht="27.95" hidden="1" customHeight="1" x14ac:dyDescent="0.25">
      <c r="B569" s="66" t="str">
        <f>_xlfn.CONCAT(tbSellers[[#This Row],[Station]],tbSellers[[#This Row],[Item]])</f>
        <v>GranqlPyrite</v>
      </c>
      <c r="C569" s="66" t="s">
        <v>844</v>
      </c>
      <c r="D569" s="14" t="s">
        <v>119</v>
      </c>
      <c r="E569" s="7">
        <f>VLOOKUP(tbSellers[[#This Row],[Item]],tbMaterials[],4,FALSE)</f>
        <v>62</v>
      </c>
      <c r="F569" s="40">
        <v>2</v>
      </c>
      <c r="G569" s="47">
        <v>44029</v>
      </c>
      <c r="H569" s="70" t="str">
        <f>IF(_xlfn.IFNA(VLOOKUP(tbSellers[[#This Row],[Item]],tbShoppingList[],1,FALSE),"")&lt;&gt;"","Yes","")</f>
        <v/>
      </c>
      <c r="I569" s="1"/>
      <c r="J569" s="4"/>
      <c r="K569" s="22"/>
    </row>
    <row r="570" spans="2:11" s="66" customFormat="1" ht="27.95" hidden="1" customHeight="1" x14ac:dyDescent="0.25">
      <c r="B570" s="66" t="str">
        <f>_xlfn.CONCAT(tbSellers[[#This Row],[Station]],tbSellers[[#This Row],[Item]])</f>
        <v>GranqlPlatinum</v>
      </c>
      <c r="C570" s="66" t="s">
        <v>844</v>
      </c>
      <c r="D570" s="14" t="s">
        <v>18</v>
      </c>
      <c r="E570" s="7">
        <f>VLOOKUP(tbSellers[[#This Row],[Item]],tbMaterials[],4,FALSE)</f>
        <v>505</v>
      </c>
      <c r="F570" s="40">
        <v>2</v>
      </c>
      <c r="G570" s="47">
        <v>44029</v>
      </c>
      <c r="H570" s="70" t="str">
        <f>IF(_xlfn.IFNA(VLOOKUP(tbSellers[[#This Row],[Item]],tbShoppingList[],1,FALSE),"")&lt;&gt;"","Yes","")</f>
        <v/>
      </c>
      <c r="I570" s="1"/>
      <c r="J570" s="4"/>
      <c r="K570" s="22"/>
    </row>
    <row r="571" spans="2:11" s="66" customFormat="1" ht="27.95" hidden="1" customHeight="1" x14ac:dyDescent="0.25">
      <c r="B571" s="66" t="str">
        <f>_xlfn.CONCAT(tbSellers[[#This Row],[Station]],tbSellers[[#This Row],[Item]])</f>
        <v>JapariumhCopper</v>
      </c>
      <c r="C571" s="66" t="s">
        <v>845</v>
      </c>
      <c r="D571" s="14" t="s">
        <v>5</v>
      </c>
      <c r="E571" s="7">
        <f>VLOOKUP(tbSellers[[#This Row],[Item]],tbMaterials[],4,FALSE)</f>
        <v>121</v>
      </c>
      <c r="F571" s="40">
        <v>2</v>
      </c>
      <c r="G571" s="47">
        <v>44030</v>
      </c>
      <c r="H571" s="70" t="str">
        <f>IF(_xlfn.IFNA(VLOOKUP(tbSellers[[#This Row],[Item]],tbShoppingList[],1,FALSE),"")&lt;&gt;"","Yes","")</f>
        <v/>
      </c>
      <c r="I571" s="1"/>
      <c r="J571" s="4"/>
      <c r="K571" s="22"/>
    </row>
    <row r="572" spans="2:11" s="66" customFormat="1" ht="27.95" hidden="1" customHeight="1" x14ac:dyDescent="0.25">
      <c r="B572" s="66" t="str">
        <f>_xlfn.CONCAT(tbSellers[[#This Row],[Station]],tbSellers[[#This Row],[Item]])</f>
        <v>Ancity-NiyhPlatinum</v>
      </c>
      <c r="C572" s="8" t="s">
        <v>78</v>
      </c>
      <c r="D572" s="14" t="s">
        <v>18</v>
      </c>
      <c r="E572" s="7">
        <f>VLOOKUP(tbSellers[[#This Row],[Item]],tbMaterials[],4,FALSE)</f>
        <v>505</v>
      </c>
      <c r="F572" s="40">
        <v>2</v>
      </c>
      <c r="G572" s="47">
        <v>44030</v>
      </c>
      <c r="H572" s="70" t="str">
        <f>IF(_xlfn.IFNA(VLOOKUP(tbSellers[[#This Row],[Item]],tbShoppingList[],1,FALSE),"")&lt;&gt;"","Yes","")</f>
        <v/>
      </c>
      <c r="I572" s="1"/>
      <c r="J572" s="4"/>
      <c r="K572" s="22"/>
    </row>
    <row r="573" spans="2:11" s="66" customFormat="1" ht="27.95" hidden="1" customHeight="1" x14ac:dyDescent="0.25">
      <c r="B573" s="66" t="str">
        <f>_xlfn.CONCAT(tbSellers[[#This Row],[Station]],tbSellers[[#This Row],[Item]])</f>
        <v>AnxiexGold</v>
      </c>
      <c r="C573" s="66" t="s">
        <v>248</v>
      </c>
      <c r="D573" s="14" t="s">
        <v>24</v>
      </c>
      <c r="E573" s="7">
        <f>VLOOKUP(tbSellers[[#This Row],[Item]],tbMaterials[],4,FALSE)</f>
        <v>353</v>
      </c>
      <c r="F573" s="40">
        <v>2</v>
      </c>
      <c r="G573" s="47">
        <v>44030</v>
      </c>
      <c r="H573" s="70" t="str">
        <f>IF(_xlfn.IFNA(VLOOKUP(tbSellers[[#This Row],[Item]],tbShoppingList[],1,FALSE),"")&lt;&gt;"","Yes","")</f>
        <v/>
      </c>
      <c r="I573" s="1"/>
      <c r="J573" s="4"/>
      <c r="K573" s="22"/>
    </row>
    <row r="574" spans="2:11" s="66" customFormat="1" ht="27.95" hidden="1" customHeight="1" x14ac:dyDescent="0.25">
      <c r="B574" s="66" t="str">
        <f>_xlfn.CONCAT(tbSellers[[#This Row],[Station]],tbSellers[[#This Row],[Item]])</f>
        <v>Cuomul-TosCopper</v>
      </c>
      <c r="C574" s="66" t="s">
        <v>275</v>
      </c>
      <c r="D574" s="14" t="s">
        <v>5</v>
      </c>
      <c r="E574" s="7">
        <f>VLOOKUP(tbSellers[[#This Row],[Item]],tbMaterials[],4,FALSE)</f>
        <v>121</v>
      </c>
      <c r="F574" s="40">
        <v>2</v>
      </c>
      <c r="G574" s="47">
        <v>44030</v>
      </c>
      <c r="H574" s="70" t="str">
        <f>IF(_xlfn.IFNA(VLOOKUP(tbSellers[[#This Row],[Item]],tbShoppingList[],1,FALSE),"")&lt;&gt;"","Yes","")</f>
        <v/>
      </c>
      <c r="I574" s="1"/>
      <c r="J574" s="4"/>
      <c r="K574" s="22"/>
    </row>
    <row r="575" spans="2:11" s="66" customFormat="1" ht="27.95" hidden="1" customHeight="1" x14ac:dyDescent="0.25">
      <c r="B575" s="66" t="str">
        <f>_xlfn.CONCAT(tbSellers[[#This Row],[Station]],tbSellers[[#This Row],[Item]])</f>
        <v>Cuomul-TosChromatic Metal</v>
      </c>
      <c r="C575" s="66" t="s">
        <v>275</v>
      </c>
      <c r="D575" s="14" t="s">
        <v>261</v>
      </c>
      <c r="E575" s="7">
        <f>VLOOKUP(tbSellers[[#This Row],[Item]],tbMaterials[],4,FALSE)</f>
        <v>245</v>
      </c>
      <c r="F575" s="40">
        <v>2</v>
      </c>
      <c r="G575" s="47">
        <v>44030</v>
      </c>
      <c r="H575" s="70" t="str">
        <f>IF(_xlfn.IFNA(VLOOKUP(tbSellers[[#This Row],[Item]],tbShoppingList[],1,FALSE),"")&lt;&gt;"","Yes","")</f>
        <v/>
      </c>
      <c r="I575" s="1"/>
      <c r="J575" s="4"/>
      <c r="K575" s="22"/>
    </row>
    <row r="576" spans="2:11" s="66" customFormat="1" ht="27.95" hidden="1" customHeight="1" x14ac:dyDescent="0.25">
      <c r="B576" s="66" t="str">
        <f>_xlfn.CONCAT(tbSellers[[#This Row],[Station]],tbSellers[[#This Row],[Item]])</f>
        <v>OqoideDioxite</v>
      </c>
      <c r="C576" s="66" t="s">
        <v>114</v>
      </c>
      <c r="D576" s="14" t="s">
        <v>72</v>
      </c>
      <c r="E576" s="7">
        <f>VLOOKUP(tbSellers[[#This Row],[Item]],tbMaterials[],4,FALSE)</f>
        <v>62</v>
      </c>
      <c r="F576" s="40">
        <v>2</v>
      </c>
      <c r="G576" s="47">
        <v>44030</v>
      </c>
      <c r="H576" s="70" t="str">
        <f>IF(_xlfn.IFNA(VLOOKUP(tbSellers[[#This Row],[Item]],tbShoppingList[],1,FALSE),"")&lt;&gt;"","Yes","")</f>
        <v/>
      </c>
      <c r="I576" s="1"/>
      <c r="J576" s="4"/>
      <c r="K576" s="22"/>
    </row>
    <row r="577" spans="2:13" s="66" customFormat="1" ht="27.95" hidden="1" customHeight="1" x14ac:dyDescent="0.25">
      <c r="B577" s="66" t="str">
        <f>_xlfn.CONCAT(tbSellers[[#This Row],[Station]],tbSellers[[#This Row],[Item]])</f>
        <v>PuningtUranium</v>
      </c>
      <c r="C577" s="66" t="s">
        <v>279</v>
      </c>
      <c r="D577" s="14" t="s">
        <v>57</v>
      </c>
      <c r="E577" s="7">
        <f>VLOOKUP(tbSellers[[#This Row],[Item]],tbMaterials[],4,FALSE)</f>
        <v>62</v>
      </c>
      <c r="F577" s="40">
        <v>2</v>
      </c>
      <c r="G577" s="47">
        <v>44030</v>
      </c>
      <c r="H577" s="70" t="str">
        <f>IF(_xlfn.IFNA(VLOOKUP(tbSellers[[#This Row],[Item]],tbShoppingList[],1,FALSE),"")&lt;&gt;"","Yes","")</f>
        <v/>
      </c>
      <c r="I577" s="1"/>
      <c r="J577" s="4"/>
      <c r="K577" s="22"/>
    </row>
    <row r="578" spans="2:13" s="2" customFormat="1" ht="27.95" customHeight="1" x14ac:dyDescent="0.25">
      <c r="B578" s="1"/>
      <c r="C578" s="8" t="s">
        <v>268</v>
      </c>
      <c r="D578" s="8"/>
      <c r="E578" s="4"/>
      <c r="F578" s="17"/>
      <c r="G578" s="4"/>
      <c r="H578" s="66"/>
      <c r="J578" s="4"/>
      <c r="K578" s="22"/>
    </row>
    <row r="579" spans="2:13" s="2" customFormat="1" ht="27.95" customHeight="1" x14ac:dyDescent="0.25">
      <c r="C579" s="1"/>
      <c r="D579" s="1"/>
      <c r="E579" s="1"/>
      <c r="F579" s="1"/>
      <c r="G579" s="1"/>
      <c r="H579" s="1"/>
      <c r="I579" s="4"/>
      <c r="L579" s="4"/>
      <c r="M579" s="22"/>
    </row>
    <row r="580" spans="2:13" ht="27.95" customHeight="1" x14ac:dyDescent="0.25">
      <c r="C580" s="18" t="s">
        <v>847</v>
      </c>
      <c r="D580" s="18"/>
      <c r="E580" s="18"/>
      <c r="F580" s="7"/>
      <c r="G580" s="7"/>
      <c r="H580" s="4"/>
      <c r="I580" s="7"/>
      <c r="L580" s="1"/>
    </row>
    <row r="581" spans="2:13" s="2" customFormat="1" ht="27.95" customHeight="1" x14ac:dyDescent="0.25">
      <c r="L581" s="4"/>
      <c r="M581" s="22"/>
    </row>
    <row r="582" spans="2:13" s="2" customFormat="1" ht="27.95" customHeight="1" x14ac:dyDescent="0.25">
      <c r="C582" s="67" t="s">
        <v>848</v>
      </c>
      <c r="D582" s="44">
        <v>3306661035</v>
      </c>
      <c r="E582" s="44">
        <v>37165</v>
      </c>
      <c r="F582" s="44">
        <v>4248663905</v>
      </c>
      <c r="G582" s="44">
        <v>14259990</v>
      </c>
      <c r="L582" s="4"/>
      <c r="M582" s="22"/>
    </row>
    <row r="583" spans="2:13" s="2" customFormat="1" ht="27.95" customHeight="1" x14ac:dyDescent="0.25">
      <c r="C583" s="67" t="s">
        <v>849</v>
      </c>
      <c r="D583" s="77">
        <v>3436941388</v>
      </c>
      <c r="E583" s="77">
        <v>48067</v>
      </c>
      <c r="F583" s="77">
        <v>4244657401</v>
      </c>
      <c r="G583" s="77">
        <v>141410558</v>
      </c>
      <c r="L583" s="4"/>
    </row>
    <row r="584" spans="2:13" s="2" customFormat="1" ht="27.95" customHeight="1" x14ac:dyDescent="0.25">
      <c r="C584" s="67" t="s">
        <v>850</v>
      </c>
      <c r="D584" s="44">
        <f>(D582-D583)*-1</f>
        <v>130280353</v>
      </c>
      <c r="E584" s="44">
        <f>(E582-E583)*-1</f>
        <v>10902</v>
      </c>
      <c r="F584" s="44">
        <f>(F582-F583)*-1</f>
        <v>-4006504</v>
      </c>
      <c r="G584" s="44">
        <f>(G582-G583)*-1</f>
        <v>127150568</v>
      </c>
      <c r="L584" s="4"/>
    </row>
    <row r="585" spans="2:13" ht="27.95" customHeight="1" x14ac:dyDescent="0.25">
      <c r="F585" s="7"/>
      <c r="G585" s="7"/>
      <c r="H585" s="4"/>
      <c r="I585" s="7"/>
      <c r="L585" s="1"/>
    </row>
    <row r="586" spans="2:13" s="2" customFormat="1" ht="27.95" customHeight="1" x14ac:dyDescent="0.25">
      <c r="C586" s="2" t="s">
        <v>907</v>
      </c>
      <c r="D586" s="91">
        <v>3.0000000000000001E-3</v>
      </c>
      <c r="F586" s="66" t="s">
        <v>907</v>
      </c>
      <c r="G586" s="91">
        <v>-3.4000000000000002E-2</v>
      </c>
      <c r="H586" s="23"/>
      <c r="I586" s="4"/>
      <c r="L586" s="4"/>
    </row>
    <row r="587" spans="2:13" s="2" customFormat="1" ht="27.95" customHeight="1" x14ac:dyDescent="0.25">
      <c r="C587" s="2" t="s">
        <v>904</v>
      </c>
      <c r="D587" s="90">
        <v>4244657401</v>
      </c>
      <c r="F587" s="66" t="s">
        <v>904</v>
      </c>
      <c r="G587" s="90">
        <v>4273888660</v>
      </c>
      <c r="H587" s="23"/>
      <c r="I587" s="4"/>
      <c r="L587" s="4"/>
    </row>
    <row r="588" spans="2:13" s="2" customFormat="1" ht="27.95" customHeight="1" x14ac:dyDescent="0.25">
      <c r="C588" s="2" t="s">
        <v>905</v>
      </c>
      <c r="D588" s="90">
        <v>326407</v>
      </c>
      <c r="F588" s="66" t="s">
        <v>905</v>
      </c>
      <c r="G588" s="90">
        <v>49995</v>
      </c>
      <c r="H588" s="23"/>
      <c r="I588" s="4"/>
      <c r="L588" s="4"/>
    </row>
    <row r="589" spans="2:13" s="66" customFormat="1" ht="27.95" customHeight="1" x14ac:dyDescent="0.25">
      <c r="C589" s="66" t="s">
        <v>910</v>
      </c>
      <c r="D589" s="90">
        <v>197167368</v>
      </c>
      <c r="F589" s="66" t="s">
        <v>910</v>
      </c>
      <c r="G589" s="90">
        <v>29067530</v>
      </c>
      <c r="H589" s="23"/>
      <c r="I589" s="4"/>
      <c r="L589" s="4"/>
    </row>
    <row r="590" spans="2:13" s="66" customFormat="1" ht="27.95" customHeight="1" x14ac:dyDescent="0.25">
      <c r="C590" s="66" t="s">
        <v>911</v>
      </c>
      <c r="D590" s="90">
        <f>D589/D588</f>
        <v>604.05373659265888</v>
      </c>
      <c r="F590" s="66" t="s">
        <v>911</v>
      </c>
      <c r="G590" s="90">
        <f>G589/G588</f>
        <v>581.40874087408736</v>
      </c>
      <c r="H590" s="23"/>
      <c r="I590" s="4"/>
      <c r="L590" s="4"/>
    </row>
    <row r="591" spans="2:13" s="66" customFormat="1" ht="27.95" customHeight="1" x14ac:dyDescent="0.25">
      <c r="C591" s="66" t="s">
        <v>906</v>
      </c>
      <c r="D591" s="99">
        <v>4294967295</v>
      </c>
      <c r="F591" s="66" t="s">
        <v>906</v>
      </c>
      <c r="G591" s="99">
        <v>4294967295</v>
      </c>
      <c r="H591" s="23"/>
      <c r="I591" s="4"/>
      <c r="L591" s="4"/>
    </row>
    <row r="592" spans="2:13" s="66" customFormat="1" ht="27.95" customHeight="1" x14ac:dyDescent="0.25">
      <c r="C592" s="66" t="s">
        <v>912</v>
      </c>
      <c r="D592" s="90">
        <f>D591-D587</f>
        <v>50309894</v>
      </c>
      <c r="F592" s="66" t="s">
        <v>912</v>
      </c>
      <c r="G592" s="90">
        <f>G591-G587</f>
        <v>21078635</v>
      </c>
      <c r="H592" s="23"/>
      <c r="I592" s="4"/>
      <c r="L592" s="4"/>
    </row>
    <row r="593" spans="3:12" s="66" customFormat="1" ht="27.95" customHeight="1" x14ac:dyDescent="0.25">
      <c r="C593" s="66" t="s">
        <v>913</v>
      </c>
      <c r="D593" s="90">
        <f>D592/D588</f>
        <v>154.13239912134236</v>
      </c>
      <c r="F593" s="66" t="s">
        <v>913</v>
      </c>
      <c r="G593" s="90">
        <f>G592/G588</f>
        <v>421.61486148614864</v>
      </c>
      <c r="H593" s="23"/>
      <c r="I593" s="4"/>
      <c r="L593" s="4"/>
    </row>
    <row r="594" spans="3:12" s="2" customFormat="1" ht="27.95" customHeight="1" x14ac:dyDescent="0.25">
      <c r="C594" s="2" t="s">
        <v>907</v>
      </c>
      <c r="D594" s="91">
        <v>-0.79900000000000004</v>
      </c>
      <c r="F594" s="66" t="s">
        <v>907</v>
      </c>
      <c r="G594" s="91">
        <v>-0.79900000000000004</v>
      </c>
      <c r="H594" s="23"/>
      <c r="I594" s="4"/>
      <c r="L594" s="4"/>
    </row>
    <row r="595" spans="3:12" s="66" customFormat="1" ht="27.95" customHeight="1" x14ac:dyDescent="0.25">
      <c r="C595" s="66" t="s">
        <v>915</v>
      </c>
      <c r="D595" s="94">
        <f>602*(1+D594)</f>
        <v>121.00199999999997</v>
      </c>
      <c r="F595" s="66" t="s">
        <v>915</v>
      </c>
      <c r="G595" s="94">
        <f>602*(1+G594)</f>
        <v>121.00199999999997</v>
      </c>
      <c r="H595" s="23"/>
      <c r="I595" s="4"/>
      <c r="L595" s="4"/>
    </row>
    <row r="596" spans="3:12" s="2" customFormat="1" ht="27.95" customHeight="1" x14ac:dyDescent="0.25">
      <c r="C596" s="2" t="s">
        <v>908</v>
      </c>
      <c r="D596" s="90">
        <f>99999*3+28549</f>
        <v>328546</v>
      </c>
      <c r="F596" s="66" t="s">
        <v>908</v>
      </c>
      <c r="G596" s="90">
        <f>99999*3+28549</f>
        <v>328546</v>
      </c>
      <c r="H596" s="23"/>
      <c r="I596" s="4"/>
      <c r="L596" s="4"/>
    </row>
    <row r="597" spans="3:12" s="2" customFormat="1" ht="27.95" customHeight="1" x14ac:dyDescent="0.25">
      <c r="C597" s="2" t="s">
        <v>909</v>
      </c>
      <c r="D597" s="90">
        <v>4245353189</v>
      </c>
      <c r="F597" s="66" t="s">
        <v>909</v>
      </c>
      <c r="G597" s="90">
        <v>4245353189</v>
      </c>
      <c r="H597" s="23"/>
      <c r="I597" s="4"/>
      <c r="L597" s="4"/>
    </row>
    <row r="598" spans="3:12" s="66" customFormat="1" ht="27.95" customHeight="1" x14ac:dyDescent="0.25">
      <c r="C598" s="66" t="s">
        <v>914</v>
      </c>
      <c r="D598" s="92">
        <f>D591-D597</f>
        <v>49614106</v>
      </c>
      <c r="F598" s="66" t="s">
        <v>914</v>
      </c>
      <c r="G598" s="92">
        <f>G591-G597</f>
        <v>49614106</v>
      </c>
      <c r="H598" s="4"/>
      <c r="I598" s="7"/>
    </row>
    <row r="599" spans="3:12" s="66" customFormat="1" ht="27.95" customHeight="1" x14ac:dyDescent="0.25">
      <c r="C599" s="66" t="s">
        <v>913</v>
      </c>
      <c r="D599" s="93">
        <f>D598/D596</f>
        <v>151.01113999257333</v>
      </c>
      <c r="F599" s="66" t="s">
        <v>913</v>
      </c>
      <c r="G599" s="93">
        <f>G598/G596</f>
        <v>151.01113999257333</v>
      </c>
      <c r="H599" s="23"/>
      <c r="I599" s="4"/>
      <c r="L599" s="4"/>
    </row>
    <row r="600" spans="3:12" s="66" customFormat="1" ht="27.95" customHeight="1" x14ac:dyDescent="0.25">
      <c r="G600" s="4"/>
      <c r="H600" s="23"/>
      <c r="I600" s="4"/>
      <c r="L600" s="4"/>
    </row>
    <row r="601" spans="3:12" s="66" customFormat="1" ht="27.95" customHeight="1" x14ac:dyDescent="0.25">
      <c r="G601" s="4"/>
      <c r="H601" s="23"/>
      <c r="I601" s="4"/>
      <c r="L601" s="4"/>
    </row>
    <row r="602" spans="3:12" s="66" customFormat="1" ht="27.95" customHeight="1" x14ac:dyDescent="0.25">
      <c r="G602" s="4"/>
      <c r="H602" s="23"/>
      <c r="I602" s="4"/>
      <c r="L602" s="4"/>
    </row>
    <row r="603" spans="3:12" s="66" customFormat="1" ht="27.95" customHeight="1" x14ac:dyDescent="0.25">
      <c r="G603" s="4"/>
      <c r="H603" s="23"/>
      <c r="I603" s="4"/>
      <c r="L603" s="4"/>
    </row>
    <row r="604" spans="3:12" s="2" customFormat="1" ht="27.95" customHeight="1" x14ac:dyDescent="0.25">
      <c r="G604" s="4"/>
      <c r="H604" s="23"/>
      <c r="I604" s="4"/>
      <c r="L604" s="4"/>
    </row>
    <row r="605" spans="3:12" s="2" customFormat="1" ht="27.95" customHeight="1" x14ac:dyDescent="0.25">
      <c r="G605" s="4"/>
      <c r="H605" s="23"/>
      <c r="I605" s="4"/>
      <c r="L605" s="4"/>
    </row>
    <row r="606" spans="3:12" s="2" customFormat="1" ht="27.95" customHeight="1" x14ac:dyDescent="0.25">
      <c r="G606" s="4"/>
      <c r="H606" s="23"/>
      <c r="I606" s="4"/>
      <c r="L606" s="4"/>
    </row>
    <row r="607" spans="3:12" s="2" customFormat="1" ht="27.95" customHeight="1" x14ac:dyDescent="0.25">
      <c r="G607" s="4"/>
      <c r="H607" s="23"/>
      <c r="I607" s="4"/>
      <c r="L607" s="4"/>
    </row>
    <row r="608" spans="3:12" s="2" customFormat="1" ht="27.95" customHeight="1" x14ac:dyDescent="0.25">
      <c r="G608" s="4"/>
      <c r="H608" s="23"/>
      <c r="I608" s="4"/>
      <c r="L608" s="4"/>
    </row>
    <row r="609" spans="7:12" s="2" customFormat="1" ht="27.95" customHeight="1" x14ac:dyDescent="0.25">
      <c r="G609" s="4"/>
      <c r="H609" s="23"/>
      <c r="I609" s="4"/>
      <c r="L609" s="4"/>
    </row>
    <row r="610" spans="7:12" s="2" customFormat="1" ht="27.95" customHeight="1" x14ac:dyDescent="0.25">
      <c r="G610" s="4"/>
      <c r="H610" s="23"/>
      <c r="I610" s="4"/>
      <c r="L610" s="4"/>
    </row>
    <row r="611" spans="7:12" s="2" customFormat="1" ht="27.95" customHeight="1" x14ac:dyDescent="0.25">
      <c r="G611" s="4"/>
      <c r="H611" s="23"/>
      <c r="I611" s="4"/>
      <c r="L611" s="4"/>
    </row>
    <row r="612" spans="7:12" s="2" customFormat="1" ht="27.95" customHeight="1" x14ac:dyDescent="0.25">
      <c r="G612" s="4"/>
      <c r="H612" s="23"/>
      <c r="I612" s="4"/>
      <c r="L612" s="4"/>
    </row>
    <row r="613" spans="7:12" s="2" customFormat="1" ht="27.95" customHeight="1" x14ac:dyDescent="0.25">
      <c r="G613" s="4"/>
      <c r="H613" s="23"/>
      <c r="I613" s="4"/>
      <c r="L613" s="4"/>
    </row>
    <row r="614" spans="7:12" s="2" customFormat="1" ht="27.95" customHeight="1" x14ac:dyDescent="0.25">
      <c r="G614" s="4"/>
      <c r="H614" s="23"/>
      <c r="I614" s="4"/>
      <c r="L614" s="4"/>
    </row>
    <row r="615" spans="7:12" s="2" customFormat="1" ht="27.95" customHeight="1" x14ac:dyDescent="0.25">
      <c r="G615" s="4"/>
      <c r="H615" s="23"/>
      <c r="I615" s="4"/>
      <c r="L615" s="4"/>
    </row>
    <row r="616" spans="7:12" s="2" customFormat="1" ht="27.95" customHeight="1" x14ac:dyDescent="0.25">
      <c r="G616" s="4"/>
      <c r="H616" s="23"/>
      <c r="I616" s="4"/>
      <c r="L616" s="4"/>
    </row>
    <row r="617" spans="7:12" s="2" customFormat="1" ht="27.95" customHeight="1" x14ac:dyDescent="0.25">
      <c r="G617" s="4"/>
      <c r="H617" s="23"/>
      <c r="I617" s="4"/>
      <c r="L617" s="4"/>
    </row>
    <row r="618" spans="7:12" s="2" customFormat="1" ht="27.95" customHeight="1" x14ac:dyDescent="0.25">
      <c r="G618" s="4"/>
      <c r="H618" s="23"/>
      <c r="I618" s="4"/>
      <c r="L618" s="4"/>
    </row>
    <row r="619" spans="7:12" s="2" customFormat="1" ht="27.95" customHeight="1" x14ac:dyDescent="0.25">
      <c r="G619" s="4"/>
      <c r="H619" s="23"/>
      <c r="I619" s="4"/>
      <c r="L619" s="4"/>
    </row>
    <row r="620" spans="7:12" s="2" customFormat="1" ht="27.95" customHeight="1" x14ac:dyDescent="0.25">
      <c r="G620" s="4"/>
      <c r="H620" s="23"/>
      <c r="I620" s="4"/>
      <c r="L620" s="4"/>
    </row>
    <row r="621" spans="7:12" s="2" customFormat="1" ht="27.95" customHeight="1" x14ac:dyDescent="0.25">
      <c r="G621" s="4"/>
      <c r="H621" s="23"/>
      <c r="I621" s="4"/>
      <c r="L621" s="4"/>
    </row>
    <row r="622" spans="7:12" s="2" customFormat="1" ht="27.95" customHeight="1" x14ac:dyDescent="0.25">
      <c r="G622" s="4"/>
      <c r="H622" s="23"/>
      <c r="I622" s="4"/>
      <c r="L622" s="4"/>
    </row>
    <row r="623" spans="7:12" s="2" customFormat="1" ht="27.95" customHeight="1" x14ac:dyDescent="0.25">
      <c r="G623" s="4"/>
      <c r="H623" s="23"/>
      <c r="I623" s="4"/>
      <c r="L623" s="4"/>
    </row>
    <row r="624" spans="7:12" s="2" customFormat="1" ht="27.95" customHeight="1" x14ac:dyDescent="0.25">
      <c r="G624" s="4"/>
      <c r="H624" s="23"/>
      <c r="I624" s="4"/>
      <c r="L624" s="4"/>
    </row>
    <row r="625" spans="7:12" s="2" customFormat="1" ht="27.95" customHeight="1" x14ac:dyDescent="0.25">
      <c r="G625" s="4"/>
      <c r="H625" s="23"/>
      <c r="I625" s="4"/>
      <c r="L625" s="4"/>
    </row>
    <row r="626" spans="7:12" s="2" customFormat="1" ht="27.95" customHeight="1" x14ac:dyDescent="0.25">
      <c r="G626" s="4"/>
      <c r="H626" s="23"/>
      <c r="I626" s="4"/>
      <c r="L626" s="4"/>
    </row>
    <row r="627" spans="7:12" s="2" customFormat="1" ht="27.95" customHeight="1" x14ac:dyDescent="0.25">
      <c r="G627" s="4"/>
      <c r="H627" s="23"/>
      <c r="I627" s="4"/>
      <c r="L627" s="4"/>
    </row>
    <row r="628" spans="7:12" s="2" customFormat="1" ht="27.95" customHeight="1" x14ac:dyDescent="0.25">
      <c r="G628" s="4"/>
      <c r="H628" s="23"/>
      <c r="I628" s="4"/>
      <c r="L628" s="4"/>
    </row>
    <row r="629" spans="7:12" s="2" customFormat="1" ht="27.95" customHeight="1" x14ac:dyDescent="0.25">
      <c r="G629" s="4"/>
      <c r="H629" s="23"/>
      <c r="I629" s="4"/>
      <c r="L629" s="4"/>
    </row>
    <row r="630" spans="7:12" s="2" customFormat="1" ht="27.95" customHeight="1" x14ac:dyDescent="0.25">
      <c r="G630" s="4"/>
      <c r="H630" s="23"/>
      <c r="I630" s="4"/>
      <c r="L630" s="4"/>
    </row>
    <row r="631" spans="7:12" s="2" customFormat="1" ht="27.95" customHeight="1" x14ac:dyDescent="0.25">
      <c r="G631" s="4"/>
      <c r="H631" s="23"/>
      <c r="I631" s="4"/>
      <c r="L631" s="4"/>
    </row>
    <row r="632" spans="7:12" s="2" customFormat="1" ht="27.95" customHeight="1" x14ac:dyDescent="0.25">
      <c r="G632" s="4"/>
      <c r="H632" s="23"/>
      <c r="I632" s="4"/>
      <c r="L632" s="4"/>
    </row>
    <row r="633" spans="7:12" s="2" customFormat="1" ht="27.95" customHeight="1" x14ac:dyDescent="0.25">
      <c r="G633" s="4"/>
      <c r="H633" s="23"/>
      <c r="I633" s="4"/>
      <c r="L633" s="4"/>
    </row>
    <row r="634" spans="7:12" s="2" customFormat="1" ht="27.95" customHeight="1" x14ac:dyDescent="0.25">
      <c r="G634" s="4"/>
      <c r="H634" s="23"/>
      <c r="I634" s="4"/>
      <c r="L634" s="4"/>
    </row>
    <row r="635" spans="7:12" s="2" customFormat="1" ht="27.95" customHeight="1" x14ac:dyDescent="0.25">
      <c r="G635" s="4"/>
      <c r="H635" s="23"/>
      <c r="I635" s="4"/>
      <c r="L635" s="4"/>
    </row>
    <row r="636" spans="7:12" s="2" customFormat="1" ht="27.95" customHeight="1" x14ac:dyDescent="0.25">
      <c r="G636" s="4"/>
      <c r="H636" s="23"/>
      <c r="I636" s="4"/>
      <c r="L636" s="4"/>
    </row>
    <row r="637" spans="7:12" s="2" customFormat="1" ht="27.95" customHeight="1" x14ac:dyDescent="0.25">
      <c r="G637" s="4"/>
      <c r="H637" s="23"/>
      <c r="I637" s="4"/>
      <c r="L637" s="4"/>
    </row>
    <row r="638" spans="7:12" s="2" customFormat="1" ht="27.95" customHeight="1" x14ac:dyDescent="0.25">
      <c r="G638" s="4"/>
      <c r="H638" s="23"/>
      <c r="I638" s="4"/>
      <c r="L638" s="4"/>
    </row>
    <row r="639" spans="7:12" s="2" customFormat="1" ht="27.95" customHeight="1" x14ac:dyDescent="0.25">
      <c r="G639" s="4"/>
      <c r="H639" s="23"/>
      <c r="I639" s="4"/>
      <c r="L639" s="4"/>
    </row>
    <row r="640" spans="7:12" s="2" customFormat="1" ht="27.95" customHeight="1" x14ac:dyDescent="0.25">
      <c r="G640" s="4"/>
      <c r="H640" s="23"/>
      <c r="I640" s="4"/>
      <c r="L640" s="4"/>
    </row>
    <row r="641" spans="2:12" s="2" customFormat="1" ht="27.95" customHeight="1" x14ac:dyDescent="0.25">
      <c r="G641" s="4"/>
      <c r="H641" s="23"/>
      <c r="I641" s="4"/>
      <c r="L641" s="4"/>
    </row>
    <row r="642" spans="2:12" s="2" customFormat="1" ht="27.95" customHeight="1" x14ac:dyDescent="0.25">
      <c r="G642" s="4"/>
      <c r="H642" s="23"/>
      <c r="I642" s="4"/>
      <c r="L642" s="4"/>
    </row>
    <row r="643" spans="2:12" s="2" customFormat="1" ht="27.95" customHeight="1" x14ac:dyDescent="0.25">
      <c r="G643" s="4"/>
      <c r="H643" s="23"/>
      <c r="I643" s="4"/>
      <c r="L643" s="4"/>
    </row>
    <row r="644" spans="2:12" s="2" customFormat="1" ht="27.95" customHeight="1" x14ac:dyDescent="0.25">
      <c r="G644" s="4"/>
      <c r="H644" s="23"/>
      <c r="I644" s="4"/>
      <c r="L644" s="4"/>
    </row>
    <row r="645" spans="2:12" s="2" customFormat="1" ht="27.95" customHeight="1" x14ac:dyDescent="0.25">
      <c r="G645" s="4"/>
      <c r="H645" s="23"/>
      <c r="I645" s="4"/>
      <c r="L645" s="4"/>
    </row>
    <row r="646" spans="2:12" s="2" customFormat="1" ht="27.95" customHeight="1" x14ac:dyDescent="0.25">
      <c r="G646" s="4"/>
      <c r="H646" s="23"/>
      <c r="I646" s="4"/>
      <c r="L646" s="4"/>
    </row>
    <row r="647" spans="2:12" s="2" customFormat="1" ht="27.95" customHeight="1" x14ac:dyDescent="0.25">
      <c r="G647" s="4"/>
      <c r="H647" s="23"/>
      <c r="I647" s="4"/>
      <c r="L647" s="4"/>
    </row>
    <row r="648" spans="2:12" s="2" customFormat="1" ht="27.95" customHeight="1" x14ac:dyDescent="0.25">
      <c r="G648" s="4"/>
      <c r="H648" s="23"/>
      <c r="I648" s="4"/>
      <c r="L648" s="4"/>
    </row>
    <row r="649" spans="2:12" ht="27.95" customHeight="1" x14ac:dyDescent="0.25">
      <c r="B649" s="2"/>
      <c r="F649" s="2"/>
      <c r="H649" s="23"/>
    </row>
    <row r="650" spans="2:12" ht="27.95" customHeight="1" x14ac:dyDescent="0.25">
      <c r="B650" s="2"/>
      <c r="F650" s="2"/>
      <c r="H650" s="2"/>
    </row>
    <row r="651" spans="2:12" ht="27.95" customHeight="1" x14ac:dyDescent="0.25"/>
    <row r="652" spans="2:12" ht="27.95" customHeight="1" x14ac:dyDescent="0.25"/>
    <row r="653" spans="2:12" ht="27.95" customHeight="1" x14ac:dyDescent="0.25"/>
    <row r="654" spans="2:12" ht="27.95" customHeight="1" x14ac:dyDescent="0.25"/>
    <row r="655" spans="2:12" ht="27.95" customHeight="1" x14ac:dyDescent="0.25">
      <c r="C655" s="2"/>
      <c r="D655" s="66"/>
      <c r="E655" s="66"/>
    </row>
    <row r="656" spans="2:12" ht="27.95" customHeight="1" x14ac:dyDescent="0.25">
      <c r="C656" s="2"/>
      <c r="D656" s="66"/>
      <c r="E656" s="66"/>
    </row>
    <row r="657" spans="3:5" ht="27.95" customHeight="1" x14ac:dyDescent="0.25">
      <c r="C657" s="2"/>
      <c r="D657" s="66"/>
      <c r="E657" s="66"/>
    </row>
    <row r="658" spans="3:5" ht="27.95" customHeight="1" x14ac:dyDescent="0.25">
      <c r="C658" s="2"/>
      <c r="D658" s="66"/>
      <c r="E658" s="66"/>
    </row>
    <row r="659" spans="3:5" ht="27.95" customHeight="1" x14ac:dyDescent="0.25">
      <c r="C659" s="2"/>
      <c r="D659" s="66"/>
      <c r="E659" s="66"/>
    </row>
    <row r="660" spans="3:5" ht="27.95" customHeight="1" x14ac:dyDescent="0.25">
      <c r="C660" s="2"/>
      <c r="D660" s="66"/>
      <c r="E660" s="66"/>
    </row>
    <row r="661" spans="3:5" ht="27.95" customHeight="1" x14ac:dyDescent="0.25">
      <c r="C661" s="2"/>
      <c r="D661" s="66"/>
      <c r="E661" s="66"/>
    </row>
    <row r="662" spans="3:5" ht="27.95" customHeight="1" x14ac:dyDescent="0.25">
      <c r="C662" s="2"/>
      <c r="D662" s="66"/>
      <c r="E662" s="66"/>
    </row>
    <row r="663" spans="3:5" ht="27.95" customHeight="1" x14ac:dyDescent="0.25">
      <c r="C663" s="2"/>
      <c r="D663" s="66"/>
      <c r="E663" s="66"/>
    </row>
    <row r="664" spans="3:5" ht="27.95" customHeight="1" x14ac:dyDescent="0.25">
      <c r="C664" s="2"/>
      <c r="D664" s="66"/>
      <c r="E664" s="66"/>
    </row>
    <row r="665" spans="3:5" ht="27.95" customHeight="1" x14ac:dyDescent="0.25">
      <c r="C665" s="2"/>
      <c r="D665" s="66"/>
      <c r="E665" s="66"/>
    </row>
    <row r="666" spans="3:5" ht="27.95" customHeight="1" x14ac:dyDescent="0.25">
      <c r="C666" s="2"/>
      <c r="D666" s="66"/>
      <c r="E666" s="66"/>
    </row>
    <row r="667" spans="3:5" ht="27.95" customHeight="1" x14ac:dyDescent="0.25">
      <c r="C667" s="2"/>
      <c r="D667" s="66"/>
      <c r="E667" s="66"/>
    </row>
    <row r="668" spans="3:5" ht="27.95" customHeight="1" x14ac:dyDescent="0.25">
      <c r="C668" s="2"/>
      <c r="D668" s="66"/>
      <c r="E668" s="66"/>
    </row>
    <row r="669" spans="3:5" ht="27.95" customHeight="1" x14ac:dyDescent="0.25">
      <c r="C669" s="2"/>
      <c r="D669" s="66"/>
      <c r="E669" s="66"/>
    </row>
    <row r="670" spans="3:5" ht="27.95" customHeight="1" x14ac:dyDescent="0.25">
      <c r="C670" s="2"/>
      <c r="D670" s="66"/>
      <c r="E670" s="66"/>
    </row>
    <row r="671" spans="3:5" ht="27.95" customHeight="1" x14ac:dyDescent="0.25"/>
    <row r="672" spans="3:5" ht="27.95" customHeight="1" x14ac:dyDescent="0.25"/>
  </sheetData>
  <phoneticPr fontId="4" type="noConversion"/>
  <conditionalFormatting sqref="E5:E577">
    <cfRule type="cellIs" dxfId="17" priority="2" operator="lessThan">
      <formula>186</formula>
    </cfRule>
  </conditionalFormatting>
  <dataValidations count="2">
    <dataValidation type="list" allowBlank="1" showInputMessage="1" showErrorMessage="1" sqref="C60:C143 C24:C46 C246:C263 C414 C5:C15 C170:C240 C572:C577 C383:C384 C428:C436 C275:C347" xr:uid="{A7BC3553-FE0D-473A-B3F3-CDAAA42BC729}">
      <formula1>lsSystems</formula1>
    </dataValidation>
    <dataValidation type="list" allowBlank="1" showInputMessage="1" showErrorMessage="1" sqref="D5:D577" xr:uid="{0A84D67D-B59F-4156-98AB-B0D08F7E0C24}">
      <formula1>lsMaterials</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ADA15-BD5E-416F-B9CF-E8A60269D906}">
  <dimension ref="B1:D32"/>
  <sheetViews>
    <sheetView showGridLines="0" topLeftCell="A4" workbookViewId="0">
      <selection activeCell="B8" sqref="B8"/>
    </sheetView>
  </sheetViews>
  <sheetFormatPr defaultRowHeight="27.95" customHeight="1" x14ac:dyDescent="0.25"/>
  <cols>
    <col min="1" max="1" width="1.42578125" style="66" customWidth="1"/>
    <col min="2" max="2" width="19.85546875" style="66" customWidth="1"/>
    <col min="3" max="16384" width="9.140625" style="66"/>
  </cols>
  <sheetData>
    <row r="1" spans="2:4" ht="7.5" customHeight="1" x14ac:dyDescent="0.25"/>
    <row r="2" spans="2:4" ht="27.95" customHeight="1" x14ac:dyDescent="0.25">
      <c r="B2" s="18" t="s">
        <v>815</v>
      </c>
      <c r="C2" s="18"/>
      <c r="D2" s="18"/>
    </row>
    <row r="3" spans="2:4" ht="27.95" customHeight="1" x14ac:dyDescent="0.25">
      <c r="B3" s="2" t="s">
        <v>278</v>
      </c>
    </row>
    <row r="4" spans="2:4" ht="27.95" customHeight="1" x14ac:dyDescent="0.25">
      <c r="B4" s="66" t="s">
        <v>25</v>
      </c>
    </row>
    <row r="5" spans="2:4" ht="27.95" customHeight="1" x14ac:dyDescent="0.25">
      <c r="B5" s="2"/>
    </row>
    <row r="6" spans="2:4" ht="27.95" customHeight="1" x14ac:dyDescent="0.25">
      <c r="B6" s="18" t="s">
        <v>817</v>
      </c>
      <c r="C6" s="18"/>
      <c r="D6" s="18"/>
    </row>
    <row r="7" spans="2:4" ht="27.95" customHeight="1" x14ac:dyDescent="0.25">
      <c r="B7" s="66" t="s">
        <v>259</v>
      </c>
      <c r="C7" s="66" t="s">
        <v>0</v>
      </c>
      <c r="D7" s="66" t="s">
        <v>491</v>
      </c>
    </row>
    <row r="8" spans="2:4" ht="27.95" customHeight="1" x14ac:dyDescent="0.25">
      <c r="B8" s="71" t="s">
        <v>78</v>
      </c>
      <c r="C8" s="71" t="s">
        <v>25</v>
      </c>
      <c r="D8" s="66">
        <v>2</v>
      </c>
    </row>
    <row r="9" spans="2:4" ht="27.95" customHeight="1" x14ac:dyDescent="0.25">
      <c r="B9" s="71" t="s">
        <v>917</v>
      </c>
      <c r="C9" s="71" t="s">
        <v>25</v>
      </c>
      <c r="D9" s="66">
        <v>2</v>
      </c>
    </row>
    <row r="10" spans="2:4" ht="27.95" customHeight="1" x14ac:dyDescent="0.25">
      <c r="B10" s="71" t="s">
        <v>831</v>
      </c>
      <c r="C10" s="71" t="s">
        <v>25</v>
      </c>
      <c r="D10" s="66">
        <v>1</v>
      </c>
    </row>
    <row r="11" spans="2:4" ht="27.95" customHeight="1" x14ac:dyDescent="0.25">
      <c r="B11" s="71" t="s">
        <v>608</v>
      </c>
      <c r="C11" s="71" t="s">
        <v>25</v>
      </c>
      <c r="D11" s="66">
        <v>1</v>
      </c>
    </row>
    <row r="12" spans="2:4" ht="27.95" customHeight="1" x14ac:dyDescent="0.25">
      <c r="B12" s="71" t="s">
        <v>844</v>
      </c>
      <c r="C12" s="71" t="s">
        <v>25</v>
      </c>
      <c r="D12" s="66">
        <v>1</v>
      </c>
    </row>
    <row r="13" spans="2:4" ht="27.95" customHeight="1" x14ac:dyDescent="0.25">
      <c r="B13" s="71" t="s">
        <v>456</v>
      </c>
      <c r="C13" s="71" t="s">
        <v>25</v>
      </c>
      <c r="D13" s="66">
        <v>1</v>
      </c>
    </row>
    <row r="14" spans="2:4" ht="27.95" customHeight="1" x14ac:dyDescent="0.25">
      <c r="B14" s="71" t="s">
        <v>845</v>
      </c>
      <c r="C14" s="71" t="s">
        <v>25</v>
      </c>
      <c r="D14" s="66">
        <v>2</v>
      </c>
    </row>
    <row r="15" spans="2:4" ht="27.95" customHeight="1" x14ac:dyDescent="0.25">
      <c r="B15" s="71" t="s">
        <v>829</v>
      </c>
      <c r="C15" s="71" t="s">
        <v>25</v>
      </c>
      <c r="D15" s="66">
        <v>1</v>
      </c>
    </row>
    <row r="16" spans="2:4" ht="27.95" customHeight="1" x14ac:dyDescent="0.25">
      <c r="B16" s="71" t="s">
        <v>858</v>
      </c>
      <c r="C16" s="71" t="s">
        <v>25</v>
      </c>
      <c r="D16" s="66">
        <v>1</v>
      </c>
    </row>
    <row r="17" spans="2:4" ht="27.95" customHeight="1" x14ac:dyDescent="0.25">
      <c r="B17" s="71" t="s">
        <v>79</v>
      </c>
      <c r="C17" s="71" t="s">
        <v>25</v>
      </c>
      <c r="D17" s="66">
        <v>1</v>
      </c>
    </row>
    <row r="18" spans="2:4" ht="27.95" customHeight="1" x14ac:dyDescent="0.25">
      <c r="B18" s="71" t="s">
        <v>54</v>
      </c>
      <c r="C18" s="71" t="s">
        <v>25</v>
      </c>
      <c r="D18" s="66">
        <v>2</v>
      </c>
    </row>
    <row r="19" spans="2:4" ht="27.95" customHeight="1" x14ac:dyDescent="0.25">
      <c r="B19" s="71" t="s">
        <v>656</v>
      </c>
      <c r="C19" s="71" t="s">
        <v>25</v>
      </c>
      <c r="D19" s="66">
        <v>2</v>
      </c>
    </row>
    <row r="20" spans="2:4" ht="27.95" customHeight="1" x14ac:dyDescent="0.25">
      <c r="B20" s="71" t="s">
        <v>271</v>
      </c>
      <c r="C20" s="71" t="s">
        <v>25</v>
      </c>
      <c r="D20" s="66">
        <v>2</v>
      </c>
    </row>
    <row r="21" spans="2:4" ht="27.95" customHeight="1" x14ac:dyDescent="0.25">
      <c r="B21" s="71" t="s">
        <v>579</v>
      </c>
      <c r="C21" s="71" t="s">
        <v>25</v>
      </c>
      <c r="D21" s="66">
        <v>2</v>
      </c>
    </row>
    <row r="22" spans="2:4" ht="27.95" customHeight="1" x14ac:dyDescent="0.25">
      <c r="B22" s="71" t="s">
        <v>114</v>
      </c>
      <c r="C22" s="71" t="s">
        <v>25</v>
      </c>
      <c r="D22" s="66">
        <v>1</v>
      </c>
    </row>
    <row r="23" spans="2:4" ht="27.95" customHeight="1" x14ac:dyDescent="0.25">
      <c r="B23" s="71" t="s">
        <v>99</v>
      </c>
      <c r="C23" s="71" t="s">
        <v>25</v>
      </c>
      <c r="D23" s="66">
        <v>1</v>
      </c>
    </row>
    <row r="24" spans="2:4" ht="27.95" customHeight="1" x14ac:dyDescent="0.25">
      <c r="B24" s="71" t="s">
        <v>591</v>
      </c>
      <c r="C24" s="71" t="s">
        <v>25</v>
      </c>
      <c r="D24" s="66">
        <v>2</v>
      </c>
    </row>
    <row r="25" spans="2:4" ht="27.95" customHeight="1" x14ac:dyDescent="0.25">
      <c r="B25" s="71" t="s">
        <v>862</v>
      </c>
      <c r="C25" s="71" t="s">
        <v>25</v>
      </c>
      <c r="D25" s="66">
        <v>1</v>
      </c>
    </row>
    <row r="26" spans="2:4" ht="27.95" customHeight="1" x14ac:dyDescent="0.25">
      <c r="B26" s="71" t="s">
        <v>577</v>
      </c>
      <c r="C26" s="71" t="s">
        <v>25</v>
      </c>
      <c r="D26" s="66">
        <v>1</v>
      </c>
    </row>
    <row r="27" spans="2:4" ht="27.95" customHeight="1" x14ac:dyDescent="0.25">
      <c r="B27" s="71" t="s">
        <v>825</v>
      </c>
      <c r="C27" s="71" t="s">
        <v>25</v>
      </c>
      <c r="D27" s="66">
        <v>1</v>
      </c>
    </row>
    <row r="28" spans="2:4" ht="27.95" customHeight="1" x14ac:dyDescent="0.25">
      <c r="B28" s="71" t="s">
        <v>665</v>
      </c>
      <c r="C28" s="71" t="s">
        <v>25</v>
      </c>
      <c r="D28" s="66">
        <v>1</v>
      </c>
    </row>
    <row r="29" spans="2:4" ht="27.95" customHeight="1" x14ac:dyDescent="0.25">
      <c r="B29" s="71" t="s">
        <v>698</v>
      </c>
      <c r="C29" s="71" t="s">
        <v>25</v>
      </c>
      <c r="D29" s="66">
        <v>2</v>
      </c>
    </row>
    <row r="30" spans="2:4" ht="27.95" customHeight="1" x14ac:dyDescent="0.25">
      <c r="B30" s="71" t="s">
        <v>116</v>
      </c>
      <c r="C30" s="71" t="s">
        <v>25</v>
      </c>
      <c r="D30" s="66">
        <v>1</v>
      </c>
    </row>
    <row r="31" spans="2:4" ht="27.95" customHeight="1" x14ac:dyDescent="0.25">
      <c r="B31" s="71" t="s">
        <v>52</v>
      </c>
      <c r="C31" s="71" t="s">
        <v>25</v>
      </c>
      <c r="D31" s="66">
        <v>2</v>
      </c>
    </row>
    <row r="32" spans="2:4" ht="27.95" customHeight="1" x14ac:dyDescent="0.25">
      <c r="B32" s="66">
        <f>SUBTOTAL(103,qryShoppingStops[Station])</f>
        <v>24</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6474C-79C0-40BA-8737-9C4BC0144E8C}">
  <sheetPr codeName="Sheet6"/>
  <dimension ref="B1:O316"/>
  <sheetViews>
    <sheetView showGridLines="0" topLeftCell="A70" workbookViewId="0">
      <selection activeCell="A92" sqref="A92"/>
    </sheetView>
  </sheetViews>
  <sheetFormatPr defaultRowHeight="14.25" x14ac:dyDescent="0.25"/>
  <cols>
    <col min="1" max="1" width="1.42578125" style="2" customWidth="1"/>
    <col min="2" max="2" width="21" style="2" customWidth="1"/>
    <col min="3" max="3" width="12.85546875" style="2" customWidth="1"/>
    <col min="4" max="4" width="15" style="2" customWidth="1"/>
    <col min="5" max="13" width="12.85546875" style="2" customWidth="1"/>
    <col min="14" max="14" width="29.28515625" style="2" customWidth="1"/>
    <col min="15" max="15" width="31.42578125" style="2" customWidth="1"/>
    <col min="16" max="16384" width="9.140625" style="2"/>
  </cols>
  <sheetData>
    <row r="1" spans="2:14" ht="7.5" customHeight="1" x14ac:dyDescent="0.25"/>
    <row r="2" spans="2:14" ht="27.95" customHeight="1" x14ac:dyDescent="0.25">
      <c r="B2" s="45" t="s">
        <v>644</v>
      </c>
      <c r="K2" s="4"/>
      <c r="L2" s="4"/>
    </row>
    <row r="3" spans="2:14" ht="27.95" customHeight="1" x14ac:dyDescent="0.25">
      <c r="B3" s="2" t="s">
        <v>36</v>
      </c>
      <c r="C3" s="3" t="s">
        <v>269</v>
      </c>
      <c r="D3" s="2" t="s">
        <v>64</v>
      </c>
      <c r="E3" s="2" t="s">
        <v>492</v>
      </c>
      <c r="F3" s="66" t="s">
        <v>864</v>
      </c>
      <c r="G3" s="2" t="s">
        <v>126</v>
      </c>
      <c r="H3" s="2" t="s">
        <v>161</v>
      </c>
      <c r="I3" s="2" t="s">
        <v>230</v>
      </c>
      <c r="J3" s="13" t="s">
        <v>226</v>
      </c>
      <c r="K3" s="13" t="s">
        <v>227</v>
      </c>
      <c r="L3" s="13" t="s">
        <v>231</v>
      </c>
      <c r="M3" s="66" t="s">
        <v>1119</v>
      </c>
      <c r="N3" s="66" t="s">
        <v>20</v>
      </c>
    </row>
    <row r="4" spans="2:14" ht="27.95" customHeight="1" x14ac:dyDescent="0.25">
      <c r="B4" s="2" t="s">
        <v>1083</v>
      </c>
      <c r="C4" s="25">
        <v>44034</v>
      </c>
      <c r="D4" s="2" t="s">
        <v>68</v>
      </c>
      <c r="E4" s="2" t="s">
        <v>1084</v>
      </c>
      <c r="F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 s="3" t="s">
        <v>216</v>
      </c>
      <c r="H4" s="66" t="s">
        <v>128</v>
      </c>
      <c r="I4" s="66" t="s">
        <v>124</v>
      </c>
      <c r="J4" s="15" t="str">
        <f>VLOOKUP(tbSystems[[#This Row],[Economy]],tbEconomyTypes[],2,FALSE)</f>
        <v>Power Generation</v>
      </c>
      <c r="K4" s="16" t="str">
        <f>VLOOKUP(tbSystems[[#This Row],[Wealth]],tbWealthLevels[],2,FALSE)</f>
        <v>Low</v>
      </c>
      <c r="L4" s="16" t="str">
        <f>VLOOKUP(tbSystems[[#This Row],[Conflict]],tbConflictLevels[],2,FALSE)</f>
        <v>Medium</v>
      </c>
      <c r="M4" s="100"/>
      <c r="N4" s="26"/>
    </row>
    <row r="5" spans="2:14" ht="27.95" customHeight="1" x14ac:dyDescent="0.25">
      <c r="B5" s="2" t="s">
        <v>1117</v>
      </c>
      <c r="C5" s="25">
        <v>44036</v>
      </c>
      <c r="D5" s="2" t="s">
        <v>65</v>
      </c>
      <c r="E5" s="2" t="s">
        <v>546</v>
      </c>
      <c r="F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 s="3" t="s">
        <v>171</v>
      </c>
      <c r="H5" s="66" t="s">
        <v>124</v>
      </c>
      <c r="I5" s="66" t="s">
        <v>128</v>
      </c>
      <c r="J5" s="15" t="str">
        <f>VLOOKUP(tbSystems[[#This Row],[Economy]],tbEconomyTypes[],2,FALSE)</f>
        <v>Advanced Materials</v>
      </c>
      <c r="K5" s="16" t="str">
        <f>VLOOKUP(tbSystems[[#This Row],[Wealth]],tbWealthLevels[],2,FALSE)</f>
        <v>Medium</v>
      </c>
      <c r="L5" s="16" t="str">
        <f>VLOOKUP(tbSystems[[#This Row],[Conflict]],tbConflictLevels[],2,FALSE)</f>
        <v>Low</v>
      </c>
      <c r="M5" s="100">
        <v>710.44299999999998</v>
      </c>
      <c r="N5" s="26"/>
    </row>
    <row r="6" spans="2:14" ht="27.95" customHeight="1" x14ac:dyDescent="0.25">
      <c r="B6" s="2" t="s">
        <v>270</v>
      </c>
      <c r="C6" s="25">
        <v>44007</v>
      </c>
      <c r="D6" s="2" t="s">
        <v>65</v>
      </c>
      <c r="E6" s="2" t="s">
        <v>546</v>
      </c>
      <c r="F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 s="3" t="s">
        <v>176</v>
      </c>
      <c r="H6" s="26" t="s">
        <v>148</v>
      </c>
      <c r="I6" s="26" t="s">
        <v>122</v>
      </c>
      <c r="J6" s="15" t="str">
        <f>VLOOKUP(tbSystems[[#This Row],[Economy]],tbEconomyTypes[],2,FALSE)</f>
        <v>Scientific</v>
      </c>
      <c r="K6" s="16" t="str">
        <f>VLOOKUP(tbSystems[[#This Row],[Wealth]],tbWealthLevels[],2,FALSE)</f>
        <v>Medium</v>
      </c>
      <c r="L6" s="16" t="str">
        <f>VLOOKUP(tbSystems[[#This Row],[Conflict]],tbConflictLevels[],2,FALSE)</f>
        <v>Low</v>
      </c>
      <c r="M6" s="100"/>
      <c r="N6" s="26"/>
    </row>
    <row r="7" spans="2:14" ht="27.95" customHeight="1" x14ac:dyDescent="0.25">
      <c r="B7" s="2" t="s">
        <v>78</v>
      </c>
      <c r="C7" s="25">
        <v>44006</v>
      </c>
      <c r="D7" s="2" t="s">
        <v>65</v>
      </c>
      <c r="E7" s="2" t="s">
        <v>865</v>
      </c>
      <c r="F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 s="3" t="s">
        <v>176</v>
      </c>
      <c r="H7" s="26" t="s">
        <v>148</v>
      </c>
      <c r="I7" s="26" t="s">
        <v>125</v>
      </c>
      <c r="J7" s="15" t="str">
        <f>VLOOKUP(tbSystems[[#This Row],[Economy]],tbEconomyTypes[],2,FALSE)</f>
        <v>Scientific</v>
      </c>
      <c r="K7" s="16" t="str">
        <f>VLOOKUP(tbSystems[[#This Row],[Wealth]],tbWealthLevels[],2,FALSE)</f>
        <v>Medium</v>
      </c>
      <c r="L7" s="16" t="str">
        <f>VLOOKUP(tbSystems[[#This Row],[Conflict]],tbConflictLevels[],2,FALSE)</f>
        <v>Medium</v>
      </c>
      <c r="M7" s="100"/>
      <c r="N7" s="26" t="s">
        <v>675</v>
      </c>
    </row>
    <row r="8" spans="2:14" ht="27.95" customHeight="1" x14ac:dyDescent="0.25">
      <c r="B8" s="2" t="s">
        <v>248</v>
      </c>
      <c r="C8" s="25">
        <v>44006</v>
      </c>
      <c r="D8" s="2" t="s">
        <v>65</v>
      </c>
      <c r="E8" s="2" t="s">
        <v>865</v>
      </c>
      <c r="F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 s="3" t="s">
        <v>208</v>
      </c>
      <c r="H8" s="26" t="s">
        <v>140</v>
      </c>
      <c r="I8" s="26" t="s">
        <v>249</v>
      </c>
      <c r="J8" s="15" t="str">
        <f>VLOOKUP(tbSystems[[#This Row],[Economy]],tbEconomyTypes[],2,FALSE)</f>
        <v>Manufacturing</v>
      </c>
      <c r="K8" s="16" t="str">
        <f>VLOOKUP(tbSystems[[#This Row],[Wealth]],tbWealthLevels[],2,FALSE)</f>
        <v>Low</v>
      </c>
      <c r="L8" s="16" t="str">
        <f>VLOOKUP(tbSystems[[#This Row],[Conflict]],tbConflictLevels[],2,FALSE)</f>
        <v>Low</v>
      </c>
      <c r="M8" s="100"/>
      <c r="N8" s="26" t="s">
        <v>675</v>
      </c>
    </row>
    <row r="9" spans="2:14" ht="27.95" customHeight="1" x14ac:dyDescent="0.25">
      <c r="B9" s="2" t="s">
        <v>75</v>
      </c>
      <c r="C9" s="25">
        <v>44000</v>
      </c>
      <c r="D9" s="2" t="s">
        <v>127</v>
      </c>
      <c r="E9" s="2" t="s">
        <v>865</v>
      </c>
      <c r="F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9" s="3" t="s">
        <v>164</v>
      </c>
      <c r="H9" s="26" t="s">
        <v>147</v>
      </c>
      <c r="I9" s="26" t="s">
        <v>124</v>
      </c>
      <c r="J9" s="15" t="str">
        <f>VLOOKUP(tbSystems[[#This Row],[Economy]],tbEconomyTypes[],2,FALSE)</f>
        <v>Trading</v>
      </c>
      <c r="K9" s="16" t="str">
        <f>VLOOKUP(tbSystems[[#This Row],[Wealth]],tbWealthLevels[],2,FALSE)</f>
        <v>Medium</v>
      </c>
      <c r="L9" s="16" t="str">
        <f>VLOOKUP(tbSystems[[#This Row],[Conflict]],tbConflictLevels[],2,FALSE)</f>
        <v>Medium</v>
      </c>
      <c r="M9" s="100"/>
      <c r="N9" s="26"/>
    </row>
    <row r="10" spans="2:14" ht="27.95" customHeight="1" x14ac:dyDescent="0.25">
      <c r="B10" s="66" t="s">
        <v>917</v>
      </c>
      <c r="C10" s="25">
        <v>44031</v>
      </c>
      <c r="D10" s="2" t="s">
        <v>65</v>
      </c>
      <c r="E10" s="2" t="s">
        <v>918</v>
      </c>
      <c r="F1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10" s="3" t="s">
        <v>179</v>
      </c>
      <c r="H10" s="66" t="s">
        <v>134</v>
      </c>
      <c r="I10" s="66" t="s">
        <v>134</v>
      </c>
      <c r="J10" s="15" t="str">
        <f>VLOOKUP(tbSystems[[#This Row],[Economy]],tbEconomyTypes[],2,FALSE)</f>
        <v>Mining</v>
      </c>
      <c r="K10" s="16" t="str">
        <f>VLOOKUP(tbSystems[[#This Row],[Wealth]],tbWealthLevels[],2,FALSE)</f>
        <v>High</v>
      </c>
      <c r="L10" s="16" t="str">
        <f>VLOOKUP(tbSystems[[#This Row],[Conflict]],tbConflictLevels[],2,FALSE)</f>
        <v>High</v>
      </c>
      <c r="M10" s="100"/>
      <c r="N10" s="26"/>
    </row>
    <row r="11" spans="2:14" ht="27.95" customHeight="1" x14ac:dyDescent="0.25">
      <c r="B11" s="66" t="s">
        <v>771</v>
      </c>
      <c r="C11" s="25">
        <v>44017</v>
      </c>
      <c r="D11" s="2" t="s">
        <v>65</v>
      </c>
      <c r="E11" s="2" t="s">
        <v>541</v>
      </c>
      <c r="F1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11" s="66" t="s">
        <v>173</v>
      </c>
      <c r="H11" s="66" t="s">
        <v>148</v>
      </c>
      <c r="I11" s="66" t="s">
        <v>122</v>
      </c>
      <c r="J11" s="15" t="str">
        <f>VLOOKUP(tbSystems[[#This Row],[Economy]],tbEconomyTypes[],2,FALSE)</f>
        <v>Advanced Materials</v>
      </c>
      <c r="K11" s="16" t="str">
        <f>VLOOKUP(tbSystems[[#This Row],[Wealth]],tbWealthLevels[],2,FALSE)</f>
        <v>Medium</v>
      </c>
      <c r="L11" s="16" t="str">
        <f>VLOOKUP(tbSystems[[#This Row],[Conflict]],tbConflictLevels[],2,FALSE)</f>
        <v>Low</v>
      </c>
      <c r="M11" s="100"/>
      <c r="N11" s="26"/>
    </row>
    <row r="12" spans="2:14" ht="27.95" customHeight="1" x14ac:dyDescent="0.25">
      <c r="B12" s="2" t="s">
        <v>831</v>
      </c>
      <c r="C12" s="25">
        <v>44022</v>
      </c>
      <c r="D12" s="2" t="s">
        <v>68</v>
      </c>
      <c r="E12" s="2" t="s">
        <v>832</v>
      </c>
      <c r="F1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Blue</v>
      </c>
      <c r="G12" s="66" t="s">
        <v>182</v>
      </c>
      <c r="H12" s="66" t="s">
        <v>124</v>
      </c>
      <c r="I12" s="66" t="s">
        <v>128</v>
      </c>
      <c r="J12" s="15" t="str">
        <f>VLOOKUP(tbSystems[[#This Row],[Economy]],tbEconomyTypes[],2,FALSE)</f>
        <v>Manufacturing</v>
      </c>
      <c r="K12" s="16" t="str">
        <f>VLOOKUP(tbSystems[[#This Row],[Wealth]],tbWealthLevels[],2,FALSE)</f>
        <v>Medium</v>
      </c>
      <c r="L12" s="16" t="str">
        <f>VLOOKUP(tbSystems[[#This Row],[Conflict]],tbConflictLevels[],2,FALSE)</f>
        <v>Low</v>
      </c>
      <c r="M12" s="100"/>
      <c r="N12" s="26"/>
    </row>
    <row r="13" spans="2:14" ht="27.95" customHeight="1" x14ac:dyDescent="0.25">
      <c r="B13" s="48" t="s">
        <v>823</v>
      </c>
      <c r="C13" s="25">
        <v>44022</v>
      </c>
      <c r="D13" s="2" t="s">
        <v>127</v>
      </c>
      <c r="E13" s="2" t="s">
        <v>824</v>
      </c>
      <c r="F1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13" s="66" t="s">
        <v>169</v>
      </c>
      <c r="H13" s="66" t="s">
        <v>124</v>
      </c>
      <c r="I13" s="66" t="s">
        <v>128</v>
      </c>
      <c r="J13" s="15" t="str">
        <f>VLOOKUP(tbSystems[[#This Row],[Economy]],tbEconomyTypes[],2,FALSE)</f>
        <v>Scientific</v>
      </c>
      <c r="K13" s="16" t="str">
        <f>VLOOKUP(tbSystems[[#This Row],[Wealth]],tbWealthLevels[],2,FALSE)</f>
        <v>Medium</v>
      </c>
      <c r="L13" s="16" t="str">
        <f>VLOOKUP(tbSystems[[#This Row],[Conflict]],tbConflictLevels[],2,FALSE)</f>
        <v>Low</v>
      </c>
      <c r="M13" s="100"/>
      <c r="N13" s="26"/>
    </row>
    <row r="14" spans="2:14" ht="27.95" customHeight="1" x14ac:dyDescent="0.25">
      <c r="B14" s="2" t="s">
        <v>275</v>
      </c>
      <c r="C14" s="25">
        <v>44007</v>
      </c>
      <c r="D14" s="2" t="s">
        <v>127</v>
      </c>
      <c r="E14" s="2" t="s">
        <v>543</v>
      </c>
      <c r="F1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14" s="3" t="s">
        <v>51</v>
      </c>
      <c r="H14" s="26" t="s">
        <v>149</v>
      </c>
      <c r="I14" s="26" t="s">
        <v>132</v>
      </c>
      <c r="J14" s="15" t="str">
        <f>VLOOKUP(tbSystems[[#This Row],[Economy]],tbEconomyTypes[],2,FALSE)</f>
        <v>Mining</v>
      </c>
      <c r="K14" s="16" t="str">
        <f>VLOOKUP(tbSystems[[#This Row],[Wealth]],tbWealthLevels[],2,FALSE)</f>
        <v>Medium</v>
      </c>
      <c r="L14" s="16" t="str">
        <f>VLOOKUP(tbSystems[[#This Row],[Conflict]],tbConflictLevels[],2,FALSE)</f>
        <v>Low</v>
      </c>
      <c r="M14" s="100"/>
      <c r="N14" s="26"/>
    </row>
    <row r="15" spans="2:14" ht="27.95" customHeight="1" x14ac:dyDescent="0.25">
      <c r="B15" s="2" t="s">
        <v>608</v>
      </c>
      <c r="C15" s="25">
        <v>44011</v>
      </c>
      <c r="D15" s="2" t="s">
        <v>65</v>
      </c>
      <c r="E15" s="2" t="s">
        <v>596</v>
      </c>
      <c r="F1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15" s="66" t="s">
        <v>167</v>
      </c>
      <c r="H15" s="66" t="s">
        <v>158</v>
      </c>
      <c r="I15" s="66" t="s">
        <v>657</v>
      </c>
      <c r="J15" s="15" t="str">
        <f>VLOOKUP(tbSystems[[#This Row],[Economy]],tbEconomyTypes[],2,FALSE)</f>
        <v>Trading</v>
      </c>
      <c r="K15" s="16" t="str">
        <f>VLOOKUP(tbSystems[[#This Row],[Wealth]],tbWealthLevels[],2,FALSE)</f>
        <v>High</v>
      </c>
      <c r="L15" s="16" t="str">
        <f>VLOOKUP(tbSystems[[#This Row],[Conflict]],tbConflictLevels[],2,FALSE)</f>
        <v>Medium</v>
      </c>
      <c r="M15" s="100"/>
      <c r="N15" s="26"/>
    </row>
    <row r="16" spans="2:14" ht="27.95" customHeight="1" x14ac:dyDescent="0.25">
      <c r="B16" s="2" t="s">
        <v>1088</v>
      </c>
      <c r="C16" s="25">
        <v>44034</v>
      </c>
      <c r="D16" s="2" t="s">
        <v>65</v>
      </c>
      <c r="E16" s="2" t="s">
        <v>1089</v>
      </c>
      <c r="F1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16" s="3" t="s">
        <v>210</v>
      </c>
      <c r="H16" s="66" t="s">
        <v>134</v>
      </c>
      <c r="I16" s="66" t="s">
        <v>128</v>
      </c>
      <c r="J16" s="15" t="str">
        <f>VLOOKUP(tbSystems[[#This Row],[Economy]],tbEconomyTypes[],2,FALSE)</f>
        <v>Technology</v>
      </c>
      <c r="K16" s="16" t="str">
        <f>VLOOKUP(tbSystems[[#This Row],[Wealth]],tbWealthLevels[],2,FALSE)</f>
        <v>High</v>
      </c>
      <c r="L16" s="16" t="str">
        <f>VLOOKUP(tbSystems[[#This Row],[Conflict]],tbConflictLevels[],2,FALSE)</f>
        <v>Low</v>
      </c>
      <c r="M16" s="100"/>
      <c r="N16" s="26"/>
    </row>
    <row r="17" spans="2:14" ht="27.95" customHeight="1" x14ac:dyDescent="0.25">
      <c r="B17" s="2" t="s">
        <v>564</v>
      </c>
      <c r="C17" s="25">
        <v>44010</v>
      </c>
      <c r="D17" s="2" t="s">
        <v>65</v>
      </c>
      <c r="E17" s="2" t="s">
        <v>565</v>
      </c>
      <c r="F1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17" s="66" t="s">
        <v>166</v>
      </c>
      <c r="H17" s="66" t="s">
        <v>152</v>
      </c>
      <c r="I17" s="66" t="s">
        <v>234</v>
      </c>
      <c r="J17" s="15" t="str">
        <f>VLOOKUP(tbSystems[[#This Row],[Economy]],tbEconomyTypes[],2,FALSE)</f>
        <v>Trading</v>
      </c>
      <c r="K17" s="16" t="str">
        <f>VLOOKUP(tbSystems[[#This Row],[Wealth]],tbWealthLevels[],2,FALSE)</f>
        <v>Medium</v>
      </c>
      <c r="L17" s="16" t="str">
        <f>VLOOKUP(tbSystems[[#This Row],[Conflict]],tbConflictLevels[],2,FALSE)</f>
        <v>Medium</v>
      </c>
      <c r="M17" s="100">
        <v>716.26199999999994</v>
      </c>
      <c r="N17" s="26"/>
    </row>
    <row r="18" spans="2:14" ht="27.95" customHeight="1" x14ac:dyDescent="0.25">
      <c r="B18" s="2" t="s">
        <v>74</v>
      </c>
      <c r="C18" s="25">
        <v>44000</v>
      </c>
      <c r="D18" s="2" t="s">
        <v>65</v>
      </c>
      <c r="E18" s="2" t="s">
        <v>547</v>
      </c>
      <c r="F1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18" s="3" t="s">
        <v>225</v>
      </c>
      <c r="H18" s="26" t="s">
        <v>158</v>
      </c>
      <c r="I18" s="26" t="s">
        <v>123</v>
      </c>
      <c r="J18" s="15" t="str">
        <f>VLOOKUP(tbSystems[[#This Row],[Economy]],tbEconomyTypes[],2,FALSE)</f>
        <v>Technology</v>
      </c>
      <c r="K18" s="16" t="str">
        <f>VLOOKUP(tbSystems[[#This Row],[Wealth]],tbWealthLevels[],2,FALSE)</f>
        <v>High</v>
      </c>
      <c r="L18" s="16" t="str">
        <f>VLOOKUP(tbSystems[[#This Row],[Conflict]],tbConflictLevels[],2,FALSE)</f>
        <v>High</v>
      </c>
      <c r="M18" s="100"/>
      <c r="N18" s="26"/>
    </row>
    <row r="19" spans="2:14" ht="27.95" customHeight="1" x14ac:dyDescent="0.25">
      <c r="B19" s="2" t="s">
        <v>852</v>
      </c>
      <c r="C19" s="25">
        <v>44025</v>
      </c>
      <c r="D19" s="2" t="s">
        <v>553</v>
      </c>
      <c r="E19" s="2" t="s">
        <v>853</v>
      </c>
      <c r="F1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Red</v>
      </c>
      <c r="G19" s="66" t="s">
        <v>553</v>
      </c>
      <c r="H19" s="66" t="s">
        <v>553</v>
      </c>
      <c r="I19" s="66" t="s">
        <v>553</v>
      </c>
      <c r="J19" s="15" t="str">
        <f>VLOOKUP(tbSystems[[#This Row],[Economy]],tbEconomyTypes[],2,FALSE)</f>
        <v>n/a</v>
      </c>
      <c r="K19" s="16" t="str">
        <f>VLOOKUP(tbSystems[[#This Row],[Wealth]],tbWealthLevels[],2,FALSE)</f>
        <v>n/a</v>
      </c>
      <c r="L19" s="16" t="str">
        <f>VLOOKUP(tbSystems[[#This Row],[Conflict]],tbConflictLevels[],2,FALSE)</f>
        <v>n/a</v>
      </c>
      <c r="M19" s="100"/>
      <c r="N19" s="26" t="s">
        <v>854</v>
      </c>
    </row>
    <row r="20" spans="2:14" ht="27.95" customHeight="1" x14ac:dyDescent="0.25">
      <c r="B20" s="2" t="s">
        <v>1114</v>
      </c>
      <c r="C20" s="25">
        <v>44036</v>
      </c>
      <c r="D20" s="2" t="s">
        <v>127</v>
      </c>
      <c r="E20" s="2" t="s">
        <v>1115</v>
      </c>
      <c r="F2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0" s="3" t="s">
        <v>171</v>
      </c>
      <c r="H20" s="66" t="s">
        <v>124</v>
      </c>
      <c r="I20" s="66" t="s">
        <v>134</v>
      </c>
      <c r="J20" s="15" t="str">
        <f>VLOOKUP(tbSystems[[#This Row],[Economy]],tbEconomyTypes[],2,FALSE)</f>
        <v>Advanced Materials</v>
      </c>
      <c r="K20" s="16" t="str">
        <f>VLOOKUP(tbSystems[[#This Row],[Wealth]],tbWealthLevels[],2,FALSE)</f>
        <v>Medium</v>
      </c>
      <c r="L20" s="16" t="str">
        <f>VLOOKUP(tbSystems[[#This Row],[Conflict]],tbConflictLevels[],2,FALSE)</f>
        <v>High</v>
      </c>
      <c r="M20" s="100"/>
      <c r="N20" s="26"/>
    </row>
    <row r="21" spans="2:14" ht="27.95" customHeight="1" x14ac:dyDescent="0.25">
      <c r="B21" s="2" t="s">
        <v>607</v>
      </c>
      <c r="C21" s="25">
        <v>44011</v>
      </c>
      <c r="D21" s="2" t="s">
        <v>127</v>
      </c>
      <c r="E21" s="2" t="s">
        <v>605</v>
      </c>
      <c r="F2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1" s="66" t="s">
        <v>176</v>
      </c>
      <c r="H21" s="66" t="s">
        <v>148</v>
      </c>
      <c r="I21" s="66" t="s">
        <v>134</v>
      </c>
      <c r="J21" s="15" t="str">
        <f>VLOOKUP(tbSystems[[#This Row],[Economy]],tbEconomyTypes[],2,FALSE)</f>
        <v>Scientific</v>
      </c>
      <c r="K21" s="16" t="str">
        <f>VLOOKUP(tbSystems[[#This Row],[Wealth]],tbWealthLevels[],2,FALSE)</f>
        <v>Medium</v>
      </c>
      <c r="L21" s="16" t="str">
        <f>VLOOKUP(tbSystems[[#This Row],[Conflict]],tbConflictLevels[],2,FALSE)</f>
        <v>High</v>
      </c>
      <c r="M21" s="100"/>
      <c r="N21" s="26"/>
    </row>
    <row r="22" spans="2:14" ht="27.95" customHeight="1" x14ac:dyDescent="0.25">
      <c r="B22" s="2" t="s">
        <v>490</v>
      </c>
      <c r="C22" s="25">
        <v>44009</v>
      </c>
      <c r="D22" s="2" t="s">
        <v>68</v>
      </c>
      <c r="E22" s="2" t="s">
        <v>865</v>
      </c>
      <c r="F2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2" s="3" t="s">
        <v>225</v>
      </c>
      <c r="H22" s="26" t="s">
        <v>146</v>
      </c>
      <c r="I22" s="26" t="s">
        <v>123</v>
      </c>
      <c r="J22" s="15" t="str">
        <f>VLOOKUP(tbSystems[[#This Row],[Economy]],tbEconomyTypes[],2,FALSE)</f>
        <v>Technology</v>
      </c>
      <c r="K22" s="16" t="str">
        <f>VLOOKUP(tbSystems[[#This Row],[Wealth]],tbWealthLevels[],2,FALSE)</f>
        <v>Medium</v>
      </c>
      <c r="L22" s="16" t="str">
        <f>VLOOKUP(tbSystems[[#This Row],[Conflict]],tbConflictLevels[],2,FALSE)</f>
        <v>High</v>
      </c>
      <c r="M22" s="100"/>
      <c r="N22" s="26" t="s">
        <v>676</v>
      </c>
    </row>
    <row r="23" spans="2:14" ht="27.95" customHeight="1" x14ac:dyDescent="0.25">
      <c r="B23" s="2" t="s">
        <v>1120</v>
      </c>
      <c r="C23" s="25">
        <v>44036</v>
      </c>
      <c r="D23" s="2" t="s">
        <v>68</v>
      </c>
      <c r="E23" s="2" t="s">
        <v>1121</v>
      </c>
      <c r="F2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Blue</v>
      </c>
      <c r="G23" s="3" t="s">
        <v>179</v>
      </c>
      <c r="H23" s="66" t="s">
        <v>134</v>
      </c>
      <c r="I23" s="66" t="s">
        <v>124</v>
      </c>
      <c r="J23" s="15" t="str">
        <f>VLOOKUP(tbSystems[[#This Row],[Economy]],tbEconomyTypes[],2,FALSE)</f>
        <v>Mining</v>
      </c>
      <c r="K23" s="16" t="str">
        <f>VLOOKUP(tbSystems[[#This Row],[Wealth]],tbWealthLevels[],2,FALSE)</f>
        <v>High</v>
      </c>
      <c r="L23" s="16" t="str">
        <f>VLOOKUP(tbSystems[[#This Row],[Conflict]],tbConflictLevels[],2,FALSE)</f>
        <v>Medium</v>
      </c>
      <c r="M23" s="100">
        <v>710.44200000000001</v>
      </c>
      <c r="N23" s="26"/>
    </row>
    <row r="24" spans="2:14" ht="27.95" customHeight="1" x14ac:dyDescent="0.25">
      <c r="B24" s="2" t="s">
        <v>844</v>
      </c>
      <c r="C24" s="25">
        <v>44024</v>
      </c>
      <c r="D24" s="2" t="s">
        <v>68</v>
      </c>
      <c r="E24" s="2" t="s">
        <v>605</v>
      </c>
      <c r="F2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4" s="66" t="s">
        <v>165</v>
      </c>
      <c r="H24" s="66" t="s">
        <v>124</v>
      </c>
      <c r="I24" s="66" t="s">
        <v>124</v>
      </c>
      <c r="J24" s="15" t="str">
        <f>VLOOKUP(tbSystems[[#This Row],[Economy]],tbEconomyTypes[],2,FALSE)</f>
        <v>Trading</v>
      </c>
      <c r="K24" s="16" t="str">
        <f>VLOOKUP(tbSystems[[#This Row],[Wealth]],tbWealthLevels[],2,FALSE)</f>
        <v>Medium</v>
      </c>
      <c r="L24" s="16" t="str">
        <f>VLOOKUP(tbSystems[[#This Row],[Conflict]],tbConflictLevels[],2,FALSE)</f>
        <v>Medium</v>
      </c>
      <c r="M24" s="100"/>
      <c r="N24" s="26"/>
    </row>
    <row r="25" spans="2:14" ht="27.95" customHeight="1" x14ac:dyDescent="0.25">
      <c r="B25" s="2" t="s">
        <v>731</v>
      </c>
      <c r="C25" s="25">
        <v>44016</v>
      </c>
      <c r="D25" s="2" t="s">
        <v>127</v>
      </c>
      <c r="E25" s="2" t="s">
        <v>735</v>
      </c>
      <c r="F2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5" s="66" t="s">
        <v>181</v>
      </c>
      <c r="H25" s="66" t="s">
        <v>158</v>
      </c>
      <c r="I25" s="66" t="s">
        <v>232</v>
      </c>
      <c r="J25" s="15" t="str">
        <f>VLOOKUP(tbSystems[[#This Row],[Economy]],tbEconomyTypes[],2,FALSE)</f>
        <v>Mining</v>
      </c>
      <c r="K25" s="16" t="str">
        <f>VLOOKUP(tbSystems[[#This Row],[Wealth]],tbWealthLevels[],2,FALSE)</f>
        <v>High</v>
      </c>
      <c r="L25" s="16" t="str">
        <f>VLOOKUP(tbSystems[[#This Row],[Conflict]],tbConflictLevels[],2,FALSE)</f>
        <v>Low</v>
      </c>
      <c r="M25" s="100"/>
      <c r="N25" s="26"/>
    </row>
    <row r="26" spans="2:14" s="66" customFormat="1" ht="27.95" customHeight="1" x14ac:dyDescent="0.25">
      <c r="B26" s="66" t="s">
        <v>1086</v>
      </c>
      <c r="C26" s="25">
        <v>44034</v>
      </c>
      <c r="D26" s="66" t="s">
        <v>127</v>
      </c>
      <c r="E26" s="66" t="s">
        <v>1087</v>
      </c>
      <c r="F2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6" s="3" t="s">
        <v>165</v>
      </c>
      <c r="H26" s="66" t="s">
        <v>124</v>
      </c>
      <c r="I26" s="66" t="s">
        <v>134</v>
      </c>
      <c r="J26" s="15" t="s">
        <v>210</v>
      </c>
      <c r="K26" s="16" t="str">
        <f>VLOOKUP(tbSystems[[#This Row],[Wealth]],tbWealthLevels[],2,FALSE)</f>
        <v>Medium</v>
      </c>
      <c r="L26" s="16" t="str">
        <f>VLOOKUP(tbSystems[[#This Row],[Conflict]],tbConflictLevels[],2,FALSE)</f>
        <v>High</v>
      </c>
      <c r="M26" s="100"/>
      <c r="N26" s="26"/>
    </row>
    <row r="27" spans="2:14" ht="27.95" customHeight="1" x14ac:dyDescent="0.25">
      <c r="B27" s="2" t="s">
        <v>272</v>
      </c>
      <c r="C27" s="25">
        <v>44007</v>
      </c>
      <c r="D27" s="2" t="s">
        <v>65</v>
      </c>
      <c r="E27" s="2" t="s">
        <v>544</v>
      </c>
      <c r="F2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7" s="3" t="s">
        <v>218</v>
      </c>
      <c r="H27" s="26" t="s">
        <v>152</v>
      </c>
      <c r="I27" s="26" t="s">
        <v>273</v>
      </c>
      <c r="J27" s="15" t="str">
        <f>VLOOKUP(tbSystems[[#This Row],[Economy]],tbEconomyTypes[],2,FALSE)</f>
        <v>Power Generation</v>
      </c>
      <c r="K27" s="16" t="str">
        <f>VLOOKUP(tbSystems[[#This Row],[Wealth]],tbWealthLevels[],2,FALSE)</f>
        <v>Medium</v>
      </c>
      <c r="L27" s="16" t="str">
        <f>VLOOKUP(tbSystems[[#This Row],[Conflict]],tbConflictLevels[],2,FALSE)</f>
        <v>Low</v>
      </c>
      <c r="M27" s="100"/>
      <c r="N27" s="26"/>
    </row>
    <row r="28" spans="2:14" ht="27.95" customHeight="1" x14ac:dyDescent="0.25">
      <c r="B28" s="2" t="s">
        <v>860</v>
      </c>
      <c r="C28" s="25">
        <v>44025</v>
      </c>
      <c r="D28" s="2" t="s">
        <v>127</v>
      </c>
      <c r="E28" s="2" t="s">
        <v>861</v>
      </c>
      <c r="F2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28" s="66" t="s">
        <v>216</v>
      </c>
      <c r="H28" s="66" t="s">
        <v>124</v>
      </c>
      <c r="I28" s="66" t="s">
        <v>128</v>
      </c>
      <c r="J28" s="15" t="str">
        <f>VLOOKUP(tbSystems[[#This Row],[Economy]],tbEconomyTypes[],2,FALSE)</f>
        <v>Power Generation</v>
      </c>
      <c r="K28" s="16" t="str">
        <f>VLOOKUP(tbSystems[[#This Row],[Wealth]],tbWealthLevels[],2,FALSE)</f>
        <v>Medium</v>
      </c>
      <c r="L28" s="16" t="str">
        <f>VLOOKUP(tbSystems[[#This Row],[Conflict]],tbConflictLevels[],2,FALSE)</f>
        <v>Low</v>
      </c>
      <c r="M28" s="100"/>
      <c r="N28" s="26"/>
    </row>
    <row r="29" spans="2:14" ht="27.95" customHeight="1" x14ac:dyDescent="0.25">
      <c r="B29" s="2" t="s">
        <v>797</v>
      </c>
      <c r="C29" s="25">
        <v>44019</v>
      </c>
      <c r="D29" s="2" t="s">
        <v>127</v>
      </c>
      <c r="E29" s="2" t="s">
        <v>798</v>
      </c>
      <c r="F2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29" s="66" t="s">
        <v>179</v>
      </c>
      <c r="H29" s="66" t="s">
        <v>124</v>
      </c>
      <c r="I29" s="66" t="s">
        <v>128</v>
      </c>
      <c r="J29" s="15" t="str">
        <f>VLOOKUP(tbSystems[[#This Row],[Economy]],tbEconomyTypes[],2,FALSE)</f>
        <v>Mining</v>
      </c>
      <c r="K29" s="16" t="str">
        <f>VLOOKUP(tbSystems[[#This Row],[Wealth]],tbWealthLevels[],2,FALSE)</f>
        <v>Medium</v>
      </c>
      <c r="L29" s="16" t="str">
        <f>VLOOKUP(tbSystems[[#This Row],[Conflict]],tbConflictLevels[],2,FALSE)</f>
        <v>Low</v>
      </c>
      <c r="M29" s="100"/>
      <c r="N29" s="26"/>
    </row>
    <row r="30" spans="2:14" ht="27.95" customHeight="1" x14ac:dyDescent="0.25">
      <c r="B30" s="2" t="s">
        <v>1118</v>
      </c>
      <c r="C30" s="25">
        <v>44036</v>
      </c>
      <c r="D30" s="2" t="s">
        <v>68</v>
      </c>
      <c r="E30" s="2" t="s">
        <v>547</v>
      </c>
      <c r="F3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30" s="3" t="s">
        <v>171</v>
      </c>
      <c r="H30" s="2" t="s">
        <v>124</v>
      </c>
      <c r="I30" s="2" t="s">
        <v>128</v>
      </c>
      <c r="J30" s="15" t="str">
        <f>VLOOKUP(tbSystems[[#This Row],[Economy]],tbEconomyTypes[],2,FALSE)</f>
        <v>Advanced Materials</v>
      </c>
      <c r="K30" s="16" t="str">
        <f>VLOOKUP(tbSystems[[#This Row],[Wealth]],tbWealthLevels[],2,FALSE)</f>
        <v>Medium</v>
      </c>
      <c r="L30" s="16" t="str">
        <f>VLOOKUP(tbSystems[[#This Row],[Conflict]],tbConflictLevels[],2,FALSE)</f>
        <v>Low</v>
      </c>
      <c r="M30" s="100">
        <v>710.45399999999995</v>
      </c>
      <c r="N30" s="26"/>
    </row>
    <row r="31" spans="2:14" ht="27.95" customHeight="1" x14ac:dyDescent="0.25">
      <c r="B31" s="2" t="s">
        <v>456</v>
      </c>
      <c r="C31" s="25">
        <v>44008</v>
      </c>
      <c r="D31" s="2" t="s">
        <v>65</v>
      </c>
      <c r="E31" s="2" t="s">
        <v>865</v>
      </c>
      <c r="F3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31" s="3" t="s">
        <v>207</v>
      </c>
      <c r="H31" s="26" t="s">
        <v>153</v>
      </c>
      <c r="I31" s="26" t="s">
        <v>233</v>
      </c>
      <c r="J31" s="15" t="str">
        <f>VLOOKUP(tbSystems[[#This Row],[Economy]],tbEconomyTypes[],2,FALSE)</f>
        <v>Manufacturing</v>
      </c>
      <c r="K31" s="16" t="str">
        <f>VLOOKUP(tbSystems[[#This Row],[Wealth]],tbWealthLevels[],2,FALSE)</f>
        <v>Medium</v>
      </c>
      <c r="L31" s="16" t="str">
        <f>VLOOKUP(tbSystems[[#This Row],[Conflict]],tbConflictLevels[],2,FALSE)</f>
        <v>Medium</v>
      </c>
      <c r="M31" s="100"/>
      <c r="N31" s="26"/>
    </row>
    <row r="32" spans="2:14" ht="27.95" customHeight="1" x14ac:dyDescent="0.25">
      <c r="B32" s="2" t="s">
        <v>593</v>
      </c>
      <c r="C32" s="25">
        <v>44011</v>
      </c>
      <c r="D32" s="2" t="s">
        <v>553</v>
      </c>
      <c r="E32" s="2" t="s">
        <v>594</v>
      </c>
      <c r="F3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Red</v>
      </c>
      <c r="G32" s="2" t="s">
        <v>553</v>
      </c>
      <c r="H32" s="2" t="s">
        <v>553</v>
      </c>
      <c r="I32" s="2" t="s">
        <v>553</v>
      </c>
      <c r="J32" s="15" t="str">
        <f>VLOOKUP(tbSystems[[#This Row],[Economy]],tbEconomyTypes[],2,FALSE)</f>
        <v>n/a</v>
      </c>
      <c r="K32" s="16" t="str">
        <f>VLOOKUP(tbSystems[[#This Row],[Wealth]],tbWealthLevels[],2,FALSE)</f>
        <v>n/a</v>
      </c>
      <c r="L32" s="16" t="str">
        <f>VLOOKUP(tbSystems[[#This Row],[Conflict]],tbConflictLevels[],2,FALSE)</f>
        <v>n/a</v>
      </c>
      <c r="M32" s="100"/>
      <c r="N32" s="26"/>
    </row>
    <row r="33" spans="2:14" ht="27.95" customHeight="1" x14ac:dyDescent="0.25">
      <c r="B33" s="2" t="s">
        <v>1058</v>
      </c>
      <c r="C33" s="25">
        <v>44030</v>
      </c>
      <c r="D33" s="2" t="s">
        <v>65</v>
      </c>
      <c r="E33" s="2" t="s">
        <v>1059</v>
      </c>
      <c r="F3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33" s="66" t="s">
        <v>165</v>
      </c>
      <c r="H33" s="66" t="s">
        <v>134</v>
      </c>
      <c r="I33" s="66" t="s">
        <v>134</v>
      </c>
      <c r="J33" s="15" t="str">
        <f>VLOOKUP(tbSystems[[#This Row],[Economy]],tbEconomyTypes[],2,FALSE)</f>
        <v>Trading</v>
      </c>
      <c r="K33" s="16" t="str">
        <f>VLOOKUP(tbSystems[[#This Row],[Wealth]],tbWealthLevels[],2,FALSE)</f>
        <v>High</v>
      </c>
      <c r="L33" s="16" t="str">
        <f>VLOOKUP(tbSystems[[#This Row],[Conflict]],tbConflictLevels[],2,FALSE)</f>
        <v>High</v>
      </c>
      <c r="M33" s="100"/>
      <c r="N33" s="26"/>
    </row>
    <row r="34" spans="2:14" ht="27.95" customHeight="1" x14ac:dyDescent="0.25">
      <c r="B34" s="2" t="s">
        <v>1081</v>
      </c>
      <c r="C34" s="25">
        <v>44034</v>
      </c>
      <c r="D34" s="2" t="s">
        <v>127</v>
      </c>
      <c r="E34" s="2" t="s">
        <v>1082</v>
      </c>
      <c r="F3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34" s="3" t="s">
        <v>171</v>
      </c>
      <c r="H34" s="66" t="s">
        <v>124</v>
      </c>
      <c r="I34" s="66" t="s">
        <v>124</v>
      </c>
      <c r="J34" s="15" t="str">
        <f>VLOOKUP(tbSystems[[#This Row],[Economy]],tbEconomyTypes[],2,FALSE)</f>
        <v>Advanced Materials</v>
      </c>
      <c r="K34" s="16" t="str">
        <f>VLOOKUP(tbSystems[[#This Row],[Wealth]],tbWealthLevels[],2,FALSE)</f>
        <v>Medium</v>
      </c>
      <c r="L34" s="16" t="str">
        <f>VLOOKUP(tbSystems[[#This Row],[Conflict]],tbConflictLevels[],2,FALSE)</f>
        <v>Medium</v>
      </c>
      <c r="M34" s="100"/>
      <c r="N34" s="26"/>
    </row>
    <row r="35" spans="2:14" ht="27.95" customHeight="1" x14ac:dyDescent="0.25">
      <c r="B35" s="2" t="s">
        <v>1112</v>
      </c>
      <c r="C35" s="25">
        <v>44036</v>
      </c>
      <c r="D35" s="2" t="s">
        <v>65</v>
      </c>
      <c r="E35" s="2" t="s">
        <v>1113</v>
      </c>
      <c r="F3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35" s="3" t="s">
        <v>171</v>
      </c>
      <c r="H35" s="66" t="s">
        <v>124</v>
      </c>
      <c r="I35" s="66" t="s">
        <v>134</v>
      </c>
      <c r="J35" s="15" t="str">
        <f>VLOOKUP(tbSystems[[#This Row],[Economy]],tbEconomyTypes[],2,FALSE)</f>
        <v>Advanced Materials</v>
      </c>
      <c r="K35" s="16" t="str">
        <f>VLOOKUP(tbSystems[[#This Row],[Wealth]],tbWealthLevels[],2,FALSE)</f>
        <v>Medium</v>
      </c>
      <c r="L35" s="16" t="str">
        <f>VLOOKUP(tbSystems[[#This Row],[Conflict]],tbConflictLevels[],2,FALSE)</f>
        <v>High</v>
      </c>
      <c r="M35" s="100"/>
      <c r="N35" s="26"/>
    </row>
    <row r="36" spans="2:14" ht="27.95" customHeight="1" x14ac:dyDescent="0.25">
      <c r="B36" s="2" t="s">
        <v>845</v>
      </c>
      <c r="C36" s="25">
        <v>44024</v>
      </c>
      <c r="D36" s="2" t="s">
        <v>65</v>
      </c>
      <c r="E36" s="2" t="s">
        <v>851</v>
      </c>
      <c r="F3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36" s="2" t="s">
        <v>216</v>
      </c>
      <c r="H36" s="2" t="s">
        <v>124</v>
      </c>
      <c r="I36" s="2" t="s">
        <v>128</v>
      </c>
      <c r="J36" s="15" t="str">
        <f>VLOOKUP(tbSystems[[#This Row],[Economy]],tbEconomyTypes[],2,FALSE)</f>
        <v>Power Generation</v>
      </c>
      <c r="K36" s="16" t="str">
        <f>VLOOKUP(tbSystems[[#This Row],[Wealth]],tbWealthLevels[],2,FALSE)</f>
        <v>Medium</v>
      </c>
      <c r="L36" s="16" t="str">
        <f>VLOOKUP(tbSystems[[#This Row],[Conflict]],tbConflictLevels[],2,FALSE)</f>
        <v>Low</v>
      </c>
      <c r="M36" s="100"/>
      <c r="N36" s="26"/>
    </row>
    <row r="37" spans="2:14" ht="27.95" customHeight="1" x14ac:dyDescent="0.25">
      <c r="B37" s="2" t="s">
        <v>829</v>
      </c>
      <c r="C37" s="25">
        <v>44022</v>
      </c>
      <c r="D37" s="2" t="s">
        <v>65</v>
      </c>
      <c r="E37" s="2" t="s">
        <v>830</v>
      </c>
      <c r="F3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37" s="66" t="s">
        <v>171</v>
      </c>
      <c r="H37" s="66" t="s">
        <v>134</v>
      </c>
      <c r="I37" s="66" t="s">
        <v>128</v>
      </c>
      <c r="J37" s="15" t="str">
        <f>VLOOKUP(tbSystems[[#This Row],[Economy]],tbEconomyTypes[],2,FALSE)</f>
        <v>Advanced Materials</v>
      </c>
      <c r="K37" s="16" t="str">
        <f>VLOOKUP(tbSystems[[#This Row],[Wealth]],tbWealthLevels[],2,FALSE)</f>
        <v>High</v>
      </c>
      <c r="L37" s="16" t="str">
        <f>VLOOKUP(tbSystems[[#This Row],[Conflict]],tbConflictLevels[],2,FALSE)</f>
        <v>Low</v>
      </c>
      <c r="M37" s="100"/>
      <c r="N37" s="26"/>
    </row>
    <row r="38" spans="2:14" ht="27.95" customHeight="1" x14ac:dyDescent="0.25">
      <c r="B38" s="2" t="s">
        <v>254</v>
      </c>
      <c r="C38" s="25">
        <v>44006</v>
      </c>
      <c r="D38" s="2" t="s">
        <v>68</v>
      </c>
      <c r="E38" s="2" t="s">
        <v>865</v>
      </c>
      <c r="F3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38" s="3" t="s">
        <v>218</v>
      </c>
      <c r="H38" s="26" t="s">
        <v>140</v>
      </c>
      <c r="I38" s="26" t="s">
        <v>235</v>
      </c>
      <c r="J38" s="15" t="str">
        <f>VLOOKUP(tbSystems[[#This Row],[Economy]],tbEconomyTypes[],2,FALSE)</f>
        <v>Power Generation</v>
      </c>
      <c r="K38" s="16" t="str">
        <f>VLOOKUP(tbSystems[[#This Row],[Wealth]],tbWealthLevels[],2,FALSE)</f>
        <v>Low</v>
      </c>
      <c r="L38" s="16" t="str">
        <f>VLOOKUP(tbSystems[[#This Row],[Conflict]],tbConflictLevels[],2,FALSE)</f>
        <v>High</v>
      </c>
      <c r="M38" s="100"/>
      <c r="N38" s="26"/>
    </row>
    <row r="39" spans="2:14" ht="27.95" customHeight="1" x14ac:dyDescent="0.25">
      <c r="B39" s="2" t="s">
        <v>595</v>
      </c>
      <c r="C39" s="25">
        <v>44011</v>
      </c>
      <c r="D39" s="2" t="s">
        <v>553</v>
      </c>
      <c r="E39" s="2" t="s">
        <v>596</v>
      </c>
      <c r="F3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39" s="2" t="s">
        <v>553</v>
      </c>
      <c r="H39" s="2" t="s">
        <v>553</v>
      </c>
      <c r="I39" s="2" t="s">
        <v>553</v>
      </c>
      <c r="J39" s="15" t="str">
        <f>VLOOKUP(tbSystems[[#This Row],[Economy]],tbEconomyTypes[],2,FALSE)</f>
        <v>n/a</v>
      </c>
      <c r="K39" s="16" t="str">
        <f>VLOOKUP(tbSystems[[#This Row],[Wealth]],tbWealthLevels[],2,FALSE)</f>
        <v>n/a</v>
      </c>
      <c r="L39" s="16" t="str">
        <f>VLOOKUP(tbSystems[[#This Row],[Conflict]],tbConflictLevels[],2,FALSE)</f>
        <v>n/a</v>
      </c>
      <c r="M39" s="100"/>
      <c r="N39" s="26"/>
    </row>
    <row r="40" spans="2:14" ht="27.95" customHeight="1" x14ac:dyDescent="0.25">
      <c r="B40" s="2" t="s">
        <v>858</v>
      </c>
      <c r="C40" s="25">
        <v>44025</v>
      </c>
      <c r="D40" s="2" t="s">
        <v>65</v>
      </c>
      <c r="E40" s="2" t="s">
        <v>859</v>
      </c>
      <c r="F4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0" s="2" t="s">
        <v>169</v>
      </c>
      <c r="H40" s="2" t="s">
        <v>134</v>
      </c>
      <c r="I40" s="2" t="s">
        <v>124</v>
      </c>
      <c r="J40" s="15" t="str">
        <f>VLOOKUP(tbSystems[[#This Row],[Economy]],tbEconomyTypes[],2,FALSE)</f>
        <v>Scientific</v>
      </c>
      <c r="K40" s="16" t="str">
        <f>VLOOKUP(tbSystems[[#This Row],[Wealth]],tbWealthLevels[],2,FALSE)</f>
        <v>High</v>
      </c>
      <c r="L40" s="16" t="str">
        <f>VLOOKUP(tbSystems[[#This Row],[Conflict]],tbConflictLevels[],2,FALSE)</f>
        <v>Medium</v>
      </c>
      <c r="M40" s="100"/>
      <c r="N40" s="26"/>
    </row>
    <row r="41" spans="2:14" ht="27.95" customHeight="1" x14ac:dyDescent="0.25">
      <c r="B41" s="2" t="s">
        <v>788</v>
      </c>
      <c r="C41" s="25">
        <v>44019</v>
      </c>
      <c r="D41" s="2" t="s">
        <v>127</v>
      </c>
      <c r="E41" s="2" t="s">
        <v>545</v>
      </c>
      <c r="F4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1" s="66" t="s">
        <v>182</v>
      </c>
      <c r="H41" s="66" t="s">
        <v>124</v>
      </c>
      <c r="I41" s="66" t="s">
        <v>122</v>
      </c>
      <c r="J41" s="15" t="str">
        <f>VLOOKUP(tbSystems[[#This Row],[Economy]],tbEconomyTypes[],2,FALSE)</f>
        <v>Manufacturing</v>
      </c>
      <c r="K41" s="16" t="str">
        <f>VLOOKUP(tbSystems[[#This Row],[Wealth]],tbWealthLevels[],2,FALSE)</f>
        <v>Medium</v>
      </c>
      <c r="L41" s="16" t="str">
        <f>VLOOKUP(tbSystems[[#This Row],[Conflict]],tbConflictLevels[],2,FALSE)</f>
        <v>Low</v>
      </c>
      <c r="M41" s="100"/>
      <c r="N41" s="26"/>
    </row>
    <row r="42" spans="2:14" ht="27.95" customHeight="1" x14ac:dyDescent="0.25">
      <c r="B42" s="2" t="s">
        <v>1109</v>
      </c>
      <c r="C42" s="25">
        <v>44036</v>
      </c>
      <c r="D42" s="2" t="s">
        <v>65</v>
      </c>
      <c r="E42" s="2" t="s">
        <v>1110</v>
      </c>
      <c r="F4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Blue</v>
      </c>
      <c r="G42" s="3" t="s">
        <v>210</v>
      </c>
      <c r="H42" s="66" t="s">
        <v>128</v>
      </c>
      <c r="I42" s="66" t="s">
        <v>128</v>
      </c>
      <c r="J42" s="15" t="str">
        <f>VLOOKUP(tbSystems[[#This Row],[Economy]],tbEconomyTypes[],2,FALSE)</f>
        <v>Technology</v>
      </c>
      <c r="K42" s="16" t="str">
        <f>VLOOKUP(tbSystems[[#This Row],[Wealth]],tbWealthLevels[],2,FALSE)</f>
        <v>Low</v>
      </c>
      <c r="L42" s="16" t="str">
        <f>VLOOKUP(tbSystems[[#This Row],[Conflict]],tbConflictLevels[],2,FALSE)</f>
        <v>Low</v>
      </c>
      <c r="M42" s="100"/>
      <c r="N42" s="26" t="s">
        <v>1111</v>
      </c>
    </row>
    <row r="43" spans="2:14" ht="27.95" customHeight="1" x14ac:dyDescent="0.25">
      <c r="B43" s="2" t="s">
        <v>539</v>
      </c>
      <c r="C43" s="25">
        <v>44010</v>
      </c>
      <c r="D43" s="2" t="s">
        <v>553</v>
      </c>
      <c r="E43" s="2" t="s">
        <v>540</v>
      </c>
      <c r="F4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Red</v>
      </c>
      <c r="G43" s="66" t="s">
        <v>553</v>
      </c>
      <c r="H43" s="66" t="s">
        <v>553</v>
      </c>
      <c r="I43" s="66" t="s">
        <v>553</v>
      </c>
      <c r="J43" s="15" t="str">
        <f>VLOOKUP(tbSystems[[#This Row],[Economy]],tbEconomyTypes[],2,FALSE)</f>
        <v>n/a</v>
      </c>
      <c r="K43" s="16" t="str">
        <f>VLOOKUP(tbSystems[[#This Row],[Wealth]],tbWealthLevels[],2,FALSE)</f>
        <v>n/a</v>
      </c>
      <c r="L43" s="16" t="str">
        <f>VLOOKUP(tbSystems[[#This Row],[Conflict]],tbConflictLevels[],2,FALSE)</f>
        <v>n/a</v>
      </c>
      <c r="M43" s="100"/>
      <c r="N43" s="26" t="s">
        <v>554</v>
      </c>
    </row>
    <row r="44" spans="2:14" ht="27.95" customHeight="1" x14ac:dyDescent="0.25">
      <c r="B44" s="2" t="s">
        <v>1106</v>
      </c>
      <c r="C44" s="25">
        <v>44036</v>
      </c>
      <c r="D44" s="2" t="s">
        <v>65</v>
      </c>
      <c r="E44" s="2" t="s">
        <v>544</v>
      </c>
      <c r="F4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4" s="3" t="s">
        <v>165</v>
      </c>
      <c r="H44" s="66" t="s">
        <v>128</v>
      </c>
      <c r="I44" s="66" t="s">
        <v>124</v>
      </c>
      <c r="J44" s="15" t="str">
        <f>VLOOKUP(tbSystems[[#This Row],[Economy]],tbEconomyTypes[],2,FALSE)</f>
        <v>Trading</v>
      </c>
      <c r="K44" s="16" t="str">
        <f>VLOOKUP(tbSystems[[#This Row],[Wealth]],tbWealthLevels[],2,FALSE)</f>
        <v>Low</v>
      </c>
      <c r="L44" s="16" t="str">
        <f>VLOOKUP(tbSystems[[#This Row],[Conflict]],tbConflictLevels[],2,FALSE)</f>
        <v>Medium</v>
      </c>
      <c r="M44" s="100"/>
      <c r="N44" s="26"/>
    </row>
    <row r="45" spans="2:14" ht="27.95" customHeight="1" x14ac:dyDescent="0.25">
      <c r="B45" s="2" t="s">
        <v>79</v>
      </c>
      <c r="C45" s="25">
        <v>44001</v>
      </c>
      <c r="D45" s="2" t="s">
        <v>127</v>
      </c>
      <c r="E45" s="2" t="s">
        <v>865</v>
      </c>
      <c r="F4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5" s="3" t="s">
        <v>173</v>
      </c>
      <c r="H45" s="26" t="s">
        <v>147</v>
      </c>
      <c r="I45" s="26" t="s">
        <v>128</v>
      </c>
      <c r="J45" s="15" t="str">
        <f>VLOOKUP(tbSystems[[#This Row],[Economy]],tbEconomyTypes[],2,FALSE)</f>
        <v>Advanced Materials</v>
      </c>
      <c r="K45" s="16" t="str">
        <f>VLOOKUP(tbSystems[[#This Row],[Wealth]],tbWealthLevels[],2,FALSE)</f>
        <v>Medium</v>
      </c>
      <c r="L45" s="16" t="str">
        <f>VLOOKUP(tbSystems[[#This Row],[Conflict]],tbConflictLevels[],2,FALSE)</f>
        <v>Low</v>
      </c>
      <c r="M45" s="100"/>
      <c r="N45" s="26" t="s">
        <v>677</v>
      </c>
    </row>
    <row r="46" spans="2:14" ht="27.95" customHeight="1" x14ac:dyDescent="0.25">
      <c r="B46" s="2" t="s">
        <v>54</v>
      </c>
      <c r="C46" s="25">
        <v>44000</v>
      </c>
      <c r="D46" s="2" t="s">
        <v>68</v>
      </c>
      <c r="E46" s="2" t="s">
        <v>865</v>
      </c>
      <c r="F4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6" s="3" t="s">
        <v>164</v>
      </c>
      <c r="H46" s="26" t="s">
        <v>148</v>
      </c>
      <c r="I46" s="26" t="s">
        <v>122</v>
      </c>
      <c r="J46" s="15" t="str">
        <f>VLOOKUP(tbSystems[[#This Row],[Economy]],tbEconomyTypes[],2,FALSE)</f>
        <v>Trading</v>
      </c>
      <c r="K46" s="16" t="str">
        <f>VLOOKUP(tbSystems[[#This Row],[Wealth]],tbWealthLevels[],2,FALSE)</f>
        <v>Medium</v>
      </c>
      <c r="L46" s="16" t="str">
        <f>VLOOKUP(tbSystems[[#This Row],[Conflict]],tbConflictLevels[],2,FALSE)</f>
        <v>Low</v>
      </c>
      <c r="M46" s="100"/>
      <c r="N46" s="26"/>
    </row>
    <row r="47" spans="2:14" ht="27.95" customHeight="1" x14ac:dyDescent="0.25">
      <c r="B47" s="2" t="s">
        <v>654</v>
      </c>
      <c r="C47" s="25">
        <v>44012</v>
      </c>
      <c r="D47" s="2" t="s">
        <v>68</v>
      </c>
      <c r="E47" s="2" t="s">
        <v>655</v>
      </c>
      <c r="F4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7" s="66" t="s">
        <v>225</v>
      </c>
      <c r="H47" s="66" t="s">
        <v>153</v>
      </c>
      <c r="I47" s="66" t="s">
        <v>121</v>
      </c>
      <c r="J47" s="15" t="str">
        <f>VLOOKUP(tbSystems[[#This Row],[Economy]],tbEconomyTypes[],2,FALSE)</f>
        <v>Technology</v>
      </c>
      <c r="K47" s="16" t="str">
        <f>VLOOKUP(tbSystems[[#This Row],[Wealth]],tbWealthLevels[],2,FALSE)</f>
        <v>Medium</v>
      </c>
      <c r="L47" s="16" t="str">
        <f>VLOOKUP(tbSystems[[#This Row],[Conflict]],tbConflictLevels[],2,FALSE)</f>
        <v>Low</v>
      </c>
      <c r="M47" s="100"/>
      <c r="N47" s="26"/>
    </row>
    <row r="48" spans="2:14" s="66" customFormat="1" ht="27.95" customHeight="1" x14ac:dyDescent="0.25">
      <c r="B48" s="66" t="s">
        <v>656</v>
      </c>
      <c r="C48" s="25">
        <v>44012</v>
      </c>
      <c r="D48" s="66" t="s">
        <v>127</v>
      </c>
      <c r="E48" s="66" t="s">
        <v>596</v>
      </c>
      <c r="F4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48" s="66" t="s">
        <v>176</v>
      </c>
      <c r="H48" s="66" t="s">
        <v>147</v>
      </c>
      <c r="I48" s="66" t="s">
        <v>130</v>
      </c>
      <c r="J48" s="15" t="str">
        <f>VLOOKUP(tbSystems[[#This Row],[Economy]],tbEconomyTypes[],2,FALSE)</f>
        <v>Scientific</v>
      </c>
      <c r="K48" s="16" t="str">
        <f>VLOOKUP(tbSystems[[#This Row],[Wealth]],tbWealthLevels[],2,FALSE)</f>
        <v>Medium</v>
      </c>
      <c r="L48" s="16" t="str">
        <f>VLOOKUP(tbSystems[[#This Row],[Conflict]],tbConflictLevels[],2,FALSE)</f>
        <v>High</v>
      </c>
      <c r="M48" s="100"/>
      <c r="N48" s="26"/>
    </row>
    <row r="49" spans="2:14" ht="27.95" customHeight="1" x14ac:dyDescent="0.25">
      <c r="B49" s="2" t="s">
        <v>271</v>
      </c>
      <c r="C49" s="25">
        <v>44007</v>
      </c>
      <c r="D49" s="2" t="s">
        <v>65</v>
      </c>
      <c r="E49" s="2" t="s">
        <v>542</v>
      </c>
      <c r="F4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49" s="3" t="s">
        <v>181</v>
      </c>
      <c r="H49" s="26" t="s">
        <v>146</v>
      </c>
      <c r="I49" s="26" t="s">
        <v>232</v>
      </c>
      <c r="J49" s="15" t="str">
        <f>VLOOKUP(tbSystems[[#This Row],[Economy]],tbEconomyTypes[],2,FALSE)</f>
        <v>Mining</v>
      </c>
      <c r="K49" s="16" t="str">
        <f>VLOOKUP(tbSystems[[#This Row],[Wealth]],tbWealthLevels[],2,FALSE)</f>
        <v>Medium</v>
      </c>
      <c r="L49" s="16" t="str">
        <f>VLOOKUP(tbSystems[[#This Row],[Conflict]],tbConflictLevels[],2,FALSE)</f>
        <v>Low</v>
      </c>
      <c r="M49" s="100"/>
      <c r="N49" s="26"/>
    </row>
    <row r="50" spans="2:14" ht="27.95" customHeight="1" x14ac:dyDescent="0.25">
      <c r="B50" s="2" t="s">
        <v>733</v>
      </c>
      <c r="C50" s="25">
        <v>44016</v>
      </c>
      <c r="D50" s="2" t="s">
        <v>553</v>
      </c>
      <c r="E50" s="2" t="s">
        <v>732</v>
      </c>
      <c r="F5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Blue</v>
      </c>
      <c r="G50" s="66" t="s">
        <v>553</v>
      </c>
      <c r="H50" s="66" t="s">
        <v>553</v>
      </c>
      <c r="I50" s="66" t="s">
        <v>553</v>
      </c>
      <c r="J50" s="15" t="str">
        <f>VLOOKUP(tbSystems[[#This Row],[Economy]],tbEconomyTypes[],2,FALSE)</f>
        <v>n/a</v>
      </c>
      <c r="K50" s="16" t="str">
        <f>VLOOKUP(tbSystems[[#This Row],[Wealth]],tbWealthLevels[],2,FALSE)</f>
        <v>n/a</v>
      </c>
      <c r="L50" s="16" t="str">
        <f>VLOOKUP(tbSystems[[#This Row],[Conflict]],tbConflictLevels[],2,FALSE)</f>
        <v>n/a</v>
      </c>
      <c r="M50" s="100"/>
      <c r="N50" s="26"/>
    </row>
    <row r="51" spans="2:14" s="66" customFormat="1" ht="27.95" customHeight="1" x14ac:dyDescent="0.25">
      <c r="B51" s="66" t="s">
        <v>579</v>
      </c>
      <c r="C51" s="25">
        <v>44010</v>
      </c>
      <c r="D51" s="66" t="s">
        <v>65</v>
      </c>
      <c r="E51" s="66" t="s">
        <v>545</v>
      </c>
      <c r="F5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1" s="66" t="s">
        <v>173</v>
      </c>
      <c r="H51" s="66" t="s">
        <v>141</v>
      </c>
      <c r="I51" s="66" t="s">
        <v>135</v>
      </c>
      <c r="J51" s="15" t="str">
        <f>VLOOKUP(tbSystems[[#This Row],[Economy]],tbEconomyTypes[],2,FALSE)</f>
        <v>Advanced Materials</v>
      </c>
      <c r="K51" s="16" t="str">
        <f>VLOOKUP(tbSystems[[#This Row],[Wealth]],tbWealthLevels[],2,FALSE)</f>
        <v>Low</v>
      </c>
      <c r="L51" s="16" t="str">
        <f>VLOOKUP(tbSystems[[#This Row],[Conflict]],tbConflictLevels[],2,FALSE)</f>
        <v>High</v>
      </c>
      <c r="M51" s="100"/>
      <c r="N51" s="26" t="s">
        <v>675</v>
      </c>
    </row>
    <row r="52" spans="2:14" s="66" customFormat="1" ht="27.95" customHeight="1" x14ac:dyDescent="0.25">
      <c r="B52" s="66" t="s">
        <v>604</v>
      </c>
      <c r="C52" s="25">
        <v>44011</v>
      </c>
      <c r="D52" s="66" t="s">
        <v>68</v>
      </c>
      <c r="E52" s="66" t="s">
        <v>605</v>
      </c>
      <c r="F5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2" s="66" t="s">
        <v>217</v>
      </c>
      <c r="H52" s="66" t="s">
        <v>153</v>
      </c>
      <c r="I52" s="66" t="s">
        <v>121</v>
      </c>
      <c r="J52" s="15" t="str">
        <f>VLOOKUP(tbSystems[[#This Row],[Economy]],tbEconomyTypes[],2,FALSE)</f>
        <v>Power Generation</v>
      </c>
      <c r="K52" s="16" t="str">
        <f>VLOOKUP(tbSystems[[#This Row],[Wealth]],tbWealthLevels[],2,FALSE)</f>
        <v>Medium</v>
      </c>
      <c r="L52" s="16" t="str">
        <f>VLOOKUP(tbSystems[[#This Row],[Conflict]],tbConflictLevels[],2,FALSE)</f>
        <v>Low</v>
      </c>
      <c r="M52" s="100"/>
      <c r="N52" s="26"/>
    </row>
    <row r="53" spans="2:14" s="66" customFormat="1" ht="27.95" customHeight="1" x14ac:dyDescent="0.25">
      <c r="B53" s="66" t="s">
        <v>1085</v>
      </c>
      <c r="C53" s="25">
        <v>44034</v>
      </c>
      <c r="D53" s="66" t="s">
        <v>127</v>
      </c>
      <c r="E53" s="66" t="s">
        <v>574</v>
      </c>
      <c r="F5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3" s="3" t="s">
        <v>171</v>
      </c>
      <c r="H53" s="66" t="s">
        <v>124</v>
      </c>
      <c r="I53" s="66" t="s">
        <v>124</v>
      </c>
      <c r="J53" s="15" t="str">
        <f>VLOOKUP(tbSystems[[#This Row],[Economy]],tbEconomyTypes[],2,FALSE)</f>
        <v>Advanced Materials</v>
      </c>
      <c r="K53" s="16" t="str">
        <f>VLOOKUP(tbSystems[[#This Row],[Wealth]],tbWealthLevels[],2,FALSE)</f>
        <v>Medium</v>
      </c>
      <c r="L53" s="16" t="str">
        <f>VLOOKUP(tbSystems[[#This Row],[Conflict]],tbConflictLevels[],2,FALSE)</f>
        <v>Medium</v>
      </c>
      <c r="M53" s="100"/>
      <c r="N53" s="26"/>
    </row>
    <row r="54" spans="2:14" s="66" customFormat="1" ht="27.95" customHeight="1" x14ac:dyDescent="0.25">
      <c r="B54" s="66" t="s">
        <v>114</v>
      </c>
      <c r="C54" s="25">
        <v>44003</v>
      </c>
      <c r="D54" s="66" t="s">
        <v>127</v>
      </c>
      <c r="E54" s="66" t="s">
        <v>542</v>
      </c>
      <c r="F5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4" s="3" t="s">
        <v>177</v>
      </c>
      <c r="H54" s="26" t="s">
        <v>152</v>
      </c>
      <c r="I54" s="26" t="s">
        <v>133</v>
      </c>
      <c r="J54" s="15" t="str">
        <f>VLOOKUP(tbSystems[[#This Row],[Economy]],tbEconomyTypes[],2,FALSE)</f>
        <v>Scientific</v>
      </c>
      <c r="K54" s="16" t="str">
        <f>VLOOKUP(tbSystems[[#This Row],[Wealth]],tbWealthLevels[],2,FALSE)</f>
        <v>Medium</v>
      </c>
      <c r="L54" s="16" t="str">
        <f>VLOOKUP(tbSystems[[#This Row],[Conflict]],tbConflictLevels[],2,FALSE)</f>
        <v>High</v>
      </c>
      <c r="M54" s="100"/>
      <c r="N54" s="26" t="s">
        <v>677</v>
      </c>
    </row>
    <row r="55" spans="2:14" s="66" customFormat="1" ht="27.95" customHeight="1" x14ac:dyDescent="0.25">
      <c r="B55" s="66" t="s">
        <v>1090</v>
      </c>
      <c r="C55" s="25">
        <v>44034</v>
      </c>
      <c r="D55" s="66" t="s">
        <v>65</v>
      </c>
      <c r="E55" s="66" t="s">
        <v>1087</v>
      </c>
      <c r="F5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5" s="3" t="s">
        <v>165</v>
      </c>
      <c r="H55" s="66" t="s">
        <v>124</v>
      </c>
      <c r="I55" s="66" t="s">
        <v>134</v>
      </c>
      <c r="J55" s="15" t="str">
        <f>VLOOKUP(tbSystems[[#This Row],[Economy]],tbEconomyTypes[],2,FALSE)</f>
        <v>Trading</v>
      </c>
      <c r="K55" s="16" t="str">
        <f>VLOOKUP(tbSystems[[#This Row],[Wealth]],tbWealthLevels[],2,FALSE)</f>
        <v>Medium</v>
      </c>
      <c r="L55" s="16" t="str">
        <f>VLOOKUP(tbSystems[[#This Row],[Conflict]],tbConflictLevels[],2,FALSE)</f>
        <v>High</v>
      </c>
      <c r="M55" s="100"/>
      <c r="N55" s="26"/>
    </row>
    <row r="56" spans="2:14" s="66" customFormat="1" ht="27.95" customHeight="1" x14ac:dyDescent="0.25">
      <c r="B56" s="66" t="s">
        <v>99</v>
      </c>
      <c r="C56" s="25">
        <v>44002</v>
      </c>
      <c r="D56" s="66" t="s">
        <v>68</v>
      </c>
      <c r="E56" s="66" t="s">
        <v>541</v>
      </c>
      <c r="F5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6" s="3" t="s">
        <v>169</v>
      </c>
      <c r="H56" s="26" t="s">
        <v>138</v>
      </c>
      <c r="I56" s="26" t="s">
        <v>132</v>
      </c>
      <c r="J56" s="15" t="str">
        <f>VLOOKUP(tbSystems[[#This Row],[Economy]],tbEconomyTypes[],2,FALSE)</f>
        <v>Scientific</v>
      </c>
      <c r="K56" s="16" t="str">
        <f>VLOOKUP(tbSystems[[#This Row],[Wealth]],tbWealthLevels[],2,FALSE)</f>
        <v>Low</v>
      </c>
      <c r="L56" s="16" t="str">
        <f>VLOOKUP(tbSystems[[#This Row],[Conflict]],tbConflictLevels[],2,FALSE)</f>
        <v>Low</v>
      </c>
      <c r="M56" s="100"/>
      <c r="N56" s="26"/>
    </row>
    <row r="57" spans="2:14" s="66" customFormat="1" ht="27.95" customHeight="1" x14ac:dyDescent="0.25">
      <c r="B57" s="66" t="s">
        <v>279</v>
      </c>
      <c r="C57" s="25">
        <v>44008</v>
      </c>
      <c r="D57" s="66" t="s">
        <v>68</v>
      </c>
      <c r="E57" s="66" t="s">
        <v>545</v>
      </c>
      <c r="F5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7" s="3" t="s">
        <v>228</v>
      </c>
      <c r="H57" s="26" t="s">
        <v>148</v>
      </c>
      <c r="I57" s="26" t="s">
        <v>122</v>
      </c>
      <c r="J57" s="15" t="str">
        <f>VLOOKUP(tbSystems[[#This Row],[Economy]],tbEconomyTypes[],2,FALSE)</f>
        <v>Technology</v>
      </c>
      <c r="K57" s="16" t="str">
        <f>VLOOKUP(tbSystems[[#This Row],[Wealth]],tbWealthLevels[],2,FALSE)</f>
        <v>Medium</v>
      </c>
      <c r="L57" s="16" t="str">
        <f>VLOOKUP(tbSystems[[#This Row],[Conflict]],tbConflictLevels[],2,FALSE)</f>
        <v>Low</v>
      </c>
      <c r="M57" s="100"/>
      <c r="N57" s="26"/>
    </row>
    <row r="58" spans="2:14" s="66" customFormat="1" ht="27.95" customHeight="1" x14ac:dyDescent="0.25">
      <c r="B58" s="66" t="s">
        <v>789</v>
      </c>
      <c r="C58" s="25">
        <v>44019</v>
      </c>
      <c r="D58" s="66" t="s">
        <v>65</v>
      </c>
      <c r="E58" s="66" t="s">
        <v>790</v>
      </c>
      <c r="F5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8" s="66" t="s">
        <v>210</v>
      </c>
      <c r="H58" s="66" t="s">
        <v>124</v>
      </c>
      <c r="I58" s="66" t="s">
        <v>134</v>
      </c>
      <c r="J58" s="15" t="str">
        <f>VLOOKUP(tbSystems[[#This Row],[Economy]],tbEconomyTypes[],2,FALSE)</f>
        <v>Technology</v>
      </c>
      <c r="K58" s="16" t="str">
        <f>VLOOKUP(tbSystems[[#This Row],[Wealth]],tbWealthLevels[],2,FALSE)</f>
        <v>Medium</v>
      </c>
      <c r="L58" s="16" t="str">
        <f>VLOOKUP(tbSystems[[#This Row],[Conflict]],tbConflictLevels[],2,FALSE)</f>
        <v>High</v>
      </c>
      <c r="M58" s="100"/>
      <c r="N58" s="26"/>
    </row>
    <row r="59" spans="2:14" s="66" customFormat="1" ht="27.95" customHeight="1" x14ac:dyDescent="0.25">
      <c r="B59" s="66" t="s">
        <v>591</v>
      </c>
      <c r="C59" s="25">
        <v>44011</v>
      </c>
      <c r="D59" s="66" t="s">
        <v>65</v>
      </c>
      <c r="E59" s="66" t="s">
        <v>592</v>
      </c>
      <c r="F5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59" s="66" t="s">
        <v>176</v>
      </c>
      <c r="H59" s="66" t="s">
        <v>148</v>
      </c>
      <c r="I59" s="66" t="s">
        <v>134</v>
      </c>
      <c r="J59" s="15" t="str">
        <f>VLOOKUP(tbSystems[[#This Row],[Economy]],tbEconomyTypes[],2,FALSE)</f>
        <v>Scientific</v>
      </c>
      <c r="K59" s="16" t="str">
        <f>VLOOKUP(tbSystems[[#This Row],[Wealth]],tbWealthLevels[],2,FALSE)</f>
        <v>Medium</v>
      </c>
      <c r="L59" s="16" t="str">
        <f>VLOOKUP(tbSystems[[#This Row],[Conflict]],tbConflictLevels[],2,FALSE)</f>
        <v>High</v>
      </c>
      <c r="M59" s="100"/>
      <c r="N59" s="26"/>
    </row>
    <row r="60" spans="2:14" s="66" customFormat="1" ht="27.95" customHeight="1" x14ac:dyDescent="0.25">
      <c r="B60" s="66" t="s">
        <v>573</v>
      </c>
      <c r="C60" s="25">
        <v>44010</v>
      </c>
      <c r="D60" s="66" t="s">
        <v>127</v>
      </c>
      <c r="E60" s="66" t="s">
        <v>574</v>
      </c>
      <c r="F6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0" s="66" t="s">
        <v>216</v>
      </c>
      <c r="H60" s="66" t="s">
        <v>148</v>
      </c>
      <c r="I60" s="66" t="s">
        <v>134</v>
      </c>
      <c r="J60" s="15" t="str">
        <f>VLOOKUP(tbSystems[[#This Row],[Economy]],tbEconomyTypes[],2,FALSE)</f>
        <v>Power Generation</v>
      </c>
      <c r="K60" s="16" t="str">
        <f>VLOOKUP(tbSystems[[#This Row],[Wealth]],tbWealthLevels[],2,FALSE)</f>
        <v>Medium</v>
      </c>
      <c r="L60" s="16" t="str">
        <f>VLOOKUP(tbSystems[[#This Row],[Conflict]],tbConflictLevels[],2,FALSE)</f>
        <v>High</v>
      </c>
      <c r="M60" s="100"/>
      <c r="N60" s="26" t="s">
        <v>677</v>
      </c>
    </row>
    <row r="61" spans="2:14" s="66" customFormat="1" ht="27.95" customHeight="1" x14ac:dyDescent="0.25">
      <c r="B61" s="66" t="s">
        <v>726</v>
      </c>
      <c r="C61" s="25">
        <v>44016</v>
      </c>
      <c r="D61" s="66" t="s">
        <v>553</v>
      </c>
      <c r="E61" s="66" t="s">
        <v>727</v>
      </c>
      <c r="F6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61" s="66" t="s">
        <v>553</v>
      </c>
      <c r="H61" s="66" t="s">
        <v>553</v>
      </c>
      <c r="I61" s="66" t="s">
        <v>553</v>
      </c>
      <c r="J61" s="15" t="str">
        <f>VLOOKUP(tbSystems[[#This Row],[Economy]],tbEconomyTypes[],2,FALSE)</f>
        <v>n/a</v>
      </c>
      <c r="K61" s="16" t="str">
        <f>VLOOKUP(tbSystems[[#This Row],[Wealth]],tbWealthLevels[],2,FALSE)</f>
        <v>n/a</v>
      </c>
      <c r="L61" s="16" t="str">
        <f>VLOOKUP(tbSystems[[#This Row],[Conflict]],tbConflictLevels[],2,FALSE)</f>
        <v>n/a</v>
      </c>
      <c r="M61" s="100"/>
      <c r="N61" s="26" t="s">
        <v>730</v>
      </c>
    </row>
    <row r="62" spans="2:14" s="66" customFormat="1" ht="27.95" customHeight="1" x14ac:dyDescent="0.25">
      <c r="B62" s="66" t="s">
        <v>1091</v>
      </c>
      <c r="C62" s="25">
        <v>44034</v>
      </c>
      <c r="D62" s="66" t="s">
        <v>68</v>
      </c>
      <c r="E62" s="66" t="s">
        <v>578</v>
      </c>
      <c r="F6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2" s="3" t="s">
        <v>210</v>
      </c>
      <c r="H62" s="66" t="s">
        <v>128</v>
      </c>
      <c r="I62" s="66" t="s">
        <v>128</v>
      </c>
      <c r="J62" s="15" t="str">
        <f>VLOOKUP(tbSystems[[#This Row],[Economy]],tbEconomyTypes[],2,FALSE)</f>
        <v>Technology</v>
      </c>
      <c r="K62" s="16" t="str">
        <f>VLOOKUP(tbSystems[[#This Row],[Wealth]],tbWealthLevels[],2,FALSE)</f>
        <v>Low</v>
      </c>
      <c r="L62" s="16" t="str">
        <f>VLOOKUP(tbSystems[[#This Row],[Conflict]],tbConflictLevels[],2,FALSE)</f>
        <v>Low</v>
      </c>
      <c r="M62" s="100"/>
      <c r="N62" s="26"/>
    </row>
    <row r="63" spans="2:14" s="66" customFormat="1" ht="27.95" customHeight="1" x14ac:dyDescent="0.25">
      <c r="B63" s="66" t="s">
        <v>1102</v>
      </c>
      <c r="C63" s="25">
        <v>44035</v>
      </c>
      <c r="D63" s="66" t="s">
        <v>65</v>
      </c>
      <c r="E63" s="66" t="s">
        <v>1105</v>
      </c>
      <c r="F6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3" s="3" t="s">
        <v>171</v>
      </c>
      <c r="H63" s="66" t="s">
        <v>128</v>
      </c>
      <c r="I63" s="66" t="s">
        <v>124</v>
      </c>
      <c r="J63" s="15" t="str">
        <f>VLOOKUP(tbSystems[[#This Row],[Economy]],tbEconomyTypes[],2,FALSE)</f>
        <v>Advanced Materials</v>
      </c>
      <c r="K63" s="16" t="str">
        <f>VLOOKUP(tbSystems[[#This Row],[Wealth]],tbWealthLevels[],2,FALSE)</f>
        <v>Low</v>
      </c>
      <c r="L63" s="16" t="str">
        <f>VLOOKUP(tbSystems[[#This Row],[Conflict]],tbConflictLevels[],2,FALSE)</f>
        <v>Medium</v>
      </c>
      <c r="M63" s="100"/>
      <c r="N63" s="26" t="s">
        <v>1104</v>
      </c>
    </row>
    <row r="64" spans="2:14" s="66" customFormat="1" ht="27.95" customHeight="1" x14ac:dyDescent="0.25">
      <c r="B64" s="66" t="s">
        <v>862</v>
      </c>
      <c r="C64" s="25">
        <v>44027</v>
      </c>
      <c r="D64" s="66" t="s">
        <v>68</v>
      </c>
      <c r="E64" s="66" t="s">
        <v>863</v>
      </c>
      <c r="F6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4" s="66" t="s">
        <v>216</v>
      </c>
      <c r="H64" s="66" t="s">
        <v>128</v>
      </c>
      <c r="I64" s="66" t="s">
        <v>128</v>
      </c>
      <c r="J64" s="15" t="str">
        <f>VLOOKUP(tbSystems[[#This Row],[Economy]],tbEconomyTypes[],2,FALSE)</f>
        <v>Power Generation</v>
      </c>
      <c r="K64" s="16" t="str">
        <f>VLOOKUP(tbSystems[[#This Row],[Wealth]],tbWealthLevels[],2,FALSE)</f>
        <v>Low</v>
      </c>
      <c r="L64" s="16" t="str">
        <f>VLOOKUP(tbSystems[[#This Row],[Conflict]],tbConflictLevels[],2,FALSE)</f>
        <v>Low</v>
      </c>
      <c r="M64" s="100"/>
      <c r="N64" s="26"/>
    </row>
    <row r="65" spans="2:14" s="66" customFormat="1" ht="27.95" customHeight="1" x14ac:dyDescent="0.25">
      <c r="B65" s="66" t="s">
        <v>239</v>
      </c>
      <c r="C65" s="25">
        <v>44006</v>
      </c>
      <c r="D65" s="66" t="s">
        <v>68</v>
      </c>
      <c r="E65" s="66" t="s">
        <v>865</v>
      </c>
      <c r="F6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5" s="3" t="s">
        <v>228</v>
      </c>
      <c r="H65" s="26" t="s">
        <v>147</v>
      </c>
      <c r="I65" s="26" t="s">
        <v>240</v>
      </c>
      <c r="J65" s="15" t="str">
        <f>VLOOKUP(tbSystems[[#This Row],[Economy]],tbEconomyTypes[],2,FALSE)</f>
        <v>Technology</v>
      </c>
      <c r="K65" s="16" t="str">
        <f>VLOOKUP(tbSystems[[#This Row],[Wealth]],tbWealthLevels[],2,FALSE)</f>
        <v>Medium</v>
      </c>
      <c r="L65" s="16" t="str">
        <f>VLOOKUP(tbSystems[[#This Row],[Conflict]],tbConflictLevels[],2,FALSE)</f>
        <v>Low</v>
      </c>
      <c r="M65" s="100"/>
      <c r="N65" s="26"/>
    </row>
    <row r="66" spans="2:14" s="66" customFormat="1" ht="27.95" customHeight="1" x14ac:dyDescent="0.25">
      <c r="B66" s="66" t="s">
        <v>825</v>
      </c>
      <c r="C66" s="25">
        <v>44022</v>
      </c>
      <c r="D66" s="66" t="s">
        <v>65</v>
      </c>
      <c r="E66" s="66" t="s">
        <v>828</v>
      </c>
      <c r="F6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6" s="66" t="s">
        <v>210</v>
      </c>
      <c r="H66" s="66" t="s">
        <v>124</v>
      </c>
      <c r="I66" s="66" t="s">
        <v>134</v>
      </c>
      <c r="J66" s="15" t="str">
        <f>VLOOKUP(tbSystems[[#This Row],[Economy]],tbEconomyTypes[],2,FALSE)</f>
        <v>Technology</v>
      </c>
      <c r="K66" s="16" t="str">
        <f>VLOOKUP(tbSystems[[#This Row],[Wealth]],tbWealthLevels[],2,FALSE)</f>
        <v>Medium</v>
      </c>
      <c r="L66" s="16" t="str">
        <f>VLOOKUP(tbSystems[[#This Row],[Conflict]],tbConflictLevels[],2,FALSE)</f>
        <v>High</v>
      </c>
      <c r="M66" s="100"/>
      <c r="N66" s="26"/>
    </row>
    <row r="67" spans="2:14" s="66" customFormat="1" ht="27.95" customHeight="1" x14ac:dyDescent="0.25">
      <c r="B67" s="66" t="s">
        <v>665</v>
      </c>
      <c r="C67" s="25">
        <v>44015</v>
      </c>
      <c r="D67" s="66" t="s">
        <v>68</v>
      </c>
      <c r="E67" s="66" t="s">
        <v>865</v>
      </c>
      <c r="F6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7" s="3" t="s">
        <v>216</v>
      </c>
      <c r="H67" s="26" t="s">
        <v>141</v>
      </c>
      <c r="I67" s="26" t="s">
        <v>130</v>
      </c>
      <c r="J67" s="15" t="str">
        <f>VLOOKUP(tbSystems[[#This Row],[Economy]],tbEconomyTypes[],2,FALSE)</f>
        <v>Power Generation</v>
      </c>
      <c r="K67" s="16" t="str">
        <f>VLOOKUP(tbSystems[[#This Row],[Wealth]],tbWealthLevels[],2,FALSE)</f>
        <v>Low</v>
      </c>
      <c r="L67" s="16" t="str">
        <f>VLOOKUP(tbSystems[[#This Row],[Conflict]],tbConflictLevels[],2,FALSE)</f>
        <v>High</v>
      </c>
      <c r="M67" s="100"/>
      <c r="N67" s="26"/>
    </row>
    <row r="68" spans="2:14" s="66" customFormat="1" ht="27.95" customHeight="1" x14ac:dyDescent="0.25">
      <c r="B68" s="66" t="s">
        <v>698</v>
      </c>
      <c r="C68" s="25">
        <v>44016</v>
      </c>
      <c r="D68" s="66" t="s">
        <v>127</v>
      </c>
      <c r="E68" s="66" t="s">
        <v>699</v>
      </c>
      <c r="F6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8" s="3" t="s">
        <v>219</v>
      </c>
      <c r="H68" s="26" t="s">
        <v>149</v>
      </c>
      <c r="I68" s="26" t="s">
        <v>132</v>
      </c>
      <c r="J68" s="15" t="str">
        <f>VLOOKUP(tbSystems[[#This Row],[Economy]],tbEconomyTypes[],2,FALSE)</f>
        <v>Power Generation</v>
      </c>
      <c r="K68" s="16" t="str">
        <f>VLOOKUP(tbSystems[[#This Row],[Wealth]],tbWealthLevels[],2,FALSE)</f>
        <v>Medium</v>
      </c>
      <c r="L68" s="16" t="str">
        <f>VLOOKUP(tbSystems[[#This Row],[Conflict]],tbConflictLevels[],2,FALSE)</f>
        <v>Low</v>
      </c>
      <c r="M68" s="100"/>
      <c r="N68" s="26" t="s">
        <v>712</v>
      </c>
    </row>
    <row r="69" spans="2:14" s="66" customFormat="1" ht="27.95" customHeight="1" x14ac:dyDescent="0.25">
      <c r="B69" s="66" t="s">
        <v>120</v>
      </c>
      <c r="C69" s="25">
        <v>44006</v>
      </c>
      <c r="D69" s="66" t="s">
        <v>68</v>
      </c>
      <c r="E69" s="66" t="s">
        <v>865</v>
      </c>
      <c r="F6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69" s="3" t="s">
        <v>209</v>
      </c>
      <c r="H69" s="26" t="s">
        <v>151</v>
      </c>
      <c r="I69" s="26" t="s">
        <v>135</v>
      </c>
      <c r="J69" s="15" t="str">
        <f>VLOOKUP(tbSystems[[#This Row],[Economy]],tbEconomyTypes[],2,FALSE)</f>
        <v>Manufacturing</v>
      </c>
      <c r="K69" s="16" t="str">
        <f>VLOOKUP(tbSystems[[#This Row],[Wealth]],tbWealthLevels[],2,FALSE)</f>
        <v>Medium</v>
      </c>
      <c r="L69" s="16" t="str">
        <f>VLOOKUP(tbSystems[[#This Row],[Conflict]],tbConflictLevels[],2,FALSE)</f>
        <v>High</v>
      </c>
      <c r="M69" s="100"/>
      <c r="N69" s="26"/>
    </row>
    <row r="70" spans="2:14" s="66" customFormat="1" ht="27.95" customHeight="1" x14ac:dyDescent="0.25">
      <c r="B70" s="66" t="s">
        <v>1107</v>
      </c>
      <c r="C70" s="25">
        <v>44036</v>
      </c>
      <c r="D70" s="66" t="s">
        <v>65</v>
      </c>
      <c r="E70" s="66" t="s">
        <v>1108</v>
      </c>
      <c r="F7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0" s="3" t="s">
        <v>182</v>
      </c>
      <c r="H70" s="66" t="s">
        <v>134</v>
      </c>
      <c r="I70" s="66" t="s">
        <v>134</v>
      </c>
      <c r="J70" s="15" t="str">
        <f>VLOOKUP(tbSystems[[#This Row],[Economy]],tbEconomyTypes[],2,FALSE)</f>
        <v>Manufacturing</v>
      </c>
      <c r="K70" s="16" t="str">
        <f>VLOOKUP(tbSystems[[#This Row],[Wealth]],tbWealthLevels[],2,FALSE)</f>
        <v>High</v>
      </c>
      <c r="L70" s="16" t="str">
        <f>VLOOKUP(tbSystems[[#This Row],[Conflict]],tbConflictLevels[],2,FALSE)</f>
        <v>High</v>
      </c>
      <c r="M70" s="100"/>
      <c r="N70" s="26"/>
    </row>
    <row r="71" spans="2:14" s="66" customFormat="1" ht="27.95" customHeight="1" x14ac:dyDescent="0.25">
      <c r="B71" s="66" t="s">
        <v>88</v>
      </c>
      <c r="C71" s="25">
        <v>44006</v>
      </c>
      <c r="D71" s="66" t="s">
        <v>65</v>
      </c>
      <c r="E71" s="66" t="s">
        <v>865</v>
      </c>
      <c r="F7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1" s="3" t="s">
        <v>165</v>
      </c>
      <c r="H71" s="26" t="s">
        <v>151</v>
      </c>
      <c r="I71" s="26" t="s">
        <v>124</v>
      </c>
      <c r="J71" s="15" t="str">
        <f>VLOOKUP(tbSystems[[#This Row],[Economy]],tbEconomyTypes[],2,FALSE)</f>
        <v>Trading</v>
      </c>
      <c r="K71" s="16" t="str">
        <f>VLOOKUP(tbSystems[[#This Row],[Wealth]],tbWealthLevels[],2,FALSE)</f>
        <v>Medium</v>
      </c>
      <c r="L71" s="16" t="str">
        <f>VLOOKUP(tbSystems[[#This Row],[Conflict]],tbConflictLevels[],2,FALSE)</f>
        <v>Medium</v>
      </c>
      <c r="M71" s="100"/>
      <c r="N71" s="26"/>
    </row>
    <row r="72" spans="2:14" s="66" customFormat="1" ht="27.95" customHeight="1" x14ac:dyDescent="0.25">
      <c r="B72" s="66" t="s">
        <v>1116</v>
      </c>
      <c r="C72" s="25">
        <v>44036</v>
      </c>
      <c r="D72" s="66" t="s">
        <v>127</v>
      </c>
      <c r="E72" s="66" t="s">
        <v>542</v>
      </c>
      <c r="F7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2" s="3" t="s">
        <v>165</v>
      </c>
      <c r="H72" s="66" t="s">
        <v>124</v>
      </c>
      <c r="I72" s="66" t="s">
        <v>124</v>
      </c>
      <c r="J72" s="15" t="str">
        <f>VLOOKUP(tbSystems[[#This Row],[Economy]],tbEconomyTypes[],2,FALSE)</f>
        <v>Trading</v>
      </c>
      <c r="K72" s="16" t="str">
        <f>VLOOKUP(tbSystems[[#This Row],[Wealth]],tbWealthLevels[],2,FALSE)</f>
        <v>Medium</v>
      </c>
      <c r="L72" s="16" t="str">
        <f>VLOOKUP(tbSystems[[#This Row],[Conflict]],tbConflictLevels[],2,FALSE)</f>
        <v>Medium</v>
      </c>
      <c r="M72" s="100"/>
      <c r="N72" s="26"/>
    </row>
    <row r="73" spans="2:14" s="66" customFormat="1" ht="27.95" customHeight="1" x14ac:dyDescent="0.25">
      <c r="B73" s="66" t="s">
        <v>116</v>
      </c>
      <c r="C73" s="25">
        <v>44003</v>
      </c>
      <c r="D73" s="66" t="s">
        <v>68</v>
      </c>
      <c r="E73" s="66" t="s">
        <v>865</v>
      </c>
      <c r="F7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3" s="3" t="s">
        <v>173</v>
      </c>
      <c r="H73" s="26" t="s">
        <v>143</v>
      </c>
      <c r="I73" s="26" t="s">
        <v>125</v>
      </c>
      <c r="J73" s="15" t="str">
        <f>VLOOKUP(tbSystems[[#This Row],[Economy]],tbEconomyTypes[],2,FALSE)</f>
        <v>Advanced Materials</v>
      </c>
      <c r="K73" s="16" t="str">
        <f>VLOOKUP(tbSystems[[#This Row],[Wealth]],tbWealthLevels[],2,FALSE)</f>
        <v>Low</v>
      </c>
      <c r="L73" s="16" t="str">
        <f>VLOOKUP(tbSystems[[#This Row],[Conflict]],tbConflictLevels[],2,FALSE)</f>
        <v>Medium</v>
      </c>
      <c r="M73" s="100"/>
      <c r="N73" s="26"/>
    </row>
    <row r="74" spans="2:14" s="66" customFormat="1" ht="27.95" customHeight="1" x14ac:dyDescent="0.25">
      <c r="B74" s="66" t="s">
        <v>856</v>
      </c>
      <c r="C74" s="25">
        <v>44025</v>
      </c>
      <c r="D74" s="66" t="s">
        <v>68</v>
      </c>
      <c r="E74" s="66" t="s">
        <v>857</v>
      </c>
      <c r="F7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74" s="66" t="s">
        <v>216</v>
      </c>
      <c r="H74" s="66" t="s">
        <v>124</v>
      </c>
      <c r="I74" s="66" t="s">
        <v>128</v>
      </c>
      <c r="J74" s="15" t="str">
        <f>VLOOKUP(tbSystems[[#This Row],[Economy]],tbEconomyTypes[],2,FALSE)</f>
        <v>Power Generation</v>
      </c>
      <c r="K74" s="16" t="str">
        <f>VLOOKUP(tbSystems[[#This Row],[Wealth]],tbWealthLevels[],2,FALSE)</f>
        <v>Medium</v>
      </c>
      <c r="L74" s="16" t="str">
        <f>VLOOKUP(tbSystems[[#This Row],[Conflict]],tbConflictLevels[],2,FALSE)</f>
        <v>Low</v>
      </c>
      <c r="M74" s="100"/>
      <c r="N74" s="26"/>
    </row>
    <row r="75" spans="2:14" s="66" customFormat="1" ht="27.95" customHeight="1" x14ac:dyDescent="0.25">
      <c r="B75" s="66" t="s">
        <v>115</v>
      </c>
      <c r="C75" s="25">
        <v>44003</v>
      </c>
      <c r="D75" s="66" t="s">
        <v>68</v>
      </c>
      <c r="F7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Other</v>
      </c>
      <c r="G75" s="3" t="s">
        <v>216</v>
      </c>
      <c r="H75" s="26" t="s">
        <v>148</v>
      </c>
      <c r="I75" s="26" t="s">
        <v>134</v>
      </c>
      <c r="J75" s="15" t="str">
        <f>VLOOKUP(tbSystems[[#This Row],[Economy]],tbEconomyTypes[],2,FALSE)</f>
        <v>Power Generation</v>
      </c>
      <c r="K75" s="16" t="str">
        <f>VLOOKUP(tbSystems[[#This Row],[Wealth]],tbWealthLevels[],2,FALSE)</f>
        <v>Medium</v>
      </c>
      <c r="L75" s="16" t="str">
        <f>VLOOKUP(tbSystems[[#This Row],[Conflict]],tbConflictLevels[],2,FALSE)</f>
        <v>High</v>
      </c>
      <c r="M75" s="100"/>
      <c r="N75" s="26"/>
    </row>
    <row r="76" spans="2:14" s="66" customFormat="1" ht="27.95" customHeight="1" x14ac:dyDescent="0.25">
      <c r="B76" s="66" t="s">
        <v>115</v>
      </c>
      <c r="C76" s="25">
        <v>44010</v>
      </c>
      <c r="D76" s="66" t="s">
        <v>68</v>
      </c>
      <c r="E76" s="66" t="s">
        <v>578</v>
      </c>
      <c r="F7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6" s="66" t="s">
        <v>209</v>
      </c>
      <c r="H76" s="66" t="s">
        <v>151</v>
      </c>
      <c r="I76" s="66" t="s">
        <v>129</v>
      </c>
      <c r="J76" s="15" t="str">
        <f>VLOOKUP(tbSystems[[#This Row],[Economy]],tbEconomyTypes[],2,FALSE)</f>
        <v>Manufacturing</v>
      </c>
      <c r="K76" s="16" t="str">
        <f>VLOOKUP(tbSystems[[#This Row],[Wealth]],tbWealthLevels[],2,FALSE)</f>
        <v>Medium</v>
      </c>
      <c r="L76" s="16" t="str">
        <f>VLOOKUP(tbSystems[[#This Row],[Conflict]],tbConflictLevels[],2,FALSE)</f>
        <v>Medium</v>
      </c>
      <c r="M76" s="100"/>
      <c r="N76" s="26" t="s">
        <v>666</v>
      </c>
    </row>
    <row r="77" spans="2:14" s="66" customFormat="1" ht="27.95" customHeight="1" x14ac:dyDescent="0.25">
      <c r="B77" s="66" t="s">
        <v>95</v>
      </c>
      <c r="C77" s="25">
        <v>44002</v>
      </c>
      <c r="D77" s="66" t="s">
        <v>68</v>
      </c>
      <c r="E77" s="66" t="s">
        <v>865</v>
      </c>
      <c r="F7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7" s="3" t="s">
        <v>179</v>
      </c>
      <c r="H77" s="26" t="s">
        <v>143</v>
      </c>
      <c r="I77" s="26" t="s">
        <v>130</v>
      </c>
      <c r="J77" s="15" t="str">
        <f>VLOOKUP(tbSystems[[#This Row],[Economy]],tbEconomyTypes[],2,FALSE)</f>
        <v>Mining</v>
      </c>
      <c r="K77" s="16" t="str">
        <f>VLOOKUP(tbSystems[[#This Row],[Wealth]],tbWealthLevels[],2,FALSE)</f>
        <v>Low</v>
      </c>
      <c r="L77" s="16" t="str">
        <f>VLOOKUP(tbSystems[[#This Row],[Conflict]],tbConflictLevels[],2,FALSE)</f>
        <v>High</v>
      </c>
      <c r="M77" s="100"/>
      <c r="N77" s="26" t="s">
        <v>666</v>
      </c>
    </row>
    <row r="78" spans="2:14" s="66" customFormat="1" ht="27.95" customHeight="1" x14ac:dyDescent="0.25">
      <c r="B78" s="66" t="s">
        <v>98</v>
      </c>
      <c r="C78" s="25">
        <v>44002</v>
      </c>
      <c r="D78" s="66" t="s">
        <v>65</v>
      </c>
      <c r="E78" s="66" t="s">
        <v>865</v>
      </c>
      <c r="F7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8" s="3" t="s">
        <v>169</v>
      </c>
      <c r="H78" s="26" t="s">
        <v>151</v>
      </c>
      <c r="I78" s="26" t="s">
        <v>131</v>
      </c>
      <c r="J78" s="15" t="str">
        <f>VLOOKUP(tbSystems[[#This Row],[Economy]],tbEconomyTypes[],2,FALSE)</f>
        <v>Scientific</v>
      </c>
      <c r="K78" s="16" t="str">
        <f>VLOOKUP(tbSystems[[#This Row],[Wealth]],tbWealthLevels[],2,FALSE)</f>
        <v>Medium</v>
      </c>
      <c r="L78" s="16" t="str">
        <f>VLOOKUP(tbSystems[[#This Row],[Conflict]],tbConflictLevels[],2,FALSE)</f>
        <v>Low</v>
      </c>
      <c r="M78" s="100"/>
      <c r="N78" s="26"/>
    </row>
    <row r="79" spans="2:14" s="66" customFormat="1" ht="27.95" customHeight="1" x14ac:dyDescent="0.25">
      <c r="B79" s="66" t="s">
        <v>1092</v>
      </c>
      <c r="C79" s="25">
        <v>44035</v>
      </c>
      <c r="D79" s="66" t="s">
        <v>127</v>
      </c>
      <c r="E79" s="66" t="s">
        <v>592</v>
      </c>
      <c r="F7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79" s="3" t="s">
        <v>210</v>
      </c>
      <c r="H79" s="66" t="s">
        <v>128</v>
      </c>
      <c r="I79" s="66" t="s">
        <v>128</v>
      </c>
      <c r="J79" s="15" t="str">
        <f>VLOOKUP(tbSystems[[#This Row],[Economy]],tbEconomyTypes[],2,FALSE)</f>
        <v>Technology</v>
      </c>
      <c r="K79" s="16" t="str">
        <f>VLOOKUP(tbSystems[[#This Row],[Wealth]],tbWealthLevels[],2,FALSE)</f>
        <v>Low</v>
      </c>
      <c r="L79" s="16" t="str">
        <f>VLOOKUP(tbSystems[[#This Row],[Conflict]],tbConflictLevels[],2,FALSE)</f>
        <v>Low</v>
      </c>
      <c r="M79" s="100"/>
      <c r="N79" s="26"/>
    </row>
    <row r="80" spans="2:14" s="66" customFormat="1" ht="27.95" customHeight="1" x14ac:dyDescent="0.25">
      <c r="B80" s="66" t="s">
        <v>326</v>
      </c>
      <c r="C80" s="25">
        <v>44008</v>
      </c>
      <c r="D80" s="66" t="s">
        <v>127</v>
      </c>
      <c r="E80" s="66" t="s">
        <v>865</v>
      </c>
      <c r="F8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0" s="3" t="s">
        <v>217</v>
      </c>
      <c r="H80" s="26" t="s">
        <v>153</v>
      </c>
      <c r="I80" s="26" t="s">
        <v>121</v>
      </c>
      <c r="J80" s="15" t="str">
        <f>VLOOKUP(tbSystems[[#This Row],[Economy]],tbEconomyTypes[],2,FALSE)</f>
        <v>Power Generation</v>
      </c>
      <c r="K80" s="16" t="str">
        <f>VLOOKUP(tbSystems[[#This Row],[Wealth]],tbWealthLevels[],2,FALSE)</f>
        <v>Medium</v>
      </c>
      <c r="L80" s="16" t="str">
        <f>VLOOKUP(tbSystems[[#This Row],[Conflict]],tbConflictLevels[],2,FALSE)</f>
        <v>Low</v>
      </c>
      <c r="M80" s="100"/>
      <c r="N80" s="26"/>
    </row>
    <row r="81" spans="2:14" s="66" customFormat="1" ht="27.95" customHeight="1" x14ac:dyDescent="0.25">
      <c r="B81" s="66" t="s">
        <v>52</v>
      </c>
      <c r="C81" s="25">
        <v>43999</v>
      </c>
      <c r="D81" s="66" t="s">
        <v>65</v>
      </c>
      <c r="E81" s="66" t="s">
        <v>865</v>
      </c>
      <c r="F8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1" s="3" t="s">
        <v>167</v>
      </c>
      <c r="H81" s="26" t="s">
        <v>153</v>
      </c>
      <c r="I81" s="26" t="s">
        <v>121</v>
      </c>
      <c r="J81" s="15" t="str">
        <f>VLOOKUP(tbSystems[[#This Row],[Economy]],tbEconomyTypes[],2,FALSE)</f>
        <v>Trading</v>
      </c>
      <c r="K81" s="16" t="str">
        <f>VLOOKUP(tbSystems[[#This Row],[Wealth]],tbWealthLevels[],2,FALSE)</f>
        <v>Medium</v>
      </c>
      <c r="L81" s="16" t="str">
        <f>VLOOKUP(tbSystems[[#This Row],[Conflict]],tbConflictLevels[],2,FALSE)</f>
        <v>Low</v>
      </c>
      <c r="M81" s="100"/>
      <c r="N81" s="26"/>
    </row>
    <row r="82" spans="2:14" s="66" customFormat="1" ht="27.95" customHeight="1" x14ac:dyDescent="0.25">
      <c r="B82" s="66" t="s">
        <v>575</v>
      </c>
      <c r="C82" s="25">
        <v>44010</v>
      </c>
      <c r="D82" s="66" t="s">
        <v>127</v>
      </c>
      <c r="E82" s="66" t="s">
        <v>541</v>
      </c>
      <c r="F8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2" s="66" t="s">
        <v>165</v>
      </c>
      <c r="H82" s="66" t="s">
        <v>151</v>
      </c>
      <c r="I82" s="66" t="s">
        <v>134</v>
      </c>
      <c r="J82" s="15" t="str">
        <f>VLOOKUP(tbSystems[[#This Row],[Economy]],tbEconomyTypes[],2,FALSE)</f>
        <v>Trading</v>
      </c>
      <c r="K82" s="16" t="str">
        <f>VLOOKUP(tbSystems[[#This Row],[Wealth]],tbWealthLevels[],2,FALSE)</f>
        <v>Medium</v>
      </c>
      <c r="L82" s="16" t="str">
        <f>VLOOKUP(tbSystems[[#This Row],[Conflict]],tbConflictLevels[],2,FALSE)</f>
        <v>High</v>
      </c>
      <c r="M82" s="100"/>
      <c r="N82" s="26" t="s">
        <v>677</v>
      </c>
    </row>
    <row r="83" spans="2:14" s="66" customFormat="1" ht="27.95" customHeight="1" x14ac:dyDescent="0.25">
      <c r="B83" s="66" t="s">
        <v>1097</v>
      </c>
      <c r="C83" s="25">
        <v>44035</v>
      </c>
      <c r="D83" s="66" t="s">
        <v>65</v>
      </c>
      <c r="E83" s="66" t="s">
        <v>824</v>
      </c>
      <c r="F83"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3" s="3" t="s">
        <v>182</v>
      </c>
      <c r="H83" s="66" t="s">
        <v>124</v>
      </c>
      <c r="I83" s="66" t="s">
        <v>134</v>
      </c>
      <c r="J83" s="15" t="str">
        <f>VLOOKUP(tbSystems[[#This Row],[Economy]],tbEconomyTypes[],2,FALSE)</f>
        <v>Manufacturing</v>
      </c>
      <c r="K83" s="16" t="str">
        <f>VLOOKUP(tbSystems[[#This Row],[Wealth]],tbWealthLevels[],2,FALSE)</f>
        <v>Medium</v>
      </c>
      <c r="L83" s="16" t="str">
        <f>VLOOKUP(tbSystems[[#This Row],[Conflict]],tbConflictLevels[],2,FALSE)</f>
        <v>High</v>
      </c>
      <c r="M83" s="100"/>
      <c r="N83" s="26"/>
    </row>
    <row r="84" spans="2:14" s="66" customFormat="1" ht="27.95" customHeight="1" x14ac:dyDescent="0.25">
      <c r="B84" s="66" t="s">
        <v>1128</v>
      </c>
      <c r="C84" s="25">
        <v>44037</v>
      </c>
      <c r="D84" s="66" t="s">
        <v>65</v>
      </c>
      <c r="E84" s="66" t="s">
        <v>735</v>
      </c>
      <c r="F84"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4" s="3" t="s">
        <v>216</v>
      </c>
      <c r="H84" s="66" t="s">
        <v>124</v>
      </c>
      <c r="I84" s="66" t="s">
        <v>124</v>
      </c>
      <c r="J84" s="15" t="str">
        <f>VLOOKUP(tbSystems[[#This Row],[Economy]],tbEconomyTypes[],2,FALSE)</f>
        <v>Power Generation</v>
      </c>
      <c r="K84" s="16" t="str">
        <f>VLOOKUP(tbSystems[[#This Row],[Wealth]],tbWealthLevels[],2,FALSE)</f>
        <v>Medium</v>
      </c>
      <c r="L84" s="16" t="str">
        <f>VLOOKUP(tbSystems[[#This Row],[Conflict]],tbConflictLevels[],2,FALSE)</f>
        <v>Medium</v>
      </c>
      <c r="M84" s="100"/>
      <c r="N84" s="26"/>
    </row>
    <row r="85" spans="2:14" s="66" customFormat="1" ht="27.95" customHeight="1" x14ac:dyDescent="0.25">
      <c r="B85" s="66" t="s">
        <v>1148</v>
      </c>
      <c r="C85" s="25">
        <v>44040</v>
      </c>
      <c r="D85" s="66" t="s">
        <v>68</v>
      </c>
      <c r="E85" s="66" t="s">
        <v>1149</v>
      </c>
      <c r="F85"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5" s="3" t="s">
        <v>210</v>
      </c>
      <c r="H85" s="66" t="s">
        <v>124</v>
      </c>
      <c r="I85" s="66" t="s">
        <v>124</v>
      </c>
      <c r="J85" s="15" t="str">
        <f>VLOOKUP(tbSystems[[#This Row],[Economy]],tbEconomyTypes[],2,FALSE)</f>
        <v>Technology</v>
      </c>
      <c r="K85" s="16" t="str">
        <f>VLOOKUP(tbSystems[[#This Row],[Wealth]],tbWealthLevels[],2,FALSE)</f>
        <v>Medium</v>
      </c>
      <c r="L85" s="16" t="str">
        <f>VLOOKUP(tbSystems[[#This Row],[Conflict]],tbConflictLevels[],2,FALSE)</f>
        <v>Medium</v>
      </c>
      <c r="M85" s="100"/>
      <c r="N85" s="26"/>
    </row>
    <row r="86" spans="2:14" s="66" customFormat="1" ht="27.95" customHeight="1" x14ac:dyDescent="0.25">
      <c r="B86" s="66" t="s">
        <v>1150</v>
      </c>
      <c r="C86" s="25">
        <v>44040</v>
      </c>
      <c r="D86" s="66" t="s">
        <v>553</v>
      </c>
      <c r="E86" s="66" t="s">
        <v>596</v>
      </c>
      <c r="F86"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Green</v>
      </c>
      <c r="G86" s="3" t="s">
        <v>553</v>
      </c>
      <c r="H86" s="3" t="s">
        <v>553</v>
      </c>
      <c r="I86" s="3" t="s">
        <v>553</v>
      </c>
      <c r="J86" s="15" t="str">
        <f>VLOOKUP(tbSystems[[#This Row],[Economy]],tbEconomyTypes[],2,FALSE)</f>
        <v>n/a</v>
      </c>
      <c r="K86" s="16" t="str">
        <f>VLOOKUP(tbSystems[[#This Row],[Wealth]],tbWealthLevels[],2,FALSE)</f>
        <v>n/a</v>
      </c>
      <c r="L86" s="16" t="str">
        <f>VLOOKUP(tbSystems[[#This Row],[Conflict]],tbConflictLevels[],2,FALSE)</f>
        <v>n/a</v>
      </c>
      <c r="M86" s="100">
        <v>716.39499999999998</v>
      </c>
      <c r="N86" s="26"/>
    </row>
    <row r="87" spans="2:14" s="66" customFormat="1" ht="27.95" customHeight="1" x14ac:dyDescent="0.25">
      <c r="B87" s="66" t="s">
        <v>1151</v>
      </c>
      <c r="C87" s="25">
        <v>44040</v>
      </c>
      <c r="D87" s="66" t="s">
        <v>127</v>
      </c>
      <c r="E87" s="66" t="s">
        <v>544</v>
      </c>
      <c r="F87"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7" s="3" t="s">
        <v>210</v>
      </c>
      <c r="H87" s="66" t="s">
        <v>124</v>
      </c>
      <c r="I87" s="3" t="s">
        <v>128</v>
      </c>
      <c r="J87" s="15" t="str">
        <f>VLOOKUP(tbSystems[[#This Row],[Economy]],tbEconomyTypes[],2,FALSE)</f>
        <v>Technology</v>
      </c>
      <c r="K87" s="16" t="str">
        <f>VLOOKUP(tbSystems[[#This Row],[Wealth]],tbWealthLevels[],2,FALSE)</f>
        <v>Medium</v>
      </c>
      <c r="L87" s="16" t="str">
        <f>VLOOKUP(tbSystems[[#This Row],[Conflict]],tbConflictLevels[],2,FALSE)</f>
        <v>Low</v>
      </c>
      <c r="M87" s="100">
        <v>716.42499999999995</v>
      </c>
      <c r="N87" s="26" t="s">
        <v>1152</v>
      </c>
    </row>
    <row r="88" spans="2:14" s="66" customFormat="1" ht="27.95" customHeight="1" x14ac:dyDescent="0.25">
      <c r="B88" s="66" t="s">
        <v>1155</v>
      </c>
      <c r="C88" s="25">
        <v>44040</v>
      </c>
      <c r="D88" s="66" t="s">
        <v>127</v>
      </c>
      <c r="E88" s="66" t="s">
        <v>1156</v>
      </c>
      <c r="F88"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8" s="3" t="s">
        <v>182</v>
      </c>
      <c r="H88" s="66" t="s">
        <v>128</v>
      </c>
      <c r="I88" s="3" t="s">
        <v>134</v>
      </c>
      <c r="J88" s="15" t="str">
        <f>VLOOKUP(tbSystems[[#This Row],[Economy]],tbEconomyTypes[],2,FALSE)</f>
        <v>Manufacturing</v>
      </c>
      <c r="K88" s="16" t="str">
        <f>VLOOKUP(tbSystems[[#This Row],[Wealth]],tbWealthLevels[],2,FALSE)</f>
        <v>Low</v>
      </c>
      <c r="L88" s="16" t="str">
        <f>VLOOKUP(tbSystems[[#This Row],[Conflict]],tbConflictLevels[],2,FALSE)</f>
        <v>High</v>
      </c>
      <c r="M88" s="100">
        <v>716.52099999999996</v>
      </c>
      <c r="N88" s="26" t="s">
        <v>1158</v>
      </c>
    </row>
    <row r="89" spans="2:14" s="66" customFormat="1" ht="27.95" customHeight="1" x14ac:dyDescent="0.25">
      <c r="B89" s="66" t="s">
        <v>1157</v>
      </c>
      <c r="C89" s="25">
        <v>44040</v>
      </c>
      <c r="D89" s="66" t="s">
        <v>65</v>
      </c>
      <c r="E89" s="66" t="s">
        <v>545</v>
      </c>
      <c r="F89"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89" s="3" t="s">
        <v>171</v>
      </c>
      <c r="H89" s="66" t="s">
        <v>124</v>
      </c>
      <c r="I89" s="3" t="s">
        <v>128</v>
      </c>
      <c r="J89" s="15" t="str">
        <f>VLOOKUP(tbSystems[[#This Row],[Economy]],tbEconomyTypes[],2,FALSE)</f>
        <v>Advanced Materials</v>
      </c>
      <c r="K89" s="16" t="str">
        <f>VLOOKUP(tbSystems[[#This Row],[Wealth]],tbWealthLevels[],2,FALSE)</f>
        <v>Medium</v>
      </c>
      <c r="L89" s="16" t="str">
        <f>VLOOKUP(tbSystems[[#This Row],[Conflict]],tbConflictLevels[],2,FALSE)</f>
        <v>Low</v>
      </c>
      <c r="M89" s="100">
        <v>716.48199999999997</v>
      </c>
    </row>
    <row r="90" spans="2:14" s="66" customFormat="1" ht="27.95" customHeight="1" x14ac:dyDescent="0.25">
      <c r="B90" s="66" t="s">
        <v>1164</v>
      </c>
      <c r="C90" s="25">
        <v>44011</v>
      </c>
      <c r="D90" s="66" t="s">
        <v>127</v>
      </c>
      <c r="E90" s="66" t="s">
        <v>1165</v>
      </c>
      <c r="F90"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90" s="3" t="s">
        <v>165</v>
      </c>
      <c r="H90" s="66" t="s">
        <v>124</v>
      </c>
      <c r="I90" s="3" t="s">
        <v>134</v>
      </c>
      <c r="J90" s="15" t="str">
        <f>VLOOKUP(tbSystems[[#This Row],[Economy]],tbEconomyTypes[],2,FALSE)</f>
        <v>Trading</v>
      </c>
      <c r="K90" s="16" t="str">
        <f>VLOOKUP(tbSystems[[#This Row],[Wealth]],tbWealthLevels[],2,FALSE)</f>
        <v>Medium</v>
      </c>
      <c r="L90" s="16" t="str">
        <f>VLOOKUP(tbSystems[[#This Row],[Conflict]],tbConflictLevels[],2,FALSE)</f>
        <v>High</v>
      </c>
      <c r="M90" s="100">
        <v>716.59</v>
      </c>
    </row>
    <row r="91" spans="2:14" s="66" customFormat="1" ht="27.95" customHeight="1" x14ac:dyDescent="0.25">
      <c r="B91" s="66" t="s">
        <v>1166</v>
      </c>
      <c r="C91" s="25">
        <v>44011</v>
      </c>
      <c r="D91" s="66" t="s">
        <v>65</v>
      </c>
      <c r="E91" s="66" t="s">
        <v>1156</v>
      </c>
      <c r="F91"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91" s="3" t="s">
        <v>216</v>
      </c>
      <c r="H91" s="66" t="s">
        <v>128</v>
      </c>
      <c r="I91" s="3" t="s">
        <v>128</v>
      </c>
      <c r="J91" s="15" t="str">
        <f>VLOOKUP(tbSystems[[#This Row],[Economy]],tbEconomyTypes[],2,FALSE)</f>
        <v>Power Generation</v>
      </c>
      <c r="K91" s="16" t="str">
        <f>VLOOKUP(tbSystems[[#This Row],[Wealth]],tbWealthLevels[],2,FALSE)</f>
        <v>Low</v>
      </c>
      <c r="L91" s="16" t="str">
        <f>VLOOKUP(tbSystems[[#This Row],[Conflict]],tbConflictLevels[],2,FALSE)</f>
        <v>Low</v>
      </c>
      <c r="M91" s="100">
        <v>716.65200000000004</v>
      </c>
    </row>
    <row r="92" spans="2:14" s="66" customFormat="1" ht="27.95" customHeight="1" x14ac:dyDescent="0.25">
      <c r="B92" s="66" t="s">
        <v>1167</v>
      </c>
      <c r="C92" s="25">
        <v>44011</v>
      </c>
      <c r="D92" s="66" t="s">
        <v>68</v>
      </c>
      <c r="E92" s="66" t="s">
        <v>1168</v>
      </c>
      <c r="F92" s="66" t="str">
        <f>IF(OR(LEFT(tbSystems[[#This Row],[Spectral Class]])="G",LEFT(tbSystems[[#This Row],[Spectral Class]])="F"),"Yellow",IF(OR(LEFT(tbSystems[[#This Row],[Spectral Class]])="K",LEFT(tbSystems[[#This Row],[Spectral Class]])="M"),"Red",IF(LEFT(tbSystems[[#This Row],[Spectral Class]],1)="E","Green",IF(OR(LEFT(tbSystems[[#This Row],[Spectral Class]])="O",LEFT(tbSystems[[#This Row],[Spectral Class]])="B"),"Blue","Other"))))</f>
        <v>Yellow</v>
      </c>
      <c r="G92" s="3" t="s">
        <v>1169</v>
      </c>
      <c r="H92" s="66" t="s">
        <v>124</v>
      </c>
      <c r="I92" s="3" t="s">
        <v>124</v>
      </c>
      <c r="J92" s="15" t="str">
        <f>VLOOKUP(tbSystems[[#This Row],[Economy]],tbEconomyTypes[],2,FALSE)</f>
        <v>Manufacturing</v>
      </c>
      <c r="K92" s="16" t="str">
        <f>VLOOKUP(tbSystems[[#This Row],[Wealth]],tbWealthLevels[],2,FALSE)</f>
        <v>Medium</v>
      </c>
      <c r="L92" s="16" t="str">
        <f>VLOOKUP(tbSystems[[#This Row],[Conflict]],tbConflictLevels[],2,FALSE)</f>
        <v>Medium</v>
      </c>
      <c r="M92" s="100">
        <v>716.62900000000002</v>
      </c>
      <c r="N92" s="26" t="s">
        <v>1159</v>
      </c>
    </row>
    <row r="93" spans="2:14" ht="27.95" customHeight="1" x14ac:dyDescent="0.25">
      <c r="B93" s="66" t="s">
        <v>268</v>
      </c>
      <c r="C93" s="66">
        <f>SUBTOTAL(103,tbSystems[Date Discovered])</f>
        <v>89</v>
      </c>
      <c r="D93" s="66"/>
      <c r="E93" s="66"/>
      <c r="F93" s="66"/>
      <c r="G93" s="3"/>
      <c r="H93" s="66"/>
      <c r="I93" s="30"/>
      <c r="J93" s="30"/>
      <c r="K93" s="31"/>
      <c r="L93" s="31"/>
      <c r="M93" s="30"/>
      <c r="N93" s="30"/>
    </row>
    <row r="94" spans="2:14" ht="27.95" customHeight="1" x14ac:dyDescent="0.25"/>
    <row r="95" spans="2:14" ht="27.95" customHeight="1" x14ac:dyDescent="0.25">
      <c r="B95" s="45" t="s">
        <v>645</v>
      </c>
      <c r="K95" s="4"/>
      <c r="L95" s="4"/>
    </row>
    <row r="96" spans="2:14" ht="27.95" customHeight="1" x14ac:dyDescent="0.25">
      <c r="B96" s="2" t="s">
        <v>38</v>
      </c>
      <c r="C96" s="2" t="s">
        <v>29</v>
      </c>
      <c r="D96" s="66" t="s">
        <v>49</v>
      </c>
      <c r="E96" s="2" t="s">
        <v>1053</v>
      </c>
      <c r="F96" s="66" t="s">
        <v>1054</v>
      </c>
      <c r="G96" s="66" t="s">
        <v>1055</v>
      </c>
      <c r="H96" s="66" t="s">
        <v>1056</v>
      </c>
      <c r="I96" s="2" t="s">
        <v>45</v>
      </c>
      <c r="J96" s="2" t="s">
        <v>46</v>
      </c>
      <c r="K96" s="2" t="s">
        <v>47</v>
      </c>
      <c r="L96" s="2" t="s">
        <v>48</v>
      </c>
      <c r="M96" s="2" t="s">
        <v>1070</v>
      </c>
      <c r="N96" s="2" t="s">
        <v>20</v>
      </c>
    </row>
    <row r="97" spans="2:14" ht="27.95" customHeight="1" x14ac:dyDescent="0.25">
      <c r="B97" s="2" t="s">
        <v>109</v>
      </c>
      <c r="C97" s="2" t="s">
        <v>52</v>
      </c>
      <c r="D97" s="66" t="s">
        <v>1052</v>
      </c>
      <c r="F97" s="66"/>
      <c r="G97" s="66"/>
      <c r="H97" s="66"/>
      <c r="I97" s="2" t="s">
        <v>82</v>
      </c>
      <c r="J97" s="2" t="s">
        <v>9</v>
      </c>
      <c r="K97" s="2" t="s">
        <v>61</v>
      </c>
      <c r="L97" s="2" t="s">
        <v>5</v>
      </c>
      <c r="N97" s="3"/>
    </row>
    <row r="98" spans="2:14" ht="27.95" customHeight="1" x14ac:dyDescent="0.25">
      <c r="B98" s="2" t="s">
        <v>802</v>
      </c>
      <c r="C98" s="2" t="s">
        <v>797</v>
      </c>
      <c r="D98" s="66" t="s">
        <v>244</v>
      </c>
      <c r="F98" s="66"/>
      <c r="G98" s="66"/>
      <c r="H98" s="66"/>
      <c r="I98" s="48" t="s">
        <v>245</v>
      </c>
      <c r="J98" s="2" t="s">
        <v>332</v>
      </c>
      <c r="K98" s="2" t="s">
        <v>84</v>
      </c>
      <c r="L98" s="2" t="s">
        <v>56</v>
      </c>
      <c r="N98" s="3"/>
    </row>
    <row r="99" spans="2:14" ht="27.95" customHeight="1" x14ac:dyDescent="0.25">
      <c r="B99" s="2" t="s">
        <v>826</v>
      </c>
      <c r="C99" s="2" t="s">
        <v>825</v>
      </c>
      <c r="D99" s="66"/>
      <c r="F99" s="66"/>
      <c r="G99" s="66"/>
      <c r="H99" s="66"/>
      <c r="I99" s="48" t="s">
        <v>5</v>
      </c>
      <c r="J99" s="2" t="s">
        <v>24</v>
      </c>
      <c r="K99" s="2" t="s">
        <v>6</v>
      </c>
      <c r="N99" s="3" t="s">
        <v>827</v>
      </c>
    </row>
    <row r="100" spans="2:14" ht="27.95" customHeight="1" x14ac:dyDescent="0.25">
      <c r="B100" s="2" t="s">
        <v>108</v>
      </c>
      <c r="C100" s="2" t="s">
        <v>52</v>
      </c>
      <c r="D100" s="66" t="s">
        <v>58</v>
      </c>
      <c r="F100" s="66"/>
      <c r="G100" s="66"/>
      <c r="H100" s="66"/>
      <c r="I100" s="2" t="s">
        <v>55</v>
      </c>
      <c r="J100" s="2" t="s">
        <v>5</v>
      </c>
      <c r="K100" s="2" t="s">
        <v>57</v>
      </c>
      <c r="L100" s="2" t="s">
        <v>9</v>
      </c>
      <c r="N100" s="3"/>
    </row>
    <row r="101" spans="2:14" ht="27.95" customHeight="1" x14ac:dyDescent="0.25">
      <c r="B101" s="2" t="s">
        <v>243</v>
      </c>
      <c r="C101" s="2" t="s">
        <v>239</v>
      </c>
      <c r="D101" s="66" t="s">
        <v>244</v>
      </c>
      <c r="F101" s="66"/>
      <c r="G101" s="66"/>
      <c r="H101" s="66"/>
      <c r="I101" s="2" t="s">
        <v>245</v>
      </c>
      <c r="J101" s="2" t="s">
        <v>5</v>
      </c>
      <c r="K101" s="2" t="s">
        <v>84</v>
      </c>
      <c r="L101" s="2" t="s">
        <v>246</v>
      </c>
      <c r="N101" s="3"/>
    </row>
    <row r="102" spans="2:14" ht="27.95" customHeight="1" x14ac:dyDescent="0.25">
      <c r="B102" s="2" t="s">
        <v>250</v>
      </c>
      <c r="C102" s="2" t="s">
        <v>248</v>
      </c>
      <c r="D102" s="66" t="s">
        <v>58</v>
      </c>
      <c r="F102" s="66"/>
      <c r="G102" s="66"/>
      <c r="H102" s="66"/>
      <c r="I102" s="2" t="s">
        <v>55</v>
      </c>
      <c r="J102" s="2" t="s">
        <v>5</v>
      </c>
      <c r="K102" s="2" t="s">
        <v>57</v>
      </c>
      <c r="L102" s="2" t="s">
        <v>6</v>
      </c>
      <c r="N102" s="3"/>
    </row>
    <row r="103" spans="2:14" ht="27.95" customHeight="1" x14ac:dyDescent="0.25">
      <c r="B103" s="2" t="s">
        <v>80</v>
      </c>
      <c r="C103" s="2" t="s">
        <v>78</v>
      </c>
      <c r="D103" s="66" t="s">
        <v>58</v>
      </c>
      <c r="F103" s="66"/>
      <c r="G103" s="66"/>
      <c r="H103" s="66"/>
      <c r="I103" s="2" t="s">
        <v>55</v>
      </c>
      <c r="J103" s="2" t="s">
        <v>5</v>
      </c>
      <c r="K103" s="2" t="s">
        <v>57</v>
      </c>
      <c r="L103" s="2" t="s">
        <v>6</v>
      </c>
      <c r="N103" s="3"/>
    </row>
    <row r="104" spans="2:14" ht="27.95" customHeight="1" x14ac:dyDescent="0.25">
      <c r="B104" s="2" t="s">
        <v>241</v>
      </c>
      <c r="C104" s="2" t="s">
        <v>239</v>
      </c>
      <c r="D104" s="66" t="s">
        <v>247</v>
      </c>
      <c r="F104" s="66"/>
      <c r="G104" s="66"/>
      <c r="H104" s="66"/>
      <c r="I104" s="2" t="s">
        <v>5</v>
      </c>
      <c r="J104" s="2" t="s">
        <v>105</v>
      </c>
      <c r="K104" s="2" t="s">
        <v>56</v>
      </c>
      <c r="N104" s="3"/>
    </row>
    <row r="105" spans="2:14" ht="27.95" customHeight="1" x14ac:dyDescent="0.25">
      <c r="B105" s="2" t="s">
        <v>44</v>
      </c>
      <c r="C105" s="2" t="s">
        <v>52</v>
      </c>
      <c r="D105" s="66" t="s">
        <v>50</v>
      </c>
      <c r="F105" s="66"/>
      <c r="G105" s="66"/>
      <c r="H105" s="66"/>
      <c r="I105" s="2" t="s">
        <v>14</v>
      </c>
      <c r="J105" s="2" t="s">
        <v>6</v>
      </c>
      <c r="K105" s="2" t="s">
        <v>34</v>
      </c>
      <c r="L105" s="2" t="s">
        <v>5</v>
      </c>
      <c r="N105" s="3"/>
    </row>
    <row r="106" spans="2:14" s="66" customFormat="1" ht="27.95" customHeight="1" x14ac:dyDescent="0.25">
      <c r="B106" s="66" t="s">
        <v>1067</v>
      </c>
      <c r="C106" s="66" t="s">
        <v>789</v>
      </c>
      <c r="D106" s="66" t="s">
        <v>258</v>
      </c>
      <c r="E106" s="66" t="s">
        <v>567</v>
      </c>
      <c r="F106" s="66" t="s">
        <v>1068</v>
      </c>
      <c r="G106" s="66" t="s">
        <v>1066</v>
      </c>
      <c r="H106" s="66" t="s">
        <v>1069</v>
      </c>
      <c r="I106" s="66" t="s">
        <v>82</v>
      </c>
      <c r="J106" s="66" t="s">
        <v>19</v>
      </c>
      <c r="K106" s="66" t="s">
        <v>61</v>
      </c>
      <c r="L106" s="66" t="s">
        <v>5</v>
      </c>
      <c r="M106" s="66" t="s">
        <v>1071</v>
      </c>
      <c r="N106" s="3"/>
    </row>
    <row r="107" spans="2:14" ht="27.95" customHeight="1" x14ac:dyDescent="0.25">
      <c r="B107" s="2" t="s">
        <v>791</v>
      </c>
      <c r="C107" s="2" t="s">
        <v>789</v>
      </c>
      <c r="D107" s="66" t="s">
        <v>792</v>
      </c>
      <c r="E107" s="2" t="s">
        <v>567</v>
      </c>
      <c r="F107" s="66" t="s">
        <v>1072</v>
      </c>
      <c r="G107" s="66" t="s">
        <v>1073</v>
      </c>
      <c r="H107" s="66" t="s">
        <v>1074</v>
      </c>
      <c r="I107" s="48" t="s">
        <v>71</v>
      </c>
      <c r="J107" s="2" t="s">
        <v>5</v>
      </c>
      <c r="K107" s="2" t="s">
        <v>72</v>
      </c>
      <c r="L107" s="2" t="s">
        <v>6</v>
      </c>
      <c r="N107" s="3"/>
    </row>
    <row r="108" spans="2:14" ht="27.95" customHeight="1" x14ac:dyDescent="0.25">
      <c r="B108" s="2" t="s">
        <v>606</v>
      </c>
      <c r="C108" s="2" t="s">
        <v>604</v>
      </c>
      <c r="D108" s="66" t="s">
        <v>244</v>
      </c>
      <c r="F108" s="66"/>
      <c r="G108" s="66"/>
      <c r="H108" s="66"/>
      <c r="I108" s="48" t="s">
        <v>245</v>
      </c>
      <c r="J108" s="2" t="s">
        <v>328</v>
      </c>
      <c r="K108" s="2" t="s">
        <v>84</v>
      </c>
      <c r="L108" s="2" t="s">
        <v>56</v>
      </c>
      <c r="N108" s="3"/>
    </row>
    <row r="109" spans="2:14" ht="27.95" customHeight="1" x14ac:dyDescent="0.25">
      <c r="B109" s="2" t="s">
        <v>548</v>
      </c>
      <c r="C109" s="2" t="s">
        <v>539</v>
      </c>
      <c r="D109" s="66" t="s">
        <v>549</v>
      </c>
      <c r="F109" s="66"/>
      <c r="G109" s="66"/>
      <c r="H109" s="66"/>
      <c r="I109" s="2" t="s">
        <v>335</v>
      </c>
      <c r="J109" s="2" t="s">
        <v>34</v>
      </c>
      <c r="K109" s="2" t="s">
        <v>6</v>
      </c>
      <c r="M109" s="2" t="s">
        <v>567</v>
      </c>
      <c r="N109" s="3"/>
    </row>
    <row r="110" spans="2:14" ht="27.95" customHeight="1" x14ac:dyDescent="0.25">
      <c r="B110" s="2" t="s">
        <v>770</v>
      </c>
      <c r="C110" s="2" t="s">
        <v>698</v>
      </c>
      <c r="D110" s="66"/>
      <c r="F110" s="66"/>
      <c r="G110" s="66"/>
      <c r="H110" s="66"/>
      <c r="I110" s="48" t="s">
        <v>5</v>
      </c>
      <c r="J110" s="2" t="s">
        <v>105</v>
      </c>
      <c r="K110" s="2" t="s">
        <v>6</v>
      </c>
      <c r="N110" s="3"/>
    </row>
    <row r="111" spans="2:14" ht="27.95" customHeight="1" x14ac:dyDescent="0.25">
      <c r="B111" s="2" t="s">
        <v>256</v>
      </c>
      <c r="C111" s="2" t="s">
        <v>254</v>
      </c>
      <c r="D111" s="66" t="s">
        <v>1052</v>
      </c>
      <c r="F111" s="66"/>
      <c r="G111" s="66"/>
      <c r="H111" s="66"/>
      <c r="I111" s="2" t="s">
        <v>82</v>
      </c>
      <c r="J111" s="2" t="s">
        <v>5</v>
      </c>
      <c r="K111" s="2" t="s">
        <v>61</v>
      </c>
      <c r="L111" s="2" t="s">
        <v>19</v>
      </c>
      <c r="N111" s="3" t="s">
        <v>257</v>
      </c>
    </row>
    <row r="112" spans="2:14" s="66" customFormat="1" ht="27.95" customHeight="1" x14ac:dyDescent="0.25">
      <c r="B112" s="66" t="s">
        <v>1078</v>
      </c>
      <c r="C112" s="66" t="s">
        <v>99</v>
      </c>
      <c r="D112" s="66" t="s">
        <v>792</v>
      </c>
      <c r="E112" s="66" t="s">
        <v>567</v>
      </c>
      <c r="F112" s="66" t="s">
        <v>1068</v>
      </c>
      <c r="G112" s="66" t="s">
        <v>1079</v>
      </c>
      <c r="H112" s="66" t="s">
        <v>1069</v>
      </c>
      <c r="I112" s="66" t="s">
        <v>71</v>
      </c>
      <c r="J112" s="66" t="s">
        <v>246</v>
      </c>
      <c r="K112" s="66" t="s">
        <v>72</v>
      </c>
      <c r="L112" s="66" t="s">
        <v>5</v>
      </c>
      <c r="M112" s="66" t="s">
        <v>333</v>
      </c>
      <c r="N112" s="3"/>
    </row>
    <row r="113" spans="2:14" ht="27.95" customHeight="1" x14ac:dyDescent="0.25">
      <c r="B113" s="2" t="s">
        <v>73</v>
      </c>
      <c r="C113" s="2" t="s">
        <v>54</v>
      </c>
      <c r="D113" s="66" t="s">
        <v>1062</v>
      </c>
      <c r="F113" s="66"/>
      <c r="G113" s="66"/>
      <c r="H113" s="66"/>
      <c r="I113" s="2" t="s">
        <v>82</v>
      </c>
      <c r="J113" s="2" t="s">
        <v>5</v>
      </c>
      <c r="K113" s="2" t="s">
        <v>61</v>
      </c>
      <c r="L113" s="2" t="s">
        <v>9</v>
      </c>
      <c r="N113" s="3"/>
    </row>
    <row r="114" spans="2:14" ht="27.95" customHeight="1" x14ac:dyDescent="0.25">
      <c r="B114" s="2" t="s">
        <v>551</v>
      </c>
      <c r="C114" s="2" t="s">
        <v>539</v>
      </c>
      <c r="D114" s="66"/>
      <c r="F114" s="66"/>
      <c r="G114" s="66"/>
      <c r="H114" s="66"/>
      <c r="I114" s="2" t="s">
        <v>296</v>
      </c>
      <c r="J114" s="2" t="s">
        <v>24</v>
      </c>
      <c r="K114" s="2" t="s">
        <v>19</v>
      </c>
      <c r="M114" s="2" t="s">
        <v>567</v>
      </c>
      <c r="N114" s="3" t="s">
        <v>552</v>
      </c>
    </row>
    <row r="115" spans="2:14" ht="27.95" customHeight="1" x14ac:dyDescent="0.25">
      <c r="B115" s="2" t="s">
        <v>76</v>
      </c>
      <c r="C115" s="2" t="s">
        <v>75</v>
      </c>
      <c r="D115" s="66" t="s">
        <v>58</v>
      </c>
      <c r="F115" s="66"/>
      <c r="G115" s="66"/>
      <c r="H115" s="66"/>
      <c r="I115" s="2" t="s">
        <v>55</v>
      </c>
      <c r="J115" s="2" t="s">
        <v>5</v>
      </c>
      <c r="K115" s="2" t="s">
        <v>57</v>
      </c>
      <c r="L115" s="2" t="s">
        <v>9</v>
      </c>
      <c r="N115" s="3"/>
    </row>
    <row r="116" spans="2:14" ht="27.95" customHeight="1" x14ac:dyDescent="0.25">
      <c r="B116" s="2" t="s">
        <v>601</v>
      </c>
      <c r="C116" s="2" t="s">
        <v>595</v>
      </c>
      <c r="D116" s="66"/>
      <c r="F116" s="66"/>
      <c r="G116" s="66"/>
      <c r="H116" s="66"/>
      <c r="I116" s="48" t="s">
        <v>332</v>
      </c>
      <c r="J116" s="2" t="s">
        <v>24</v>
      </c>
      <c r="K116" s="2" t="s">
        <v>6</v>
      </c>
      <c r="N116" s="3"/>
    </row>
    <row r="117" spans="2:14" ht="27.95" customHeight="1" x14ac:dyDescent="0.25">
      <c r="B117" s="2" t="s">
        <v>111</v>
      </c>
      <c r="C117" s="2" t="s">
        <v>99</v>
      </c>
      <c r="D117" s="66"/>
      <c r="F117" s="66"/>
      <c r="G117" s="66"/>
      <c r="H117" s="66"/>
      <c r="I117" s="2" t="s">
        <v>82</v>
      </c>
      <c r="J117" s="2" t="s">
        <v>5</v>
      </c>
      <c r="K117" s="2" t="s">
        <v>61</v>
      </c>
      <c r="L117" s="2" t="s">
        <v>19</v>
      </c>
      <c r="N117" s="3"/>
    </row>
    <row r="118" spans="2:14" ht="27.95" customHeight="1" x14ac:dyDescent="0.25">
      <c r="B118" s="2" t="s">
        <v>800</v>
      </c>
      <c r="C118" s="2" t="s">
        <v>797</v>
      </c>
      <c r="D118" s="66" t="s">
        <v>1060</v>
      </c>
      <c r="F118" s="66"/>
      <c r="G118" s="66"/>
      <c r="H118" s="66"/>
      <c r="I118" s="48" t="s">
        <v>56</v>
      </c>
      <c r="J118" s="2" t="s">
        <v>84</v>
      </c>
      <c r="K118" s="2" t="s">
        <v>332</v>
      </c>
      <c r="N118" s="3" t="s">
        <v>801</v>
      </c>
    </row>
    <row r="119" spans="2:14" ht="27.95" customHeight="1" x14ac:dyDescent="0.25">
      <c r="B119" s="2" t="s">
        <v>242</v>
      </c>
      <c r="C119" s="2" t="s">
        <v>239</v>
      </c>
      <c r="D119" s="66" t="s">
        <v>792</v>
      </c>
      <c r="F119" s="66"/>
      <c r="G119" s="66"/>
      <c r="H119" s="66"/>
      <c r="I119" s="2" t="s">
        <v>5</v>
      </c>
      <c r="J119" s="2" t="s">
        <v>72</v>
      </c>
      <c r="K119" s="2" t="s">
        <v>246</v>
      </c>
      <c r="N119" s="3"/>
    </row>
    <row r="120" spans="2:14" ht="27.95" customHeight="1" x14ac:dyDescent="0.25">
      <c r="B120" s="2" t="s">
        <v>1057</v>
      </c>
      <c r="C120" s="2" t="s">
        <v>1058</v>
      </c>
      <c r="D120" s="66" t="s">
        <v>58</v>
      </c>
      <c r="E120" s="2" t="s">
        <v>1065</v>
      </c>
      <c r="F120" s="66" t="s">
        <v>1064</v>
      </c>
      <c r="G120" s="66" t="s">
        <v>1066</v>
      </c>
      <c r="H120" s="66" t="s">
        <v>567</v>
      </c>
      <c r="I120" s="48" t="s">
        <v>55</v>
      </c>
      <c r="J120" s="2" t="s">
        <v>56</v>
      </c>
      <c r="K120" s="2" t="s">
        <v>57</v>
      </c>
      <c r="L120" s="2" t="s">
        <v>332</v>
      </c>
      <c r="N120" s="3"/>
    </row>
    <row r="121" spans="2:14" ht="27.95" customHeight="1" x14ac:dyDescent="0.25">
      <c r="B121" s="2" t="s">
        <v>103</v>
      </c>
      <c r="C121" s="2" t="s">
        <v>52</v>
      </c>
      <c r="D121" s="66" t="s">
        <v>1063</v>
      </c>
      <c r="F121" s="66"/>
      <c r="G121" s="66"/>
      <c r="H121" s="66"/>
      <c r="I121" s="2" t="s">
        <v>5</v>
      </c>
      <c r="J121" s="2" t="s">
        <v>105</v>
      </c>
      <c r="K121" s="2" t="s">
        <v>19</v>
      </c>
      <c r="N121" s="3"/>
    </row>
    <row r="122" spans="2:14" ht="27.95" customHeight="1" x14ac:dyDescent="0.25">
      <c r="B122" s="2" t="s">
        <v>255</v>
      </c>
      <c r="C122" s="2" t="s">
        <v>254</v>
      </c>
      <c r="D122" s="66" t="s">
        <v>741</v>
      </c>
      <c r="F122" s="66"/>
      <c r="G122" s="66"/>
      <c r="H122" s="66"/>
      <c r="I122" s="2" t="s">
        <v>245</v>
      </c>
      <c r="J122" s="2" t="s">
        <v>5</v>
      </c>
      <c r="K122" s="2" t="s">
        <v>84</v>
      </c>
      <c r="L122" s="2" t="s">
        <v>9</v>
      </c>
      <c r="N122" s="3"/>
    </row>
    <row r="123" spans="2:14" ht="27.95" customHeight="1" x14ac:dyDescent="0.25">
      <c r="B123" s="2" t="s">
        <v>561</v>
      </c>
      <c r="C123" s="2" t="s">
        <v>539</v>
      </c>
      <c r="D123" s="66"/>
      <c r="F123" s="66"/>
      <c r="G123" s="66"/>
      <c r="H123" s="66"/>
      <c r="I123" s="2" t="s">
        <v>296</v>
      </c>
      <c r="J123" s="2" t="s">
        <v>34</v>
      </c>
      <c r="K123" s="2" t="s">
        <v>56</v>
      </c>
      <c r="M123" s="2" t="s">
        <v>567</v>
      </c>
      <c r="N123" s="3" t="s">
        <v>563</v>
      </c>
    </row>
    <row r="124" spans="2:14" ht="27.95" customHeight="1" x14ac:dyDescent="0.25">
      <c r="B124" s="2" t="s">
        <v>728</v>
      </c>
      <c r="C124" s="2" t="s">
        <v>726</v>
      </c>
      <c r="D124" s="66" t="s">
        <v>58</v>
      </c>
      <c r="F124" s="66"/>
      <c r="G124" s="66"/>
      <c r="H124" s="66"/>
      <c r="I124" s="48" t="s">
        <v>55</v>
      </c>
      <c r="J124" s="2" t="s">
        <v>332</v>
      </c>
      <c r="K124" s="2" t="s">
        <v>57</v>
      </c>
      <c r="L124" s="2" t="s">
        <v>246</v>
      </c>
      <c r="M124" s="2" t="s">
        <v>567</v>
      </c>
      <c r="N124" s="3" t="s">
        <v>729</v>
      </c>
    </row>
    <row r="125" spans="2:14" ht="27.95" customHeight="1" x14ac:dyDescent="0.25">
      <c r="B125" s="2" t="s">
        <v>106</v>
      </c>
      <c r="C125" s="2" t="s">
        <v>52</v>
      </c>
      <c r="D125" s="66" t="s">
        <v>107</v>
      </c>
      <c r="F125" s="66"/>
      <c r="G125" s="66"/>
      <c r="H125" s="66"/>
      <c r="I125" s="2" t="s">
        <v>5</v>
      </c>
      <c r="J125" s="2" t="s">
        <v>24</v>
      </c>
      <c r="K125" s="2" t="s">
        <v>9</v>
      </c>
      <c r="N125" s="3"/>
    </row>
    <row r="126" spans="2:14" ht="27.95" customHeight="1" x14ac:dyDescent="0.25">
      <c r="B126" s="2" t="s">
        <v>327</v>
      </c>
      <c r="C126" s="2" t="s">
        <v>326</v>
      </c>
      <c r="D126" s="66" t="s">
        <v>792</v>
      </c>
      <c r="F126" s="66"/>
      <c r="G126" s="66"/>
      <c r="H126" s="66"/>
      <c r="I126" s="2" t="s">
        <v>71</v>
      </c>
      <c r="J126" s="2" t="s">
        <v>328</v>
      </c>
      <c r="K126" s="2" t="s">
        <v>72</v>
      </c>
      <c r="L126" s="2" t="s">
        <v>56</v>
      </c>
      <c r="N126" s="3" t="s">
        <v>365</v>
      </c>
    </row>
    <row r="127" spans="2:14" ht="27.95" customHeight="1" x14ac:dyDescent="0.25">
      <c r="B127" s="2" t="s">
        <v>799</v>
      </c>
      <c r="C127" s="2" t="s">
        <v>797</v>
      </c>
      <c r="D127" s="66" t="s">
        <v>1061</v>
      </c>
      <c r="F127" s="66"/>
      <c r="G127" s="66"/>
      <c r="H127" s="66"/>
      <c r="I127" s="48" t="s">
        <v>118</v>
      </c>
      <c r="J127" s="2" t="s">
        <v>332</v>
      </c>
      <c r="K127" s="2" t="s">
        <v>119</v>
      </c>
      <c r="L127" s="2" t="s">
        <v>6</v>
      </c>
      <c r="N127" s="3"/>
    </row>
    <row r="128" spans="2:14" ht="27.95" customHeight="1" x14ac:dyDescent="0.25">
      <c r="B128" s="2" t="s">
        <v>117</v>
      </c>
      <c r="C128" s="2" t="s">
        <v>116</v>
      </c>
      <c r="D128" s="66" t="s">
        <v>1063</v>
      </c>
      <c r="F128" s="66"/>
      <c r="G128" s="66"/>
      <c r="H128" s="66"/>
      <c r="I128" s="2" t="s">
        <v>118</v>
      </c>
      <c r="J128" s="2" t="s">
        <v>5</v>
      </c>
      <c r="K128" s="2" t="s">
        <v>119</v>
      </c>
      <c r="L128" s="2" t="s">
        <v>56</v>
      </c>
      <c r="N128" s="3"/>
    </row>
    <row r="129" spans="2:15" ht="27.95" customHeight="1" x14ac:dyDescent="0.25">
      <c r="B129" s="2" t="s">
        <v>53</v>
      </c>
      <c r="C129" s="2" t="s">
        <v>52</v>
      </c>
      <c r="D129" s="66" t="s">
        <v>58</v>
      </c>
      <c r="F129" s="66"/>
      <c r="G129" s="66"/>
      <c r="H129" s="66"/>
      <c r="I129" s="2" t="s">
        <v>55</v>
      </c>
      <c r="J129" s="2" t="s">
        <v>56</v>
      </c>
      <c r="K129" s="2" t="s">
        <v>57</v>
      </c>
      <c r="L129" s="2" t="s">
        <v>5</v>
      </c>
      <c r="N129" s="3"/>
    </row>
    <row r="130" spans="2:15" ht="27.95" customHeight="1" x14ac:dyDescent="0.25">
      <c r="B130" s="2" t="s">
        <v>734</v>
      </c>
      <c r="C130" s="2" t="s">
        <v>733</v>
      </c>
      <c r="D130" s="66" t="s">
        <v>253</v>
      </c>
      <c r="F130" s="66"/>
      <c r="G130" s="66"/>
      <c r="H130" s="66"/>
      <c r="I130" s="48" t="s">
        <v>14</v>
      </c>
      <c r="J130" s="2" t="s">
        <v>337</v>
      </c>
      <c r="K130" s="2" t="s">
        <v>34</v>
      </c>
      <c r="L130" s="2" t="s">
        <v>56</v>
      </c>
      <c r="N130" s="3" t="s">
        <v>365</v>
      </c>
    </row>
    <row r="131" spans="2:15" ht="27.95" customHeight="1" x14ac:dyDescent="0.25">
      <c r="B131" s="2" t="s">
        <v>782</v>
      </c>
      <c r="C131" s="2" t="s">
        <v>665</v>
      </c>
      <c r="D131" s="66"/>
      <c r="F131" s="66"/>
      <c r="G131" s="66"/>
      <c r="H131" s="66"/>
      <c r="I131" s="48" t="s">
        <v>14</v>
      </c>
      <c r="J131" s="2" t="s">
        <v>328</v>
      </c>
      <c r="K131" s="2" t="s">
        <v>34</v>
      </c>
      <c r="L131" s="2" t="s">
        <v>19</v>
      </c>
      <c r="N131" s="3"/>
    </row>
    <row r="132" spans="2:15" ht="27.95" customHeight="1" x14ac:dyDescent="0.25">
      <c r="B132" s="2" t="s">
        <v>597</v>
      </c>
      <c r="C132" s="2" t="s">
        <v>595</v>
      </c>
      <c r="D132" s="66"/>
      <c r="F132" s="66"/>
      <c r="G132" s="66"/>
      <c r="H132" s="66"/>
      <c r="I132" s="48" t="s">
        <v>332</v>
      </c>
      <c r="J132" s="2" t="s">
        <v>105</v>
      </c>
      <c r="K132" s="2" t="s">
        <v>6</v>
      </c>
      <c r="M132" s="2" t="s">
        <v>598</v>
      </c>
      <c r="N132" s="3" t="s">
        <v>603</v>
      </c>
    </row>
    <row r="133" spans="2:15" s="3" customFormat="1" ht="27.95" customHeight="1" x14ac:dyDescent="0.25">
      <c r="B133" s="2" t="s">
        <v>92</v>
      </c>
      <c r="C133" s="2" t="s">
        <v>74</v>
      </c>
      <c r="D133" s="66" t="s">
        <v>58</v>
      </c>
      <c r="E133" s="2"/>
      <c r="F133" s="66"/>
      <c r="G133" s="66"/>
      <c r="H133" s="66"/>
      <c r="I133" s="66" t="s">
        <v>55</v>
      </c>
      <c r="J133" s="2" t="s">
        <v>9</v>
      </c>
      <c r="K133" s="2" t="s">
        <v>57</v>
      </c>
      <c r="L133" s="2" t="s">
        <v>5</v>
      </c>
      <c r="M133" s="2"/>
      <c r="O133" s="2"/>
    </row>
    <row r="134" spans="2:15" s="3" customFormat="1" ht="27.95" customHeight="1" x14ac:dyDescent="0.25">
      <c r="B134" s="2" t="s">
        <v>772</v>
      </c>
      <c r="C134" s="2" t="s">
        <v>771</v>
      </c>
      <c r="D134" s="66"/>
      <c r="E134" s="2"/>
      <c r="F134" s="66"/>
      <c r="G134" s="66"/>
      <c r="H134" s="66"/>
      <c r="I134" s="48" t="s">
        <v>82</v>
      </c>
      <c r="J134" s="2" t="s">
        <v>5</v>
      </c>
      <c r="K134" s="2" t="s">
        <v>61</v>
      </c>
      <c r="L134" s="2" t="s">
        <v>9</v>
      </c>
      <c r="M134" s="2"/>
      <c r="O134" s="2"/>
    </row>
    <row r="135" spans="2:15" s="3" customFormat="1" ht="27.95" customHeight="1" x14ac:dyDescent="0.25">
      <c r="B135" s="2" t="s">
        <v>251</v>
      </c>
      <c r="C135" s="2" t="s">
        <v>248</v>
      </c>
      <c r="D135" s="66" t="s">
        <v>1063</v>
      </c>
      <c r="E135" s="2"/>
      <c r="F135" s="66"/>
      <c r="G135" s="66"/>
      <c r="H135" s="66"/>
      <c r="I135" s="66" t="s">
        <v>118</v>
      </c>
      <c r="J135" s="2" t="s">
        <v>5</v>
      </c>
      <c r="K135" s="2" t="s">
        <v>119</v>
      </c>
      <c r="L135" s="2" t="s">
        <v>9</v>
      </c>
      <c r="M135" s="2"/>
      <c r="O135" s="2"/>
    </row>
    <row r="136" spans="2:15" s="3" customFormat="1" ht="27.95" customHeight="1" x14ac:dyDescent="0.25">
      <c r="B136" s="2" t="s">
        <v>81</v>
      </c>
      <c r="C136" s="2" t="s">
        <v>78</v>
      </c>
      <c r="D136" s="66" t="s">
        <v>50</v>
      </c>
      <c r="E136" s="2"/>
      <c r="F136" s="66"/>
      <c r="G136" s="66"/>
      <c r="H136" s="66"/>
      <c r="I136" s="66" t="s">
        <v>14</v>
      </c>
      <c r="J136" s="2" t="s">
        <v>246</v>
      </c>
      <c r="K136" s="2" t="s">
        <v>34</v>
      </c>
      <c r="L136" s="2" t="s">
        <v>5</v>
      </c>
      <c r="M136" s="2"/>
      <c r="O136" s="2"/>
    </row>
    <row r="137" spans="2:15" s="3" customFormat="1" ht="27.95" customHeight="1" x14ac:dyDescent="0.25">
      <c r="B137" s="2" t="s">
        <v>740</v>
      </c>
      <c r="C137" s="2" t="s">
        <v>731</v>
      </c>
      <c r="D137" s="66" t="s">
        <v>741</v>
      </c>
      <c r="E137" s="2"/>
      <c r="F137" s="66"/>
      <c r="G137" s="66"/>
      <c r="H137" s="66"/>
      <c r="I137" s="48" t="s">
        <v>245</v>
      </c>
      <c r="J137" s="2" t="s">
        <v>328</v>
      </c>
      <c r="K137" s="2" t="s">
        <v>84</v>
      </c>
      <c r="L137" s="2" t="s">
        <v>9</v>
      </c>
      <c r="M137" s="2"/>
      <c r="O137" s="2"/>
    </row>
    <row r="138" spans="2:15" s="3" customFormat="1" ht="27.95" customHeight="1" x14ac:dyDescent="0.25">
      <c r="B138" s="2" t="s">
        <v>560</v>
      </c>
      <c r="C138" s="2" t="s">
        <v>539</v>
      </c>
      <c r="D138" s="66" t="s">
        <v>253</v>
      </c>
      <c r="E138" s="2"/>
      <c r="F138" s="66"/>
      <c r="G138" s="66"/>
      <c r="H138" s="66"/>
      <c r="I138" s="66" t="s">
        <v>14</v>
      </c>
      <c r="J138" s="2" t="s">
        <v>296</v>
      </c>
      <c r="K138" s="2" t="s">
        <v>34</v>
      </c>
      <c r="L138" s="2" t="s">
        <v>19</v>
      </c>
      <c r="M138" s="2" t="s">
        <v>567</v>
      </c>
      <c r="O138" s="2"/>
    </row>
    <row r="139" spans="2:15" s="3" customFormat="1" ht="27.95" customHeight="1" x14ac:dyDescent="0.25">
      <c r="B139" s="2" t="s">
        <v>252</v>
      </c>
      <c r="C139" s="2" t="s">
        <v>248</v>
      </c>
      <c r="D139" s="66" t="s">
        <v>50</v>
      </c>
      <c r="E139" s="2"/>
      <c r="F139" s="66"/>
      <c r="G139" s="66"/>
      <c r="H139" s="66"/>
      <c r="I139" s="66" t="s">
        <v>14</v>
      </c>
      <c r="J139" s="2" t="s">
        <v>5</v>
      </c>
      <c r="K139" s="2" t="s">
        <v>34</v>
      </c>
      <c r="L139" s="2" t="s">
        <v>56</v>
      </c>
      <c r="M139" s="2"/>
      <c r="O139" s="2"/>
    </row>
    <row r="140" spans="2:15" s="3" customFormat="1" ht="27.95" customHeight="1" x14ac:dyDescent="0.25">
      <c r="B140" s="66" t="s">
        <v>725</v>
      </c>
      <c r="C140" s="66" t="s">
        <v>698</v>
      </c>
      <c r="D140" s="66" t="s">
        <v>253</v>
      </c>
      <c r="E140" s="66"/>
      <c r="F140" s="66"/>
      <c r="G140" s="66"/>
      <c r="H140" s="66"/>
      <c r="I140" s="48" t="s">
        <v>14</v>
      </c>
      <c r="J140" s="66" t="s">
        <v>56</v>
      </c>
      <c r="K140" s="66" t="s">
        <v>34</v>
      </c>
      <c r="L140" s="66" t="s">
        <v>5</v>
      </c>
      <c r="M140" s="66"/>
      <c r="O140" s="66"/>
    </row>
    <row r="141" spans="2:15" s="3" customFormat="1" ht="27.95" customHeight="1" x14ac:dyDescent="0.25">
      <c r="B141" s="66" t="s">
        <v>70</v>
      </c>
      <c r="C141" s="66" t="s">
        <v>54</v>
      </c>
      <c r="D141" s="66" t="s">
        <v>792</v>
      </c>
      <c r="E141" s="66"/>
      <c r="F141" s="66"/>
      <c r="G141" s="66"/>
      <c r="H141" s="66"/>
      <c r="I141" s="66" t="s">
        <v>71</v>
      </c>
      <c r="J141" s="66" t="s">
        <v>5</v>
      </c>
      <c r="K141" s="66" t="s">
        <v>72</v>
      </c>
      <c r="L141" s="66" t="s">
        <v>9</v>
      </c>
      <c r="M141" s="66"/>
      <c r="O141" s="66"/>
    </row>
    <row r="142" spans="2:15" s="3" customFormat="1" ht="27.95" customHeight="1" x14ac:dyDescent="0.25">
      <c r="B142" s="66" t="s">
        <v>566</v>
      </c>
      <c r="C142" s="66" t="s">
        <v>564</v>
      </c>
      <c r="D142" s="66" t="s">
        <v>58</v>
      </c>
      <c r="E142" s="66"/>
      <c r="F142" s="66"/>
      <c r="G142" s="66"/>
      <c r="H142" s="66"/>
      <c r="I142" s="66" t="s">
        <v>55</v>
      </c>
      <c r="J142" s="66" t="s">
        <v>5</v>
      </c>
      <c r="K142" s="66" t="s">
        <v>57</v>
      </c>
      <c r="L142" s="66" t="s">
        <v>6</v>
      </c>
      <c r="M142" s="66" t="s">
        <v>567</v>
      </c>
      <c r="N142" s="3" t="s">
        <v>568</v>
      </c>
      <c r="O142" s="66"/>
    </row>
    <row r="143" spans="2:15" s="3" customFormat="1" ht="27.95" customHeight="1" x14ac:dyDescent="0.25">
      <c r="B143" s="66" t="s">
        <v>602</v>
      </c>
      <c r="C143" s="66" t="s">
        <v>595</v>
      </c>
      <c r="D143" s="66"/>
      <c r="E143" s="66"/>
      <c r="F143" s="66"/>
      <c r="G143" s="66"/>
      <c r="H143" s="66"/>
      <c r="I143" s="48" t="s">
        <v>332</v>
      </c>
      <c r="J143" s="66" t="s">
        <v>119</v>
      </c>
      <c r="K143" s="66" t="s">
        <v>246</v>
      </c>
      <c r="L143" s="66"/>
      <c r="M143" s="66"/>
      <c r="O143" s="66"/>
    </row>
    <row r="144" spans="2:15" s="3" customFormat="1" ht="27.95" customHeight="1" x14ac:dyDescent="0.25">
      <c r="B144" s="66" t="s">
        <v>855</v>
      </c>
      <c r="C144" s="66" t="s">
        <v>852</v>
      </c>
      <c r="D144" s="66" t="s">
        <v>1130</v>
      </c>
      <c r="E144" s="66"/>
      <c r="F144" s="66"/>
      <c r="G144" s="66"/>
      <c r="H144" s="66"/>
      <c r="I144" s="48" t="s">
        <v>82</v>
      </c>
      <c r="J144" s="66" t="s">
        <v>296</v>
      </c>
      <c r="K144" s="66" t="s">
        <v>61</v>
      </c>
      <c r="L144" s="66" t="s">
        <v>56</v>
      </c>
      <c r="M144" s="66"/>
      <c r="O144" s="66"/>
    </row>
    <row r="145" spans="2:15" s="3" customFormat="1" ht="27.95" customHeight="1" x14ac:dyDescent="0.25">
      <c r="B145" s="66" t="s">
        <v>550</v>
      </c>
      <c r="C145" s="66" t="s">
        <v>539</v>
      </c>
      <c r="D145" s="66" t="s">
        <v>253</v>
      </c>
      <c r="E145" s="66"/>
      <c r="F145" s="66"/>
      <c r="G145" s="66"/>
      <c r="H145" s="66"/>
      <c r="I145" s="66" t="s">
        <v>14</v>
      </c>
      <c r="J145" s="66" t="s">
        <v>296</v>
      </c>
      <c r="K145" s="66" t="s">
        <v>34</v>
      </c>
      <c r="L145" s="66" t="s">
        <v>19</v>
      </c>
      <c r="M145" s="66" t="s">
        <v>567</v>
      </c>
      <c r="O145" s="66"/>
    </row>
    <row r="146" spans="2:15" s="3" customFormat="1" ht="27.95" customHeight="1" x14ac:dyDescent="0.25">
      <c r="B146" s="66" t="s">
        <v>32</v>
      </c>
      <c r="C146" s="66" t="s">
        <v>54</v>
      </c>
      <c r="D146" s="66" t="s">
        <v>1052</v>
      </c>
      <c r="E146" s="66"/>
      <c r="F146" s="66"/>
      <c r="G146" s="66"/>
      <c r="H146" s="66"/>
      <c r="I146" s="66" t="s">
        <v>82</v>
      </c>
      <c r="J146" s="66" t="s">
        <v>9</v>
      </c>
      <c r="K146" s="66" t="s">
        <v>61</v>
      </c>
      <c r="L146" s="66" t="s">
        <v>5</v>
      </c>
      <c r="M146" s="66"/>
      <c r="O146" s="66"/>
    </row>
    <row r="147" spans="2:15" s="3" customFormat="1" ht="27.95" customHeight="1" x14ac:dyDescent="0.25">
      <c r="B147" s="66" t="s">
        <v>113</v>
      </c>
      <c r="C147" s="66" t="s">
        <v>114</v>
      </c>
      <c r="D147" s="66" t="s">
        <v>58</v>
      </c>
      <c r="E147" s="66"/>
      <c r="F147" s="66"/>
      <c r="G147" s="66"/>
      <c r="H147" s="66"/>
      <c r="I147" s="66" t="s">
        <v>55</v>
      </c>
      <c r="J147" s="66" t="s">
        <v>5</v>
      </c>
      <c r="K147" s="66" t="s">
        <v>57</v>
      </c>
      <c r="L147" s="66" t="s">
        <v>19</v>
      </c>
      <c r="M147" s="66"/>
      <c r="O147" s="66"/>
    </row>
    <row r="148" spans="2:15" s="3" customFormat="1" ht="27.95" customHeight="1" x14ac:dyDescent="0.25">
      <c r="B148" s="66" t="s">
        <v>1094</v>
      </c>
      <c r="C148" s="66" t="s">
        <v>1092</v>
      </c>
      <c r="D148" s="66" t="s">
        <v>1096</v>
      </c>
      <c r="E148" s="66" t="s">
        <v>1093</v>
      </c>
      <c r="F148" s="66" t="s">
        <v>128</v>
      </c>
      <c r="G148" s="66" t="s">
        <v>1095</v>
      </c>
      <c r="H148" s="66" t="s">
        <v>128</v>
      </c>
      <c r="I148" s="66" t="s">
        <v>245</v>
      </c>
      <c r="J148" s="66" t="s">
        <v>246</v>
      </c>
      <c r="K148" s="66" t="s">
        <v>84</v>
      </c>
      <c r="L148" s="66" t="s">
        <v>328</v>
      </c>
      <c r="M148" s="66"/>
      <c r="O148" s="66"/>
    </row>
    <row r="149" spans="2:15" s="3" customFormat="1" ht="27.95" customHeight="1" x14ac:dyDescent="0.25">
      <c r="B149" s="66" t="s">
        <v>1098</v>
      </c>
      <c r="C149" s="66" t="s">
        <v>1097</v>
      </c>
      <c r="D149" s="66" t="s">
        <v>1061</v>
      </c>
      <c r="E149" s="66" t="s">
        <v>1100</v>
      </c>
      <c r="F149" s="66" t="s">
        <v>128</v>
      </c>
      <c r="G149" s="66" t="s">
        <v>1101</v>
      </c>
      <c r="H149" s="66" t="s">
        <v>567</v>
      </c>
      <c r="I149" s="66" t="s">
        <v>118</v>
      </c>
      <c r="J149" s="66" t="s">
        <v>246</v>
      </c>
      <c r="K149" s="66" t="s">
        <v>119</v>
      </c>
      <c r="L149" s="66" t="s">
        <v>328</v>
      </c>
      <c r="M149" s="66"/>
      <c r="N149" s="3" t="s">
        <v>1099</v>
      </c>
      <c r="O149" s="66"/>
    </row>
    <row r="150" spans="2:15" s="3" customFormat="1" ht="27.95" customHeight="1" x14ac:dyDescent="0.25">
      <c r="B150" s="66" t="s">
        <v>1103</v>
      </c>
      <c r="C150" s="66" t="s">
        <v>1102</v>
      </c>
      <c r="D150" s="66" t="s">
        <v>253</v>
      </c>
      <c r="E150" s="66" t="s">
        <v>567</v>
      </c>
      <c r="F150" s="66" t="s">
        <v>128</v>
      </c>
      <c r="G150" s="66" t="s">
        <v>134</v>
      </c>
      <c r="H150" s="66" t="s">
        <v>134</v>
      </c>
      <c r="I150" s="66" t="s">
        <v>14</v>
      </c>
      <c r="J150" s="66" t="s">
        <v>5</v>
      </c>
      <c r="K150" s="66" t="s">
        <v>34</v>
      </c>
      <c r="L150" s="66" t="s">
        <v>246</v>
      </c>
      <c r="M150" s="66"/>
      <c r="O150" s="66"/>
    </row>
    <row r="151" spans="2:15" s="3" customFormat="1" ht="27.95" customHeight="1" x14ac:dyDescent="0.25">
      <c r="B151" s="66" t="s">
        <v>1129</v>
      </c>
      <c r="C151" s="66" t="s">
        <v>1128</v>
      </c>
      <c r="D151" s="66" t="s">
        <v>1052</v>
      </c>
      <c r="E151" s="66" t="s">
        <v>1100</v>
      </c>
      <c r="F151" s="66" t="s">
        <v>1068</v>
      </c>
      <c r="G151" s="66" t="s">
        <v>134</v>
      </c>
      <c r="H151" s="66" t="s">
        <v>124</v>
      </c>
      <c r="I151" s="66" t="s">
        <v>82</v>
      </c>
      <c r="J151" s="66" t="s">
        <v>5</v>
      </c>
      <c r="K151" s="66" t="s">
        <v>61</v>
      </c>
      <c r="L151" s="66" t="s">
        <v>56</v>
      </c>
      <c r="M151" s="66" t="s">
        <v>598</v>
      </c>
      <c r="O151" s="66"/>
    </row>
    <row r="152" spans="2:15" s="3" customFormat="1" ht="27.95" customHeight="1" x14ac:dyDescent="0.25">
      <c r="B152" s="66" t="s">
        <v>1131</v>
      </c>
      <c r="C152" s="66" t="s">
        <v>1128</v>
      </c>
      <c r="D152" s="66" t="s">
        <v>58</v>
      </c>
      <c r="E152" s="66" t="s">
        <v>1132</v>
      </c>
      <c r="F152" s="66" t="s">
        <v>128</v>
      </c>
      <c r="G152" s="66" t="s">
        <v>134</v>
      </c>
      <c r="H152" s="66" t="s">
        <v>134</v>
      </c>
      <c r="I152" s="66" t="s">
        <v>55</v>
      </c>
      <c r="J152" s="66" t="s">
        <v>6</v>
      </c>
      <c r="K152" s="66" t="s">
        <v>57</v>
      </c>
      <c r="L152" s="66" t="s">
        <v>5</v>
      </c>
      <c r="M152" s="66"/>
      <c r="O152" s="66"/>
    </row>
    <row r="153" spans="2:15" ht="27.95" customHeight="1" x14ac:dyDescent="0.25">
      <c r="B153" s="66" t="s">
        <v>268</v>
      </c>
      <c r="C153" s="66">
        <f>SUBTOTAL(103,tbPlanets[System])</f>
        <v>56</v>
      </c>
      <c r="D153" s="66"/>
      <c r="E153" s="66"/>
      <c r="F153" s="66"/>
      <c r="G153" s="66"/>
      <c r="H153" s="66"/>
      <c r="I153" s="66"/>
      <c r="J153" s="66"/>
      <c r="K153" s="66"/>
      <c r="L153" s="66"/>
      <c r="M153" s="66"/>
      <c r="N153" s="3"/>
      <c r="O153" s="3"/>
    </row>
    <row r="154" spans="2:15" ht="27.95" customHeight="1" x14ac:dyDescent="0.25"/>
    <row r="155" spans="2:15" ht="27.95" customHeight="1" x14ac:dyDescent="0.25">
      <c r="B155" s="3" t="s">
        <v>37</v>
      </c>
      <c r="C155" s="3" t="s">
        <v>28</v>
      </c>
      <c r="D155" s="3" t="s">
        <v>29</v>
      </c>
      <c r="E155" s="3" t="s">
        <v>40</v>
      </c>
      <c r="F155" s="3" t="s">
        <v>42</v>
      </c>
      <c r="G155" s="3" t="s">
        <v>43</v>
      </c>
      <c r="H155" s="3" t="s">
        <v>62</v>
      </c>
      <c r="I155" s="3" t="s">
        <v>59</v>
      </c>
      <c r="J155" s="3" t="s">
        <v>63</v>
      </c>
      <c r="K155" s="3"/>
      <c r="L155" s="3"/>
      <c r="M155" s="3"/>
    </row>
    <row r="156" spans="2:15" ht="27.95" customHeight="1" x14ac:dyDescent="0.25">
      <c r="B156" s="2" t="s">
        <v>30</v>
      </c>
      <c r="C156" s="2" t="s">
        <v>44</v>
      </c>
      <c r="D156" s="2" t="s">
        <v>52</v>
      </c>
      <c r="E156" s="4" t="s">
        <v>41</v>
      </c>
      <c r="F156" s="4" t="s">
        <v>41</v>
      </c>
      <c r="G156" s="4" t="s">
        <v>41</v>
      </c>
      <c r="H156" s="4" t="s">
        <v>41</v>
      </c>
      <c r="I156" s="4" t="s">
        <v>41</v>
      </c>
      <c r="J156" s="4" t="s">
        <v>41</v>
      </c>
    </row>
    <row r="157" spans="2:15" ht="27.95" customHeight="1" x14ac:dyDescent="0.25">
      <c r="B157" s="2" t="s">
        <v>31</v>
      </c>
      <c r="C157" s="2" t="s">
        <v>32</v>
      </c>
      <c r="D157" s="2" t="s">
        <v>54</v>
      </c>
      <c r="E157" s="4" t="s">
        <v>41</v>
      </c>
      <c r="F157" s="4" t="s">
        <v>41</v>
      </c>
      <c r="G157" s="4" t="s">
        <v>60</v>
      </c>
      <c r="H157" s="4" t="s">
        <v>60</v>
      </c>
      <c r="I157" s="4" t="s">
        <v>60</v>
      </c>
      <c r="J157" s="4" t="s">
        <v>60</v>
      </c>
    </row>
    <row r="158" spans="2:15" ht="27.95" customHeight="1" x14ac:dyDescent="0.25">
      <c r="B158" s="2" t="s">
        <v>77</v>
      </c>
      <c r="C158" s="2" t="s">
        <v>53</v>
      </c>
      <c r="D158" s="2" t="s">
        <v>52</v>
      </c>
      <c r="E158" s="4"/>
      <c r="F158" s="4" t="s">
        <v>41</v>
      </c>
      <c r="G158" s="4"/>
      <c r="H158" s="4"/>
      <c r="I158" s="4"/>
      <c r="J158" s="4"/>
    </row>
    <row r="159" spans="2:15" ht="27.95" customHeight="1" x14ac:dyDescent="0.25"/>
    <row r="160" spans="2:15" ht="27.95" customHeight="1" x14ac:dyDescent="0.25"/>
    <row r="161" ht="27.95" customHeight="1" x14ac:dyDescent="0.25"/>
    <row r="162" ht="27.95" customHeight="1" x14ac:dyDescent="0.25"/>
    <row r="163" ht="27.95" customHeight="1" x14ac:dyDescent="0.25"/>
    <row r="164" ht="27.95" customHeight="1" x14ac:dyDescent="0.25"/>
    <row r="165" ht="27.95" customHeight="1" x14ac:dyDescent="0.25"/>
    <row r="166" ht="27.95" customHeight="1" x14ac:dyDescent="0.25"/>
    <row r="167" ht="27.95" customHeight="1" x14ac:dyDescent="0.25"/>
    <row r="168" ht="27.95" customHeight="1" x14ac:dyDescent="0.25"/>
    <row r="169" ht="27.95" customHeight="1" x14ac:dyDescent="0.25"/>
    <row r="170" ht="27.95" customHeight="1" x14ac:dyDescent="0.25"/>
    <row r="171" ht="27.95" customHeight="1" x14ac:dyDescent="0.25"/>
    <row r="172" ht="27.95" customHeight="1" x14ac:dyDescent="0.25"/>
    <row r="173" ht="27.95" customHeight="1" x14ac:dyDescent="0.25"/>
    <row r="174" ht="27.95" customHeight="1" x14ac:dyDescent="0.25"/>
    <row r="175" ht="27.95" customHeight="1" x14ac:dyDescent="0.25"/>
    <row r="176" ht="27.95" customHeight="1" x14ac:dyDescent="0.25"/>
    <row r="177" ht="27.95" customHeight="1" x14ac:dyDescent="0.25"/>
    <row r="178" ht="27.95" customHeight="1" x14ac:dyDescent="0.25"/>
    <row r="179" ht="27.95" customHeight="1" x14ac:dyDescent="0.25"/>
    <row r="180" ht="27.95" customHeight="1" x14ac:dyDescent="0.25"/>
    <row r="181" ht="27.95" customHeight="1" x14ac:dyDescent="0.25"/>
    <row r="182" ht="27.95" customHeight="1" x14ac:dyDescent="0.25"/>
    <row r="183" ht="27.95" customHeight="1" x14ac:dyDescent="0.25"/>
    <row r="184" ht="27.95" customHeight="1" x14ac:dyDescent="0.25"/>
    <row r="185" ht="27.95" customHeight="1" x14ac:dyDescent="0.25"/>
    <row r="186" ht="27.95" customHeight="1" x14ac:dyDescent="0.25"/>
    <row r="187" ht="27.95" customHeight="1" x14ac:dyDescent="0.25"/>
    <row r="188" ht="27.95" customHeight="1" x14ac:dyDescent="0.25"/>
    <row r="189" ht="27.95" customHeight="1" x14ac:dyDescent="0.25"/>
    <row r="190" ht="27.95" customHeight="1" x14ac:dyDescent="0.25"/>
    <row r="191" ht="27.95" customHeight="1" x14ac:dyDescent="0.25"/>
    <row r="192" ht="27.95" customHeight="1" x14ac:dyDescent="0.25"/>
    <row r="193" ht="27.95" customHeight="1" x14ac:dyDescent="0.25"/>
    <row r="194" ht="27.95" customHeight="1" x14ac:dyDescent="0.25"/>
    <row r="195" ht="27.95" customHeight="1" x14ac:dyDescent="0.25"/>
    <row r="196" ht="27.95" customHeight="1" x14ac:dyDescent="0.25"/>
    <row r="197" ht="27.95" customHeight="1" x14ac:dyDescent="0.25"/>
    <row r="198" ht="27.95" customHeight="1" x14ac:dyDescent="0.25"/>
    <row r="199" ht="27.95" customHeight="1" x14ac:dyDescent="0.25"/>
    <row r="200" ht="27.95" customHeight="1" x14ac:dyDescent="0.25"/>
    <row r="201" ht="27.95" customHeight="1" x14ac:dyDescent="0.25"/>
    <row r="202" ht="27.95" customHeight="1" x14ac:dyDescent="0.25"/>
    <row r="203" ht="27.95" customHeight="1" x14ac:dyDescent="0.25"/>
    <row r="204" ht="27.95" customHeight="1" x14ac:dyDescent="0.25"/>
    <row r="205" ht="27.95" customHeight="1" x14ac:dyDescent="0.25"/>
    <row r="206" ht="27.95" customHeight="1" x14ac:dyDescent="0.25"/>
    <row r="207" ht="27.95" customHeight="1" x14ac:dyDescent="0.25"/>
    <row r="208" ht="27.95" customHeight="1" x14ac:dyDescent="0.25"/>
    <row r="209" ht="27.95" customHeight="1" x14ac:dyDescent="0.25"/>
    <row r="210" ht="27.95" customHeight="1" x14ac:dyDescent="0.25"/>
    <row r="211" ht="27.95" customHeight="1" x14ac:dyDescent="0.25"/>
    <row r="212" ht="27.95" customHeight="1" x14ac:dyDescent="0.25"/>
    <row r="213" ht="27.95" customHeight="1" x14ac:dyDescent="0.25"/>
    <row r="214" ht="27.95" customHeight="1" x14ac:dyDescent="0.25"/>
    <row r="215" ht="27.95" customHeight="1" x14ac:dyDescent="0.25"/>
    <row r="216" ht="27.95" customHeight="1" x14ac:dyDescent="0.25"/>
    <row r="217" ht="27.95" customHeight="1" x14ac:dyDescent="0.25"/>
    <row r="218" ht="27.95" customHeight="1" x14ac:dyDescent="0.25"/>
    <row r="219" ht="27.95" customHeight="1" x14ac:dyDescent="0.25"/>
    <row r="220" ht="27.95" customHeight="1" x14ac:dyDescent="0.25"/>
    <row r="221" ht="27.95" customHeight="1" x14ac:dyDescent="0.25"/>
    <row r="222" ht="27.95" customHeight="1" x14ac:dyDescent="0.25"/>
    <row r="223" ht="27.95" customHeight="1" x14ac:dyDescent="0.25"/>
    <row r="224" ht="27.95" customHeight="1" x14ac:dyDescent="0.25"/>
    <row r="225" ht="27.95" customHeight="1" x14ac:dyDescent="0.25"/>
    <row r="226" ht="27.95" customHeight="1" x14ac:dyDescent="0.25"/>
    <row r="227" ht="27.95" customHeight="1" x14ac:dyDescent="0.25"/>
    <row r="228" ht="27.95" customHeight="1" x14ac:dyDescent="0.25"/>
    <row r="229" ht="27.95" customHeight="1" x14ac:dyDescent="0.25"/>
    <row r="230" ht="27.95" customHeight="1" x14ac:dyDescent="0.25"/>
    <row r="231" ht="27.95" customHeight="1" x14ac:dyDescent="0.25"/>
    <row r="232" ht="27.95" customHeight="1" x14ac:dyDescent="0.25"/>
    <row r="233" ht="27.95" customHeight="1" x14ac:dyDescent="0.25"/>
    <row r="234" ht="27.95" customHeight="1" x14ac:dyDescent="0.25"/>
    <row r="235" ht="27.95" customHeight="1" x14ac:dyDescent="0.25"/>
    <row r="236" ht="27.95" customHeight="1" x14ac:dyDescent="0.25"/>
    <row r="237" ht="27.95" customHeight="1" x14ac:dyDescent="0.25"/>
    <row r="238" ht="27.95" customHeight="1" x14ac:dyDescent="0.25"/>
    <row r="239" ht="27.95" customHeight="1" x14ac:dyDescent="0.25"/>
    <row r="240" ht="27.95" customHeight="1" x14ac:dyDescent="0.25"/>
    <row r="241" ht="27.95" customHeight="1" x14ac:dyDescent="0.25"/>
    <row r="242" ht="27.95" customHeight="1" x14ac:dyDescent="0.25"/>
    <row r="243" ht="27.95" customHeight="1" x14ac:dyDescent="0.25"/>
    <row r="244" ht="27.95" customHeight="1" x14ac:dyDescent="0.25"/>
    <row r="245" ht="27.95" customHeight="1" x14ac:dyDescent="0.25"/>
    <row r="246" ht="27.95" customHeight="1" x14ac:dyDescent="0.25"/>
    <row r="247" ht="27.95" customHeight="1" x14ac:dyDescent="0.25"/>
    <row r="248" ht="27.95" customHeight="1" x14ac:dyDescent="0.25"/>
    <row r="249" ht="27.95" customHeight="1" x14ac:dyDescent="0.25"/>
    <row r="250" ht="27.95" customHeight="1" x14ac:dyDescent="0.25"/>
    <row r="251" ht="27.95" customHeight="1" x14ac:dyDescent="0.25"/>
    <row r="252" ht="27.95" customHeight="1" x14ac:dyDescent="0.25"/>
    <row r="253" ht="27.95" customHeight="1" x14ac:dyDescent="0.25"/>
    <row r="254" ht="27.95" customHeight="1" x14ac:dyDescent="0.25"/>
    <row r="255" ht="27.95" customHeight="1" x14ac:dyDescent="0.25"/>
    <row r="256" ht="27.95" customHeight="1" x14ac:dyDescent="0.25"/>
    <row r="257" ht="27.95" customHeight="1" x14ac:dyDescent="0.25"/>
    <row r="258" ht="27.95" customHeight="1" x14ac:dyDescent="0.25"/>
    <row r="259" ht="27.95" customHeight="1" x14ac:dyDescent="0.25"/>
    <row r="260" ht="27.95" customHeight="1" x14ac:dyDescent="0.25"/>
    <row r="261" ht="27.95" customHeight="1" x14ac:dyDescent="0.25"/>
    <row r="262" ht="27.95" customHeight="1" x14ac:dyDescent="0.25"/>
    <row r="263" ht="27.95" customHeight="1" x14ac:dyDescent="0.25"/>
    <row r="264" ht="27.95" customHeight="1" x14ac:dyDescent="0.25"/>
    <row r="265" ht="27.95" customHeight="1" x14ac:dyDescent="0.25"/>
    <row r="266" ht="27.95" customHeight="1" x14ac:dyDescent="0.25"/>
    <row r="267" ht="27.95" customHeight="1" x14ac:dyDescent="0.25"/>
    <row r="268" ht="27.95" customHeight="1" x14ac:dyDescent="0.25"/>
    <row r="269" ht="27.95" customHeight="1" x14ac:dyDescent="0.25"/>
    <row r="270" ht="27.95" customHeight="1" x14ac:dyDescent="0.25"/>
    <row r="271" ht="27.95" customHeight="1" x14ac:dyDescent="0.25"/>
    <row r="272" ht="27.95" customHeight="1" x14ac:dyDescent="0.25"/>
    <row r="273" ht="27.95" customHeight="1" x14ac:dyDescent="0.25"/>
    <row r="274" ht="27.95" customHeight="1" x14ac:dyDescent="0.25"/>
    <row r="275" ht="27.95" customHeight="1" x14ac:dyDescent="0.25"/>
    <row r="276" ht="27.95" customHeight="1" x14ac:dyDescent="0.25"/>
    <row r="277" ht="27.95" customHeight="1" x14ac:dyDescent="0.25"/>
    <row r="278" ht="27.95" customHeight="1" x14ac:dyDescent="0.25"/>
    <row r="279" ht="27.95" customHeight="1" x14ac:dyDescent="0.25"/>
    <row r="280" ht="27.95" customHeight="1" x14ac:dyDescent="0.25"/>
    <row r="281" ht="27.95" customHeight="1" x14ac:dyDescent="0.25"/>
    <row r="282" ht="27.95" customHeight="1" x14ac:dyDescent="0.25"/>
    <row r="283" ht="27.95" customHeight="1" x14ac:dyDescent="0.25"/>
    <row r="284" ht="27.95" customHeight="1" x14ac:dyDescent="0.25"/>
    <row r="285" ht="27.95" customHeight="1" x14ac:dyDescent="0.25"/>
    <row r="286" ht="27.95" customHeight="1" x14ac:dyDescent="0.25"/>
    <row r="287" ht="27.95" customHeight="1" x14ac:dyDescent="0.25"/>
    <row r="288" ht="27.95" customHeight="1" x14ac:dyDescent="0.25"/>
    <row r="289" ht="27.95" customHeight="1" x14ac:dyDescent="0.25"/>
    <row r="290" ht="27.95" customHeight="1" x14ac:dyDescent="0.25"/>
    <row r="291" ht="27.95" customHeight="1" x14ac:dyDescent="0.25"/>
    <row r="292" ht="27.95" customHeight="1" x14ac:dyDescent="0.25"/>
    <row r="293" ht="27.95" customHeight="1" x14ac:dyDescent="0.25"/>
    <row r="294" ht="27.95" customHeight="1" x14ac:dyDescent="0.25"/>
    <row r="295" ht="27.95" customHeight="1" x14ac:dyDescent="0.25"/>
    <row r="296" ht="27.95" customHeight="1" x14ac:dyDescent="0.25"/>
    <row r="297" ht="27.95" customHeight="1" x14ac:dyDescent="0.25"/>
    <row r="298" ht="27.95" customHeight="1" x14ac:dyDescent="0.25"/>
    <row r="299" ht="27.95" customHeight="1" x14ac:dyDescent="0.25"/>
    <row r="300" ht="27.95" customHeight="1" x14ac:dyDescent="0.25"/>
    <row r="301" ht="27.95" customHeight="1" x14ac:dyDescent="0.25"/>
    <row r="302" ht="27.95" customHeight="1" x14ac:dyDescent="0.25"/>
    <row r="303" ht="27.95" customHeight="1" x14ac:dyDescent="0.25"/>
    <row r="304" ht="27.95" customHeight="1" x14ac:dyDescent="0.25"/>
    <row r="305" ht="27.95" customHeight="1" x14ac:dyDescent="0.25"/>
    <row r="306" ht="27.95" customHeight="1" x14ac:dyDescent="0.25"/>
    <row r="307" ht="27.95" customHeight="1" x14ac:dyDescent="0.25"/>
    <row r="308" ht="27.95" customHeight="1" x14ac:dyDescent="0.25"/>
    <row r="309" ht="27.95" customHeight="1" x14ac:dyDescent="0.25"/>
    <row r="310" ht="27.95" customHeight="1" x14ac:dyDescent="0.25"/>
    <row r="311" ht="27.95" customHeight="1" x14ac:dyDescent="0.25"/>
    <row r="312" ht="27.95" customHeight="1" x14ac:dyDescent="0.25"/>
    <row r="313" ht="27.95" customHeight="1" x14ac:dyDescent="0.25"/>
    <row r="314" ht="27.95" customHeight="1" x14ac:dyDescent="0.25"/>
    <row r="315" ht="27.95" customHeight="1" x14ac:dyDescent="0.25"/>
    <row r="316" ht="27.95" customHeight="1" x14ac:dyDescent="0.25"/>
  </sheetData>
  <phoneticPr fontId="4" type="noConversion"/>
  <conditionalFormatting sqref="K4:K92">
    <cfRule type="cellIs" dxfId="16" priority="3" operator="equal">
      <formula>"Low"</formula>
    </cfRule>
    <cfRule type="cellIs" dxfId="15" priority="4" operator="equal">
      <formula>"High"</formula>
    </cfRule>
  </conditionalFormatting>
  <conditionalFormatting sqref="L4:L92">
    <cfRule type="cellIs" dxfId="14" priority="1" operator="equal">
      <formula>"Low"</formula>
    </cfRule>
    <cfRule type="cellIs" dxfId="13" priority="2" operator="equal">
      <formula>"High"</formula>
    </cfRule>
  </conditionalFormatting>
  <dataValidations count="2">
    <dataValidation type="list" allowBlank="1" showInputMessage="1" showErrorMessage="1" sqref="I97:L152" xr:uid="{9F5BAE15-0AD1-4E3A-8C78-4A8B727C6C17}">
      <formula1>lsMaterials</formula1>
    </dataValidation>
    <dataValidation type="list" allowBlank="1" showInputMessage="1" showErrorMessage="1" sqref="C97:C112 C114:C123" xr:uid="{7546B66D-82E4-4992-B7ED-89A0E609ED81}">
      <formula1>lsSystems</formula1>
    </dataValidation>
  </dataValidations>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92959-388F-475C-87BB-ADAF9AD22FA0}">
  <sheetPr codeName="Sheet7"/>
  <dimension ref="B1:J260"/>
  <sheetViews>
    <sheetView showGridLines="0" workbookViewId="0">
      <pane ySplit="2" topLeftCell="A150" activePane="bottomLeft" state="frozen"/>
      <selection pane="bottomLeft" activeCell="C183" sqref="C183"/>
    </sheetView>
  </sheetViews>
  <sheetFormatPr defaultRowHeight="14.25" x14ac:dyDescent="0.25"/>
  <cols>
    <col min="1" max="1" width="1.5703125" style="1" customWidth="1"/>
    <col min="2" max="2" width="18.28515625" style="1" customWidth="1"/>
    <col min="3" max="3" width="10.85546875" style="4" customWidth="1"/>
    <col min="4" max="4" width="10.85546875" style="5" customWidth="1"/>
    <col min="5" max="5" width="9.5703125" style="29" bestFit="1" customWidth="1"/>
    <col min="6" max="6" width="11.85546875" style="6" customWidth="1"/>
    <col min="7" max="9" width="12.7109375" style="6" customWidth="1"/>
    <col min="10" max="10" width="38.140625" style="1" customWidth="1"/>
    <col min="11" max="16384" width="9.140625" style="1"/>
  </cols>
  <sheetData>
    <row r="1" spans="2:10" ht="8.25" customHeight="1" x14ac:dyDescent="0.25"/>
    <row r="2" spans="2:10" s="2" customFormat="1" ht="27.95" customHeight="1" x14ac:dyDescent="0.25">
      <c r="B2" s="3" t="s">
        <v>0</v>
      </c>
      <c r="C2" s="5" t="s">
        <v>39</v>
      </c>
      <c r="D2" s="5" t="s">
        <v>312</v>
      </c>
      <c r="E2" s="9" t="s">
        <v>1</v>
      </c>
      <c r="F2" s="5" t="s">
        <v>2</v>
      </c>
      <c r="G2" s="5" t="s">
        <v>3</v>
      </c>
      <c r="H2" s="5" t="s">
        <v>321</v>
      </c>
      <c r="I2" s="5" t="s">
        <v>322</v>
      </c>
      <c r="J2" s="3" t="s">
        <v>20</v>
      </c>
    </row>
    <row r="3" spans="2:10" s="66" customFormat="1" ht="27.95" hidden="1" customHeight="1" x14ac:dyDescent="0.25">
      <c r="B3" s="66" t="s">
        <v>942</v>
      </c>
      <c r="C3" s="4" t="s">
        <v>291</v>
      </c>
      <c r="D3" s="5" t="s">
        <v>945</v>
      </c>
      <c r="E3" s="7">
        <v>90000</v>
      </c>
      <c r="F3" s="28">
        <f>VLOOKUP(tbMaterials[[#This Row],[Type]],tbStackSizes[],2,FALSE)</f>
        <v>20</v>
      </c>
      <c r="G3" s="28">
        <f>tbMaterials[[#This Row],[Value]]*tbMaterials[[#This Row],[Max Stack]]</f>
        <v>1800000</v>
      </c>
      <c r="H3" s="28" t="str">
        <f>IF(ISTEXT(VLOOKUP(tbMaterials[[#This Row],[Item]],tbBlueprints[],1,FALSE)),"Yes","No")</f>
        <v>No</v>
      </c>
      <c r="I3" s="28" t="str">
        <f>IF(ISTEXT(VLOOKUP(tbMaterials[[#This Row],[Item]],tbRefining[],1,FALSE)),"Yes","No")</f>
        <v>No</v>
      </c>
    </row>
    <row r="4" spans="2:10" s="66" customFormat="1" ht="27.95" hidden="1" customHeight="1" x14ac:dyDescent="0.25">
      <c r="B4" s="3" t="s">
        <v>658</v>
      </c>
      <c r="C4" s="5" t="s">
        <v>277</v>
      </c>
      <c r="D4" s="5" t="s">
        <v>571</v>
      </c>
      <c r="E4" s="9">
        <v>188000</v>
      </c>
      <c r="F4" s="28">
        <f>VLOOKUP(tbMaterials[[#This Row],[Type]],tbStackSizes[],2,FALSE)</f>
        <v>20</v>
      </c>
      <c r="G4" s="28">
        <f>tbMaterials[[#This Row],[Value]]*tbMaterials[[#This Row],[Max Stack]]</f>
        <v>3760000</v>
      </c>
      <c r="H4" s="28" t="str">
        <f>IF(ISTEXT(VLOOKUP(tbMaterials[[#This Row],[Item]],tbBlueprints[],1,FALSE)),"Yes","No")</f>
        <v>Yes</v>
      </c>
      <c r="I4" s="28" t="str">
        <f>IF(ISTEXT(VLOOKUP(tbMaterials[[#This Row],[Item]],tbRefining[],1,FALSE)),"Yes","No")</f>
        <v>No</v>
      </c>
      <c r="J4" s="3"/>
    </row>
    <row r="5" spans="2:10" s="66" customFormat="1" ht="27.95" hidden="1" customHeight="1" x14ac:dyDescent="0.25">
      <c r="B5" s="66" t="s">
        <v>934</v>
      </c>
      <c r="C5" s="4" t="s">
        <v>291</v>
      </c>
      <c r="D5" s="5" t="s">
        <v>362</v>
      </c>
      <c r="E5" s="7">
        <v>300</v>
      </c>
      <c r="F5" s="28">
        <f>VLOOKUP(tbMaterials[[#This Row],[Type]],tbStackSizes[],2,FALSE)</f>
        <v>20</v>
      </c>
      <c r="G5" s="28">
        <f>tbMaterials[[#This Row],[Value]]*tbMaterials[[#This Row],[Max Stack]]</f>
        <v>6000</v>
      </c>
      <c r="H5" s="28" t="str">
        <f>IF(ISTEXT(VLOOKUP(tbMaterials[[#This Row],[Item]],tbBlueprints[],1,FALSE)),"Yes","No")</f>
        <v>No</v>
      </c>
      <c r="I5" s="28" t="str">
        <f>IF(ISTEXT(VLOOKUP(tbMaterials[[#This Row],[Item]],tbRefining[],1,FALSE)),"Yes","No")</f>
        <v>No</v>
      </c>
      <c r="J5" s="66" t="s">
        <v>1002</v>
      </c>
    </row>
    <row r="6" spans="2:10" s="66" customFormat="1" ht="27.95" hidden="1" customHeight="1" x14ac:dyDescent="0.25">
      <c r="B6" s="66" t="s">
        <v>926</v>
      </c>
      <c r="C6" s="4" t="s">
        <v>291</v>
      </c>
      <c r="D6" s="5" t="s">
        <v>362</v>
      </c>
      <c r="E6" s="7">
        <v>300</v>
      </c>
      <c r="F6" s="28">
        <f>VLOOKUP(tbMaterials[[#This Row],[Type]],tbStackSizes[],2,FALSE)</f>
        <v>20</v>
      </c>
      <c r="G6" s="28">
        <f>tbMaterials[[#This Row],[Value]]*tbMaterials[[#This Row],[Max Stack]]</f>
        <v>6000</v>
      </c>
      <c r="H6" s="28" t="str">
        <f>IF(ISTEXT(VLOOKUP(tbMaterials[[#This Row],[Item]],tbBlueprints[],1,FALSE)),"Yes","No")</f>
        <v>No</v>
      </c>
      <c r="I6" s="28" t="str">
        <f>IF(ISTEXT(VLOOKUP(tbMaterials[[#This Row],[Item]],tbRefining[],1,FALSE)),"Yes","No")</f>
        <v>No</v>
      </c>
      <c r="J6" s="66" t="s">
        <v>989</v>
      </c>
    </row>
    <row r="7" spans="2:10" s="66" customFormat="1" ht="27.95" hidden="1" customHeight="1" x14ac:dyDescent="0.25">
      <c r="B7" s="3" t="s">
        <v>987</v>
      </c>
      <c r="C7" s="5" t="s">
        <v>291</v>
      </c>
      <c r="D7" s="5" t="s">
        <v>362</v>
      </c>
      <c r="E7" s="9">
        <v>3200</v>
      </c>
      <c r="F7" s="28">
        <f>VLOOKUP(tbMaterials[[#This Row],[Type]],tbStackSizes[],2,FALSE)</f>
        <v>20</v>
      </c>
      <c r="G7" s="28">
        <f>tbMaterials[[#This Row],[Value]]*tbMaterials[[#This Row],[Max Stack]]</f>
        <v>64000</v>
      </c>
      <c r="H7" s="28" t="str">
        <f>IF(ISTEXT(VLOOKUP(tbMaterials[[#This Row],[Item]],tbBlueprints[],1,FALSE)),"Yes","No")</f>
        <v>No</v>
      </c>
      <c r="I7" s="28" t="str">
        <f>IF(ISTEXT(VLOOKUP(tbMaterials[[#This Row],[Item]],tbRefining[],1,FALSE)),"Yes","No")</f>
        <v>No</v>
      </c>
      <c r="J7" s="3" t="s">
        <v>991</v>
      </c>
    </row>
    <row r="8" spans="2:10" s="66" customFormat="1" ht="27.95" hidden="1" customHeight="1" x14ac:dyDescent="0.25">
      <c r="B8" s="3" t="s">
        <v>988</v>
      </c>
      <c r="C8" s="5" t="s">
        <v>291</v>
      </c>
      <c r="D8" s="5" t="s">
        <v>362</v>
      </c>
      <c r="E8" s="9">
        <v>800</v>
      </c>
      <c r="F8" s="28">
        <f>VLOOKUP(tbMaterials[[#This Row],[Type]],tbStackSizes[],2,FALSE)</f>
        <v>20</v>
      </c>
      <c r="G8" s="28">
        <f>tbMaterials[[#This Row],[Value]]*tbMaterials[[#This Row],[Max Stack]]</f>
        <v>16000</v>
      </c>
      <c r="H8" s="28" t="str">
        <f>IF(ISTEXT(VLOOKUP(tbMaterials[[#This Row],[Item]],tbBlueprints[],1,FALSE)),"Yes","No")</f>
        <v>No</v>
      </c>
      <c r="I8" s="28" t="str">
        <f>IF(ISTEXT(VLOOKUP(tbMaterials[[#This Row],[Item]],tbRefining[],1,FALSE)),"Yes","No")</f>
        <v>No</v>
      </c>
      <c r="J8" s="3" t="s">
        <v>990</v>
      </c>
    </row>
    <row r="9" spans="2:10" s="66" customFormat="1" ht="27.95" hidden="1" customHeight="1" x14ac:dyDescent="0.25">
      <c r="B9" s="66" t="s">
        <v>972</v>
      </c>
      <c r="C9" s="4" t="s">
        <v>291</v>
      </c>
      <c r="D9" s="5" t="s">
        <v>362</v>
      </c>
      <c r="E9" s="7">
        <v>1400</v>
      </c>
      <c r="F9" s="28">
        <f>VLOOKUP(tbMaterials[[#This Row],[Type]],tbStackSizes[],2,FALSE)</f>
        <v>20</v>
      </c>
      <c r="G9" s="28">
        <f>tbMaterials[[#This Row],[Value]]*tbMaterials[[#This Row],[Max Stack]]</f>
        <v>28000</v>
      </c>
      <c r="H9" s="28" t="str">
        <f>IF(ISTEXT(VLOOKUP(tbMaterials[[#This Row],[Item]],tbBlueprints[],1,FALSE)),"Yes","No")</f>
        <v>No</v>
      </c>
      <c r="I9" s="28" t="str">
        <f>IF(ISTEXT(VLOOKUP(tbMaterials[[#This Row],[Item]],tbRefining[],1,FALSE)),"Yes","No")</f>
        <v>No</v>
      </c>
      <c r="J9" s="66" t="s">
        <v>1004</v>
      </c>
    </row>
    <row r="10" spans="2:10" s="66" customFormat="1" ht="27.95" hidden="1" customHeight="1" x14ac:dyDescent="0.25">
      <c r="B10" s="66" t="s">
        <v>22</v>
      </c>
      <c r="C10" s="4" t="s">
        <v>291</v>
      </c>
      <c r="D10" s="5" t="s">
        <v>362</v>
      </c>
      <c r="E10" s="7">
        <v>800</v>
      </c>
      <c r="F10" s="28">
        <f>VLOOKUP(tbMaterials[[#This Row],[Type]],tbStackSizes[],2,FALSE)</f>
        <v>20</v>
      </c>
      <c r="G10" s="28">
        <f>tbMaterials[[#This Row],[Value]]*tbMaterials[[#This Row],[Max Stack]]</f>
        <v>16000</v>
      </c>
      <c r="H10" s="28" t="str">
        <f>IF(ISTEXT(VLOOKUP(tbMaterials[[#This Row],[Item]],tbBlueprints[],1,FALSE)),"Yes","No")</f>
        <v>No</v>
      </c>
      <c r="I10" s="28" t="str">
        <f>IF(ISTEXT(VLOOKUP(tbMaterials[[#This Row],[Item]],tbRefining[],1,FALSE)),"Yes","No")</f>
        <v>No</v>
      </c>
      <c r="J10" s="66" t="s">
        <v>1005</v>
      </c>
    </row>
    <row r="11" spans="2:10" s="66" customFormat="1" ht="27.95" hidden="1" customHeight="1" x14ac:dyDescent="0.25">
      <c r="B11" s="66" t="s">
        <v>959</v>
      </c>
      <c r="C11" s="4" t="s">
        <v>291</v>
      </c>
      <c r="D11" s="5" t="s">
        <v>362</v>
      </c>
      <c r="E11" s="7">
        <v>3200</v>
      </c>
      <c r="F11" s="28">
        <f>VLOOKUP(tbMaterials[[#This Row],[Type]],tbStackSizes[],2,FALSE)</f>
        <v>20</v>
      </c>
      <c r="G11" s="28">
        <f>tbMaterials[[#This Row],[Value]]*tbMaterials[[#This Row],[Max Stack]]</f>
        <v>64000</v>
      </c>
      <c r="H11" s="28" t="str">
        <f>IF(ISTEXT(VLOOKUP(tbMaterials[[#This Row],[Item]],tbBlueprints[],1,FALSE)),"Yes","No")</f>
        <v>No</v>
      </c>
      <c r="I11" s="28" t="str">
        <f>IF(ISTEXT(VLOOKUP(tbMaterials[[#This Row],[Item]],tbRefining[],1,FALSE)),"Yes","No")</f>
        <v>No</v>
      </c>
      <c r="J11" s="66" t="s">
        <v>994</v>
      </c>
    </row>
    <row r="12" spans="2:10" s="66" customFormat="1" ht="27.95" hidden="1" customHeight="1" x14ac:dyDescent="0.25">
      <c r="B12" s="66" t="s">
        <v>361</v>
      </c>
      <c r="C12" s="4" t="s">
        <v>291</v>
      </c>
      <c r="D12" s="5" t="s">
        <v>362</v>
      </c>
      <c r="E12" s="7">
        <v>300</v>
      </c>
      <c r="F12" s="28">
        <f>VLOOKUP(tbMaterials[[#This Row],[Type]],tbStackSizes[],2,FALSE)</f>
        <v>20</v>
      </c>
      <c r="G12" s="28">
        <f>tbMaterials[[#This Row],[Value]]*tbMaterials[[#This Row],[Max Stack]]</f>
        <v>6000</v>
      </c>
      <c r="H12" s="28" t="str">
        <f>IF(ISTEXT(VLOOKUP(tbMaterials[[#This Row],[Item]],tbBlueprints[],1,FALSE)),"Yes","No")</f>
        <v>No</v>
      </c>
      <c r="I12" s="28" t="str">
        <f>IF(ISTEXT(VLOOKUP(tbMaterials[[#This Row],[Item]],tbRefining[],1,FALSE)),"Yes","No")</f>
        <v>No</v>
      </c>
      <c r="J12" s="66" t="s">
        <v>1003</v>
      </c>
    </row>
    <row r="13" spans="2:10" s="66" customFormat="1" ht="27.95" hidden="1" customHeight="1" x14ac:dyDescent="0.25">
      <c r="B13" s="66" t="s">
        <v>935</v>
      </c>
      <c r="C13" s="4" t="s">
        <v>291</v>
      </c>
      <c r="D13" s="5" t="s">
        <v>362</v>
      </c>
      <c r="E13" s="7">
        <v>300</v>
      </c>
      <c r="F13" s="28">
        <f>VLOOKUP(tbMaterials[[#This Row],[Type]],tbStackSizes[],2,FALSE)</f>
        <v>20</v>
      </c>
      <c r="G13" s="28">
        <f>tbMaterials[[#This Row],[Value]]*tbMaterials[[#This Row],[Max Stack]]</f>
        <v>6000</v>
      </c>
      <c r="H13" s="28" t="str">
        <f>IF(ISTEXT(VLOOKUP(tbMaterials[[#This Row],[Item]],tbBlueprints[],1,FALSE)),"Yes","No")</f>
        <v>No</v>
      </c>
      <c r="I13" s="28" t="str">
        <f>IF(ISTEXT(VLOOKUP(tbMaterials[[#This Row],[Item]],tbRefining[],1,FALSE)),"Yes","No")</f>
        <v>No</v>
      </c>
      <c r="J13" s="66" t="s">
        <v>1000</v>
      </c>
    </row>
    <row r="14" spans="2:10" s="66" customFormat="1" ht="27.95" hidden="1" customHeight="1" x14ac:dyDescent="0.25">
      <c r="B14" s="66" t="s">
        <v>931</v>
      </c>
      <c r="C14" s="4" t="s">
        <v>291</v>
      </c>
      <c r="D14" s="5" t="s">
        <v>362</v>
      </c>
      <c r="E14" s="7">
        <v>800</v>
      </c>
      <c r="F14" s="28">
        <f>VLOOKUP(tbMaterials[[#This Row],[Type]],tbStackSizes[],2,FALSE)</f>
        <v>20</v>
      </c>
      <c r="G14" s="28">
        <f>tbMaterials[[#This Row],[Value]]*tbMaterials[[#This Row],[Max Stack]]</f>
        <v>16000</v>
      </c>
      <c r="H14" s="28" t="str">
        <f>IF(ISTEXT(VLOOKUP(tbMaterials[[#This Row],[Item]],tbBlueprints[],1,FALSE)),"Yes","No")</f>
        <v>No</v>
      </c>
      <c r="I14" s="28" t="str">
        <f>IF(ISTEXT(VLOOKUP(tbMaterials[[#This Row],[Item]],tbRefining[],1,FALSE)),"Yes","No")</f>
        <v>No</v>
      </c>
      <c r="J14" s="66" t="s">
        <v>1006</v>
      </c>
    </row>
    <row r="15" spans="2:10" s="66" customFormat="1" ht="27.95" hidden="1" customHeight="1" x14ac:dyDescent="0.25">
      <c r="B15" s="66" t="s">
        <v>936</v>
      </c>
      <c r="C15" s="4" t="s">
        <v>291</v>
      </c>
      <c r="D15" s="5" t="s">
        <v>362</v>
      </c>
      <c r="E15" s="7">
        <v>300</v>
      </c>
      <c r="F15" s="28">
        <f>VLOOKUP(tbMaterials[[#This Row],[Type]],tbStackSizes[],2,FALSE)</f>
        <v>20</v>
      </c>
      <c r="G15" s="28">
        <f>tbMaterials[[#This Row],[Value]]*tbMaterials[[#This Row],[Max Stack]]</f>
        <v>6000</v>
      </c>
      <c r="H15" s="28" t="str">
        <f>IF(ISTEXT(VLOOKUP(tbMaterials[[#This Row],[Item]],tbBlueprints[],1,FALSE)),"Yes","No")</f>
        <v>No</v>
      </c>
      <c r="I15" s="28" t="str">
        <f>IF(ISTEXT(VLOOKUP(tbMaterials[[#This Row],[Item]],tbRefining[],1,FALSE)),"Yes","No")</f>
        <v>No</v>
      </c>
      <c r="J15" s="66" t="s">
        <v>1007</v>
      </c>
    </row>
    <row r="16" spans="2:10" s="66" customFormat="1" ht="27.95" hidden="1" customHeight="1" x14ac:dyDescent="0.25">
      <c r="B16" s="66" t="s">
        <v>562</v>
      </c>
      <c r="C16" s="4" t="s">
        <v>291</v>
      </c>
      <c r="D16" s="5" t="s">
        <v>362</v>
      </c>
      <c r="E16" s="7">
        <v>300</v>
      </c>
      <c r="F16" s="28">
        <f>VLOOKUP(tbMaterials[[#This Row],[Type]],tbStackSizes[],2,FALSE)</f>
        <v>20</v>
      </c>
      <c r="G16" s="28">
        <f>tbMaterials[[#This Row],[Value]]*tbMaterials[[#This Row],[Max Stack]]</f>
        <v>6000</v>
      </c>
      <c r="H16" s="28" t="str">
        <f>IF(ISTEXT(VLOOKUP(tbMaterials[[#This Row],[Item]],tbBlueprints[],1,FALSE)),"Yes","No")</f>
        <v>No</v>
      </c>
      <c r="I16" s="28" t="str">
        <f>IF(ISTEXT(VLOOKUP(tbMaterials[[#This Row],[Item]],tbRefining[],1,FALSE)),"Yes","No")</f>
        <v>No</v>
      </c>
      <c r="J16" s="66" t="s">
        <v>1008</v>
      </c>
    </row>
    <row r="17" spans="2:10" s="66" customFormat="1" ht="27.95" hidden="1" customHeight="1" x14ac:dyDescent="0.25">
      <c r="B17" s="66" t="s">
        <v>927</v>
      </c>
      <c r="C17" s="4" t="s">
        <v>291</v>
      </c>
      <c r="D17" s="5" t="s">
        <v>362</v>
      </c>
      <c r="E17" s="7">
        <v>300</v>
      </c>
      <c r="F17" s="28">
        <f>VLOOKUP(tbMaterials[[#This Row],[Type]],tbStackSizes[],2,FALSE)</f>
        <v>20</v>
      </c>
      <c r="G17" s="28">
        <f>tbMaterials[[#This Row],[Value]]*tbMaterials[[#This Row],[Max Stack]]</f>
        <v>6000</v>
      </c>
      <c r="H17" s="28" t="str">
        <f>IF(ISTEXT(VLOOKUP(tbMaterials[[#This Row],[Item]],tbBlueprints[],1,FALSE)),"Yes","No")</f>
        <v>No</v>
      </c>
      <c r="I17" s="28" t="str">
        <f>IF(ISTEXT(VLOOKUP(tbMaterials[[#This Row],[Item]],tbRefining[],1,FALSE)),"Yes","No")</f>
        <v>No</v>
      </c>
      <c r="J17" s="66" t="s">
        <v>1009</v>
      </c>
    </row>
    <row r="18" spans="2:10" s="66" customFormat="1" ht="27.95" hidden="1" customHeight="1" x14ac:dyDescent="0.25">
      <c r="B18" s="66" t="s">
        <v>742</v>
      </c>
      <c r="C18" s="4" t="s">
        <v>291</v>
      </c>
      <c r="D18" s="5" t="s">
        <v>362</v>
      </c>
      <c r="E18" s="7">
        <v>300</v>
      </c>
      <c r="F18" s="28">
        <f>VLOOKUP(tbMaterials[[#This Row],[Type]],tbStackSizes[],2,FALSE)</f>
        <v>20</v>
      </c>
      <c r="G18" s="28">
        <f>tbMaterials[[#This Row],[Value]]*tbMaterials[[#This Row],[Max Stack]]</f>
        <v>6000</v>
      </c>
      <c r="H18" s="28" t="str">
        <f>IF(ISTEXT(VLOOKUP(tbMaterials[[#This Row],[Item]],tbBlueprints[],1,FALSE)),"Yes","No")</f>
        <v>No</v>
      </c>
      <c r="I18" s="28" t="str">
        <f>IF(ISTEXT(VLOOKUP(tbMaterials[[#This Row],[Item]],tbRefining[],1,FALSE)),"Yes","No")</f>
        <v>No</v>
      </c>
      <c r="J18" s="66" t="s">
        <v>1009</v>
      </c>
    </row>
    <row r="19" spans="2:10" s="66" customFormat="1" ht="27.95" hidden="1" customHeight="1" x14ac:dyDescent="0.25">
      <c r="B19" s="66" t="s">
        <v>957</v>
      </c>
      <c r="C19" s="4" t="s">
        <v>291</v>
      </c>
      <c r="D19" s="5" t="s">
        <v>362</v>
      </c>
      <c r="E19" s="7">
        <v>300</v>
      </c>
      <c r="F19" s="28">
        <f>VLOOKUP(tbMaterials[[#This Row],[Type]],tbStackSizes[],2,FALSE)</f>
        <v>20</v>
      </c>
      <c r="G19" s="28">
        <f>tbMaterials[[#This Row],[Value]]*tbMaterials[[#This Row],[Max Stack]]</f>
        <v>6000</v>
      </c>
      <c r="H19" s="28" t="str">
        <f>IF(ISTEXT(VLOOKUP(tbMaterials[[#This Row],[Item]],tbBlueprints[],1,FALSE)),"Yes","No")</f>
        <v>No</v>
      </c>
      <c r="I19" s="28" t="str">
        <f>IF(ISTEXT(VLOOKUP(tbMaterials[[#This Row],[Item]],tbRefining[],1,FALSE)),"Yes","No")</f>
        <v>No</v>
      </c>
      <c r="J19" s="66" t="s">
        <v>1010</v>
      </c>
    </row>
    <row r="20" spans="2:10" s="66" customFormat="1" ht="27.95" hidden="1" customHeight="1" x14ac:dyDescent="0.25">
      <c r="B20" s="66" t="s">
        <v>366</v>
      </c>
      <c r="C20" s="4" t="s">
        <v>291</v>
      </c>
      <c r="D20" s="5" t="s">
        <v>362</v>
      </c>
      <c r="E20" s="7">
        <v>1400</v>
      </c>
      <c r="F20" s="28">
        <f>VLOOKUP(tbMaterials[[#This Row],[Type]],tbStackSizes[],2,FALSE)</f>
        <v>20</v>
      </c>
      <c r="G20" s="28">
        <f>tbMaterials[[#This Row],[Value]]*tbMaterials[[#This Row],[Max Stack]]</f>
        <v>28000</v>
      </c>
      <c r="H20" s="28" t="str">
        <f>IF(ISTEXT(VLOOKUP(tbMaterials[[#This Row],[Item]],tbBlueprints[],1,FALSE)),"Yes","No")</f>
        <v>No</v>
      </c>
      <c r="I20" s="28" t="str">
        <f>IF(ISTEXT(VLOOKUP(tbMaterials[[#This Row],[Item]],tbRefining[],1,FALSE)),"Yes","No")</f>
        <v>No</v>
      </c>
      <c r="J20" s="66" t="s">
        <v>1011</v>
      </c>
    </row>
    <row r="21" spans="2:10" s="66" customFormat="1" ht="27.95" hidden="1" customHeight="1" x14ac:dyDescent="0.25">
      <c r="B21" s="66" t="s">
        <v>975</v>
      </c>
      <c r="C21" s="4" t="s">
        <v>291</v>
      </c>
      <c r="D21" s="5" t="s">
        <v>362</v>
      </c>
      <c r="E21" s="7">
        <v>3200</v>
      </c>
      <c r="F21" s="28">
        <f>VLOOKUP(tbMaterials[[#This Row],[Type]],tbStackSizes[],2,FALSE)</f>
        <v>20</v>
      </c>
      <c r="G21" s="28">
        <f>tbMaterials[[#This Row],[Value]]*tbMaterials[[#This Row],[Max Stack]]</f>
        <v>64000</v>
      </c>
      <c r="H21" s="28" t="str">
        <f>IF(ISTEXT(VLOOKUP(tbMaterials[[#This Row],[Item]],tbBlueprints[],1,FALSE)),"Yes","No")</f>
        <v>No</v>
      </c>
      <c r="I21" s="28" t="str">
        <f>IF(ISTEXT(VLOOKUP(tbMaterials[[#This Row],[Item]],tbRefining[],1,FALSE)),"Yes","No")</f>
        <v>No</v>
      </c>
      <c r="J21" s="66" t="s">
        <v>1012</v>
      </c>
    </row>
    <row r="22" spans="2:10" s="66" customFormat="1" ht="27.95" hidden="1" customHeight="1" x14ac:dyDescent="0.25">
      <c r="B22" s="66" t="s">
        <v>981</v>
      </c>
      <c r="C22" s="4" t="s">
        <v>291</v>
      </c>
      <c r="D22" s="5" t="s">
        <v>362</v>
      </c>
      <c r="E22" s="7">
        <v>0</v>
      </c>
      <c r="F22" s="28">
        <f>VLOOKUP(tbMaterials[[#This Row],[Type]],tbStackSizes[],2,FALSE)</f>
        <v>20</v>
      </c>
      <c r="G22" s="28">
        <f>tbMaterials[[#This Row],[Value]]*tbMaterials[[#This Row],[Max Stack]]</f>
        <v>0</v>
      </c>
      <c r="H22" s="28" t="str">
        <f>IF(ISTEXT(VLOOKUP(tbMaterials[[#This Row],[Item]],tbBlueprints[],1,FALSE)),"Yes","No")</f>
        <v>No</v>
      </c>
      <c r="I22" s="28" t="str">
        <f>IF(ISTEXT(VLOOKUP(tbMaterials[[#This Row],[Item]],tbRefining[],1,FALSE)),"Yes","No")</f>
        <v>No</v>
      </c>
      <c r="J22" s="66" t="s">
        <v>1013</v>
      </c>
    </row>
    <row r="23" spans="2:10" s="66" customFormat="1" ht="27.95" hidden="1" customHeight="1" x14ac:dyDescent="0.25">
      <c r="B23" s="66" t="s">
        <v>979</v>
      </c>
      <c r="C23" s="4" t="s">
        <v>291</v>
      </c>
      <c r="D23" s="5" t="s">
        <v>362</v>
      </c>
      <c r="E23" s="7">
        <v>1000</v>
      </c>
      <c r="F23" s="28">
        <f>VLOOKUP(tbMaterials[[#This Row],[Type]],tbStackSizes[],2,FALSE)</f>
        <v>20</v>
      </c>
      <c r="G23" s="28">
        <f>tbMaterials[[#This Row],[Value]]*tbMaterials[[#This Row],[Max Stack]]</f>
        <v>20000</v>
      </c>
      <c r="H23" s="28" t="str">
        <f>IF(ISTEXT(VLOOKUP(tbMaterials[[#This Row],[Item]],tbBlueprints[],1,FALSE)),"Yes","No")</f>
        <v>No</v>
      </c>
      <c r="I23" s="28" t="str">
        <f>IF(ISTEXT(VLOOKUP(tbMaterials[[#This Row],[Item]],tbRefining[],1,FALSE)),"Yes","No")</f>
        <v>No</v>
      </c>
      <c r="J23" s="66" t="s">
        <v>1016</v>
      </c>
    </row>
    <row r="24" spans="2:10" s="66" customFormat="1" ht="27.95" hidden="1" customHeight="1" x14ac:dyDescent="0.25">
      <c r="B24" s="66" t="s">
        <v>1014</v>
      </c>
      <c r="C24" s="4" t="s">
        <v>291</v>
      </c>
      <c r="D24" s="5" t="s">
        <v>362</v>
      </c>
      <c r="E24" s="7">
        <v>1400</v>
      </c>
      <c r="F24" s="28">
        <f>VLOOKUP(tbMaterials[[#This Row],[Type]],tbStackSizes[],2,FALSE)</f>
        <v>20</v>
      </c>
      <c r="G24" s="28">
        <f>tbMaterials[[#This Row],[Value]]*tbMaterials[[#This Row],[Max Stack]]</f>
        <v>28000</v>
      </c>
      <c r="H24" s="28" t="str">
        <f>IF(ISTEXT(VLOOKUP(tbMaterials[[#This Row],[Item]],tbBlueprints[],1,FALSE)),"Yes","No")</f>
        <v>No</v>
      </c>
      <c r="I24" s="28" t="str">
        <f>IF(ISTEXT(VLOOKUP(tbMaterials[[#This Row],[Item]],tbRefining[],1,FALSE)),"Yes","No")</f>
        <v>No</v>
      </c>
      <c r="J24" s="66" t="s">
        <v>1015</v>
      </c>
    </row>
    <row r="25" spans="2:10" s="66" customFormat="1" ht="27.95" hidden="1" customHeight="1" x14ac:dyDescent="0.25">
      <c r="B25" s="66" t="s">
        <v>922</v>
      </c>
      <c r="C25" s="4" t="s">
        <v>291</v>
      </c>
      <c r="D25" s="5" t="s">
        <v>362</v>
      </c>
      <c r="E25" s="7">
        <v>300</v>
      </c>
      <c r="F25" s="28">
        <f>VLOOKUP(tbMaterials[[#This Row],[Type]],tbStackSizes[],2,FALSE)</f>
        <v>20</v>
      </c>
      <c r="G25" s="28">
        <f>tbMaterials[[#This Row],[Value]]*tbMaterials[[#This Row],[Max Stack]]</f>
        <v>6000</v>
      </c>
      <c r="H25" s="28" t="str">
        <f>IF(ISTEXT(VLOOKUP(tbMaterials[[#This Row],[Item]],tbBlueprints[],1,FALSE)),"Yes","No")</f>
        <v>No</v>
      </c>
      <c r="I25" s="28" t="str">
        <f>IF(ISTEXT(VLOOKUP(tbMaterials[[#This Row],[Item]],tbRefining[],1,FALSE)),"Yes","No")</f>
        <v>No</v>
      </c>
      <c r="J25" s="66" t="s">
        <v>1017</v>
      </c>
    </row>
    <row r="26" spans="2:10" s="2" customFormat="1" ht="27.95" customHeight="1" x14ac:dyDescent="0.25">
      <c r="B26" s="3" t="s">
        <v>335</v>
      </c>
      <c r="C26" s="5" t="s">
        <v>278</v>
      </c>
      <c r="D26" s="5" t="s">
        <v>338</v>
      </c>
      <c r="E26" s="9">
        <v>450</v>
      </c>
      <c r="F26" s="28">
        <f>VLOOKUP(tbMaterials[[#This Row],[Type]],tbStackSizes[],2,FALSE)</f>
        <v>9999</v>
      </c>
      <c r="G26" s="28">
        <f>tbMaterials[[#This Row],[Value]]*tbMaterials[[#This Row],[Max Stack]]</f>
        <v>4499550</v>
      </c>
      <c r="H26" s="28" t="str">
        <f>IF(ISTEXT(VLOOKUP(tbMaterials[[#This Row],[Item]],tbBlueprints[],1,FALSE)),"Yes","No")</f>
        <v>No</v>
      </c>
      <c r="I26" s="28" t="str">
        <f>IF(ISTEXT(VLOOKUP(tbMaterials[[#This Row],[Item]],tbRefining[],1,FALSE)),"Yes","No")</f>
        <v>No</v>
      </c>
      <c r="J26" s="3"/>
    </row>
    <row r="27" spans="2:10" s="2" customFormat="1" ht="27.95" customHeight="1" x14ac:dyDescent="0.25">
      <c r="B27" s="3" t="s">
        <v>328</v>
      </c>
      <c r="C27" s="5" t="s">
        <v>278</v>
      </c>
      <c r="D27" s="5" t="s">
        <v>338</v>
      </c>
      <c r="E27" s="9">
        <v>245</v>
      </c>
      <c r="F27" s="28">
        <f>VLOOKUP(tbMaterials[[#This Row],[Type]],tbStackSizes[],2,FALSE)</f>
        <v>9999</v>
      </c>
      <c r="G27" s="28">
        <f>tbMaterials[[#This Row],[Value]]*tbMaterials[[#This Row],[Max Stack]]</f>
        <v>2449755</v>
      </c>
      <c r="H27" s="28" t="str">
        <f>IF(ISTEXT(VLOOKUP(tbMaterials[[#This Row],[Item]],tbBlueprints[],1,FALSE)),"Yes","No")</f>
        <v>No</v>
      </c>
      <c r="I27" s="28" t="str">
        <f>IF(ISTEXT(VLOOKUP(tbMaterials[[#This Row],[Item]],tbRefining[],1,FALSE)),"Yes","No")</f>
        <v>No</v>
      </c>
      <c r="J27" s="3"/>
    </row>
    <row r="28" spans="2:10" s="2" customFormat="1" ht="27.95" customHeight="1" x14ac:dyDescent="0.25">
      <c r="B28" s="3" t="s">
        <v>336</v>
      </c>
      <c r="C28" s="5" t="s">
        <v>278</v>
      </c>
      <c r="D28" s="5" t="s">
        <v>338</v>
      </c>
      <c r="E28" s="9">
        <v>696</v>
      </c>
      <c r="F28" s="28">
        <f>VLOOKUP(tbMaterials[[#This Row],[Type]],tbStackSizes[],2,FALSE)</f>
        <v>9999</v>
      </c>
      <c r="G28" s="28">
        <f>tbMaterials[[#This Row],[Value]]*tbMaterials[[#This Row],[Max Stack]]</f>
        <v>6959304</v>
      </c>
      <c r="H28" s="28" t="str">
        <f>IF(ISTEXT(VLOOKUP(tbMaterials[[#This Row],[Item]],tbBlueprints[],1,FALSE)),"Yes","No")</f>
        <v>No</v>
      </c>
      <c r="I28" s="28" t="str">
        <f>IF(ISTEXT(VLOOKUP(tbMaterials[[#This Row],[Item]],tbRefining[],1,FALSE)),"Yes","No")</f>
        <v>No</v>
      </c>
      <c r="J28" s="3"/>
    </row>
    <row r="29" spans="2:10" s="66" customFormat="1" ht="27.95" customHeight="1" x14ac:dyDescent="0.25">
      <c r="B29" s="3" t="s">
        <v>337</v>
      </c>
      <c r="C29" s="5" t="s">
        <v>278</v>
      </c>
      <c r="D29" s="5" t="s">
        <v>338</v>
      </c>
      <c r="E29" s="9">
        <v>949</v>
      </c>
      <c r="F29" s="28">
        <f>VLOOKUP(tbMaterials[[#This Row],[Type]],tbStackSizes[],2,FALSE)</f>
        <v>9999</v>
      </c>
      <c r="G29" s="28">
        <f>tbMaterials[[#This Row],[Value]]*tbMaterials[[#This Row],[Max Stack]]</f>
        <v>9489051</v>
      </c>
      <c r="H29" s="28" t="str">
        <f>IF(ISTEXT(VLOOKUP(tbMaterials[[#This Row],[Item]],tbBlueprints[],1,FALSE)),"Yes","No")</f>
        <v>No</v>
      </c>
      <c r="I29" s="28" t="str">
        <f>IF(ISTEXT(VLOOKUP(tbMaterials[[#This Row],[Item]],tbRefining[],1,FALSE)),"Yes","No")</f>
        <v>No</v>
      </c>
      <c r="J29" s="3"/>
    </row>
    <row r="30" spans="2:10" s="2" customFormat="1" ht="27.95" hidden="1" customHeight="1" x14ac:dyDescent="0.25">
      <c r="B30" s="3" t="s">
        <v>836</v>
      </c>
      <c r="C30" s="5" t="s">
        <v>291</v>
      </c>
      <c r="D30" s="5" t="s">
        <v>463</v>
      </c>
      <c r="E30" s="9">
        <v>500</v>
      </c>
      <c r="F30" s="28">
        <f>VLOOKUP(tbMaterials[[#This Row],[Type]],tbStackSizes[],2,FALSE)</f>
        <v>20</v>
      </c>
      <c r="G30" s="28">
        <f>tbMaterials[[#This Row],[Value]]*tbMaterials[[#This Row],[Max Stack]]</f>
        <v>10000</v>
      </c>
      <c r="H30" s="28" t="str">
        <f>IF(ISTEXT(VLOOKUP(tbMaterials[[#This Row],[Item]],tbBlueprints[],1,FALSE)),"Yes","No")</f>
        <v>Yes</v>
      </c>
      <c r="I30" s="28" t="str">
        <f>IF(ISTEXT(VLOOKUP(tbMaterials[[#This Row],[Item]],tbRefining[],1,FALSE)),"Yes","No")</f>
        <v>No</v>
      </c>
      <c r="J30" s="3"/>
    </row>
    <row r="31" spans="2:10" s="2" customFormat="1" ht="27.95" hidden="1" customHeight="1" x14ac:dyDescent="0.25">
      <c r="B31" s="66" t="s">
        <v>4</v>
      </c>
      <c r="C31" s="4" t="s">
        <v>277</v>
      </c>
      <c r="D31" s="5" t="s">
        <v>338</v>
      </c>
      <c r="E31" s="7">
        <v>9025</v>
      </c>
      <c r="F31" s="28">
        <f>VLOOKUP(tbMaterials[[#This Row],[Type]],tbStackSizes[],2,FALSE)</f>
        <v>20</v>
      </c>
      <c r="G31" s="28">
        <f>tbMaterials[[#This Row],[Value]]*tbMaterials[[#This Row],[Max Stack]]</f>
        <v>180500</v>
      </c>
      <c r="H31" s="28" t="str">
        <f>IF(ISTEXT(VLOOKUP(tbMaterials[[#This Row],[Item]],tbBlueprints[],1,FALSE)),"Yes","No")</f>
        <v>No</v>
      </c>
      <c r="I31" s="28" t="str">
        <f>IF(ISTEXT(VLOOKUP(tbMaterials[[#This Row],[Item]],tbRefining[],1,FALSE)),"Yes","No")</f>
        <v>No</v>
      </c>
      <c r="J31" s="66"/>
    </row>
    <row r="32" spans="2:10" s="2" customFormat="1" ht="27.95" hidden="1" customHeight="1" x14ac:dyDescent="0.25">
      <c r="B32" s="66" t="s">
        <v>973</v>
      </c>
      <c r="C32" s="4" t="s">
        <v>291</v>
      </c>
      <c r="D32" s="5" t="s">
        <v>362</v>
      </c>
      <c r="E32" s="7">
        <v>1400</v>
      </c>
      <c r="F32" s="28">
        <f>VLOOKUP(tbMaterials[[#This Row],[Type]],tbStackSizes[],2,FALSE)</f>
        <v>20</v>
      </c>
      <c r="G32" s="28">
        <f>tbMaterials[[#This Row],[Value]]*tbMaterials[[#This Row],[Max Stack]]</f>
        <v>28000</v>
      </c>
      <c r="H32" s="28" t="str">
        <f>IF(ISTEXT(VLOOKUP(tbMaterials[[#This Row],[Item]],tbBlueprints[],1,FALSE)),"Yes","No")</f>
        <v>No</v>
      </c>
      <c r="I32" s="28" t="str">
        <f>IF(ISTEXT(VLOOKUP(tbMaterials[[#This Row],[Item]],tbRefining[],1,FALSE)),"Yes","No")</f>
        <v>No</v>
      </c>
      <c r="J32" s="66" t="s">
        <v>1018</v>
      </c>
    </row>
    <row r="33" spans="2:10" s="2" customFormat="1" ht="27.95" customHeight="1" x14ac:dyDescent="0.25">
      <c r="B33" s="66" t="s">
        <v>84</v>
      </c>
      <c r="C33" s="4" t="s">
        <v>278</v>
      </c>
      <c r="D33" s="5" t="s">
        <v>339</v>
      </c>
      <c r="E33" s="7">
        <v>62</v>
      </c>
      <c r="F33" s="28">
        <f>VLOOKUP(tbMaterials[[#This Row],[Type]],tbStackSizes[],2,FALSE)</f>
        <v>9999</v>
      </c>
      <c r="G33" s="28">
        <f>tbMaterials[[#This Row],[Value]]*tbMaterials[[#This Row],[Max Stack]]</f>
        <v>619938</v>
      </c>
      <c r="H33" s="28" t="str">
        <f>IF(ISTEXT(VLOOKUP(tbMaterials[[#This Row],[Item]],tbBlueprints[],1,FALSE)),"Yes","No")</f>
        <v>No</v>
      </c>
      <c r="I33" s="28" t="str">
        <f>IF(ISTEXT(VLOOKUP(tbMaterials[[#This Row],[Item]],tbRefining[],1,FALSE)),"Yes","No")</f>
        <v>No</v>
      </c>
      <c r="J33" s="66"/>
    </row>
    <row r="34" spans="2:10" s="66" customFormat="1" ht="27.95" hidden="1" customHeight="1" x14ac:dyDescent="0.25">
      <c r="B34" s="3" t="s">
        <v>472</v>
      </c>
      <c r="C34" s="5" t="s">
        <v>461</v>
      </c>
      <c r="D34" s="5" t="s">
        <v>482</v>
      </c>
      <c r="E34" s="9">
        <v>5233</v>
      </c>
      <c r="F34" s="41">
        <f>VLOOKUP(tbMaterials[[#This Row],[Type]],tbStackSizes[],2,FALSE)</f>
        <v>10</v>
      </c>
      <c r="G34" s="41">
        <f>tbMaterials[[#This Row],[Value]]*tbMaterials[[#This Row],[Max Stack]]</f>
        <v>52330</v>
      </c>
      <c r="H34" s="41" t="str">
        <f>IF(ISTEXT(VLOOKUP(tbMaterials[[#This Row],[Item]],tbBlueprints[],1,FALSE)),"Yes","No")</f>
        <v>Yes</v>
      </c>
      <c r="I34" s="41" t="str">
        <f>IF(ISTEXT(VLOOKUP(tbMaterials[[#This Row],[Item]],tbRefining[],1,FALSE)),"Yes","No")</f>
        <v>No</v>
      </c>
      <c r="J34" s="3"/>
    </row>
    <row r="35" spans="2:10" s="2" customFormat="1" ht="27.95" hidden="1" customHeight="1" x14ac:dyDescent="0.25">
      <c r="B35" s="66" t="s">
        <v>308</v>
      </c>
      <c r="C35" s="4" t="s">
        <v>277</v>
      </c>
      <c r="D35" s="5" t="s">
        <v>510</v>
      </c>
      <c r="E35" s="7">
        <v>25000</v>
      </c>
      <c r="F35" s="28">
        <f>VLOOKUP(tbMaterials[[#This Row],[Type]],tbStackSizes[],2,FALSE)</f>
        <v>20</v>
      </c>
      <c r="G35" s="28">
        <f>tbMaterials[[#This Row],[Value]]*tbMaterials[[#This Row],[Max Stack]]</f>
        <v>500000</v>
      </c>
      <c r="H35" s="28" t="str">
        <f>IF(ISTEXT(VLOOKUP(tbMaterials[[#This Row],[Item]],tbBlueprints[],1,FALSE)),"Yes","No")</f>
        <v>Yes</v>
      </c>
      <c r="I35" s="28" t="str">
        <f>IF(ISTEXT(VLOOKUP(tbMaterials[[#This Row],[Item]],tbRefining[],1,FALSE)),"Yes","No")</f>
        <v>Yes</v>
      </c>
      <c r="J35" s="66"/>
    </row>
    <row r="36" spans="2:10" s="2" customFormat="1" ht="27.95" hidden="1" customHeight="1" x14ac:dyDescent="0.25">
      <c r="B36" s="3" t="s">
        <v>503</v>
      </c>
      <c r="C36" s="5" t="s">
        <v>284</v>
      </c>
      <c r="D36" s="5" t="s">
        <v>504</v>
      </c>
      <c r="E36" s="9">
        <v>825</v>
      </c>
      <c r="F36" s="41">
        <f>VLOOKUP(tbMaterials[[#This Row],[Type]],tbStackSizes[],2,FALSE)</f>
        <v>5</v>
      </c>
      <c r="G36" s="41">
        <f>tbMaterials[[#This Row],[Value]]*tbMaterials[[#This Row],[Max Stack]]</f>
        <v>4125</v>
      </c>
      <c r="H36" s="41" t="str">
        <f>IF(ISTEXT(VLOOKUP(tbMaterials[[#This Row],[Item]],tbBlueprints[],1,FALSE)),"Yes","No")</f>
        <v>Yes</v>
      </c>
      <c r="I36" s="41" t="str">
        <f>IF(ISTEXT(VLOOKUP(tbMaterials[[#This Row],[Item]],tbRefining[],1,FALSE)),"Yes","No")</f>
        <v>No</v>
      </c>
      <c r="J36" s="3"/>
    </row>
    <row r="37" spans="2:10" s="2" customFormat="1" ht="27.95" hidden="1" customHeight="1" x14ac:dyDescent="0.25">
      <c r="B37" s="3" t="s">
        <v>505</v>
      </c>
      <c r="C37" s="5" t="s">
        <v>284</v>
      </c>
      <c r="D37" s="5" t="s">
        <v>504</v>
      </c>
      <c r="E37" s="9">
        <v>1856</v>
      </c>
      <c r="F37" s="41">
        <f>VLOOKUP(tbMaterials[[#This Row],[Type]],tbStackSizes[],2,FALSE)</f>
        <v>5</v>
      </c>
      <c r="G37" s="41">
        <f>tbMaterials[[#This Row],[Value]]*tbMaterials[[#This Row],[Max Stack]]</f>
        <v>9280</v>
      </c>
      <c r="H37" s="41" t="str">
        <f>IF(ISTEXT(VLOOKUP(tbMaterials[[#This Row],[Item]],tbBlueprints[],1,FALSE)),"Yes","No")</f>
        <v>Yes</v>
      </c>
      <c r="I37" s="41" t="str">
        <f>IF(ISTEXT(VLOOKUP(tbMaterials[[#This Row],[Item]],tbRefining[],1,FALSE)),"Yes","No")</f>
        <v>No</v>
      </c>
      <c r="J37" s="3"/>
    </row>
    <row r="38" spans="2:10" s="2" customFormat="1" ht="27.95" hidden="1" customHeight="1" x14ac:dyDescent="0.25">
      <c r="B38" s="3" t="s">
        <v>506</v>
      </c>
      <c r="C38" s="5" t="s">
        <v>284</v>
      </c>
      <c r="D38" s="5" t="s">
        <v>504</v>
      </c>
      <c r="E38" s="9">
        <v>2613</v>
      </c>
      <c r="F38" s="41">
        <f>VLOOKUP(tbMaterials[[#This Row],[Type]],tbStackSizes[],2,FALSE)</f>
        <v>5</v>
      </c>
      <c r="G38" s="41">
        <f>tbMaterials[[#This Row],[Value]]*tbMaterials[[#This Row],[Max Stack]]</f>
        <v>13065</v>
      </c>
      <c r="H38" s="41" t="str">
        <f>IF(ISTEXT(VLOOKUP(tbMaterials[[#This Row],[Item]],tbBlueprints[],1,FALSE)),"Yes","No")</f>
        <v>Yes</v>
      </c>
      <c r="I38" s="41" t="str">
        <f>IF(ISTEXT(VLOOKUP(tbMaterials[[#This Row],[Item]],tbRefining[],1,FALSE)),"Yes","No")</f>
        <v>No</v>
      </c>
      <c r="J38" s="3"/>
    </row>
    <row r="39" spans="2:10" s="2" customFormat="1" ht="27.95" hidden="1" customHeight="1" x14ac:dyDescent="0.25">
      <c r="B39" s="3" t="s">
        <v>223</v>
      </c>
      <c r="C39" s="5" t="s">
        <v>277</v>
      </c>
      <c r="D39" s="5" t="s">
        <v>493</v>
      </c>
      <c r="E39" s="9">
        <v>30000</v>
      </c>
      <c r="F39" s="41">
        <f>VLOOKUP(tbMaterials[[#This Row],[Type]],tbStackSizes[],2,FALSE)</f>
        <v>20</v>
      </c>
      <c r="G39" s="41">
        <f>tbMaterials[[#This Row],[Value]]*tbMaterials[[#This Row],[Max Stack]]</f>
        <v>600000</v>
      </c>
      <c r="H39" s="41" t="str">
        <f>IF(ISTEXT(VLOOKUP(tbMaterials[[#This Row],[Item]],tbBlueprints[],1,FALSE)),"Yes","No")</f>
        <v>No</v>
      </c>
      <c r="I39" s="41" t="str">
        <f>IF(ISTEXT(VLOOKUP(tbMaterials[[#This Row],[Item]],tbRefining[],1,FALSE)),"Yes","No")</f>
        <v>No</v>
      </c>
      <c r="J39" s="3"/>
    </row>
    <row r="40" spans="2:10" s="66" customFormat="1" ht="27.95" hidden="1" customHeight="1" x14ac:dyDescent="0.25">
      <c r="B40" s="3" t="s">
        <v>971</v>
      </c>
      <c r="C40" s="5" t="s">
        <v>291</v>
      </c>
      <c r="D40" s="5" t="s">
        <v>974</v>
      </c>
      <c r="E40" s="9">
        <v>800</v>
      </c>
      <c r="F40" s="41">
        <f>VLOOKUP(tbMaterials[[#This Row],[Type]],tbStackSizes[],2,FALSE)</f>
        <v>20</v>
      </c>
      <c r="G40" s="41">
        <f>tbMaterials[[#This Row],[Value]]*tbMaterials[[#This Row],[Max Stack]]</f>
        <v>16000</v>
      </c>
      <c r="H40" s="41" t="str">
        <f>IF(ISTEXT(VLOOKUP(tbMaterials[[#This Row],[Item]],tbBlueprints[],1,FALSE)),"Yes","No")</f>
        <v>No</v>
      </c>
      <c r="I40" s="41" t="str">
        <f>IF(ISTEXT(VLOOKUP(tbMaterials[[#This Row],[Item]],tbRefining[],1,FALSE)),"Yes","No")</f>
        <v>No</v>
      </c>
      <c r="J40" s="3" t="s">
        <v>1042</v>
      </c>
    </row>
    <row r="41" spans="2:10" s="2" customFormat="1" ht="27.95" hidden="1" customHeight="1" x14ac:dyDescent="0.25">
      <c r="B41" s="66" t="s">
        <v>193</v>
      </c>
      <c r="C41" s="4" t="s">
        <v>277</v>
      </c>
      <c r="D41" s="5" t="s">
        <v>557</v>
      </c>
      <c r="E41" s="7">
        <v>15000</v>
      </c>
      <c r="F41" s="28">
        <f>VLOOKUP(tbMaterials[[#This Row],[Type]],tbStackSizes[],2,FALSE)</f>
        <v>20</v>
      </c>
      <c r="G41" s="28">
        <f>tbMaterials[[#This Row],[Value]]*tbMaterials[[#This Row],[Max Stack]]</f>
        <v>300000</v>
      </c>
      <c r="H41" s="28" t="str">
        <f>IF(ISTEXT(VLOOKUP(tbMaterials[[#This Row],[Item]],tbBlueprints[],1,FALSE)),"Yes","No")</f>
        <v>No</v>
      </c>
      <c r="I41" s="28" t="str">
        <f>IF(ISTEXT(VLOOKUP(tbMaterials[[#This Row],[Item]],tbRefining[],1,FALSE)),"Yes","No")</f>
        <v>No</v>
      </c>
      <c r="J41" s="66"/>
    </row>
    <row r="42" spans="2:10" s="2" customFormat="1" ht="27.95" customHeight="1" x14ac:dyDescent="0.25">
      <c r="B42" s="2" t="s">
        <v>118</v>
      </c>
      <c r="C42" s="4" t="s">
        <v>278</v>
      </c>
      <c r="D42" s="5" t="s">
        <v>925</v>
      </c>
      <c r="E42" s="7">
        <v>28</v>
      </c>
      <c r="F42" s="28">
        <f>VLOOKUP(tbMaterials[[#This Row],[Type]],tbStackSizes[],2,FALSE)</f>
        <v>9999</v>
      </c>
      <c r="G42" s="28">
        <f>tbMaterials[[#This Row],[Value]]*tbMaterials[[#This Row],[Max Stack]]</f>
        <v>279972</v>
      </c>
      <c r="H42" s="28" t="str">
        <f>IF(ISTEXT(VLOOKUP(tbMaterials[[#This Row],[Item]],tbBlueprints[],1,FALSE)),"Yes","No")</f>
        <v>No</v>
      </c>
      <c r="I42" s="28" t="str">
        <f>IF(ISTEXT(VLOOKUP(tbMaterials[[#This Row],[Item]],tbRefining[],1,FALSE)),"Yes","No")</f>
        <v>No</v>
      </c>
    </row>
    <row r="43" spans="2:10" s="66" customFormat="1" ht="27.95" hidden="1" customHeight="1" x14ac:dyDescent="0.25">
      <c r="B43" s="66" t="s">
        <v>932</v>
      </c>
      <c r="C43" s="4" t="s">
        <v>291</v>
      </c>
      <c r="D43" s="5" t="s">
        <v>362</v>
      </c>
      <c r="E43" s="7">
        <v>300</v>
      </c>
      <c r="F43" s="28">
        <f>VLOOKUP(tbMaterials[[#This Row],[Type]],tbStackSizes[],2,FALSE)</f>
        <v>20</v>
      </c>
      <c r="G43" s="28">
        <f>tbMaterials[[#This Row],[Value]]*tbMaterials[[#This Row],[Max Stack]]</f>
        <v>6000</v>
      </c>
      <c r="H43" s="28" t="str">
        <f>IF(ISTEXT(VLOOKUP(tbMaterials[[#This Row],[Item]],tbBlueprints[],1,FALSE)),"Yes","No")</f>
        <v>No</v>
      </c>
      <c r="I43" s="28" t="str">
        <f>IF(ISTEXT(VLOOKUP(tbMaterials[[#This Row],[Item]],tbRefining[],1,FALSE)),"Yes","No")</f>
        <v>No</v>
      </c>
      <c r="J43" s="66" t="s">
        <v>1019</v>
      </c>
    </row>
    <row r="44" spans="2:10" s="2" customFormat="1" ht="27.95" customHeight="1" x14ac:dyDescent="0.25">
      <c r="B44" s="66" t="s">
        <v>296</v>
      </c>
      <c r="C44" s="4" t="s">
        <v>278</v>
      </c>
      <c r="D44" s="5" t="s">
        <v>338</v>
      </c>
      <c r="E44" s="7">
        <v>234</v>
      </c>
      <c r="F44" s="28">
        <f>VLOOKUP(tbMaterials[[#This Row],[Type]],tbStackSizes[],2,FALSE)</f>
        <v>9999</v>
      </c>
      <c r="G44" s="28">
        <f>tbMaterials[[#This Row],[Value]]*tbMaterials[[#This Row],[Max Stack]]</f>
        <v>2339766</v>
      </c>
      <c r="H44" s="28" t="str">
        <f>IF(ISTEXT(VLOOKUP(tbMaterials[[#This Row],[Item]],tbBlueprints[],1,FALSE)),"Yes","No")</f>
        <v>No</v>
      </c>
      <c r="I44" s="28" t="str">
        <f>IF(ISTEXT(VLOOKUP(tbMaterials[[#This Row],[Item]],tbRefining[],1,FALSE)),"Yes","No")</f>
        <v>Yes</v>
      </c>
      <c r="J44" s="66"/>
    </row>
    <row r="45" spans="2:10" s="2" customFormat="1" ht="27.95" hidden="1" customHeight="1" x14ac:dyDescent="0.25">
      <c r="B45" s="66" t="s">
        <v>835</v>
      </c>
      <c r="C45" s="4" t="s">
        <v>284</v>
      </c>
      <c r="D45" s="5" t="s">
        <v>364</v>
      </c>
      <c r="E45" s="7">
        <v>1000</v>
      </c>
      <c r="F45" s="28">
        <f>VLOOKUP(tbMaterials[[#This Row],[Type]],tbStackSizes[],2,FALSE)</f>
        <v>5</v>
      </c>
      <c r="G45" s="28">
        <f>tbMaterials[[#This Row],[Value]]*tbMaterials[[#This Row],[Max Stack]]</f>
        <v>5000</v>
      </c>
      <c r="H45" s="28" t="str">
        <f>IF(ISTEXT(VLOOKUP(tbMaterials[[#This Row],[Item]],tbBlueprints[],1,FALSE)),"Yes","No")</f>
        <v>Yes</v>
      </c>
      <c r="I45" s="28" t="str">
        <f>IF(ISTEXT(VLOOKUP(tbMaterials[[#This Row],[Item]],tbRefining[],1,FALSE)),"Yes","No")</f>
        <v>No</v>
      </c>
      <c r="J45" s="66"/>
    </row>
    <row r="46" spans="2:10" s="2" customFormat="1" ht="27.95" customHeight="1" x14ac:dyDescent="0.25">
      <c r="B46" s="66" t="s">
        <v>7</v>
      </c>
      <c r="C46" s="4" t="s">
        <v>278</v>
      </c>
      <c r="D46" s="5" t="s">
        <v>341</v>
      </c>
      <c r="E46" s="7">
        <v>12</v>
      </c>
      <c r="F46" s="28">
        <f>VLOOKUP(tbMaterials[[#This Row],[Type]],tbStackSizes[],2,FALSE)</f>
        <v>9999</v>
      </c>
      <c r="G46" s="28">
        <f>tbMaterials[[#This Row],[Value]]*tbMaterials[[#This Row],[Max Stack]]</f>
        <v>119988</v>
      </c>
      <c r="H46" s="28" t="str">
        <f>IF(ISTEXT(VLOOKUP(tbMaterials[[#This Row],[Item]],tbBlueprints[],1,FALSE)),"Yes","No")</f>
        <v>No</v>
      </c>
      <c r="I46" s="28" t="str">
        <f>IF(ISTEXT(VLOOKUP(tbMaterials[[#This Row],[Item]],tbRefining[],1,FALSE)),"Yes","No")</f>
        <v>Yes</v>
      </c>
      <c r="J46" s="66"/>
    </row>
    <row r="47" spans="2:10" s="2" customFormat="1" ht="27.95" hidden="1" customHeight="1" x14ac:dyDescent="0.25">
      <c r="B47" s="3" t="s">
        <v>479</v>
      </c>
      <c r="C47" s="5" t="s">
        <v>284</v>
      </c>
      <c r="D47" s="5" t="s">
        <v>461</v>
      </c>
      <c r="E47" s="9">
        <v>3600</v>
      </c>
      <c r="F47" s="41">
        <f>VLOOKUP(tbMaterials[[#This Row],[Type]],tbStackSizes[],2,FALSE)</f>
        <v>5</v>
      </c>
      <c r="G47" s="41">
        <f>tbMaterials[[#This Row],[Value]]*tbMaterials[[#This Row],[Max Stack]]</f>
        <v>18000</v>
      </c>
      <c r="H47" s="41" t="str">
        <f>IF(ISTEXT(VLOOKUP(tbMaterials[[#This Row],[Item]],tbBlueprints[],1,FALSE)),"Yes","No")</f>
        <v>Yes</v>
      </c>
      <c r="I47" s="41" t="str">
        <f>IF(ISTEXT(VLOOKUP(tbMaterials[[#This Row],[Item]],tbRefining[],1,FALSE)),"Yes","No")</f>
        <v>Yes</v>
      </c>
      <c r="J47" s="3"/>
    </row>
    <row r="48" spans="2:10" s="2" customFormat="1" ht="27.95" hidden="1" customHeight="1" x14ac:dyDescent="0.25">
      <c r="B48" s="66" t="s">
        <v>948</v>
      </c>
      <c r="C48" s="4" t="s">
        <v>291</v>
      </c>
      <c r="D48" s="5" t="s">
        <v>945</v>
      </c>
      <c r="E48" s="7">
        <v>62000</v>
      </c>
      <c r="F48" s="28">
        <f>VLOOKUP(tbMaterials[[#This Row],[Type]],tbStackSizes[],2,FALSE)</f>
        <v>20</v>
      </c>
      <c r="G48" s="28">
        <f>tbMaterials[[#This Row],[Value]]*tbMaterials[[#This Row],[Max Stack]]</f>
        <v>1240000</v>
      </c>
      <c r="H48" s="28" t="str">
        <f>IF(ISTEXT(VLOOKUP(tbMaterials[[#This Row],[Item]],tbBlueprints[],1,FALSE)),"Yes","No")</f>
        <v>No</v>
      </c>
      <c r="I48" s="28" t="str">
        <f>IF(ISTEXT(VLOOKUP(tbMaterials[[#This Row],[Item]],tbRefining[],1,FALSE)),"Yes","No")</f>
        <v>No</v>
      </c>
      <c r="J48" s="66"/>
    </row>
    <row r="49" spans="2:10" s="2" customFormat="1" ht="27.95" hidden="1" customHeight="1" x14ac:dyDescent="0.25">
      <c r="B49" s="3" t="s">
        <v>468</v>
      </c>
      <c r="C49" s="5" t="s">
        <v>284</v>
      </c>
      <c r="D49" s="5" t="s">
        <v>461</v>
      </c>
      <c r="E49" s="9">
        <v>6150</v>
      </c>
      <c r="F49" s="41">
        <f>VLOOKUP(tbMaterials[[#This Row],[Type]],tbStackSizes[],2,FALSE)</f>
        <v>5</v>
      </c>
      <c r="G49" s="41">
        <f>tbMaterials[[#This Row],[Value]]*tbMaterials[[#This Row],[Max Stack]]</f>
        <v>30750</v>
      </c>
      <c r="H49" s="41" t="str">
        <f>IF(ISTEXT(VLOOKUP(tbMaterials[[#This Row],[Item]],tbBlueprints[],1,FALSE)),"Yes","No")</f>
        <v>Yes</v>
      </c>
      <c r="I49" s="41" t="str">
        <f>IF(ISTEXT(VLOOKUP(tbMaterials[[#This Row],[Item]],tbRefining[],1,FALSE)),"Yes","No")</f>
        <v>Yes</v>
      </c>
      <c r="J49" s="3" t="s">
        <v>481</v>
      </c>
    </row>
    <row r="50" spans="2:10" s="2" customFormat="1" ht="27.95" customHeight="1" x14ac:dyDescent="0.25">
      <c r="B50" s="2" t="s">
        <v>83</v>
      </c>
      <c r="C50" s="4" t="s">
        <v>278</v>
      </c>
      <c r="D50" s="5" t="s">
        <v>342</v>
      </c>
      <c r="E50" s="7">
        <v>602</v>
      </c>
      <c r="F50" s="28">
        <f>VLOOKUP(tbMaterials[[#This Row],[Type]],tbStackSizes[],2,FALSE)</f>
        <v>9999</v>
      </c>
      <c r="G50" s="28">
        <f>tbMaterials[[#This Row],[Value]]*tbMaterials[[#This Row],[Max Stack]]</f>
        <v>6019398</v>
      </c>
      <c r="H50" s="28" t="str">
        <f>IF(ISTEXT(VLOOKUP(tbMaterials[[#This Row],[Item]],tbBlueprints[],1,FALSE)),"Yes","No")</f>
        <v>No</v>
      </c>
      <c r="I50" s="28" t="str">
        <f>IF(ISTEXT(VLOOKUP(tbMaterials[[#This Row],[Item]],tbRefining[],1,FALSE)),"Yes","No")</f>
        <v>Yes</v>
      </c>
    </row>
    <row r="51" spans="2:10" s="2" customFormat="1" ht="27.95" customHeight="1" x14ac:dyDescent="0.25">
      <c r="B51" s="66" t="s">
        <v>261</v>
      </c>
      <c r="C51" s="4" t="s">
        <v>278</v>
      </c>
      <c r="D51" s="5" t="s">
        <v>338</v>
      </c>
      <c r="E51" s="7">
        <v>245</v>
      </c>
      <c r="F51" s="28">
        <f>VLOOKUP(tbMaterials[[#This Row],[Type]],tbStackSizes[],2,FALSE)</f>
        <v>9999</v>
      </c>
      <c r="G51" s="28">
        <f>tbMaterials[[#This Row],[Value]]*tbMaterials[[#This Row],[Max Stack]]</f>
        <v>2449755</v>
      </c>
      <c r="H51" s="28" t="str">
        <f>IF(ISTEXT(VLOOKUP(tbMaterials[[#This Row],[Item]],tbBlueprints[],1,FALSE)),"Yes","No")</f>
        <v>No</v>
      </c>
      <c r="I51" s="28" t="str">
        <f>IF(ISTEXT(VLOOKUP(tbMaterials[[#This Row],[Item]],tbRefining[],1,FALSE)),"Yes","No")</f>
        <v>Yes</v>
      </c>
      <c r="J51" s="66"/>
    </row>
    <row r="52" spans="2:10" s="2" customFormat="1" ht="27.95" hidden="1" customHeight="1" x14ac:dyDescent="0.25">
      <c r="B52" s="66" t="s">
        <v>955</v>
      </c>
      <c r="C52" s="4" t="s">
        <v>291</v>
      </c>
      <c r="D52" s="5" t="s">
        <v>945</v>
      </c>
      <c r="E52" s="7">
        <v>7200</v>
      </c>
      <c r="F52" s="28">
        <f>VLOOKUP(tbMaterials[[#This Row],[Type]],tbStackSizes[],2,FALSE)</f>
        <v>20</v>
      </c>
      <c r="G52" s="28">
        <f>tbMaterials[[#This Row],[Value]]*tbMaterials[[#This Row],[Max Stack]]</f>
        <v>144000</v>
      </c>
      <c r="H52" s="28" t="str">
        <f>IF(ISTEXT(VLOOKUP(tbMaterials[[#This Row],[Item]],tbBlueprints[],1,FALSE)),"Yes","No")</f>
        <v>No</v>
      </c>
      <c r="I52" s="28" t="str">
        <f>IF(ISTEXT(VLOOKUP(tbMaterials[[#This Row],[Item]],tbRefining[],1,FALSE)),"Yes","No")</f>
        <v>No</v>
      </c>
      <c r="J52" s="66"/>
    </row>
    <row r="53" spans="2:10" s="2" customFormat="1" ht="27.95" hidden="1" customHeight="1" x14ac:dyDescent="0.25">
      <c r="B53" s="66" t="s">
        <v>570</v>
      </c>
      <c r="C53" s="4" t="s">
        <v>277</v>
      </c>
      <c r="D53" s="5" t="s">
        <v>571</v>
      </c>
      <c r="E53" s="7">
        <v>916250</v>
      </c>
      <c r="F53" s="28">
        <f>VLOOKUP(tbMaterials[[#This Row],[Type]],tbStackSizes[],2,FALSE)</f>
        <v>20</v>
      </c>
      <c r="G53" s="28">
        <f>tbMaterials[[#This Row],[Value]]*tbMaterials[[#This Row],[Max Stack]]</f>
        <v>18325000</v>
      </c>
      <c r="H53" s="28" t="str">
        <f>IF(ISTEXT(VLOOKUP(tbMaterials[[#This Row],[Item]],tbBlueprints[],1,FALSE)),"Yes","No")</f>
        <v>Yes</v>
      </c>
      <c r="I53" s="28" t="str">
        <f>IF(ISTEXT(VLOOKUP(tbMaterials[[#This Row],[Item]],tbRefining[],1,FALSE)),"Yes","No")</f>
        <v>No</v>
      </c>
      <c r="J53" s="66"/>
    </row>
    <row r="54" spans="2:10" s="2" customFormat="1" ht="27.95" customHeight="1" x14ac:dyDescent="0.25">
      <c r="B54" s="2" t="s">
        <v>6</v>
      </c>
      <c r="C54" s="4" t="s">
        <v>278</v>
      </c>
      <c r="D54" s="5" t="s">
        <v>343</v>
      </c>
      <c r="E54" s="7">
        <v>198</v>
      </c>
      <c r="F54" s="28">
        <f>VLOOKUP(tbMaterials[[#This Row],[Type]],tbStackSizes[],2,FALSE)</f>
        <v>9999</v>
      </c>
      <c r="G54" s="28">
        <f>tbMaterials[[#This Row],[Value]]*tbMaterials[[#This Row],[Max Stack]]</f>
        <v>1979802</v>
      </c>
      <c r="H54" s="28" t="str">
        <f>IF(ISTEXT(VLOOKUP(tbMaterials[[#This Row],[Item]],tbBlueprints[],1,FALSE)),"Yes","No")</f>
        <v>No</v>
      </c>
      <c r="I54" s="28" t="str">
        <f>IF(ISTEXT(VLOOKUP(tbMaterials[[#This Row],[Item]],tbRefining[],1,FALSE)),"Yes","No")</f>
        <v>No</v>
      </c>
    </row>
    <row r="55" spans="2:10" s="66" customFormat="1" ht="27.95" hidden="1" customHeight="1" x14ac:dyDescent="0.25">
      <c r="B55" s="66" t="s">
        <v>199</v>
      </c>
      <c r="C55" s="4" t="s">
        <v>277</v>
      </c>
      <c r="D55" s="5" t="s">
        <v>559</v>
      </c>
      <c r="E55" s="7">
        <v>15000</v>
      </c>
      <c r="F55" s="28">
        <f>VLOOKUP(tbMaterials[[#This Row],[Type]],tbStackSizes[],2,FALSE)</f>
        <v>20</v>
      </c>
      <c r="G55" s="28">
        <f>tbMaterials[[#This Row],[Value]]*tbMaterials[[#This Row],[Max Stack]]</f>
        <v>300000</v>
      </c>
      <c r="H55" s="28" t="str">
        <f>IF(ISTEXT(VLOOKUP(tbMaterials[[#This Row],[Item]],tbBlueprints[],1,FALSE)),"Yes","No")</f>
        <v>No</v>
      </c>
      <c r="I55" s="28" t="str">
        <f>IF(ISTEXT(VLOOKUP(tbMaterials[[#This Row],[Item]],tbRefining[],1,FALSE)),"Yes","No")</f>
        <v>No</v>
      </c>
    </row>
    <row r="56" spans="2:10" s="66" customFormat="1" ht="27.95" customHeight="1" x14ac:dyDescent="0.25">
      <c r="B56" s="66" t="s">
        <v>260</v>
      </c>
      <c r="C56" s="4" t="s">
        <v>278</v>
      </c>
      <c r="D56" s="5" t="s">
        <v>341</v>
      </c>
      <c r="E56" s="7">
        <v>24</v>
      </c>
      <c r="F56" s="28">
        <f>VLOOKUP(tbMaterials[[#This Row],[Type]],tbStackSizes[],2,FALSE)</f>
        <v>9999</v>
      </c>
      <c r="G56" s="28">
        <f>tbMaterials[[#This Row],[Value]]*tbMaterials[[#This Row],[Max Stack]]</f>
        <v>239976</v>
      </c>
      <c r="H56" s="28" t="str">
        <f>IF(ISTEXT(VLOOKUP(tbMaterials[[#This Row],[Item]],tbBlueprints[],1,FALSE)),"Yes","No")</f>
        <v>No</v>
      </c>
      <c r="I56" s="28" t="str">
        <f>IF(ISTEXT(VLOOKUP(tbMaterials[[#This Row],[Item]],tbRefining[],1,FALSE)),"Yes","No")</f>
        <v>No</v>
      </c>
    </row>
    <row r="57" spans="2:10" s="2" customFormat="1" ht="27.95" customHeight="1" x14ac:dyDescent="0.25">
      <c r="B57" s="66" t="s">
        <v>5</v>
      </c>
      <c r="C57" s="4" t="s">
        <v>278</v>
      </c>
      <c r="D57" s="5" t="s">
        <v>338</v>
      </c>
      <c r="E57" s="7">
        <v>121</v>
      </c>
      <c r="F57" s="28">
        <f>VLOOKUP(tbMaterials[[#This Row],[Type]],tbStackSizes[],2,FALSE)</f>
        <v>9999</v>
      </c>
      <c r="G57" s="28">
        <f>tbMaterials[[#This Row],[Value]]*tbMaterials[[#This Row],[Max Stack]]</f>
        <v>1209879</v>
      </c>
      <c r="H57" s="28" t="str">
        <f>IF(ISTEXT(VLOOKUP(tbMaterials[[#This Row],[Item]],tbBlueprints[],1,FALSE)),"Yes","No")</f>
        <v>No</v>
      </c>
      <c r="I57" s="28" t="str">
        <f>IF(ISTEXT(VLOOKUP(tbMaterials[[#This Row],[Item]],tbRefining[],1,FALSE)),"Yes","No")</f>
        <v>No</v>
      </c>
      <c r="J57" s="66"/>
    </row>
    <row r="58" spans="2:10" s="2" customFormat="1" ht="27.95" hidden="1" customHeight="1" x14ac:dyDescent="0.25">
      <c r="B58" s="2" t="s">
        <v>958</v>
      </c>
      <c r="C58" s="4" t="s">
        <v>291</v>
      </c>
      <c r="D58" s="5" t="s">
        <v>945</v>
      </c>
      <c r="E58" s="7">
        <v>5400</v>
      </c>
      <c r="F58" s="28">
        <f>VLOOKUP(tbMaterials[[#This Row],[Type]],tbStackSizes[],2,FALSE)</f>
        <v>20</v>
      </c>
      <c r="G58" s="28">
        <f>tbMaterials[[#This Row],[Value]]*tbMaterials[[#This Row],[Max Stack]]</f>
        <v>108000</v>
      </c>
      <c r="H58" s="28" t="str">
        <f>IF(ISTEXT(VLOOKUP(tbMaterials[[#This Row],[Item]],tbBlueprints[],1,FALSE)),"Yes","No")</f>
        <v>No</v>
      </c>
      <c r="I58" s="28" t="str">
        <f>IF(ISTEXT(VLOOKUP(tbMaterials[[#This Row],[Item]],tbRefining[],1,FALSE)),"Yes","No")</f>
        <v>No</v>
      </c>
    </row>
    <row r="59" spans="2:10" s="2" customFormat="1" ht="27.95" hidden="1" customHeight="1" x14ac:dyDescent="0.25">
      <c r="B59" s="66" t="s">
        <v>367</v>
      </c>
      <c r="C59" s="4" t="s">
        <v>291</v>
      </c>
      <c r="D59" s="5" t="s">
        <v>368</v>
      </c>
      <c r="E59" s="7">
        <v>20</v>
      </c>
      <c r="F59" s="28">
        <f>VLOOKUP(tbMaterials[[#This Row],[Type]],tbStackSizes[],2,FALSE)</f>
        <v>20</v>
      </c>
      <c r="G59" s="28">
        <f>tbMaterials[[#This Row],[Value]]*tbMaterials[[#This Row],[Max Stack]]</f>
        <v>400</v>
      </c>
      <c r="H59" s="28" t="str">
        <f>IF(ISTEXT(VLOOKUP(tbMaterials[[#This Row],[Item]],tbBlueprints[],1,FALSE)),"Yes","No")</f>
        <v>No</v>
      </c>
      <c r="I59" s="28" t="str">
        <f>IF(ISTEXT(VLOOKUP(tbMaterials[[#This Row],[Item]],tbRefining[],1,FALSE)),"Yes","No")</f>
        <v>No</v>
      </c>
      <c r="J59" s="66"/>
    </row>
    <row r="60" spans="2:10" s="2" customFormat="1" ht="27.95" hidden="1" customHeight="1" x14ac:dyDescent="0.25">
      <c r="B60" s="66" t="s">
        <v>897</v>
      </c>
      <c r="C60" s="4" t="s">
        <v>277</v>
      </c>
      <c r="D60" s="5" t="s">
        <v>572</v>
      </c>
      <c r="E60" s="7">
        <v>3800000</v>
      </c>
      <c r="F60" s="28">
        <f>VLOOKUP(tbMaterials[[#This Row],[Type]],tbStackSizes[],2,FALSE)</f>
        <v>20</v>
      </c>
      <c r="G60" s="28">
        <f>tbMaterials[[#This Row],[Value]]*tbMaterials[[#This Row],[Max Stack]]</f>
        <v>76000000</v>
      </c>
      <c r="H60" s="28" t="str">
        <f>IF(ISTEXT(VLOOKUP(tbMaterials[[#This Row],[Item]],tbBlueprints[],1,FALSE)),"Yes","No")</f>
        <v>Yes</v>
      </c>
      <c r="I60" s="28" t="str">
        <f>IF(ISTEXT(VLOOKUP(tbMaterials[[#This Row],[Item]],tbRefining[],1,FALSE)),"Yes","No")</f>
        <v>No</v>
      </c>
      <c r="J60" s="66"/>
    </row>
    <row r="61" spans="2:10" s="2" customFormat="1" ht="27.95" hidden="1" customHeight="1" x14ac:dyDescent="0.25">
      <c r="B61" s="66" t="s">
        <v>842</v>
      </c>
      <c r="C61" s="4" t="s">
        <v>277</v>
      </c>
      <c r="D61" s="5" t="s">
        <v>497</v>
      </c>
      <c r="E61" s="7">
        <v>1500000</v>
      </c>
      <c r="F61" s="28">
        <f>VLOOKUP(tbMaterials[[#This Row],[Type]],tbStackSizes[],2,FALSE)</f>
        <v>20</v>
      </c>
      <c r="G61" s="28">
        <f>tbMaterials[[#This Row],[Value]]*tbMaterials[[#This Row],[Max Stack]]</f>
        <v>30000000</v>
      </c>
      <c r="H61" s="28" t="str">
        <f>IF(ISTEXT(VLOOKUP(tbMaterials[[#This Row],[Item]],tbBlueprints[],1,FALSE)),"Yes","No")</f>
        <v>Yes</v>
      </c>
      <c r="I61" s="28" t="str">
        <f>IF(ISTEXT(VLOOKUP(tbMaterials[[#This Row],[Item]],tbRefining[],1,FALSE)),"Yes","No")</f>
        <v>No</v>
      </c>
      <c r="J61" s="66" t="s">
        <v>843</v>
      </c>
    </row>
    <row r="62" spans="2:10" s="2" customFormat="1" ht="27.95" hidden="1" customHeight="1" x14ac:dyDescent="0.25">
      <c r="B62" s="66" t="s">
        <v>17</v>
      </c>
      <c r="C62" s="4" t="s">
        <v>284</v>
      </c>
      <c r="D62" s="5" t="s">
        <v>513</v>
      </c>
      <c r="E62" s="7">
        <v>3280</v>
      </c>
      <c r="F62" s="28">
        <f>VLOOKUP(tbMaterials[[#This Row],[Type]],tbStackSizes[],2,FALSE)</f>
        <v>5</v>
      </c>
      <c r="G62" s="28">
        <f>tbMaterials[[#This Row],[Value]]*tbMaterials[[#This Row],[Max Stack]]</f>
        <v>16400</v>
      </c>
      <c r="H62" s="28" t="str">
        <f>IF(ISTEXT(VLOOKUP(tbMaterials[[#This Row],[Item]],tbBlueprints[],1,FALSE)),"Yes","No")</f>
        <v>No</v>
      </c>
      <c r="I62" s="28" t="str">
        <f>IF(ISTEXT(VLOOKUP(tbMaterials[[#This Row],[Item]],tbRefining[],1,FALSE)),"Yes","No")</f>
        <v>No</v>
      </c>
      <c r="J62" s="66" t="s">
        <v>466</v>
      </c>
    </row>
    <row r="63" spans="2:10" s="2" customFormat="1" ht="27.95" hidden="1" customHeight="1" x14ac:dyDescent="0.25">
      <c r="B63" s="66" t="s">
        <v>516</v>
      </c>
      <c r="C63" s="4" t="s">
        <v>277</v>
      </c>
      <c r="D63" s="5" t="s">
        <v>556</v>
      </c>
      <c r="E63" s="7">
        <v>7410</v>
      </c>
      <c r="F63" s="28">
        <f>VLOOKUP(tbMaterials[[#This Row],[Type]],tbStackSizes[],2,FALSE)</f>
        <v>20</v>
      </c>
      <c r="G63" s="28">
        <f>tbMaterials[[#This Row],[Value]]*tbMaterials[[#This Row],[Max Stack]]</f>
        <v>148200</v>
      </c>
      <c r="H63" s="28" t="str">
        <f>IF(ISTEXT(VLOOKUP(tbMaterials[[#This Row],[Item]],tbBlueprints[],1,FALSE)),"Yes","No")</f>
        <v>No</v>
      </c>
      <c r="I63" s="28" t="str">
        <f>IF(ISTEXT(VLOOKUP(tbMaterials[[#This Row],[Item]],tbRefining[],1,FALSE)),"Yes","No")</f>
        <v>No</v>
      </c>
      <c r="J63" s="66"/>
    </row>
    <row r="64" spans="2:10" s="2" customFormat="1" ht="27.95" customHeight="1" x14ac:dyDescent="0.25">
      <c r="B64" s="2" t="s">
        <v>344</v>
      </c>
      <c r="C64" s="4" t="s">
        <v>278</v>
      </c>
      <c r="D64" s="5" t="s">
        <v>341</v>
      </c>
      <c r="E64" s="7">
        <v>201</v>
      </c>
      <c r="F64" s="28">
        <f>VLOOKUP(tbMaterials[[#This Row],[Type]],tbStackSizes[],2,FALSE)</f>
        <v>9999</v>
      </c>
      <c r="G64" s="28">
        <f>tbMaterials[[#This Row],[Value]]*tbMaterials[[#This Row],[Max Stack]]</f>
        <v>2009799</v>
      </c>
      <c r="H64" s="28" t="str">
        <f>IF(ISTEXT(VLOOKUP(tbMaterials[[#This Row],[Item]],tbBlueprints[],1,FALSE)),"Yes","No")</f>
        <v>No</v>
      </c>
      <c r="I64" s="28" t="str">
        <f>IF(ISTEXT(VLOOKUP(tbMaterials[[#This Row],[Item]],tbRefining[],1,FALSE)),"Yes","No")</f>
        <v>No</v>
      </c>
    </row>
    <row r="65" spans="2:10" s="2" customFormat="1" ht="27.95" hidden="1" customHeight="1" x14ac:dyDescent="0.25">
      <c r="B65" s="3" t="s">
        <v>220</v>
      </c>
      <c r="C65" s="5" t="s">
        <v>277</v>
      </c>
      <c r="D65" s="5" t="s">
        <v>493</v>
      </c>
      <c r="E65" s="9">
        <v>1000</v>
      </c>
      <c r="F65" s="41">
        <f>VLOOKUP(tbMaterials[[#This Row],[Type]],tbStackSizes[],2,FALSE)</f>
        <v>20</v>
      </c>
      <c r="G65" s="41">
        <f>tbMaterials[[#This Row],[Value]]*tbMaterials[[#This Row],[Max Stack]]</f>
        <v>20000</v>
      </c>
      <c r="H65" s="41" t="str">
        <f>IF(ISTEXT(VLOOKUP(tbMaterials[[#This Row],[Item]],tbBlueprints[],1,FALSE)),"Yes","No")</f>
        <v>No</v>
      </c>
      <c r="I65" s="41" t="str">
        <f>IF(ISTEXT(VLOOKUP(tbMaterials[[#This Row],[Item]],tbRefining[],1,FALSE)),"Yes","No")</f>
        <v>No</v>
      </c>
      <c r="J65" s="3"/>
    </row>
    <row r="66" spans="2:10" s="2" customFormat="1" ht="27.95" hidden="1" customHeight="1" x14ac:dyDescent="0.25">
      <c r="B66" s="2" t="s">
        <v>27</v>
      </c>
      <c r="C66" s="4" t="s">
        <v>277</v>
      </c>
      <c r="D66" s="5" t="s">
        <v>559</v>
      </c>
      <c r="E66" s="7">
        <v>1000</v>
      </c>
      <c r="F66" s="28">
        <f>VLOOKUP(tbMaterials[[#This Row],[Type]],tbStackSizes[],2,FALSE)</f>
        <v>20</v>
      </c>
      <c r="G66" s="28">
        <f>tbMaterials[[#This Row],[Value]]*tbMaterials[[#This Row],[Max Stack]]</f>
        <v>20000</v>
      </c>
      <c r="H66" s="28" t="str">
        <f>IF(ISTEXT(VLOOKUP(tbMaterials[[#This Row],[Item]],tbBlueprints[],1,FALSE)),"Yes","No")</f>
        <v>No</v>
      </c>
      <c r="I66" s="28" t="str">
        <f>IF(ISTEXT(VLOOKUP(tbMaterials[[#This Row],[Item]],tbRefining[],1,FALSE)),"Yes","No")</f>
        <v>No</v>
      </c>
    </row>
    <row r="67" spans="2:10" s="2" customFormat="1" ht="27.95" hidden="1" customHeight="1" x14ac:dyDescent="0.25">
      <c r="B67" s="3" t="s">
        <v>66</v>
      </c>
      <c r="C67" s="5" t="s">
        <v>277</v>
      </c>
      <c r="D67" s="5" t="s">
        <v>509</v>
      </c>
      <c r="E67" s="9">
        <v>1000</v>
      </c>
      <c r="F67" s="41">
        <f>VLOOKUP(tbMaterials[[#This Row],[Type]],tbStackSizes[],2,FALSE)</f>
        <v>20</v>
      </c>
      <c r="G67" s="41">
        <f>tbMaterials[[#This Row],[Value]]*tbMaterials[[#This Row],[Max Stack]]</f>
        <v>20000</v>
      </c>
      <c r="H67" s="41" t="str">
        <f>IF(ISTEXT(VLOOKUP(tbMaterials[[#This Row],[Item]],tbBlueprints[],1,FALSE)),"Yes","No")</f>
        <v>No</v>
      </c>
      <c r="I67" s="41" t="str">
        <f>IF(ISTEXT(VLOOKUP(tbMaterials[[#This Row],[Item]],tbRefining[],1,FALSE)),"Yes","No")</f>
        <v>No</v>
      </c>
      <c r="J67" s="3"/>
    </row>
    <row r="68" spans="2:10" s="2" customFormat="1" ht="27.95" hidden="1" customHeight="1" x14ac:dyDescent="0.25">
      <c r="B68" s="3" t="s">
        <v>470</v>
      </c>
      <c r="C68" s="5" t="s">
        <v>284</v>
      </c>
      <c r="D68" s="5" t="s">
        <v>461</v>
      </c>
      <c r="E68" s="9">
        <v>12300</v>
      </c>
      <c r="F68" s="41">
        <f>VLOOKUP(tbMaterials[[#This Row],[Type]],tbStackSizes[],2,FALSE)</f>
        <v>5</v>
      </c>
      <c r="G68" s="41">
        <f>tbMaterials[[#This Row],[Value]]*tbMaterials[[#This Row],[Max Stack]]</f>
        <v>61500</v>
      </c>
      <c r="H68" s="41" t="str">
        <f>IF(ISTEXT(VLOOKUP(tbMaterials[[#This Row],[Item]],tbBlueprints[],1,FALSE)),"Yes","No")</f>
        <v>Yes</v>
      </c>
      <c r="I68" s="41" t="str">
        <f>IF(ISTEXT(VLOOKUP(tbMaterials[[#This Row],[Item]],tbRefining[],1,FALSE)),"Yes","No")</f>
        <v>Yes</v>
      </c>
      <c r="J68" s="3"/>
    </row>
    <row r="69" spans="2:10" s="2" customFormat="1" ht="27.95" customHeight="1" x14ac:dyDescent="0.25">
      <c r="B69" s="66" t="s">
        <v>346</v>
      </c>
      <c r="C69" s="4" t="s">
        <v>278</v>
      </c>
      <c r="D69" s="5" t="s">
        <v>345</v>
      </c>
      <c r="E69" s="7">
        <v>34</v>
      </c>
      <c r="F69" s="28">
        <f>VLOOKUP(tbMaterials[[#This Row],[Type]],tbStackSizes[],2,FALSE)</f>
        <v>9999</v>
      </c>
      <c r="G69" s="28">
        <f>tbMaterials[[#This Row],[Value]]*tbMaterials[[#This Row],[Max Stack]]</f>
        <v>339966</v>
      </c>
      <c r="H69" s="28" t="str">
        <f>IF(ISTEXT(VLOOKUP(tbMaterials[[#This Row],[Item]],tbBlueprints[],1,FALSE)),"Yes","No")</f>
        <v>No</v>
      </c>
      <c r="I69" s="28" t="str">
        <f>IF(ISTEXT(VLOOKUP(tbMaterials[[#This Row],[Item]],tbRefining[],1,FALSE)),"Yes","No")</f>
        <v>Yes</v>
      </c>
      <c r="J69" s="66"/>
    </row>
    <row r="70" spans="2:10" s="2" customFormat="1" ht="27.95" customHeight="1" x14ac:dyDescent="0.25">
      <c r="B70" s="66" t="s">
        <v>10</v>
      </c>
      <c r="C70" s="4" t="s">
        <v>278</v>
      </c>
      <c r="D70" s="5" t="s">
        <v>345</v>
      </c>
      <c r="E70" s="7">
        <v>34</v>
      </c>
      <c r="F70" s="28">
        <f>VLOOKUP(tbMaterials[[#This Row],[Type]],tbStackSizes[],2,FALSE)</f>
        <v>9999</v>
      </c>
      <c r="G70" s="28">
        <f>tbMaterials[[#This Row],[Value]]*tbMaterials[[#This Row],[Max Stack]]</f>
        <v>339966</v>
      </c>
      <c r="H70" s="28" t="str">
        <f>IF(ISTEXT(VLOOKUP(tbMaterials[[#This Row],[Item]],tbBlueprints[],1,FALSE)),"Yes","No")</f>
        <v>No</v>
      </c>
      <c r="I70" s="28" t="str">
        <f>IF(ISTEXT(VLOOKUP(tbMaterials[[#This Row],[Item]],tbRefining[],1,FALSE)),"Yes","No")</f>
        <v>Yes</v>
      </c>
      <c r="J70" s="66"/>
    </row>
    <row r="71" spans="2:10" s="2" customFormat="1" ht="27.95" hidden="1" customHeight="1" x14ac:dyDescent="0.25">
      <c r="B71" s="66" t="s">
        <v>460</v>
      </c>
      <c r="C71" s="4" t="s">
        <v>461</v>
      </c>
      <c r="D71" s="5" t="s">
        <v>463</v>
      </c>
      <c r="E71" s="7">
        <v>200</v>
      </c>
      <c r="F71" s="28">
        <f>VLOOKUP(tbMaterials[[#This Row],[Type]],tbStackSizes[],2,FALSE)</f>
        <v>10</v>
      </c>
      <c r="G71" s="28">
        <f>tbMaterials[[#This Row],[Value]]*tbMaterials[[#This Row],[Max Stack]]</f>
        <v>2000</v>
      </c>
      <c r="H71" s="28" t="str">
        <f>IF(ISTEXT(VLOOKUP(tbMaterials[[#This Row],[Item]],tbBlueprints[],1,FALSE)),"Yes","No")</f>
        <v>Yes</v>
      </c>
      <c r="I71" s="28" t="str">
        <f>IF(ISTEXT(VLOOKUP(tbMaterials[[#This Row],[Item]],tbRefining[],1,FALSE)),"Yes","No")</f>
        <v>Yes</v>
      </c>
      <c r="J71" s="66"/>
    </row>
    <row r="72" spans="2:10" s="2" customFormat="1" ht="27.95" customHeight="1" x14ac:dyDescent="0.25">
      <c r="B72" s="66" t="s">
        <v>72</v>
      </c>
      <c r="C72" s="4" t="s">
        <v>278</v>
      </c>
      <c r="D72" s="5" t="s">
        <v>339</v>
      </c>
      <c r="E72" s="7">
        <v>62</v>
      </c>
      <c r="F72" s="28">
        <f>VLOOKUP(tbMaterials[[#This Row],[Type]],tbStackSizes[],2,FALSE)</f>
        <v>9999</v>
      </c>
      <c r="G72" s="28">
        <f>tbMaterials[[#This Row],[Value]]*tbMaterials[[#This Row],[Max Stack]]</f>
        <v>619938</v>
      </c>
      <c r="H72" s="28" t="str">
        <f>IF(ISTEXT(VLOOKUP(tbMaterials[[#This Row],[Item]],tbBlueprints[],1,FALSE)),"Yes","No")</f>
        <v>No</v>
      </c>
      <c r="I72" s="28" t="str">
        <f>IF(ISTEXT(VLOOKUP(tbMaterials[[#This Row],[Item]],tbRefining[],1,FALSE)),"Yes","No")</f>
        <v>No</v>
      </c>
      <c r="J72" s="66"/>
    </row>
    <row r="73" spans="2:10" s="2" customFormat="1" ht="27.95" hidden="1" customHeight="1" x14ac:dyDescent="0.25">
      <c r="B73" s="2" t="s">
        <v>309</v>
      </c>
      <c r="C73" s="4" t="s">
        <v>277</v>
      </c>
      <c r="D73" s="5" t="s">
        <v>510</v>
      </c>
      <c r="E73" s="7">
        <v>25000</v>
      </c>
      <c r="F73" s="28">
        <f>VLOOKUP(tbMaterials[[#This Row],[Type]],tbStackSizes[],2,FALSE)</f>
        <v>20</v>
      </c>
      <c r="G73" s="28">
        <f>tbMaterials[[#This Row],[Value]]*tbMaterials[[#This Row],[Max Stack]]</f>
        <v>500000</v>
      </c>
      <c r="H73" s="28" t="str">
        <f>IF(ISTEXT(VLOOKUP(tbMaterials[[#This Row],[Item]],tbBlueprints[],1,FALSE)),"Yes","No")</f>
        <v>Yes</v>
      </c>
      <c r="I73" s="28" t="str">
        <f>IF(ISTEXT(VLOOKUP(tbMaterials[[#This Row],[Item]],tbRefining[],1,FALSE)),"Yes","No")</f>
        <v>No</v>
      </c>
    </row>
    <row r="74" spans="2:10" s="2" customFormat="1" ht="27.95" customHeight="1" x14ac:dyDescent="0.25">
      <c r="B74" s="2" t="s">
        <v>332</v>
      </c>
      <c r="C74" s="4" t="s">
        <v>278</v>
      </c>
      <c r="D74" s="5" t="s">
        <v>338</v>
      </c>
      <c r="E74" s="7">
        <v>275</v>
      </c>
      <c r="F74" s="28">
        <f>VLOOKUP(tbMaterials[[#This Row],[Type]],tbStackSizes[],2,FALSE)</f>
        <v>9999</v>
      </c>
      <c r="G74" s="28">
        <f>tbMaterials[[#This Row],[Value]]*tbMaterials[[#This Row],[Max Stack]]</f>
        <v>2749725</v>
      </c>
      <c r="H74" s="28" t="str">
        <f>IF(ISTEXT(VLOOKUP(tbMaterials[[#This Row],[Item]],tbBlueprints[],1,FALSE)),"Yes","No")</f>
        <v>No</v>
      </c>
      <c r="I74" s="28" t="str">
        <f>IF(ISTEXT(VLOOKUP(tbMaterials[[#This Row],[Item]],tbRefining[],1,FALSE)),"Yes","No")</f>
        <v>Yes</v>
      </c>
    </row>
    <row r="75" spans="2:10" s="2" customFormat="1" ht="27.95" hidden="1" customHeight="1" x14ac:dyDescent="0.25">
      <c r="B75" s="3" t="s">
        <v>211</v>
      </c>
      <c r="C75" s="5" t="s">
        <v>277</v>
      </c>
      <c r="D75" s="5" t="s">
        <v>494</v>
      </c>
      <c r="E75" s="9">
        <v>1000</v>
      </c>
      <c r="F75" s="41">
        <f>VLOOKUP(tbMaterials[[#This Row],[Type]],tbStackSizes[],2,FALSE)</f>
        <v>20</v>
      </c>
      <c r="G75" s="41">
        <f>tbMaterials[[#This Row],[Value]]*tbMaterials[[#This Row],[Max Stack]]</f>
        <v>20000</v>
      </c>
      <c r="H75" s="41" t="str">
        <f>IF(ISTEXT(VLOOKUP(tbMaterials[[#This Row],[Item]],tbBlueprints[],1,FALSE)),"Yes","No")</f>
        <v>No</v>
      </c>
      <c r="I75" s="41" t="str">
        <f>IF(ISTEXT(VLOOKUP(tbMaterials[[#This Row],[Item]],tbRefining[],1,FALSE)),"Yes","No")</f>
        <v>No</v>
      </c>
      <c r="J75" s="3"/>
    </row>
    <row r="76" spans="2:10" s="2" customFormat="1" ht="27.95" hidden="1" customHeight="1" x14ac:dyDescent="0.25">
      <c r="B76" s="3" t="s">
        <v>501</v>
      </c>
      <c r="C76" s="5" t="s">
        <v>277</v>
      </c>
      <c r="D76" s="5" t="s">
        <v>496</v>
      </c>
      <c r="E76" s="9">
        <v>50000</v>
      </c>
      <c r="F76" s="41">
        <f>VLOOKUP(tbMaterials[[#This Row],[Type]],tbStackSizes[],2,FALSE)</f>
        <v>20</v>
      </c>
      <c r="G76" s="41">
        <f>tbMaterials[[#This Row],[Value]]*tbMaterials[[#This Row],[Max Stack]]</f>
        <v>1000000</v>
      </c>
      <c r="H76" s="41" t="str">
        <f>IF(ISTEXT(VLOOKUP(tbMaterials[[#This Row],[Item]],tbBlueprints[],1,FALSE)),"Yes","No")</f>
        <v>Yes</v>
      </c>
      <c r="I76" s="41" t="str">
        <f>IF(ISTEXT(VLOOKUP(tbMaterials[[#This Row],[Item]],tbRefining[],1,FALSE)),"Yes","No")</f>
        <v>Yes</v>
      </c>
      <c r="J76" s="3"/>
    </row>
    <row r="77" spans="2:10" s="2" customFormat="1" ht="27.95" hidden="1" customHeight="1" x14ac:dyDescent="0.25">
      <c r="B77" s="2" t="s">
        <v>919</v>
      </c>
      <c r="C77" s="4" t="s">
        <v>291</v>
      </c>
      <c r="D77" s="5" t="s">
        <v>923</v>
      </c>
      <c r="E77" s="7">
        <v>800</v>
      </c>
      <c r="F77" s="28">
        <f>VLOOKUP(tbMaterials[[#This Row],[Type]],tbStackSizes[],2,FALSE)</f>
        <v>20</v>
      </c>
      <c r="G77" s="28">
        <f>tbMaterials[[#This Row],[Value]]*tbMaterials[[#This Row],[Max Stack]]</f>
        <v>16000</v>
      </c>
      <c r="H77" s="28" t="str">
        <f>IF(ISTEXT(VLOOKUP(tbMaterials[[#This Row],[Item]],tbBlueprints[],1,FALSE)),"Yes","No")</f>
        <v>No</v>
      </c>
      <c r="I77" s="28" t="str">
        <f>IF(ISTEXT(VLOOKUP(tbMaterials[[#This Row],[Item]],tbRefining[],1,FALSE)),"Yes","No")</f>
        <v>No</v>
      </c>
      <c r="J77" s="66" t="s">
        <v>1048</v>
      </c>
    </row>
    <row r="78" spans="2:10" s="2" customFormat="1" ht="27.95" hidden="1" customHeight="1" x14ac:dyDescent="0.25">
      <c r="B78" s="3" t="s">
        <v>600</v>
      </c>
      <c r="C78" s="5" t="s">
        <v>599</v>
      </c>
      <c r="D78" s="3" t="s">
        <v>600</v>
      </c>
      <c r="E78" s="9">
        <v>2141582</v>
      </c>
      <c r="F78" s="28">
        <f>VLOOKUP(tbMaterials[[#This Row],[Type]],tbStackSizes[],2,FALSE)</f>
        <v>5</v>
      </c>
      <c r="G78" s="28">
        <f>tbMaterials[[#This Row],[Value]]*tbMaterials[[#This Row],[Max Stack]]</f>
        <v>10707910</v>
      </c>
      <c r="H78" s="28" t="str">
        <f>IF(ISTEXT(VLOOKUP(tbMaterials[[#This Row],[Item]],tbBlueprints[],1,FALSE)),"Yes","No")</f>
        <v>No</v>
      </c>
      <c r="I78" s="28" t="str">
        <f>IF(ISTEXT(VLOOKUP(tbMaterials[[#This Row],[Item]],tbRefining[],1,FALSE)),"Yes","No")</f>
        <v>No</v>
      </c>
      <c r="J78" s="3"/>
    </row>
    <row r="79" spans="2:10" s="2" customFormat="1" ht="27.95" hidden="1" customHeight="1" x14ac:dyDescent="0.25">
      <c r="B79" s="66" t="s">
        <v>188</v>
      </c>
      <c r="C79" s="4" t="s">
        <v>277</v>
      </c>
      <c r="D79" s="5" t="s">
        <v>555</v>
      </c>
      <c r="E79" s="7">
        <v>30000</v>
      </c>
      <c r="F79" s="28">
        <f>VLOOKUP(tbMaterials[[#This Row],[Type]],tbStackSizes[],2,FALSE)</f>
        <v>20</v>
      </c>
      <c r="G79" s="28">
        <f>tbMaterials[[#This Row],[Value]]*tbMaterials[[#This Row],[Max Stack]]</f>
        <v>600000</v>
      </c>
      <c r="H79" s="28" t="str">
        <f>IF(ISTEXT(VLOOKUP(tbMaterials[[#This Row],[Item]],tbBlueprints[],1,FALSE)),"Yes","No")</f>
        <v>No</v>
      </c>
      <c r="I79" s="28" t="str">
        <f>IF(ISTEXT(VLOOKUP(tbMaterials[[#This Row],[Item]],tbRefining[],1,FALSE)),"Yes","No")</f>
        <v>No</v>
      </c>
      <c r="J79" s="66"/>
    </row>
    <row r="80" spans="2:10" s="2" customFormat="1" ht="27.95" customHeight="1" x14ac:dyDescent="0.25">
      <c r="B80" s="2" t="s">
        <v>347</v>
      </c>
      <c r="C80" s="4" t="s">
        <v>278</v>
      </c>
      <c r="D80" s="5" t="s">
        <v>925</v>
      </c>
      <c r="E80" s="7">
        <v>12</v>
      </c>
      <c r="F80" s="28">
        <f>VLOOKUP(tbMaterials[[#This Row],[Type]],tbStackSizes[],2,FALSE)</f>
        <v>9999</v>
      </c>
      <c r="G80" s="28">
        <f>tbMaterials[[#This Row],[Value]]*tbMaterials[[#This Row],[Max Stack]]</f>
        <v>119988</v>
      </c>
      <c r="H80" s="28" t="str">
        <f>IF(ISTEXT(VLOOKUP(tbMaterials[[#This Row],[Item]],tbBlueprints[],1,FALSE)),"Yes","No")</f>
        <v>No</v>
      </c>
      <c r="I80" s="28" t="str">
        <f>IF(ISTEXT(VLOOKUP(tbMaterials[[#This Row],[Item]],tbRefining[],1,FALSE)),"Yes","No")</f>
        <v>No</v>
      </c>
    </row>
    <row r="81" spans="2:10" s="66" customFormat="1" ht="27.95" hidden="1" customHeight="1" x14ac:dyDescent="0.25">
      <c r="B81" s="66" t="s">
        <v>928</v>
      </c>
      <c r="C81" s="4" t="s">
        <v>291</v>
      </c>
      <c r="D81" s="5" t="s">
        <v>362</v>
      </c>
      <c r="E81" s="7">
        <v>300</v>
      </c>
      <c r="F81" s="28">
        <f>VLOOKUP(tbMaterials[[#This Row],[Type]],tbStackSizes[],2,FALSE)</f>
        <v>20</v>
      </c>
      <c r="G81" s="28">
        <f>tbMaterials[[#This Row],[Value]]*tbMaterials[[#This Row],[Max Stack]]</f>
        <v>6000</v>
      </c>
      <c r="H81" s="28" t="str">
        <f>IF(ISTEXT(VLOOKUP(tbMaterials[[#This Row],[Item]],tbBlueprints[],1,FALSE)),"Yes","No")</f>
        <v>No</v>
      </c>
      <c r="I81" s="28" t="str">
        <f>IF(ISTEXT(VLOOKUP(tbMaterials[[#This Row],[Item]],tbRefining[],1,FALSE)),"Yes","No")</f>
        <v>No</v>
      </c>
      <c r="J81" s="66" t="s">
        <v>1007</v>
      </c>
    </row>
    <row r="82" spans="2:10" s="66" customFormat="1" ht="27.95" hidden="1" customHeight="1" x14ac:dyDescent="0.25">
      <c r="B82" s="66" t="s">
        <v>930</v>
      </c>
      <c r="C82" s="4" t="s">
        <v>291</v>
      </c>
      <c r="D82" s="5" t="s">
        <v>923</v>
      </c>
      <c r="E82" s="7">
        <v>800</v>
      </c>
      <c r="F82" s="28">
        <f>VLOOKUP(tbMaterials[[#This Row],[Type]],tbStackSizes[],2,FALSE)</f>
        <v>20</v>
      </c>
      <c r="G82" s="28">
        <f>tbMaterials[[#This Row],[Value]]*tbMaterials[[#This Row],[Max Stack]]</f>
        <v>16000</v>
      </c>
      <c r="H82" s="28" t="str">
        <f>IF(ISTEXT(VLOOKUP(tbMaterials[[#This Row],[Item]],tbBlueprints[],1,FALSE)),"Yes","No")</f>
        <v>No</v>
      </c>
      <c r="I82" s="28" t="str">
        <f>IF(ISTEXT(VLOOKUP(tbMaterials[[#This Row],[Item]],tbRefining[],1,FALSE)),"Yes","No")</f>
        <v>No</v>
      </c>
      <c r="J82" s="66" t="s">
        <v>1049</v>
      </c>
    </row>
    <row r="83" spans="2:10" s="66" customFormat="1" ht="27.95" customHeight="1" x14ac:dyDescent="0.25">
      <c r="B83" s="66" t="s">
        <v>12</v>
      </c>
      <c r="C83" s="4" t="s">
        <v>278</v>
      </c>
      <c r="D83" s="5" t="s">
        <v>348</v>
      </c>
      <c r="E83" s="7">
        <v>14</v>
      </c>
      <c r="F83" s="28">
        <f>VLOOKUP(tbMaterials[[#This Row],[Type]],tbStackSizes[],2,FALSE)</f>
        <v>9999</v>
      </c>
      <c r="G83" s="28">
        <f>tbMaterials[[#This Row],[Value]]*tbMaterials[[#This Row],[Max Stack]]</f>
        <v>139986</v>
      </c>
      <c r="H83" s="28" t="str">
        <f>IF(ISTEXT(VLOOKUP(tbMaterials[[#This Row],[Item]],tbBlueprints[],1,FALSE)),"Yes","No")</f>
        <v>No</v>
      </c>
      <c r="I83" s="28" t="str">
        <f>IF(ISTEXT(VLOOKUP(tbMaterials[[#This Row],[Item]],tbRefining[],1,FALSE)),"Yes","No")</f>
        <v>No</v>
      </c>
    </row>
    <row r="84" spans="2:10" s="66" customFormat="1" ht="27.95" hidden="1" customHeight="1" x14ac:dyDescent="0.25">
      <c r="B84" s="66" t="s">
        <v>964</v>
      </c>
      <c r="C84" s="4" t="s">
        <v>291</v>
      </c>
      <c r="D84" s="5" t="s">
        <v>945</v>
      </c>
      <c r="E84" s="7">
        <v>1800</v>
      </c>
      <c r="F84" s="28">
        <f>VLOOKUP(tbMaterials[[#This Row],[Type]],tbStackSizes[],2,FALSE)</f>
        <v>20</v>
      </c>
      <c r="G84" s="28">
        <f>tbMaterials[[#This Row],[Value]]*tbMaterials[[#This Row],[Max Stack]]</f>
        <v>36000</v>
      </c>
      <c r="H84" s="28" t="str">
        <f>IF(ISTEXT(VLOOKUP(tbMaterials[[#This Row],[Item]],tbBlueprints[],1,FALSE)),"Yes","No")</f>
        <v>No</v>
      </c>
      <c r="I84" s="28" t="str">
        <f>IF(ISTEXT(VLOOKUP(tbMaterials[[#This Row],[Item]],tbRefining[],1,FALSE)),"Yes","No")</f>
        <v>No</v>
      </c>
    </row>
    <row r="85" spans="2:10" s="66" customFormat="1" ht="27.95" hidden="1" customHeight="1" x14ac:dyDescent="0.25">
      <c r="B85" s="66" t="s">
        <v>986</v>
      </c>
      <c r="C85" s="4" t="s">
        <v>291</v>
      </c>
      <c r="D85" s="5" t="s">
        <v>362</v>
      </c>
      <c r="E85" s="7">
        <v>1400</v>
      </c>
      <c r="F85" s="28">
        <f>VLOOKUP(tbMaterials[[#This Row],[Type]],tbStackSizes[],2,FALSE)</f>
        <v>20</v>
      </c>
      <c r="G85" s="28">
        <f>tbMaterials[[#This Row],[Value]]*tbMaterials[[#This Row],[Max Stack]]</f>
        <v>28000</v>
      </c>
      <c r="H85" s="28" t="str">
        <f>IF(ISTEXT(VLOOKUP(tbMaterials[[#This Row],[Item]],tbBlueprints[],1,FALSE)),"Yes","No")</f>
        <v>No</v>
      </c>
      <c r="I85" s="28" t="str">
        <f>IF(ISTEXT(VLOOKUP(tbMaterials[[#This Row],[Item]],tbRefining[],1,FALSE)),"Yes","No")</f>
        <v>No</v>
      </c>
      <c r="J85" s="66" t="s">
        <v>1022</v>
      </c>
    </row>
    <row r="86" spans="2:10" s="66" customFormat="1" ht="27.95" hidden="1" customHeight="1" x14ac:dyDescent="0.25">
      <c r="B86" s="66" t="s">
        <v>519</v>
      </c>
      <c r="C86" s="4" t="s">
        <v>277</v>
      </c>
      <c r="D86" s="5" t="s">
        <v>498</v>
      </c>
      <c r="E86" s="7">
        <v>30000</v>
      </c>
      <c r="F86" s="28">
        <f>VLOOKUP(tbMaterials[[#This Row],[Type]],tbStackSizes[],2,FALSE)</f>
        <v>20</v>
      </c>
      <c r="G86" s="28">
        <f>tbMaterials[[#This Row],[Value]]*tbMaterials[[#This Row],[Max Stack]]</f>
        <v>600000</v>
      </c>
      <c r="H86" s="28" t="str">
        <f>IF(ISTEXT(VLOOKUP(tbMaterials[[#This Row],[Item]],tbBlueprints[],1,FALSE)),"Yes","No")</f>
        <v>No</v>
      </c>
      <c r="I86" s="28" t="str">
        <f>IF(ISTEXT(VLOOKUP(tbMaterials[[#This Row],[Item]],tbRefining[],1,FALSE)),"Yes","No")</f>
        <v>No</v>
      </c>
    </row>
    <row r="87" spans="2:10" s="66" customFormat="1" ht="27.95" hidden="1" customHeight="1" x14ac:dyDescent="0.25">
      <c r="B87" s="66" t="s">
        <v>937</v>
      </c>
      <c r="C87" s="4" t="s">
        <v>291</v>
      </c>
      <c r="D87" s="5" t="s">
        <v>362</v>
      </c>
      <c r="E87" s="7">
        <v>300</v>
      </c>
      <c r="F87" s="28">
        <f>VLOOKUP(tbMaterials[[#This Row],[Type]],tbStackSizes[],2,FALSE)</f>
        <v>20</v>
      </c>
      <c r="G87" s="28">
        <f>tbMaterials[[#This Row],[Value]]*tbMaterials[[#This Row],[Max Stack]]</f>
        <v>6000</v>
      </c>
      <c r="H87" s="28" t="str">
        <f>IF(ISTEXT(VLOOKUP(tbMaterials[[#This Row],[Item]],tbBlueprints[],1,FALSE)),"Yes","No")</f>
        <v>No</v>
      </c>
      <c r="I87" s="28" t="str">
        <f>IF(ISTEXT(VLOOKUP(tbMaterials[[#This Row],[Item]],tbRefining[],1,FALSE)),"Yes","No")</f>
        <v>No</v>
      </c>
      <c r="J87" s="66" t="s">
        <v>1029</v>
      </c>
    </row>
    <row r="88" spans="2:10" s="66" customFormat="1" ht="27.95" customHeight="1" x14ac:dyDescent="0.25">
      <c r="B88" s="66" t="s">
        <v>71</v>
      </c>
      <c r="C88" s="4" t="s">
        <v>278</v>
      </c>
      <c r="D88" s="5" t="s">
        <v>340</v>
      </c>
      <c r="E88" s="7">
        <v>12</v>
      </c>
      <c r="F88" s="28">
        <f>VLOOKUP(tbMaterials[[#This Row],[Type]],tbStackSizes[],2,FALSE)</f>
        <v>9999</v>
      </c>
      <c r="G88" s="28">
        <f>tbMaterials[[#This Row],[Value]]*tbMaterials[[#This Row],[Max Stack]]</f>
        <v>119988</v>
      </c>
      <c r="H88" s="28" t="str">
        <f>IF(ISTEXT(VLOOKUP(tbMaterials[[#This Row],[Item]],tbBlueprints[],1,FALSE)),"Yes","No")</f>
        <v>No</v>
      </c>
      <c r="I88" s="28" t="str">
        <f>IF(ISTEXT(VLOOKUP(tbMaterials[[#This Row],[Item]],tbRefining[],1,FALSE)),"Yes","No")</f>
        <v>No</v>
      </c>
    </row>
    <row r="89" spans="2:10" s="66" customFormat="1" ht="27.95" hidden="1" customHeight="1" x14ac:dyDescent="0.25">
      <c r="B89" s="66" t="s">
        <v>929</v>
      </c>
      <c r="C89" s="4" t="s">
        <v>291</v>
      </c>
      <c r="D89" s="5" t="s">
        <v>362</v>
      </c>
      <c r="E89" s="7">
        <v>300</v>
      </c>
      <c r="F89" s="28">
        <f>VLOOKUP(tbMaterials[[#This Row],[Type]],tbStackSizes[],2,FALSE)</f>
        <v>20</v>
      </c>
      <c r="G89" s="28">
        <f>tbMaterials[[#This Row],[Value]]*tbMaterials[[#This Row],[Max Stack]]</f>
        <v>6000</v>
      </c>
      <c r="H89" s="28" t="str">
        <f>IF(ISTEXT(VLOOKUP(tbMaterials[[#This Row],[Item]],tbBlueprints[],1,FALSE)),"Yes","No")</f>
        <v>No</v>
      </c>
      <c r="I89" s="28" t="str">
        <f>IF(ISTEXT(VLOOKUP(tbMaterials[[#This Row],[Item]],tbRefining[],1,FALSE)),"Yes","No")</f>
        <v>No</v>
      </c>
      <c r="J89" s="66" t="s">
        <v>1001</v>
      </c>
    </row>
    <row r="90" spans="2:10" s="66" customFormat="1" ht="27.95" customHeight="1" x14ac:dyDescent="0.25">
      <c r="B90" s="66" t="s">
        <v>245</v>
      </c>
      <c r="C90" s="4" t="s">
        <v>278</v>
      </c>
      <c r="D90" s="5" t="s">
        <v>340</v>
      </c>
      <c r="E90" s="7">
        <v>16</v>
      </c>
      <c r="F90" s="28">
        <f>VLOOKUP(tbMaterials[[#This Row],[Type]],tbStackSizes[],2,FALSE)</f>
        <v>9999</v>
      </c>
      <c r="G90" s="28">
        <f>tbMaterials[[#This Row],[Value]]*tbMaterials[[#This Row],[Max Stack]]</f>
        <v>159984</v>
      </c>
      <c r="H90" s="28" t="str">
        <f>IF(ISTEXT(VLOOKUP(tbMaterials[[#This Row],[Item]],tbBlueprints[],1,FALSE)),"Yes","No")</f>
        <v>No</v>
      </c>
      <c r="I90" s="28" t="str">
        <f>IF(ISTEXT(VLOOKUP(tbMaterials[[#This Row],[Item]],tbRefining[],1,FALSE)),"Yes","No")</f>
        <v>Yes</v>
      </c>
    </row>
    <row r="91" spans="2:10" s="66" customFormat="1" ht="27.95" hidden="1" customHeight="1" x14ac:dyDescent="0.25">
      <c r="B91" s="66" t="s">
        <v>977</v>
      </c>
      <c r="C91" s="4" t="s">
        <v>291</v>
      </c>
      <c r="D91" s="5" t="s">
        <v>945</v>
      </c>
      <c r="E91" s="7">
        <v>9000</v>
      </c>
      <c r="F91" s="28">
        <f>VLOOKUP(tbMaterials[[#This Row],[Type]],tbStackSizes[],2,FALSE)</f>
        <v>20</v>
      </c>
      <c r="G91" s="28">
        <f>tbMaterials[[#This Row],[Value]]*tbMaterials[[#This Row],[Max Stack]]</f>
        <v>180000</v>
      </c>
      <c r="H91" s="28" t="str">
        <f>IF(ISTEXT(VLOOKUP(tbMaterials[[#This Row],[Item]],tbBlueprints[],1,FALSE)),"Yes","No")</f>
        <v>No</v>
      </c>
      <c r="I91" s="28" t="str">
        <f>IF(ISTEXT(VLOOKUP(tbMaterials[[#This Row],[Item]],tbRefining[],1,FALSE)),"Yes","No")</f>
        <v>No</v>
      </c>
    </row>
    <row r="92" spans="2:10" s="66" customFormat="1" ht="27.95" hidden="1" customHeight="1" x14ac:dyDescent="0.25">
      <c r="B92" s="66" t="s">
        <v>517</v>
      </c>
      <c r="C92" s="4" t="s">
        <v>277</v>
      </c>
      <c r="D92" s="5" t="s">
        <v>497</v>
      </c>
      <c r="E92" s="7">
        <v>15000000</v>
      </c>
      <c r="F92" s="28">
        <f>VLOOKUP(tbMaterials[[#This Row],[Type]],tbStackSizes[],2,FALSE)</f>
        <v>20</v>
      </c>
      <c r="G92" s="28">
        <f>tbMaterials[[#This Row],[Value]]*tbMaterials[[#This Row],[Max Stack]]</f>
        <v>300000000</v>
      </c>
      <c r="H92" s="28" t="str">
        <f>IF(ISTEXT(VLOOKUP(tbMaterials[[#This Row],[Item]],tbBlueprints[],1,FALSE)),"Yes","No")</f>
        <v>Yes</v>
      </c>
      <c r="I92" s="28" t="str">
        <f>IF(ISTEXT(VLOOKUP(tbMaterials[[#This Row],[Item]],tbRefining[],1,FALSE)),"Yes","No")</f>
        <v>No</v>
      </c>
    </row>
    <row r="93" spans="2:10" s="66" customFormat="1" ht="27.95" hidden="1" customHeight="1" x14ac:dyDescent="0.25">
      <c r="B93" s="66" t="s">
        <v>189</v>
      </c>
      <c r="C93" s="4" t="s">
        <v>277</v>
      </c>
      <c r="D93" s="5" t="s">
        <v>555</v>
      </c>
      <c r="E93" s="7">
        <v>50000</v>
      </c>
      <c r="F93" s="28">
        <f>VLOOKUP(tbMaterials[[#This Row],[Type]],tbStackSizes[],2,FALSE)</f>
        <v>20</v>
      </c>
      <c r="G93" s="28">
        <f>tbMaterials[[#This Row],[Value]]*tbMaterials[[#This Row],[Max Stack]]</f>
        <v>1000000</v>
      </c>
      <c r="H93" s="28" t="str">
        <f>IF(ISTEXT(VLOOKUP(tbMaterials[[#This Row],[Item]],tbBlueprints[],1,FALSE)),"Yes","No")</f>
        <v>No</v>
      </c>
      <c r="I93" s="28" t="str">
        <f>IF(ISTEXT(VLOOKUP(tbMaterials[[#This Row],[Item]],tbRefining[],1,FALSE)),"Yes","No")</f>
        <v>No</v>
      </c>
    </row>
    <row r="94" spans="2:10" s="66" customFormat="1" ht="27.95" hidden="1" customHeight="1" x14ac:dyDescent="0.25">
      <c r="B94" s="66" t="s">
        <v>898</v>
      </c>
      <c r="C94" s="4" t="s">
        <v>277</v>
      </c>
      <c r="D94" s="5" t="s">
        <v>899</v>
      </c>
      <c r="E94" s="7">
        <v>15600000</v>
      </c>
      <c r="F94" s="28">
        <f>VLOOKUP(tbMaterials[[#This Row],[Type]],tbStackSizes[],2,FALSE)</f>
        <v>20</v>
      </c>
      <c r="G94" s="28">
        <f>tbMaterials[[#This Row],[Value]]*tbMaterials[[#This Row],[Max Stack]]</f>
        <v>312000000</v>
      </c>
      <c r="H94" s="28" t="str">
        <f>IF(ISTEXT(VLOOKUP(tbMaterials[[#This Row],[Item]],tbBlueprints[],1,FALSE)),"Yes","No")</f>
        <v>Yes</v>
      </c>
      <c r="I94" s="28" t="str">
        <f>IF(ISTEXT(VLOOKUP(tbMaterials[[#This Row],[Item]],tbRefining[],1,FALSE)),"Yes","No")</f>
        <v>No</v>
      </c>
    </row>
    <row r="95" spans="2:10" s="66" customFormat="1" ht="27.95" customHeight="1" x14ac:dyDescent="0.25">
      <c r="B95" s="66" t="s">
        <v>55</v>
      </c>
      <c r="C95" s="4" t="s">
        <v>278</v>
      </c>
      <c r="D95" s="5" t="s">
        <v>340</v>
      </c>
      <c r="E95" s="7">
        <v>16</v>
      </c>
      <c r="F95" s="28">
        <f>VLOOKUP(tbMaterials[[#This Row],[Type]],tbStackSizes[],2,FALSE)</f>
        <v>9999</v>
      </c>
      <c r="G95" s="28">
        <f>tbMaterials[[#This Row],[Value]]*tbMaterials[[#This Row],[Max Stack]]</f>
        <v>159984</v>
      </c>
      <c r="H95" s="28" t="str">
        <f>IF(ISTEXT(VLOOKUP(tbMaterials[[#This Row],[Item]],tbBlueprints[],1,FALSE)),"Yes","No")</f>
        <v>No</v>
      </c>
      <c r="I95" s="28" t="str">
        <f>IF(ISTEXT(VLOOKUP(tbMaterials[[#This Row],[Item]],tbRefining[],1,FALSE)),"Yes","No")</f>
        <v>Yes</v>
      </c>
    </row>
    <row r="96" spans="2:10" s="66" customFormat="1" ht="27.95" hidden="1" customHeight="1" x14ac:dyDescent="0.25">
      <c r="B96" s="66" t="s">
        <v>290</v>
      </c>
      <c r="C96" s="4" t="s">
        <v>284</v>
      </c>
      <c r="D96" s="5" t="s">
        <v>512</v>
      </c>
      <c r="E96" s="7">
        <v>23375</v>
      </c>
      <c r="F96" s="28">
        <f>VLOOKUP(tbMaterials[[#This Row],[Type]],tbStackSizes[],2,FALSE)</f>
        <v>5</v>
      </c>
      <c r="G96" s="28">
        <f>tbMaterials[[#This Row],[Value]]*tbMaterials[[#This Row],[Max Stack]]</f>
        <v>116875</v>
      </c>
      <c r="H96" s="28" t="str">
        <f>IF(ISTEXT(VLOOKUP(tbMaterials[[#This Row],[Item]],tbBlueprints[],1,FALSE)),"Yes","No")</f>
        <v>No</v>
      </c>
      <c r="I96" s="28" t="str">
        <f>IF(ISTEXT(VLOOKUP(tbMaterials[[#This Row],[Item]],tbRefining[],1,FALSE)),"Yes","No")</f>
        <v>No</v>
      </c>
    </row>
    <row r="97" spans="2:10" s="66" customFormat="1" ht="27.95" hidden="1" customHeight="1" x14ac:dyDescent="0.25">
      <c r="B97" s="66" t="s">
        <v>289</v>
      </c>
      <c r="C97" s="4" t="s">
        <v>284</v>
      </c>
      <c r="D97" s="5" t="s">
        <v>512</v>
      </c>
      <c r="E97" s="7">
        <v>20625</v>
      </c>
      <c r="F97" s="28">
        <f>VLOOKUP(tbMaterials[[#This Row],[Type]],tbStackSizes[],2,FALSE)</f>
        <v>5</v>
      </c>
      <c r="G97" s="28">
        <f>tbMaterials[[#This Row],[Value]]*tbMaterials[[#This Row],[Max Stack]]</f>
        <v>103125</v>
      </c>
      <c r="H97" s="28" t="str">
        <f>IF(ISTEXT(VLOOKUP(tbMaterials[[#This Row],[Item]],tbBlueprints[],1,FALSE)),"Yes","No")</f>
        <v>No</v>
      </c>
      <c r="I97" s="28" t="str">
        <f>IF(ISTEXT(VLOOKUP(tbMaterials[[#This Row],[Item]],tbRefining[],1,FALSE)),"Yes","No")</f>
        <v>No</v>
      </c>
    </row>
    <row r="98" spans="2:10" s="66" customFormat="1" ht="27.95" hidden="1" customHeight="1" x14ac:dyDescent="0.25">
      <c r="B98" s="66" t="s">
        <v>13</v>
      </c>
      <c r="C98" s="4" t="s">
        <v>284</v>
      </c>
      <c r="D98" s="5" t="s">
        <v>513</v>
      </c>
      <c r="E98" s="7">
        <v>3280</v>
      </c>
      <c r="F98" s="28">
        <f>VLOOKUP(tbMaterials[[#This Row],[Type]],tbStackSizes[],2,FALSE)</f>
        <v>5</v>
      </c>
      <c r="G98" s="28">
        <f>tbMaterials[[#This Row],[Value]]*tbMaterials[[#This Row],[Max Stack]]</f>
        <v>16400</v>
      </c>
      <c r="H98" s="28" t="str">
        <f>IF(ISTEXT(VLOOKUP(tbMaterials[[#This Row],[Item]],tbBlueprints[],1,FALSE)),"Yes","No")</f>
        <v>No</v>
      </c>
      <c r="I98" s="28" t="str">
        <f>IF(ISTEXT(VLOOKUP(tbMaterials[[#This Row],[Item]],tbRefining[],1,FALSE)),"Yes","No")</f>
        <v>No</v>
      </c>
      <c r="J98" s="66" t="s">
        <v>473</v>
      </c>
    </row>
    <row r="99" spans="2:10" s="66" customFormat="1" ht="27.95" hidden="1" customHeight="1" x14ac:dyDescent="0.25">
      <c r="B99" s="66" t="s">
        <v>518</v>
      </c>
      <c r="C99" s="4" t="s">
        <v>277</v>
      </c>
      <c r="D99" s="5" t="s">
        <v>535</v>
      </c>
      <c r="E99" s="7">
        <v>150000</v>
      </c>
      <c r="F99" s="28">
        <f>VLOOKUP(tbMaterials[[#This Row],[Type]],tbStackSizes[],2,FALSE)</f>
        <v>20</v>
      </c>
      <c r="G99" s="28">
        <f>tbMaterials[[#This Row],[Value]]*tbMaterials[[#This Row],[Max Stack]]</f>
        <v>3000000</v>
      </c>
      <c r="H99" s="28" t="str">
        <f>IF(ISTEXT(VLOOKUP(tbMaterials[[#This Row],[Item]],tbBlueprints[],1,FALSE)),"Yes","No")</f>
        <v>Yes</v>
      </c>
      <c r="I99" s="28" t="str">
        <f>IF(ISTEXT(VLOOKUP(tbMaterials[[#This Row],[Item]],tbRefining[],1,FALSE)),"Yes","No")</f>
        <v>No</v>
      </c>
    </row>
    <row r="100" spans="2:10" s="66" customFormat="1" ht="27.95" hidden="1" customHeight="1" x14ac:dyDescent="0.25">
      <c r="B100" s="66" t="s">
        <v>796</v>
      </c>
      <c r="C100" s="4" t="s">
        <v>277</v>
      </c>
      <c r="D100" s="5" t="s">
        <v>571</v>
      </c>
      <c r="E100" s="7">
        <v>200</v>
      </c>
      <c r="F100" s="28">
        <f>VLOOKUP(tbMaterials[[#This Row],[Type]],tbStackSizes[],2,FALSE)</f>
        <v>20</v>
      </c>
      <c r="G100" s="28">
        <f>tbMaterials[[#This Row],[Value]]*tbMaterials[[#This Row],[Max Stack]]</f>
        <v>4000</v>
      </c>
      <c r="H100" s="28" t="str">
        <f>IF(ISTEXT(VLOOKUP(tbMaterials[[#This Row],[Item]],tbBlueprints[],1,FALSE)),"Yes","No")</f>
        <v>No</v>
      </c>
      <c r="I100" s="28" t="str">
        <f>IF(ISTEXT(VLOOKUP(tbMaterials[[#This Row],[Item]],tbRefining[],1,FALSE)),"Yes","No")</f>
        <v>Yes</v>
      </c>
    </row>
    <row r="101" spans="2:10" s="66" customFormat="1" ht="27.95" hidden="1" customHeight="1" x14ac:dyDescent="0.25">
      <c r="B101" s="66" t="s">
        <v>16</v>
      </c>
      <c r="C101" s="4" t="s">
        <v>291</v>
      </c>
      <c r="D101" s="5" t="s">
        <v>362</v>
      </c>
      <c r="E101" s="7">
        <v>300</v>
      </c>
      <c r="F101" s="28">
        <f>VLOOKUP(tbMaterials[[#This Row],[Type]],tbStackSizes[],2,FALSE)</f>
        <v>20</v>
      </c>
      <c r="G101" s="28">
        <f>tbMaterials[[#This Row],[Value]]*tbMaterials[[#This Row],[Max Stack]]</f>
        <v>6000</v>
      </c>
      <c r="H101" s="28" t="str">
        <f>IF(ISTEXT(VLOOKUP(tbMaterials[[#This Row],[Item]],tbBlueprints[],1,FALSE)),"Yes","No")</f>
        <v>No</v>
      </c>
      <c r="I101" s="28" t="str">
        <f>IF(ISTEXT(VLOOKUP(tbMaterials[[#This Row],[Item]],tbRefining[],1,FALSE)),"Yes","No")</f>
        <v>No</v>
      </c>
      <c r="J101" s="66" t="s">
        <v>1007</v>
      </c>
    </row>
    <row r="102" spans="2:10" s="66" customFormat="1" ht="27.95" customHeight="1" x14ac:dyDescent="0.25">
      <c r="B102" s="66" t="s">
        <v>24</v>
      </c>
      <c r="C102" s="4" t="s">
        <v>278</v>
      </c>
      <c r="D102" s="5" t="s">
        <v>349</v>
      </c>
      <c r="E102" s="7">
        <v>353</v>
      </c>
      <c r="F102" s="28">
        <f>VLOOKUP(tbMaterials[[#This Row],[Type]],tbStackSizes[],2,FALSE)</f>
        <v>9999</v>
      </c>
      <c r="G102" s="28">
        <f>tbMaterials[[#This Row],[Value]]*tbMaterials[[#This Row],[Max Stack]]</f>
        <v>3529647</v>
      </c>
      <c r="H102" s="28" t="str">
        <f>IF(ISTEXT(VLOOKUP(tbMaterials[[#This Row],[Item]],tbBlueprints[],1,FALSE)),"Yes","No")</f>
        <v>No</v>
      </c>
      <c r="I102" s="28" t="str">
        <f>IF(ISTEXT(VLOOKUP(tbMaterials[[#This Row],[Item]],tbRefining[],1,FALSE)),"Yes","No")</f>
        <v>No</v>
      </c>
    </row>
    <row r="103" spans="2:10" s="66" customFormat="1" ht="27.95" hidden="1" customHeight="1" x14ac:dyDescent="0.25">
      <c r="B103" s="66" t="s">
        <v>26</v>
      </c>
      <c r="C103" s="4" t="s">
        <v>284</v>
      </c>
      <c r="D103" s="5" t="s">
        <v>513</v>
      </c>
      <c r="E103" s="7">
        <v>3280</v>
      </c>
      <c r="F103" s="28">
        <f>VLOOKUP(tbMaterials[[#This Row],[Type]],tbStackSizes[],2,FALSE)</f>
        <v>5</v>
      </c>
      <c r="G103" s="28">
        <f>tbMaterials[[#This Row],[Value]]*tbMaterials[[#This Row],[Max Stack]]</f>
        <v>16400</v>
      </c>
      <c r="H103" s="28" t="str">
        <f>IF(ISTEXT(VLOOKUP(tbMaterials[[#This Row],[Item]],tbBlueprints[],1,FALSE)),"Yes","No")</f>
        <v>No</v>
      </c>
      <c r="I103" s="28" t="str">
        <f>IF(ISTEXT(VLOOKUP(tbMaterials[[#This Row],[Item]],tbRefining[],1,FALSE)),"Yes","No")</f>
        <v>No</v>
      </c>
      <c r="J103" s="66" t="s">
        <v>467</v>
      </c>
    </row>
    <row r="104" spans="2:10" s="66" customFormat="1" ht="27.95" hidden="1" customHeight="1" x14ac:dyDescent="0.25">
      <c r="B104" s="66" t="s">
        <v>962</v>
      </c>
      <c r="C104" s="4" t="s">
        <v>291</v>
      </c>
      <c r="D104" s="5" t="s">
        <v>362</v>
      </c>
      <c r="E104" s="7">
        <v>3200</v>
      </c>
      <c r="F104" s="28">
        <f>VLOOKUP(tbMaterials[[#This Row],[Type]],tbStackSizes[],2,FALSE)</f>
        <v>20</v>
      </c>
      <c r="G104" s="28">
        <f>tbMaterials[[#This Row],[Value]]*tbMaterials[[#This Row],[Max Stack]]</f>
        <v>64000</v>
      </c>
      <c r="H104" s="28" t="str">
        <f>IF(ISTEXT(VLOOKUP(tbMaterials[[#This Row],[Item]],tbBlueprints[],1,FALSE)),"Yes","No")</f>
        <v>No</v>
      </c>
      <c r="I104" s="28" t="str">
        <f>IF(ISTEXT(VLOOKUP(tbMaterials[[#This Row],[Item]],tbRefining[],1,FALSE)),"Yes","No")</f>
        <v>No</v>
      </c>
      <c r="J104" s="66" t="s">
        <v>1040</v>
      </c>
    </row>
    <row r="105" spans="2:10" s="66" customFormat="1" ht="27.95" hidden="1" customHeight="1" x14ac:dyDescent="0.25">
      <c r="B105" s="66" t="s">
        <v>310</v>
      </c>
      <c r="C105" s="4" t="s">
        <v>277</v>
      </c>
      <c r="D105" s="5" t="s">
        <v>510</v>
      </c>
      <c r="E105" s="7">
        <v>25000</v>
      </c>
      <c r="F105" s="28">
        <f>VLOOKUP(tbMaterials[[#This Row],[Type]],tbStackSizes[],2,FALSE)</f>
        <v>20</v>
      </c>
      <c r="G105" s="28">
        <f>tbMaterials[[#This Row],[Value]]*tbMaterials[[#This Row],[Max Stack]]</f>
        <v>500000</v>
      </c>
      <c r="H105" s="28" t="str">
        <f>IF(ISTEXT(VLOOKUP(tbMaterials[[#This Row],[Item]],tbBlueprints[],1,FALSE)),"Yes","No")</f>
        <v>Yes</v>
      </c>
      <c r="I105" s="28" t="str">
        <f>IF(ISTEXT(VLOOKUP(tbMaterials[[#This Row],[Item]],tbRefining[],1,FALSE)),"Yes","No")</f>
        <v>No</v>
      </c>
    </row>
    <row r="106" spans="2:10" s="66" customFormat="1" ht="27.95" hidden="1" customHeight="1" x14ac:dyDescent="0.25">
      <c r="B106" s="66" t="s">
        <v>293</v>
      </c>
      <c r="C106" s="4" t="s">
        <v>277</v>
      </c>
      <c r="D106" s="5" t="s">
        <v>325</v>
      </c>
      <c r="E106" s="7">
        <v>12445</v>
      </c>
      <c r="F106" s="28">
        <f>VLOOKUP(tbMaterials[[#This Row],[Type]],tbStackSizes[],2,FALSE)</f>
        <v>20</v>
      </c>
      <c r="G106" s="28">
        <f>tbMaterials[[#This Row],[Value]]*tbMaterials[[#This Row],[Max Stack]]</f>
        <v>248900</v>
      </c>
      <c r="H106" s="28" t="str">
        <f>IF(ISTEXT(VLOOKUP(tbMaterials[[#This Row],[Item]],tbBlueprints[],1,FALSE)),"Yes","No")</f>
        <v>No</v>
      </c>
      <c r="I106" s="28" t="str">
        <f>IF(ISTEXT(VLOOKUP(tbMaterials[[#This Row],[Item]],tbRefining[],1,FALSE)),"Yes","No")</f>
        <v>No</v>
      </c>
    </row>
    <row r="107" spans="2:10" s="66" customFormat="1" ht="27.95" hidden="1" customHeight="1" x14ac:dyDescent="0.25">
      <c r="B107" s="66" t="s">
        <v>982</v>
      </c>
      <c r="C107" s="4" t="s">
        <v>291</v>
      </c>
      <c r="D107" s="5" t="s">
        <v>974</v>
      </c>
      <c r="E107" s="7">
        <v>800</v>
      </c>
      <c r="F107" s="28">
        <f>VLOOKUP(tbMaterials[[#This Row],[Type]],tbStackSizes[],2,FALSE)</f>
        <v>20</v>
      </c>
      <c r="G107" s="28">
        <f>tbMaterials[[#This Row],[Value]]*tbMaterials[[#This Row],[Max Stack]]</f>
        <v>16000</v>
      </c>
      <c r="H107" s="28" t="str">
        <f>IF(ISTEXT(VLOOKUP(tbMaterials[[#This Row],[Item]],tbBlueprints[],1,FALSE)),"Yes","No")</f>
        <v>No</v>
      </c>
      <c r="I107" s="28" t="str">
        <f>IF(ISTEXT(VLOOKUP(tbMaterials[[#This Row],[Item]],tbRefining[],1,FALSE)),"Yes","No")</f>
        <v>No</v>
      </c>
      <c r="J107" s="2" t="s">
        <v>1043</v>
      </c>
    </row>
    <row r="108" spans="2:10" s="66" customFormat="1" ht="27.95" hidden="1" customHeight="1" x14ac:dyDescent="0.25">
      <c r="B108" s="66" t="s">
        <v>841</v>
      </c>
      <c r="C108" s="4" t="s">
        <v>461</v>
      </c>
      <c r="D108" s="5" t="s">
        <v>571</v>
      </c>
      <c r="E108" s="7">
        <v>180000</v>
      </c>
      <c r="F108" s="28">
        <f>VLOOKUP(tbMaterials[[#This Row],[Type]],tbStackSizes[],2,FALSE)</f>
        <v>10</v>
      </c>
      <c r="G108" s="28">
        <f>tbMaterials[[#This Row],[Value]]*tbMaterials[[#This Row],[Max Stack]]</f>
        <v>1800000</v>
      </c>
      <c r="H108" s="28" t="str">
        <f>IF(ISTEXT(VLOOKUP(tbMaterials[[#This Row],[Item]],tbBlueprints[],1,FALSE)),"Yes","No")</f>
        <v>Yes</v>
      </c>
      <c r="I108" s="28" t="str">
        <f>IF(ISTEXT(VLOOKUP(tbMaterials[[#This Row],[Item]],tbRefining[],1,FALSE)),"Yes","No")</f>
        <v>No</v>
      </c>
    </row>
    <row r="109" spans="2:10" s="66" customFormat="1" ht="27.95" hidden="1" customHeight="1" x14ac:dyDescent="0.25">
      <c r="B109" s="66" t="s">
        <v>960</v>
      </c>
      <c r="C109" s="4" t="s">
        <v>291</v>
      </c>
      <c r="D109" s="5" t="s">
        <v>362</v>
      </c>
      <c r="E109" s="7">
        <v>1600</v>
      </c>
      <c r="F109" s="28">
        <f>VLOOKUP(tbMaterials[[#This Row],[Type]],tbStackSizes[],2,FALSE)</f>
        <v>20</v>
      </c>
      <c r="G109" s="28">
        <f>tbMaterials[[#This Row],[Value]]*tbMaterials[[#This Row],[Max Stack]]</f>
        <v>32000</v>
      </c>
      <c r="H109" s="28" t="str">
        <f>IF(ISTEXT(VLOOKUP(tbMaterials[[#This Row],[Item]],tbBlueprints[],1,FALSE)),"Yes","No")</f>
        <v>No</v>
      </c>
      <c r="I109" s="28" t="str">
        <f>IF(ISTEXT(VLOOKUP(tbMaterials[[#This Row],[Item]],tbRefining[],1,FALSE)),"Yes","No")</f>
        <v>No</v>
      </c>
      <c r="J109" s="66" t="s">
        <v>995</v>
      </c>
    </row>
    <row r="110" spans="2:10" s="66" customFormat="1" ht="27.95" hidden="1" customHeight="1" x14ac:dyDescent="0.25">
      <c r="B110" s="66" t="s">
        <v>524</v>
      </c>
      <c r="C110" s="4" t="s">
        <v>461</v>
      </c>
      <c r="D110" s="5" t="s">
        <v>482</v>
      </c>
      <c r="E110" s="7">
        <v>800</v>
      </c>
      <c r="F110" s="28">
        <f>VLOOKUP(tbMaterials[[#This Row],[Type]],tbStackSizes[],2,FALSE)</f>
        <v>10</v>
      </c>
      <c r="G110" s="28">
        <f>tbMaterials[[#This Row],[Value]]*tbMaterials[[#This Row],[Max Stack]]</f>
        <v>8000</v>
      </c>
      <c r="H110" s="28" t="str">
        <f>IF(ISTEXT(VLOOKUP(tbMaterials[[#This Row],[Item]],tbBlueprints[],1,FALSE)),"Yes","No")</f>
        <v>Yes</v>
      </c>
      <c r="I110" s="28" t="str">
        <f>IF(ISTEXT(VLOOKUP(tbMaterials[[#This Row],[Item]],tbRefining[],1,FALSE)),"Yes","No")</f>
        <v>No</v>
      </c>
    </row>
    <row r="111" spans="2:10" s="66" customFormat="1" ht="27.95" hidden="1" customHeight="1" x14ac:dyDescent="0.25">
      <c r="B111" s="66" t="s">
        <v>307</v>
      </c>
      <c r="C111" s="4" t="s">
        <v>277</v>
      </c>
      <c r="D111" s="5" t="s">
        <v>510</v>
      </c>
      <c r="E111" s="7">
        <v>25000</v>
      </c>
      <c r="F111" s="28">
        <f>VLOOKUP(tbMaterials[[#This Row],[Type]],tbStackSizes[],2,FALSE)</f>
        <v>20</v>
      </c>
      <c r="G111" s="28">
        <f>tbMaterials[[#This Row],[Value]]*tbMaterials[[#This Row],[Max Stack]]</f>
        <v>500000</v>
      </c>
      <c r="H111" s="28" t="str">
        <f>IF(ISTEXT(VLOOKUP(tbMaterials[[#This Row],[Item]],tbBlueprints[],1,FALSE)),"Yes","No")</f>
        <v>Yes</v>
      </c>
      <c r="I111" s="28" t="str">
        <f>IF(ISTEXT(VLOOKUP(tbMaterials[[#This Row],[Item]],tbRefining[],1,FALSE)),"Yes","No")</f>
        <v>No</v>
      </c>
    </row>
    <row r="112" spans="2:10" s="66" customFormat="1" ht="27.95" hidden="1" customHeight="1" x14ac:dyDescent="0.25">
      <c r="B112" s="66" t="s">
        <v>963</v>
      </c>
      <c r="C112" s="4" t="s">
        <v>291</v>
      </c>
      <c r="D112" s="5" t="s">
        <v>362</v>
      </c>
      <c r="E112" s="7">
        <v>600</v>
      </c>
      <c r="F112" s="28">
        <f>VLOOKUP(tbMaterials[[#This Row],[Type]],tbStackSizes[],2,FALSE)</f>
        <v>20</v>
      </c>
      <c r="G112" s="28">
        <f>tbMaterials[[#This Row],[Value]]*tbMaterials[[#This Row],[Max Stack]]</f>
        <v>12000</v>
      </c>
      <c r="H112" s="28" t="str">
        <f>IF(ISTEXT(VLOOKUP(tbMaterials[[#This Row],[Item]],tbBlueprints[],1,FALSE)),"Yes","No")</f>
        <v>No</v>
      </c>
      <c r="I112" s="28" t="str">
        <f>IF(ISTEXT(VLOOKUP(tbMaterials[[#This Row],[Item]],tbRefining[],1,FALSE)),"Yes","No")</f>
        <v>No</v>
      </c>
      <c r="J112" s="66" t="s">
        <v>1041</v>
      </c>
    </row>
    <row r="113" spans="2:10" s="66" customFormat="1" ht="27.95" customHeight="1" x14ac:dyDescent="0.25">
      <c r="B113" s="66" t="s">
        <v>350</v>
      </c>
      <c r="C113" s="4" t="s">
        <v>278</v>
      </c>
      <c r="D113" s="5" t="s">
        <v>341</v>
      </c>
      <c r="E113" s="7">
        <v>654</v>
      </c>
      <c r="F113" s="28">
        <f>VLOOKUP(tbMaterials[[#This Row],[Type]],tbStackSizes[],2,FALSE)</f>
        <v>9999</v>
      </c>
      <c r="G113" s="28">
        <f>tbMaterials[[#This Row],[Value]]*tbMaterials[[#This Row],[Max Stack]]</f>
        <v>6539346</v>
      </c>
      <c r="H113" s="28" t="str">
        <f>IF(ISTEXT(VLOOKUP(tbMaterials[[#This Row],[Item]],tbBlueprints[],1,FALSE)),"Yes","No")</f>
        <v>No</v>
      </c>
      <c r="I113" s="28" t="str">
        <f>IF(ISTEXT(VLOOKUP(tbMaterials[[#This Row],[Item]],tbRefining[],1,FALSE)),"Yes","No")</f>
        <v>No</v>
      </c>
    </row>
    <row r="114" spans="2:10" s="66" customFormat="1" ht="27.95" hidden="1" customHeight="1" x14ac:dyDescent="0.25">
      <c r="B114" s="3" t="s">
        <v>214</v>
      </c>
      <c r="C114" s="5" t="s">
        <v>277</v>
      </c>
      <c r="D114" s="5" t="s">
        <v>494</v>
      </c>
      <c r="E114" s="9">
        <v>30000</v>
      </c>
      <c r="F114" s="41">
        <f>VLOOKUP(tbMaterials[[#This Row],[Type]],tbStackSizes[],2,FALSE)</f>
        <v>20</v>
      </c>
      <c r="G114" s="41">
        <f>tbMaterials[[#This Row],[Value]]*tbMaterials[[#This Row],[Max Stack]]</f>
        <v>600000</v>
      </c>
      <c r="H114" s="41" t="str">
        <f>IF(ISTEXT(VLOOKUP(tbMaterials[[#This Row],[Item]],tbBlueprints[],1,FALSE)),"Yes","No")</f>
        <v>No</v>
      </c>
      <c r="I114" s="41" t="str">
        <f>IF(ISTEXT(VLOOKUP(tbMaterials[[#This Row],[Item]],tbRefining[],1,FALSE)),"Yes","No")</f>
        <v>No</v>
      </c>
      <c r="J114" s="3"/>
    </row>
    <row r="115" spans="2:10" s="66" customFormat="1" ht="27.95" hidden="1" customHeight="1" x14ac:dyDescent="0.25">
      <c r="B115" s="66" t="s">
        <v>943</v>
      </c>
      <c r="C115" s="4" t="s">
        <v>291</v>
      </c>
      <c r="D115" s="5" t="s">
        <v>945</v>
      </c>
      <c r="E115" s="7">
        <v>90000</v>
      </c>
      <c r="F115" s="28">
        <f>VLOOKUP(tbMaterials[[#This Row],[Type]],tbStackSizes[],2,FALSE)</f>
        <v>20</v>
      </c>
      <c r="G115" s="28">
        <f>tbMaterials[[#This Row],[Value]]*tbMaterials[[#This Row],[Max Stack]]</f>
        <v>1800000</v>
      </c>
      <c r="H115" s="28" t="str">
        <f>IF(ISTEXT(VLOOKUP(tbMaterials[[#This Row],[Item]],tbBlueprints[],1,FALSE)),"Yes","No")</f>
        <v>No</v>
      </c>
      <c r="I115" s="28" t="str">
        <f>IF(ISTEXT(VLOOKUP(tbMaterials[[#This Row],[Item]],tbRefining[],1,FALSE)),"Yes","No")</f>
        <v>No</v>
      </c>
    </row>
    <row r="116" spans="2:10" s="66" customFormat="1" ht="27.95" hidden="1" customHeight="1" x14ac:dyDescent="0.25">
      <c r="B116" s="66" t="s">
        <v>514</v>
      </c>
      <c r="C116" s="4" t="s">
        <v>277</v>
      </c>
      <c r="D116" s="5" t="s">
        <v>497</v>
      </c>
      <c r="E116" s="7">
        <v>320000</v>
      </c>
      <c r="F116" s="28">
        <f>VLOOKUP(tbMaterials[[#This Row],[Type]],tbStackSizes[],2,FALSE)</f>
        <v>20</v>
      </c>
      <c r="G116" s="28">
        <f>tbMaterials[[#This Row],[Value]]*tbMaterials[[#This Row],[Max Stack]]</f>
        <v>6400000</v>
      </c>
      <c r="H116" s="28" t="str">
        <f>IF(ISTEXT(VLOOKUP(tbMaterials[[#This Row],[Item]],tbBlueprints[],1,FALSE)),"Yes","No")</f>
        <v>Yes</v>
      </c>
      <c r="I116" s="28" t="str">
        <f>IF(ISTEXT(VLOOKUP(tbMaterials[[#This Row],[Item]],tbRefining[],1,FALSE)),"Yes","No")</f>
        <v>No</v>
      </c>
    </row>
    <row r="117" spans="2:10" s="66" customFormat="1" ht="27.95" hidden="1" customHeight="1" x14ac:dyDescent="0.25">
      <c r="B117" s="66" t="s">
        <v>887</v>
      </c>
      <c r="C117" s="4" t="s">
        <v>291</v>
      </c>
      <c r="D117" s="5" t="s">
        <v>888</v>
      </c>
      <c r="E117" s="7">
        <v>7200</v>
      </c>
      <c r="F117" s="28">
        <f>VLOOKUP(tbMaterials[[#This Row],[Type]],tbStackSizes[],2,FALSE)</f>
        <v>20</v>
      </c>
      <c r="G117" s="28">
        <f>tbMaterials[[#This Row],[Value]]*tbMaterials[[#This Row],[Max Stack]]</f>
        <v>144000</v>
      </c>
      <c r="H117" s="28" t="str">
        <f>IF(ISTEXT(VLOOKUP(tbMaterials[[#This Row],[Item]],tbBlueprints[],1,FALSE)),"Yes","No")</f>
        <v>Yes</v>
      </c>
      <c r="I117" s="28" t="str">
        <f>IF(ISTEXT(VLOOKUP(tbMaterials[[#This Row],[Item]],tbRefining[],1,FALSE)),"Yes","No")</f>
        <v>No</v>
      </c>
    </row>
    <row r="118" spans="2:10" s="66" customFormat="1" ht="27.95" hidden="1" customHeight="1" x14ac:dyDescent="0.25">
      <c r="B118" s="66" t="s">
        <v>944</v>
      </c>
      <c r="C118" s="4" t="s">
        <v>277</v>
      </c>
      <c r="D118" s="5" t="s">
        <v>946</v>
      </c>
      <c r="E118" s="7">
        <v>57000</v>
      </c>
      <c r="F118" s="28">
        <f>VLOOKUP(tbMaterials[[#This Row],[Type]],tbStackSizes[],2,FALSE)</f>
        <v>20</v>
      </c>
      <c r="G118" s="28">
        <f>tbMaterials[[#This Row],[Value]]*tbMaterials[[#This Row],[Max Stack]]</f>
        <v>1140000</v>
      </c>
      <c r="H118" s="28" t="str">
        <f>IF(ISTEXT(VLOOKUP(tbMaterials[[#This Row],[Item]],tbBlueprints[],1,FALSE)),"Yes","No")</f>
        <v>No</v>
      </c>
      <c r="I118" s="28" t="str">
        <f>IF(ISTEXT(VLOOKUP(tbMaterials[[#This Row],[Item]],tbRefining[],1,FALSE)),"Yes","No")</f>
        <v>No</v>
      </c>
    </row>
    <row r="119" spans="2:10" s="66" customFormat="1" ht="27.95" hidden="1" customHeight="1" x14ac:dyDescent="0.25">
      <c r="B119" s="3" t="s">
        <v>992</v>
      </c>
      <c r="C119" s="4" t="s">
        <v>291</v>
      </c>
      <c r="D119" s="5" t="s">
        <v>362</v>
      </c>
      <c r="E119" s="9">
        <v>0</v>
      </c>
      <c r="F119" s="28">
        <f>VLOOKUP(tbMaterials[[#This Row],[Type]],tbStackSizes[],2,FALSE)</f>
        <v>20</v>
      </c>
      <c r="G119" s="28">
        <f>tbMaterials[[#This Row],[Value]]*tbMaterials[[#This Row],[Max Stack]]</f>
        <v>0</v>
      </c>
      <c r="H119" s="28" t="str">
        <f>IF(ISTEXT(VLOOKUP(tbMaterials[[#This Row],[Item]],tbBlueprints[],1,FALSE)),"Yes","No")</f>
        <v>No</v>
      </c>
      <c r="I119" s="28" t="str">
        <f>IF(ISTEXT(VLOOKUP(tbMaterials[[#This Row],[Item]],tbRefining[],1,FALSE)),"Yes","No")</f>
        <v>No</v>
      </c>
      <c r="J119" s="3" t="s">
        <v>993</v>
      </c>
    </row>
    <row r="120" spans="2:10" s="66" customFormat="1" ht="27.95" customHeight="1" x14ac:dyDescent="0.25">
      <c r="B120" s="66" t="s">
        <v>295</v>
      </c>
      <c r="C120" s="4" t="s">
        <v>278</v>
      </c>
      <c r="D120" s="5" t="s">
        <v>338</v>
      </c>
      <c r="E120" s="7">
        <v>464</v>
      </c>
      <c r="F120" s="28">
        <f>VLOOKUP(tbMaterials[[#This Row],[Type]],tbStackSizes[],2,FALSE)</f>
        <v>9999</v>
      </c>
      <c r="G120" s="28">
        <f>tbMaterials[[#This Row],[Value]]*tbMaterials[[#This Row],[Max Stack]]</f>
        <v>4639536</v>
      </c>
      <c r="H120" s="28" t="str">
        <f>IF(ISTEXT(VLOOKUP(tbMaterials[[#This Row],[Item]],tbBlueprints[],1,FALSE)),"Yes","No")</f>
        <v>No</v>
      </c>
      <c r="I120" s="28" t="str">
        <f>IF(ISTEXT(VLOOKUP(tbMaterials[[#This Row],[Item]],tbRefining[],1,FALSE)),"Yes","No")</f>
        <v>No</v>
      </c>
    </row>
    <row r="121" spans="2:10" s="2" customFormat="1" ht="27.95" hidden="1" customHeight="1" x14ac:dyDescent="0.25">
      <c r="B121" s="66" t="s">
        <v>186</v>
      </c>
      <c r="C121" s="4" t="s">
        <v>277</v>
      </c>
      <c r="D121" s="5" t="s">
        <v>555</v>
      </c>
      <c r="E121" s="7">
        <v>6000</v>
      </c>
      <c r="F121" s="28">
        <f>VLOOKUP(tbMaterials[[#This Row],[Type]],tbStackSizes[],2,FALSE)</f>
        <v>20</v>
      </c>
      <c r="G121" s="28">
        <f>tbMaterials[[#This Row],[Value]]*tbMaterials[[#This Row],[Max Stack]]</f>
        <v>120000</v>
      </c>
      <c r="H121" s="28" t="str">
        <f>IF(ISTEXT(VLOOKUP(tbMaterials[[#This Row],[Item]],tbBlueprints[],1,FALSE)),"Yes","No")</f>
        <v>No</v>
      </c>
      <c r="I121" s="28" t="str">
        <f>IF(ISTEXT(VLOOKUP(tbMaterials[[#This Row],[Item]],tbRefining[],1,FALSE)),"Yes","No")</f>
        <v>No</v>
      </c>
      <c r="J121" s="66"/>
    </row>
    <row r="122" spans="2:10" s="2" customFormat="1" ht="27.95" hidden="1" customHeight="1" x14ac:dyDescent="0.25">
      <c r="B122" s="3" t="s">
        <v>196</v>
      </c>
      <c r="C122" s="5" t="s">
        <v>277</v>
      </c>
      <c r="D122" s="5" t="s">
        <v>509</v>
      </c>
      <c r="E122" s="9">
        <v>15000</v>
      </c>
      <c r="F122" s="41">
        <f>VLOOKUP(tbMaterials[[#This Row],[Type]],tbStackSizes[],2,FALSE)</f>
        <v>20</v>
      </c>
      <c r="G122" s="41">
        <f>tbMaterials[[#This Row],[Value]]*tbMaterials[[#This Row],[Max Stack]]</f>
        <v>300000</v>
      </c>
      <c r="H122" s="41" t="str">
        <f>IF(ISTEXT(VLOOKUP(tbMaterials[[#This Row],[Item]],tbBlueprints[],1,FALSE)),"Yes","No")</f>
        <v>No</v>
      </c>
      <c r="I122" s="41" t="str">
        <f>IF(ISTEXT(VLOOKUP(tbMaterials[[#This Row],[Item]],tbRefining[],1,FALSE)),"Yes","No")</f>
        <v>No</v>
      </c>
      <c r="J122" s="3"/>
    </row>
    <row r="123" spans="2:10" s="2" customFormat="1" ht="27.95" hidden="1" customHeight="1" x14ac:dyDescent="0.25">
      <c r="B123" s="3" t="s">
        <v>222</v>
      </c>
      <c r="C123" s="5" t="s">
        <v>277</v>
      </c>
      <c r="D123" s="5" t="s">
        <v>493</v>
      </c>
      <c r="E123" s="9">
        <v>15000</v>
      </c>
      <c r="F123" s="41">
        <f>VLOOKUP(tbMaterials[[#This Row],[Type]],tbStackSizes[],2,FALSE)</f>
        <v>20</v>
      </c>
      <c r="G123" s="41">
        <f>tbMaterials[[#This Row],[Value]]*tbMaterials[[#This Row],[Max Stack]]</f>
        <v>300000</v>
      </c>
      <c r="H123" s="41" t="str">
        <f>IF(ISTEXT(VLOOKUP(tbMaterials[[#This Row],[Item]],tbBlueprints[],1,FALSE)),"Yes","No")</f>
        <v>No</v>
      </c>
      <c r="I123" s="41" t="str">
        <f>IF(ISTEXT(VLOOKUP(tbMaterials[[#This Row],[Item]],tbRefining[],1,FALSE)),"Yes","No")</f>
        <v>No</v>
      </c>
      <c r="J123" s="3"/>
    </row>
    <row r="124" spans="2:10" s="66" customFormat="1" ht="27.95" customHeight="1" x14ac:dyDescent="0.25">
      <c r="B124" s="66" t="s">
        <v>267</v>
      </c>
      <c r="C124" s="4" t="s">
        <v>278</v>
      </c>
      <c r="D124" s="5" t="s">
        <v>343</v>
      </c>
      <c r="E124" s="7">
        <v>401</v>
      </c>
      <c r="F124" s="28">
        <f>VLOOKUP(tbMaterials[[#This Row],[Type]],tbStackSizes[],2,FALSE)</f>
        <v>9999</v>
      </c>
      <c r="G124" s="28">
        <f>tbMaterials[[#This Row],[Value]]*tbMaterials[[#This Row],[Max Stack]]</f>
        <v>4009599</v>
      </c>
      <c r="H124" s="28" t="str">
        <f>IF(ISTEXT(VLOOKUP(tbMaterials[[#This Row],[Item]],tbBlueprints[],1,FALSE)),"Yes","No")</f>
        <v>No</v>
      </c>
      <c r="I124" s="28" t="str">
        <f>IF(ISTEXT(VLOOKUP(tbMaterials[[#This Row],[Item]],tbRefining[],1,FALSE)),"Yes","No")</f>
        <v>No</v>
      </c>
    </row>
    <row r="125" spans="2:10" s="2" customFormat="1" ht="27.95" hidden="1" customHeight="1" x14ac:dyDescent="0.25">
      <c r="B125" s="66" t="s">
        <v>515</v>
      </c>
      <c r="C125" s="4" t="s">
        <v>277</v>
      </c>
      <c r="D125" s="5" t="s">
        <v>535</v>
      </c>
      <c r="E125" s="7">
        <v>150000</v>
      </c>
      <c r="F125" s="28">
        <f>VLOOKUP(tbMaterials[[#This Row],[Type]],tbStackSizes[],2,FALSE)</f>
        <v>20</v>
      </c>
      <c r="G125" s="28">
        <f>tbMaterials[[#This Row],[Value]]*tbMaterials[[#This Row],[Max Stack]]</f>
        <v>3000000</v>
      </c>
      <c r="H125" s="28" t="str">
        <f>IF(ISTEXT(VLOOKUP(tbMaterials[[#This Row],[Item]],tbBlueprints[],1,FALSE)),"Yes","No")</f>
        <v>Yes</v>
      </c>
      <c r="I125" s="28" t="str">
        <f>IF(ISTEXT(VLOOKUP(tbMaterials[[#This Row],[Item]],tbRefining[],1,FALSE)),"Yes","No")</f>
        <v>No</v>
      </c>
      <c r="J125" s="66"/>
    </row>
    <row r="126" spans="2:10" s="2" customFormat="1" ht="27.95" hidden="1" customHeight="1" x14ac:dyDescent="0.25">
      <c r="B126" s="3" t="s">
        <v>996</v>
      </c>
      <c r="C126" s="4" t="s">
        <v>291</v>
      </c>
      <c r="D126" s="5" t="s">
        <v>362</v>
      </c>
      <c r="E126" s="9">
        <v>0</v>
      </c>
      <c r="F126" s="28">
        <f>VLOOKUP(tbMaterials[[#This Row],[Type]],tbStackSizes[],2,FALSE)</f>
        <v>20</v>
      </c>
      <c r="G126" s="28">
        <f>tbMaterials[[#This Row],[Value]]*tbMaterials[[#This Row],[Max Stack]]</f>
        <v>0</v>
      </c>
      <c r="H126" s="28" t="str">
        <f>IF(ISTEXT(VLOOKUP(tbMaterials[[#This Row],[Item]],tbBlueprints[],1,FALSE)),"Yes","No")</f>
        <v>No</v>
      </c>
      <c r="I126" s="28" t="str">
        <f>IF(ISTEXT(VLOOKUP(tbMaterials[[#This Row],[Item]],tbRefining[],1,FALSE)),"Yes","No")</f>
        <v>No</v>
      </c>
      <c r="J126" s="3" t="s">
        <v>997</v>
      </c>
    </row>
    <row r="127" spans="2:10" s="66" customFormat="1" ht="27.95" hidden="1" customHeight="1" x14ac:dyDescent="0.25">
      <c r="B127" s="66" t="s">
        <v>976</v>
      </c>
      <c r="C127" s="4" t="s">
        <v>291</v>
      </c>
      <c r="D127" s="5" t="s">
        <v>945</v>
      </c>
      <c r="E127" s="7">
        <v>54000</v>
      </c>
      <c r="F127" s="28">
        <f>VLOOKUP(tbMaterials[[#This Row],[Type]],tbStackSizes[],2,FALSE)</f>
        <v>20</v>
      </c>
      <c r="G127" s="28">
        <f>tbMaterials[[#This Row],[Value]]*tbMaterials[[#This Row],[Max Stack]]</f>
        <v>1080000</v>
      </c>
      <c r="H127" s="28" t="str">
        <f>IF(ISTEXT(VLOOKUP(tbMaterials[[#This Row],[Item]],tbBlueprints[],1,FALSE)),"Yes","No")</f>
        <v>No</v>
      </c>
      <c r="I127" s="28" t="str">
        <f>IF(ISTEXT(VLOOKUP(tbMaterials[[#This Row],[Item]],tbRefining[],1,FALSE)),"Yes","No")</f>
        <v>No</v>
      </c>
    </row>
    <row r="128" spans="2:10" s="2" customFormat="1" ht="27.95" hidden="1" customHeight="1" x14ac:dyDescent="0.25">
      <c r="B128" s="3" t="s">
        <v>998</v>
      </c>
      <c r="C128" s="4" t="s">
        <v>291</v>
      </c>
      <c r="D128" s="5" t="s">
        <v>362</v>
      </c>
      <c r="E128" s="9">
        <v>0</v>
      </c>
      <c r="F128" s="28">
        <f>VLOOKUP(tbMaterials[[#This Row],[Type]],tbStackSizes[],2,FALSE)</f>
        <v>20</v>
      </c>
      <c r="G128" s="28">
        <f>tbMaterials[[#This Row],[Value]]*tbMaterials[[#This Row],[Max Stack]]</f>
        <v>0</v>
      </c>
      <c r="H128" s="28" t="str">
        <f>IF(ISTEXT(VLOOKUP(tbMaterials[[#This Row],[Item]],tbBlueprints[],1,FALSE)),"Yes","No")</f>
        <v>No</v>
      </c>
      <c r="I128" s="28" t="str">
        <f>IF(ISTEXT(VLOOKUP(tbMaterials[[#This Row],[Item]],tbRefining[],1,FALSE)),"Yes","No")</f>
        <v>No</v>
      </c>
      <c r="J128" s="3" t="s">
        <v>999</v>
      </c>
    </row>
    <row r="129" spans="2:10" s="2" customFormat="1" ht="27.95" customHeight="1" x14ac:dyDescent="0.25">
      <c r="B129" s="2" t="s">
        <v>351</v>
      </c>
      <c r="C129" s="4" t="s">
        <v>278</v>
      </c>
      <c r="D129" s="5" t="s">
        <v>340</v>
      </c>
      <c r="E129" s="7">
        <v>41</v>
      </c>
      <c r="F129" s="28">
        <f>VLOOKUP(tbMaterials[[#This Row],[Type]],tbStackSizes[],2,FALSE)</f>
        <v>9999</v>
      </c>
      <c r="G129" s="28">
        <f>tbMaterials[[#This Row],[Value]]*tbMaterials[[#This Row],[Max Stack]]</f>
        <v>409959</v>
      </c>
      <c r="H129" s="28" t="str">
        <f>IF(ISTEXT(VLOOKUP(tbMaterials[[#This Row],[Item]],tbBlueprints[],1,FALSE)),"Yes","No")</f>
        <v>No</v>
      </c>
      <c r="I129" s="28" t="str">
        <f>IF(ISTEXT(VLOOKUP(tbMaterials[[#This Row],[Item]],tbRefining[],1,FALSE)),"Yes","No")</f>
        <v>No</v>
      </c>
    </row>
    <row r="130" spans="2:10" s="2" customFormat="1" ht="27.95" hidden="1" customHeight="1" x14ac:dyDescent="0.25">
      <c r="B130" s="2" t="s">
        <v>287</v>
      </c>
      <c r="C130" s="4" t="s">
        <v>284</v>
      </c>
      <c r="D130" s="5" t="s">
        <v>512</v>
      </c>
      <c r="E130" s="7">
        <v>22000</v>
      </c>
      <c r="F130" s="28">
        <f>VLOOKUP(tbMaterials[[#This Row],[Type]],tbStackSizes[],2,FALSE)</f>
        <v>5</v>
      </c>
      <c r="G130" s="28">
        <f>tbMaterials[[#This Row],[Value]]*tbMaterials[[#This Row],[Max Stack]]</f>
        <v>110000</v>
      </c>
      <c r="H130" s="28" t="str">
        <f>IF(ISTEXT(VLOOKUP(tbMaterials[[#This Row],[Item]],tbBlueprints[],1,FALSE)),"Yes","No")</f>
        <v>No</v>
      </c>
      <c r="I130" s="28" t="str">
        <f>IF(ISTEXT(VLOOKUP(tbMaterials[[#This Row],[Item]],tbRefining[],1,FALSE)),"Yes","No")</f>
        <v>No</v>
      </c>
    </row>
    <row r="131" spans="2:10" s="66" customFormat="1" ht="27.95" hidden="1" customHeight="1" x14ac:dyDescent="0.25">
      <c r="B131" s="66" t="s">
        <v>288</v>
      </c>
      <c r="C131" s="4" t="s">
        <v>284</v>
      </c>
      <c r="D131" s="5" t="s">
        <v>461</v>
      </c>
      <c r="E131" s="7">
        <v>13063</v>
      </c>
      <c r="F131" s="28">
        <f>VLOOKUP(tbMaterials[[#This Row],[Type]],tbStackSizes[],2,FALSE)</f>
        <v>5</v>
      </c>
      <c r="G131" s="28">
        <f>tbMaterials[[#This Row],[Value]]*tbMaterials[[#This Row],[Max Stack]]</f>
        <v>65315</v>
      </c>
      <c r="H131" s="28" t="str">
        <f>IF(ISTEXT(VLOOKUP(tbMaterials[[#This Row],[Item]],tbBlueprints[],1,FALSE)),"Yes","No")</f>
        <v>No</v>
      </c>
      <c r="I131" s="28" t="str">
        <f>IF(ISTEXT(VLOOKUP(tbMaterials[[#This Row],[Item]],tbRefining[],1,FALSE)),"Yes","No")</f>
        <v>No</v>
      </c>
    </row>
    <row r="132" spans="2:10" s="2" customFormat="1" ht="27.95" hidden="1" customHeight="1" x14ac:dyDescent="0.25">
      <c r="B132" s="3" t="s">
        <v>487</v>
      </c>
      <c r="C132" s="5" t="s">
        <v>284</v>
      </c>
      <c r="D132" s="5" t="s">
        <v>495</v>
      </c>
      <c r="E132" s="9">
        <v>69875</v>
      </c>
      <c r="F132" s="41">
        <f>VLOOKUP(tbMaterials[[#This Row],[Type]],tbStackSizes[],2,FALSE)</f>
        <v>5</v>
      </c>
      <c r="G132" s="41">
        <f>tbMaterials[[#This Row],[Value]]*tbMaterials[[#This Row],[Max Stack]]</f>
        <v>349375</v>
      </c>
      <c r="H132" s="41" t="str">
        <f>IF(ISTEXT(VLOOKUP(tbMaterials[[#This Row],[Item]],tbBlueprints[],1,FALSE)),"Yes","No")</f>
        <v>No</v>
      </c>
      <c r="I132" s="41" t="str">
        <f>IF(ISTEXT(VLOOKUP(tbMaterials[[#This Row],[Item]],tbRefining[],1,FALSE)),"Yes","No")</f>
        <v>No</v>
      </c>
      <c r="J132" s="3"/>
    </row>
    <row r="133" spans="2:10" s="2" customFormat="1" ht="27.95" hidden="1" customHeight="1" x14ac:dyDescent="0.25">
      <c r="B133" s="3" t="s">
        <v>1020</v>
      </c>
      <c r="C133" s="4" t="s">
        <v>291</v>
      </c>
      <c r="D133" s="5" t="s">
        <v>362</v>
      </c>
      <c r="E133" s="9">
        <v>0</v>
      </c>
      <c r="F133" s="28">
        <f>VLOOKUP(tbMaterials[[#This Row],[Type]],tbStackSizes[],2,FALSE)</f>
        <v>20</v>
      </c>
      <c r="G133" s="28">
        <f>tbMaterials[[#This Row],[Value]]*tbMaterials[[#This Row],[Max Stack]]</f>
        <v>0</v>
      </c>
      <c r="H133" s="28" t="str">
        <f>IF(ISTEXT(VLOOKUP(tbMaterials[[#This Row],[Item]],tbBlueprints[],1,FALSE)),"Yes","No")</f>
        <v>No</v>
      </c>
      <c r="I133" s="28" t="str">
        <f>IF(ISTEXT(VLOOKUP(tbMaterials[[#This Row],[Item]],tbRefining[],1,FALSE)),"Yes","No")</f>
        <v>No</v>
      </c>
      <c r="J133" s="3" t="s">
        <v>1021</v>
      </c>
    </row>
    <row r="134" spans="2:10" s="2" customFormat="1" ht="27.95" hidden="1" customHeight="1" x14ac:dyDescent="0.25">
      <c r="B134" s="2" t="s">
        <v>264</v>
      </c>
      <c r="C134" s="4" t="s">
        <v>277</v>
      </c>
      <c r="D134" s="5" t="s">
        <v>510</v>
      </c>
      <c r="E134" s="7">
        <v>25000</v>
      </c>
      <c r="F134" s="28">
        <f>VLOOKUP(tbMaterials[[#This Row],[Type]],tbStackSizes[],2,FALSE)</f>
        <v>20</v>
      </c>
      <c r="G134" s="28">
        <f>tbMaterials[[#This Row],[Value]]*tbMaterials[[#This Row],[Max Stack]]</f>
        <v>500000</v>
      </c>
      <c r="H134" s="28" t="str">
        <f>IF(ISTEXT(VLOOKUP(tbMaterials[[#This Row],[Item]],tbBlueprints[],1,FALSE)),"Yes","No")</f>
        <v>Yes</v>
      </c>
      <c r="I134" s="28" t="str">
        <f>IF(ISTEXT(VLOOKUP(tbMaterials[[#This Row],[Item]],tbRefining[],1,FALSE)),"Yes","No")</f>
        <v>No</v>
      </c>
    </row>
    <row r="135" spans="2:10" s="66" customFormat="1" ht="27.95" hidden="1" customHeight="1" x14ac:dyDescent="0.25">
      <c r="B135" s="3" t="s">
        <v>1023</v>
      </c>
      <c r="C135" s="4" t="s">
        <v>291</v>
      </c>
      <c r="D135" s="5" t="s">
        <v>362</v>
      </c>
      <c r="E135" s="9">
        <v>3200</v>
      </c>
      <c r="F135" s="28">
        <f>VLOOKUP(tbMaterials[[#This Row],[Type]],tbStackSizes[],2,FALSE)</f>
        <v>20</v>
      </c>
      <c r="G135" s="28">
        <f>tbMaterials[[#This Row],[Value]]*tbMaterials[[#This Row],[Max Stack]]</f>
        <v>64000</v>
      </c>
      <c r="H135" s="28" t="str">
        <f>IF(ISTEXT(VLOOKUP(tbMaterials[[#This Row],[Item]],tbBlueprints[],1,FALSE)),"Yes","No")</f>
        <v>No</v>
      </c>
      <c r="I135" s="28" t="str">
        <f>IF(ISTEXT(VLOOKUP(tbMaterials[[#This Row],[Item]],tbRefining[],1,FALSE)),"Yes","No")</f>
        <v>No</v>
      </c>
      <c r="J135" s="3" t="s">
        <v>1024</v>
      </c>
    </row>
    <row r="136" spans="2:10" s="2" customFormat="1" ht="27.95" hidden="1" customHeight="1" x14ac:dyDescent="0.25">
      <c r="B136" s="66" t="s">
        <v>834</v>
      </c>
      <c r="C136" s="4" t="s">
        <v>461</v>
      </c>
      <c r="D136" s="5" t="s">
        <v>571</v>
      </c>
      <c r="E136" s="7">
        <v>800500</v>
      </c>
      <c r="F136" s="28">
        <f>VLOOKUP(tbMaterials[[#This Row],[Type]],tbStackSizes[],2,FALSE)</f>
        <v>10</v>
      </c>
      <c r="G136" s="28">
        <f>tbMaterials[[#This Row],[Value]]*tbMaterials[[#This Row],[Max Stack]]</f>
        <v>8005000</v>
      </c>
      <c r="H136" s="28" t="str">
        <f>IF(ISTEXT(VLOOKUP(tbMaterials[[#This Row],[Item]],tbBlueprints[],1,FALSE)),"Yes","No")</f>
        <v>Yes</v>
      </c>
      <c r="I136" s="28" t="str">
        <f>IF(ISTEXT(VLOOKUP(tbMaterials[[#This Row],[Item]],tbRefining[],1,FALSE)),"Yes","No")</f>
        <v>No</v>
      </c>
      <c r="J136" s="66"/>
    </row>
    <row r="137" spans="2:10" s="66" customFormat="1" ht="27.95" hidden="1" customHeight="1" x14ac:dyDescent="0.25">
      <c r="B137" s="66" t="s">
        <v>839</v>
      </c>
      <c r="C137" s="4" t="s">
        <v>277</v>
      </c>
      <c r="D137" s="5" t="s">
        <v>571</v>
      </c>
      <c r="E137" s="7">
        <v>566000</v>
      </c>
      <c r="F137" s="28">
        <f>VLOOKUP(tbMaterials[[#This Row],[Type]],tbStackSizes[],2,FALSE)</f>
        <v>20</v>
      </c>
      <c r="G137" s="28">
        <f>tbMaterials[[#This Row],[Value]]*tbMaterials[[#This Row],[Max Stack]]</f>
        <v>11320000</v>
      </c>
      <c r="H137" s="28" t="str">
        <f>IF(ISTEXT(VLOOKUP(tbMaterials[[#This Row],[Item]],tbBlueprints[],1,FALSE)),"Yes","No")</f>
        <v>Yes</v>
      </c>
      <c r="I137" s="28" t="str">
        <f>IF(ISTEXT(VLOOKUP(tbMaterials[[#This Row],[Item]],tbRefining[],1,FALSE)),"Yes","No")</f>
        <v>No</v>
      </c>
    </row>
    <row r="138" spans="2:10" s="2" customFormat="1" ht="27.95" hidden="1" customHeight="1" x14ac:dyDescent="0.25">
      <c r="B138" s="66" t="s">
        <v>889</v>
      </c>
      <c r="C138" s="4" t="s">
        <v>277</v>
      </c>
      <c r="D138" s="5" t="s">
        <v>890</v>
      </c>
      <c r="E138" s="7">
        <v>4797</v>
      </c>
      <c r="F138" s="28">
        <f>VLOOKUP(tbMaterials[[#This Row],[Type]],tbStackSizes[],2,FALSE)</f>
        <v>20</v>
      </c>
      <c r="G138" s="28">
        <f>tbMaterials[[#This Row],[Value]]*tbMaterials[[#This Row],[Max Stack]]</f>
        <v>95940</v>
      </c>
      <c r="H138" s="28" t="str">
        <f>IF(ISTEXT(VLOOKUP(tbMaterials[[#This Row],[Item]],tbBlueprints[],1,FALSE)),"Yes","No")</f>
        <v>No</v>
      </c>
      <c r="I138" s="28" t="str">
        <f>IF(ISTEXT(VLOOKUP(tbMaterials[[#This Row],[Item]],tbRefining[],1,FALSE)),"Yes","No")</f>
        <v>No</v>
      </c>
      <c r="J138" s="66"/>
    </row>
    <row r="139" spans="2:10" s="2" customFormat="1" ht="27.95" hidden="1" customHeight="1" x14ac:dyDescent="0.25">
      <c r="B139" s="2" t="s">
        <v>352</v>
      </c>
      <c r="C139" s="4" t="s">
        <v>947</v>
      </c>
      <c r="D139" s="5" t="s">
        <v>353</v>
      </c>
      <c r="E139" s="7">
        <v>20</v>
      </c>
      <c r="F139" s="28" t="e">
        <f>VLOOKUP(tbMaterials[[#This Row],[Type]],tbStackSizes[],2,FALSE)</f>
        <v>#N/A</v>
      </c>
      <c r="G139" s="28" t="e">
        <f>tbMaterials[[#This Row],[Value]]*tbMaterials[[#This Row],[Max Stack]]</f>
        <v>#N/A</v>
      </c>
      <c r="H139" s="28" t="str">
        <f>IF(ISTEXT(VLOOKUP(tbMaterials[[#This Row],[Item]],tbBlueprints[],1,FALSE)),"Yes","No")</f>
        <v>No</v>
      </c>
      <c r="I139" s="28" t="str">
        <f>IF(ISTEXT(VLOOKUP(tbMaterials[[#This Row],[Item]],tbRefining[],1,FALSE)),"Yes","No")</f>
        <v>Yes</v>
      </c>
    </row>
    <row r="140" spans="2:10" s="2" customFormat="1" ht="27.95" customHeight="1" x14ac:dyDescent="0.25">
      <c r="B140" s="2" t="s">
        <v>352</v>
      </c>
      <c r="C140" s="4" t="s">
        <v>278</v>
      </c>
      <c r="D140" s="5" t="s">
        <v>353</v>
      </c>
      <c r="E140" s="7">
        <v>20</v>
      </c>
      <c r="F140" s="28">
        <f>VLOOKUP(tbMaterials[[#This Row],[Type]],tbStackSizes[],2,FALSE)</f>
        <v>9999</v>
      </c>
      <c r="G140" s="28">
        <f>tbMaterials[[#This Row],[Value]]*tbMaterials[[#This Row],[Max Stack]]</f>
        <v>199980</v>
      </c>
      <c r="H140" s="28" t="str">
        <f>IF(ISTEXT(VLOOKUP(tbMaterials[[#This Row],[Item]],tbBlueprints[],1,FALSE)),"Yes","No")</f>
        <v>No</v>
      </c>
      <c r="I140" s="28" t="str">
        <f>IF(ISTEXT(VLOOKUP(tbMaterials[[#This Row],[Item]],tbRefining[],1,FALSE)),"Yes","No")</f>
        <v>Yes</v>
      </c>
    </row>
    <row r="141" spans="2:10" s="2" customFormat="1" ht="27.95" hidden="1" customHeight="1" x14ac:dyDescent="0.25">
      <c r="B141" s="66" t="s">
        <v>659</v>
      </c>
      <c r="C141" s="4" t="s">
        <v>277</v>
      </c>
      <c r="D141" s="5" t="s">
        <v>571</v>
      </c>
      <c r="E141" s="7">
        <v>110000</v>
      </c>
      <c r="F141" s="28">
        <f>VLOOKUP(tbMaterials[[#This Row],[Type]],tbStackSizes[],2,FALSE)</f>
        <v>20</v>
      </c>
      <c r="G141" s="28">
        <f>tbMaterials[[#This Row],[Value]]*tbMaterials[[#This Row],[Max Stack]]</f>
        <v>2200000</v>
      </c>
      <c r="H141" s="28" t="str">
        <f>IF(ISTEXT(VLOOKUP(tbMaterials[[#This Row],[Item]],tbBlueprints[],1,FALSE)),"Yes","No")</f>
        <v>Yes</v>
      </c>
      <c r="I141" s="28" t="str">
        <f>IF(ISTEXT(VLOOKUP(tbMaterials[[#This Row],[Item]],tbRefining[],1,FALSE)),"Yes","No")</f>
        <v>No</v>
      </c>
      <c r="J141" s="66"/>
    </row>
    <row r="142" spans="2:10" s="2" customFormat="1" ht="27.95" customHeight="1" x14ac:dyDescent="0.25">
      <c r="B142" s="14" t="s">
        <v>246</v>
      </c>
      <c r="C142" s="4" t="s">
        <v>278</v>
      </c>
      <c r="D142" s="5" t="s">
        <v>348</v>
      </c>
      <c r="E142" s="7">
        <v>82</v>
      </c>
      <c r="F142" s="28">
        <f>VLOOKUP(tbMaterials[[#This Row],[Type]],tbStackSizes[],2,FALSE)</f>
        <v>9999</v>
      </c>
      <c r="G142" s="28">
        <f>tbMaterials[[#This Row],[Value]]*tbMaterials[[#This Row],[Max Stack]]</f>
        <v>819918</v>
      </c>
      <c r="H142" s="28" t="str">
        <f>IF(ISTEXT(VLOOKUP(tbMaterials[[#This Row],[Item]],tbBlueprints[],1,FALSE)),"Yes","No")</f>
        <v>No</v>
      </c>
      <c r="I142" s="28" t="str">
        <f>IF(ISTEXT(VLOOKUP(tbMaterials[[#This Row],[Item]],tbRefining[],1,FALSE)),"Yes","No")</f>
        <v>Yes</v>
      </c>
      <c r="J142" s="66"/>
    </row>
    <row r="143" spans="2:10" s="2" customFormat="1" ht="27.95" hidden="1" customHeight="1" x14ac:dyDescent="0.25">
      <c r="B143" s="66" t="s">
        <v>311</v>
      </c>
      <c r="C143" s="4" t="s">
        <v>277</v>
      </c>
      <c r="D143" s="5" t="s">
        <v>510</v>
      </c>
      <c r="E143" s="7">
        <v>25000</v>
      </c>
      <c r="F143" s="28">
        <f>VLOOKUP(tbMaterials[[#This Row],[Type]],tbStackSizes[],2,FALSE)</f>
        <v>20</v>
      </c>
      <c r="G143" s="28">
        <f>tbMaterials[[#This Row],[Value]]*tbMaterials[[#This Row],[Max Stack]]</f>
        <v>500000</v>
      </c>
      <c r="H143" s="28" t="str">
        <f>IF(ISTEXT(VLOOKUP(tbMaterials[[#This Row],[Item]],tbBlueprints[],1,FALSE)),"Yes","No")</f>
        <v>Yes</v>
      </c>
      <c r="I143" s="28" t="str">
        <f>IF(ISTEXT(VLOOKUP(tbMaterials[[#This Row],[Item]],tbRefining[],1,FALSE)),"Yes","No")</f>
        <v>No</v>
      </c>
      <c r="J143" s="66"/>
    </row>
    <row r="144" spans="2:10" s="66" customFormat="1" ht="27.95" customHeight="1" x14ac:dyDescent="0.25">
      <c r="B144" s="66" t="s">
        <v>23</v>
      </c>
      <c r="C144" s="4" t="s">
        <v>278</v>
      </c>
      <c r="D144" s="5" t="s">
        <v>340</v>
      </c>
      <c r="E144" s="7">
        <v>41</v>
      </c>
      <c r="F144" s="28">
        <f>VLOOKUP(tbMaterials[[#This Row],[Type]],tbStackSizes[],2,FALSE)</f>
        <v>9999</v>
      </c>
      <c r="G144" s="28">
        <f>tbMaterials[[#This Row],[Value]]*tbMaterials[[#This Row],[Max Stack]]</f>
        <v>409959</v>
      </c>
      <c r="H144" s="28" t="str">
        <f>IF(ISTEXT(VLOOKUP(tbMaterials[[#This Row],[Item]],tbBlueprints[],1,FALSE)),"Yes","No")</f>
        <v>No</v>
      </c>
      <c r="I144" s="28" t="str">
        <f>IF(ISTEXT(VLOOKUP(tbMaterials[[#This Row],[Item]],tbRefining[],1,FALSE)),"Yes","No")</f>
        <v>Yes</v>
      </c>
    </row>
    <row r="145" spans="2:10" s="66" customFormat="1" ht="27.95" hidden="1" customHeight="1" x14ac:dyDescent="0.25">
      <c r="B145" s="3" t="s">
        <v>1025</v>
      </c>
      <c r="C145" s="4" t="s">
        <v>291</v>
      </c>
      <c r="D145" s="5" t="s">
        <v>362</v>
      </c>
      <c r="E145" s="9">
        <v>1400</v>
      </c>
      <c r="F145" s="28">
        <f>VLOOKUP(tbMaterials[[#This Row],[Type]],tbStackSizes[],2,FALSE)</f>
        <v>20</v>
      </c>
      <c r="G145" s="28">
        <f>tbMaterials[[#This Row],[Value]]*tbMaterials[[#This Row],[Max Stack]]</f>
        <v>28000</v>
      </c>
      <c r="H145" s="28" t="str">
        <f>IF(ISTEXT(VLOOKUP(tbMaterials[[#This Row],[Item]],tbBlueprints[],1,FALSE)),"Yes","No")</f>
        <v>No</v>
      </c>
      <c r="I145" s="28" t="str">
        <f>IF(ISTEXT(VLOOKUP(tbMaterials[[#This Row],[Item]],tbRefining[],1,FALSE)),"Yes","No")</f>
        <v>No</v>
      </c>
      <c r="J145" s="3" t="s">
        <v>1026</v>
      </c>
    </row>
    <row r="146" spans="2:10" s="66" customFormat="1" ht="27.95" hidden="1" customHeight="1" x14ac:dyDescent="0.25">
      <c r="B146" s="3" t="s">
        <v>1027</v>
      </c>
      <c r="C146" s="4" t="s">
        <v>291</v>
      </c>
      <c r="D146" s="5" t="s">
        <v>362</v>
      </c>
      <c r="E146" s="9">
        <v>1400</v>
      </c>
      <c r="F146" s="28">
        <f>VLOOKUP(tbMaterials[[#This Row],[Type]],tbStackSizes[],2,FALSE)</f>
        <v>20</v>
      </c>
      <c r="G146" s="28">
        <f>tbMaterials[[#This Row],[Value]]*tbMaterials[[#This Row],[Max Stack]]</f>
        <v>28000</v>
      </c>
      <c r="H146" s="28" t="str">
        <f>IF(ISTEXT(VLOOKUP(tbMaterials[[#This Row],[Item]],tbBlueprints[],1,FALSE)),"Yes","No")</f>
        <v>No</v>
      </c>
      <c r="I146" s="28" t="str">
        <f>IF(ISTEXT(VLOOKUP(tbMaterials[[#This Row],[Item]],tbRefining[],1,FALSE)),"Yes","No")</f>
        <v>No</v>
      </c>
      <c r="J146" s="3" t="s">
        <v>1028</v>
      </c>
    </row>
    <row r="147" spans="2:10" s="2" customFormat="1" ht="27.95" hidden="1" customHeight="1" x14ac:dyDescent="0.25">
      <c r="B147" s="3" t="s">
        <v>485</v>
      </c>
      <c r="C147" s="5" t="s">
        <v>461</v>
      </c>
      <c r="D147" s="5" t="s">
        <v>482</v>
      </c>
      <c r="E147" s="9">
        <v>800</v>
      </c>
      <c r="F147" s="41">
        <f>VLOOKUP(tbMaterials[[#This Row],[Type]],tbStackSizes[],2,FALSE)</f>
        <v>10</v>
      </c>
      <c r="G147" s="41">
        <f>tbMaterials[[#This Row],[Value]]*tbMaterials[[#This Row],[Max Stack]]</f>
        <v>8000</v>
      </c>
      <c r="H147" s="41" t="str">
        <f>IF(ISTEXT(VLOOKUP(tbMaterials[[#This Row],[Item]],tbBlueprints[],1,FALSE)),"Yes","No")</f>
        <v>Yes</v>
      </c>
      <c r="I147" s="41" t="str">
        <f>IF(ISTEXT(VLOOKUP(tbMaterials[[#This Row],[Item]],tbRefining[],1,FALSE)),"Yes","No")</f>
        <v>No</v>
      </c>
      <c r="J147" s="3"/>
    </row>
    <row r="148" spans="2:10" s="2" customFormat="1" ht="27.95" hidden="1" customHeight="1" x14ac:dyDescent="0.25">
      <c r="B148" s="3" t="s">
        <v>507</v>
      </c>
      <c r="C148" s="5" t="s">
        <v>461</v>
      </c>
      <c r="D148" s="5" t="s">
        <v>482</v>
      </c>
      <c r="E148" s="9">
        <v>2000</v>
      </c>
      <c r="F148" s="41">
        <f>VLOOKUP(tbMaterials[[#This Row],[Type]],tbStackSizes[],2,FALSE)</f>
        <v>10</v>
      </c>
      <c r="G148" s="41">
        <f>tbMaterials[[#This Row],[Value]]*tbMaterials[[#This Row],[Max Stack]]</f>
        <v>20000</v>
      </c>
      <c r="H148" s="41" t="str">
        <f>IF(ISTEXT(VLOOKUP(tbMaterials[[#This Row],[Item]],tbBlueprints[],1,FALSE)),"Yes","No")</f>
        <v>No</v>
      </c>
      <c r="I148" s="41" t="str">
        <f>IF(ISTEXT(VLOOKUP(tbMaterials[[#This Row],[Item]],tbRefining[],1,FALSE)),"Yes","No")</f>
        <v>No</v>
      </c>
      <c r="J148" s="3"/>
    </row>
    <row r="149" spans="2:10" s="2" customFormat="1" ht="27.95" hidden="1" customHeight="1" x14ac:dyDescent="0.25">
      <c r="B149" s="3" t="s">
        <v>837</v>
      </c>
      <c r="C149" s="5" t="s">
        <v>284</v>
      </c>
      <c r="D149" s="5" t="s">
        <v>572</v>
      </c>
      <c r="E149" s="9">
        <v>1000</v>
      </c>
      <c r="F149" s="41">
        <f>VLOOKUP(tbMaterials[[#This Row],[Type]],tbStackSizes[],2,FALSE)</f>
        <v>5</v>
      </c>
      <c r="G149" s="41">
        <f>tbMaterials[[#This Row],[Value]]*tbMaterials[[#This Row],[Max Stack]]</f>
        <v>5000</v>
      </c>
      <c r="H149" s="41" t="str">
        <f>IF(ISTEXT(VLOOKUP(tbMaterials[[#This Row],[Item]],tbBlueprints[],1,FALSE)),"Yes","No")</f>
        <v>Yes</v>
      </c>
      <c r="I149" s="41" t="str">
        <f>IF(ISTEXT(VLOOKUP(tbMaterials[[#This Row],[Item]],tbRefining[],1,FALSE)),"Yes","No")</f>
        <v>No</v>
      </c>
      <c r="J149" s="3"/>
    </row>
    <row r="150" spans="2:10" s="2" customFormat="1" ht="27.95" customHeight="1" x14ac:dyDescent="0.25">
      <c r="B150" s="66" t="s">
        <v>334</v>
      </c>
      <c r="C150" s="4" t="s">
        <v>278</v>
      </c>
      <c r="D150" s="5" t="s">
        <v>354</v>
      </c>
      <c r="E150" s="7">
        <v>40</v>
      </c>
      <c r="F150" s="28">
        <f>VLOOKUP(tbMaterials[[#This Row],[Type]],tbStackSizes[],2,FALSE)</f>
        <v>9999</v>
      </c>
      <c r="G150" s="28">
        <f>tbMaterials[[#This Row],[Value]]*tbMaterials[[#This Row],[Max Stack]]</f>
        <v>399960</v>
      </c>
      <c r="H150" s="28" t="str">
        <f>IF(ISTEXT(VLOOKUP(tbMaterials[[#This Row],[Item]],tbBlueprints[],1,FALSE)),"Yes","No")</f>
        <v>No</v>
      </c>
      <c r="I150" s="28" t="str">
        <f>IF(ISTEXT(VLOOKUP(tbMaterials[[#This Row],[Item]],tbRefining[],1,FALSE)),"Yes","No")</f>
        <v>Yes</v>
      </c>
      <c r="J150" s="66"/>
    </row>
    <row r="151" spans="2:10" s="66" customFormat="1" ht="27.95" hidden="1" customHeight="1" x14ac:dyDescent="0.25">
      <c r="B151" s="66" t="s">
        <v>983</v>
      </c>
      <c r="C151" s="4" t="s">
        <v>291</v>
      </c>
      <c r="D151" s="5" t="s">
        <v>945</v>
      </c>
      <c r="E151" s="7">
        <v>40000</v>
      </c>
      <c r="F151" s="28">
        <f>VLOOKUP(tbMaterials[[#This Row],[Type]],tbStackSizes[],2,FALSE)</f>
        <v>20</v>
      </c>
      <c r="G151" s="28">
        <f>tbMaterials[[#This Row],[Value]]*tbMaterials[[#This Row],[Max Stack]]</f>
        <v>800000</v>
      </c>
      <c r="H151" s="28" t="str">
        <f>IF(ISTEXT(VLOOKUP(tbMaterials[[#This Row],[Item]],tbBlueprints[],1,FALSE)),"Yes","No")</f>
        <v>No</v>
      </c>
      <c r="I151" s="28" t="str">
        <f>IF(ISTEXT(VLOOKUP(tbMaterials[[#This Row],[Item]],tbRefining[],1,FALSE)),"Yes","No")</f>
        <v>No</v>
      </c>
    </row>
    <row r="152" spans="2:10" s="66" customFormat="1" ht="27.95" hidden="1" customHeight="1" x14ac:dyDescent="0.25">
      <c r="B152" s="66" t="s">
        <v>985</v>
      </c>
      <c r="C152" s="4" t="s">
        <v>291</v>
      </c>
      <c r="D152" s="5" t="s">
        <v>945</v>
      </c>
      <c r="E152" s="7">
        <v>6400</v>
      </c>
      <c r="F152" s="28">
        <f>VLOOKUP(tbMaterials[[#This Row],[Type]],tbStackSizes[],2,FALSE)</f>
        <v>20</v>
      </c>
      <c r="G152" s="28">
        <f>tbMaterials[[#This Row],[Value]]*tbMaterials[[#This Row],[Max Stack]]</f>
        <v>128000</v>
      </c>
      <c r="H152" s="28" t="str">
        <f>IF(ISTEXT(VLOOKUP(tbMaterials[[#This Row],[Item]],tbBlueprints[],1,FALSE)),"Yes","No")</f>
        <v>No</v>
      </c>
      <c r="I152" s="28" t="str">
        <f>IF(ISTEXT(VLOOKUP(tbMaterials[[#This Row],[Item]],tbRefining[],1,FALSE)),"Yes","No")</f>
        <v>No</v>
      </c>
    </row>
    <row r="153" spans="2:10" s="2" customFormat="1" ht="27.95" hidden="1" customHeight="1" x14ac:dyDescent="0.25">
      <c r="B153" s="3" t="s">
        <v>202</v>
      </c>
      <c r="C153" s="5" t="s">
        <v>277</v>
      </c>
      <c r="D153" s="5" t="s">
        <v>498</v>
      </c>
      <c r="E153" s="9">
        <v>1000</v>
      </c>
      <c r="F153" s="41">
        <f>VLOOKUP(tbMaterials[[#This Row],[Type]],tbStackSizes[],2,FALSE)</f>
        <v>20</v>
      </c>
      <c r="G153" s="41">
        <f>tbMaterials[[#This Row],[Value]]*tbMaterials[[#This Row],[Max Stack]]</f>
        <v>20000</v>
      </c>
      <c r="H153" s="41" t="str">
        <f>IF(ISTEXT(VLOOKUP(tbMaterials[[#This Row],[Item]],tbBlueprints[],1,FALSE)),"Yes","No")</f>
        <v>No</v>
      </c>
      <c r="I153" s="41" t="str">
        <f>IF(ISTEXT(VLOOKUP(tbMaterials[[#This Row],[Item]],tbRefining[],1,FALSE)),"Yes","No")</f>
        <v>No</v>
      </c>
      <c r="J153" s="3"/>
    </row>
    <row r="154" spans="2:10" s="2" customFormat="1" ht="27.95" hidden="1" customHeight="1" x14ac:dyDescent="0.25">
      <c r="B154" s="2" t="s">
        <v>323</v>
      </c>
      <c r="C154" s="4" t="s">
        <v>284</v>
      </c>
      <c r="D154" s="5" t="s">
        <v>325</v>
      </c>
      <c r="E154" s="7">
        <v>1000</v>
      </c>
      <c r="F154" s="28">
        <f>VLOOKUP(tbMaterials[[#This Row],[Type]],tbStackSizes[],2,FALSE)</f>
        <v>5</v>
      </c>
      <c r="G154" s="28">
        <f>tbMaterials[[#This Row],[Value]]*tbMaterials[[#This Row],[Max Stack]]</f>
        <v>5000</v>
      </c>
      <c r="H154" s="28" t="str">
        <f>IF(ISTEXT(VLOOKUP(tbMaterials[[#This Row],[Item]],tbBlueprints[],1,FALSE)),"Yes","No")</f>
        <v>No</v>
      </c>
      <c r="I154" s="28" t="str">
        <f>IF(ISTEXT(VLOOKUP(tbMaterials[[#This Row],[Item]],tbRefining[],1,FALSE)),"Yes","No")</f>
        <v>No</v>
      </c>
    </row>
    <row r="155" spans="2:10" s="2" customFormat="1" ht="27.95" hidden="1" customHeight="1" x14ac:dyDescent="0.25">
      <c r="B155" s="3" t="s">
        <v>67</v>
      </c>
      <c r="C155" s="5" t="s">
        <v>277</v>
      </c>
      <c r="D155" s="5" t="s">
        <v>509</v>
      </c>
      <c r="E155" s="9">
        <v>6000</v>
      </c>
      <c r="F155" s="41">
        <f>VLOOKUP(tbMaterials[[#This Row],[Type]],tbStackSizes[],2,FALSE)</f>
        <v>20</v>
      </c>
      <c r="G155" s="41">
        <f>tbMaterials[[#This Row],[Value]]*tbMaterials[[#This Row],[Max Stack]]</f>
        <v>120000</v>
      </c>
      <c r="H155" s="41" t="str">
        <f>IF(ISTEXT(VLOOKUP(tbMaterials[[#This Row],[Item]],tbBlueprints[],1,FALSE)),"Yes","No")</f>
        <v>No</v>
      </c>
      <c r="I155" s="41" t="str">
        <f>IF(ISTEXT(VLOOKUP(tbMaterials[[#This Row],[Item]],tbRefining[],1,FALSE)),"Yes","No")</f>
        <v>No</v>
      </c>
      <c r="J155" s="3"/>
    </row>
    <row r="156" spans="2:10" s="2" customFormat="1" ht="27.95" customHeight="1" x14ac:dyDescent="0.25">
      <c r="B156" s="66" t="s">
        <v>21</v>
      </c>
      <c r="C156" s="4" t="s">
        <v>278</v>
      </c>
      <c r="D156" s="5" t="s">
        <v>355</v>
      </c>
      <c r="E156" s="7">
        <v>20</v>
      </c>
      <c r="F156" s="28">
        <f>VLOOKUP(tbMaterials[[#This Row],[Type]],tbStackSizes[],2,FALSE)</f>
        <v>9999</v>
      </c>
      <c r="G156" s="28">
        <f>tbMaterials[[#This Row],[Value]]*tbMaterials[[#This Row],[Max Stack]]</f>
        <v>199980</v>
      </c>
      <c r="H156" s="28" t="str">
        <f>IF(ISTEXT(VLOOKUP(tbMaterials[[#This Row],[Item]],tbBlueprints[],1,FALSE)),"Yes","No")</f>
        <v>No</v>
      </c>
      <c r="I156" s="28" t="str">
        <f>IF(ISTEXT(VLOOKUP(tbMaterials[[#This Row],[Item]],tbRefining[],1,FALSE)),"Yes","No")</f>
        <v>No</v>
      </c>
      <c r="J156" s="66"/>
    </row>
    <row r="157" spans="2:10" s="2" customFormat="1" ht="27.95" hidden="1" customHeight="1" x14ac:dyDescent="0.25">
      <c r="B157" s="3" t="s">
        <v>488</v>
      </c>
      <c r="C157" s="5" t="s">
        <v>277</v>
      </c>
      <c r="D157" s="5" t="s">
        <v>496</v>
      </c>
      <c r="E157" s="9">
        <v>50000</v>
      </c>
      <c r="F157" s="41">
        <f>VLOOKUP(tbMaterials[[#This Row],[Type]],tbStackSizes[],2,FALSE)</f>
        <v>20</v>
      </c>
      <c r="G157" s="41">
        <f>tbMaterials[[#This Row],[Value]]*tbMaterials[[#This Row],[Max Stack]]</f>
        <v>1000000</v>
      </c>
      <c r="H157" s="41" t="str">
        <f>IF(ISTEXT(VLOOKUP(tbMaterials[[#This Row],[Item]],tbBlueprints[],1,FALSE)),"Yes","No")</f>
        <v>Yes</v>
      </c>
      <c r="I157" s="41" t="str">
        <f>IF(ISTEXT(VLOOKUP(tbMaterials[[#This Row],[Item]],tbRefining[],1,FALSE)),"Yes","No")</f>
        <v>Yes</v>
      </c>
      <c r="J157" s="3"/>
    </row>
    <row r="158" spans="2:10" s="2" customFormat="1" ht="27.95" hidden="1" customHeight="1" x14ac:dyDescent="0.25">
      <c r="B158" s="3" t="s">
        <v>488</v>
      </c>
      <c r="C158" s="5" t="s">
        <v>277</v>
      </c>
      <c r="D158" s="5" t="s">
        <v>496</v>
      </c>
      <c r="E158" s="9">
        <v>50000</v>
      </c>
      <c r="F158" s="41">
        <f>VLOOKUP(tbMaterials[[#This Row],[Type]],tbStackSizes[],2,FALSE)</f>
        <v>20</v>
      </c>
      <c r="G158" s="41">
        <f>tbMaterials[[#This Row],[Value]]*tbMaterials[[#This Row],[Max Stack]]</f>
        <v>1000000</v>
      </c>
      <c r="H158" s="41" t="str">
        <f>IF(ISTEXT(VLOOKUP(tbMaterials[[#This Row],[Item]],tbBlueprints[],1,FALSE)),"Yes","No")</f>
        <v>Yes</v>
      </c>
      <c r="I158" s="41" t="str">
        <f>IF(ISTEXT(VLOOKUP(tbMaterials[[#This Row],[Item]],tbRefining[],1,FALSE)),"Yes","No")</f>
        <v>Yes</v>
      </c>
      <c r="J158" s="3"/>
    </row>
    <row r="159" spans="2:10" s="2" customFormat="1" ht="27.95" hidden="1" customHeight="1" x14ac:dyDescent="0.25">
      <c r="B159" s="66" t="s">
        <v>940</v>
      </c>
      <c r="C159" s="4" t="s">
        <v>210</v>
      </c>
      <c r="D159" s="5" t="s">
        <v>461</v>
      </c>
      <c r="E159" s="7">
        <v>30937.5</v>
      </c>
      <c r="F159" s="28" t="e">
        <f>VLOOKUP(tbMaterials[[#This Row],[Type]],tbStackSizes[],2,FALSE)</f>
        <v>#N/A</v>
      </c>
      <c r="G159" s="28" t="e">
        <f>tbMaterials[[#This Row],[Value]]*tbMaterials[[#This Row],[Max Stack]]</f>
        <v>#N/A</v>
      </c>
      <c r="H159" s="28" t="str">
        <f>IF(ISTEXT(VLOOKUP(tbMaterials[[#This Row],[Item]],tbBlueprints[],1,FALSE)),"Yes","No")</f>
        <v>Yes</v>
      </c>
      <c r="I159" s="28" t="str">
        <f>IF(ISTEXT(VLOOKUP(tbMaterials[[#This Row],[Item]],tbRefining[],1,FALSE)),"Yes","No")</f>
        <v>No</v>
      </c>
      <c r="J159" s="66"/>
    </row>
    <row r="160" spans="2:10" s="2" customFormat="1" ht="27.95" hidden="1" customHeight="1" x14ac:dyDescent="0.25">
      <c r="B160" s="3" t="s">
        <v>212</v>
      </c>
      <c r="C160" s="5" t="s">
        <v>277</v>
      </c>
      <c r="D160" s="5" t="s">
        <v>494</v>
      </c>
      <c r="E160" s="9">
        <v>6000</v>
      </c>
      <c r="F160" s="41">
        <f>VLOOKUP(tbMaterials[[#This Row],[Type]],tbStackSizes[],2,FALSE)</f>
        <v>20</v>
      </c>
      <c r="G160" s="41">
        <f>tbMaterials[[#This Row],[Value]]*tbMaterials[[#This Row],[Max Stack]]</f>
        <v>120000</v>
      </c>
      <c r="H160" s="41" t="str">
        <f>IF(ISTEXT(VLOOKUP(tbMaterials[[#This Row],[Item]],tbBlueprints[],1,FALSE)),"Yes","No")</f>
        <v>No</v>
      </c>
      <c r="I160" s="41" t="str">
        <f>IF(ISTEXT(VLOOKUP(tbMaterials[[#This Row],[Item]],tbRefining[],1,FALSE)),"Yes","No")</f>
        <v>No</v>
      </c>
      <c r="J160" s="3"/>
    </row>
    <row r="161" spans="2:10" s="2" customFormat="1" ht="27.95" hidden="1" customHeight="1" x14ac:dyDescent="0.25">
      <c r="B161" s="3" t="s">
        <v>1030</v>
      </c>
      <c r="C161" s="4" t="s">
        <v>291</v>
      </c>
      <c r="D161" s="5" t="s">
        <v>362</v>
      </c>
      <c r="E161" s="9">
        <v>500</v>
      </c>
      <c r="F161" s="28">
        <f>VLOOKUP(tbMaterials[[#This Row],[Type]],tbStackSizes[],2,FALSE)</f>
        <v>20</v>
      </c>
      <c r="G161" s="28">
        <f>tbMaterials[[#This Row],[Value]]*tbMaterials[[#This Row],[Max Stack]]</f>
        <v>10000</v>
      </c>
      <c r="H161" s="28" t="str">
        <f>IF(ISTEXT(VLOOKUP(tbMaterials[[#This Row],[Item]],tbBlueprints[],1,FALSE)),"Yes","No")</f>
        <v>No</v>
      </c>
      <c r="I161" s="28" t="str">
        <f>IF(ISTEXT(VLOOKUP(tbMaterials[[#This Row],[Item]],tbRefining[],1,FALSE)),"Yes","No")</f>
        <v>No</v>
      </c>
      <c r="J161" s="3" t="s">
        <v>1031</v>
      </c>
    </row>
    <row r="162" spans="2:10" s="66" customFormat="1" ht="27.95" hidden="1" customHeight="1" x14ac:dyDescent="0.25">
      <c r="B162" s="3" t="s">
        <v>1032</v>
      </c>
      <c r="C162" s="4" t="s">
        <v>291</v>
      </c>
      <c r="D162" s="5" t="s">
        <v>362</v>
      </c>
      <c r="E162" s="9">
        <v>1800</v>
      </c>
      <c r="F162" s="28">
        <f>VLOOKUP(tbMaterials[[#This Row],[Type]],tbStackSizes[],2,FALSE)</f>
        <v>20</v>
      </c>
      <c r="G162" s="28">
        <f>tbMaterials[[#This Row],[Value]]*tbMaterials[[#This Row],[Max Stack]]</f>
        <v>36000</v>
      </c>
      <c r="H162" s="28" t="str">
        <f>IF(ISTEXT(VLOOKUP(tbMaterials[[#This Row],[Item]],tbBlueprints[],1,FALSE)),"Yes","No")</f>
        <v>No</v>
      </c>
      <c r="I162" s="28" t="str">
        <f>IF(ISTEXT(VLOOKUP(tbMaterials[[#This Row],[Item]],tbRefining[],1,FALSE)),"Yes","No")</f>
        <v>No</v>
      </c>
      <c r="J162" s="3" t="s">
        <v>1033</v>
      </c>
    </row>
    <row r="163" spans="2:10" s="66" customFormat="1" ht="27.95" hidden="1" customHeight="1" x14ac:dyDescent="0.25">
      <c r="B163" s="66" t="s">
        <v>187</v>
      </c>
      <c r="C163" s="4" t="s">
        <v>277</v>
      </c>
      <c r="D163" s="5" t="s">
        <v>555</v>
      </c>
      <c r="E163" s="7">
        <v>15000</v>
      </c>
      <c r="F163" s="28">
        <f>VLOOKUP(tbMaterials[[#This Row],[Type]],tbStackSizes[],2,FALSE)</f>
        <v>20</v>
      </c>
      <c r="G163" s="28">
        <f>tbMaterials[[#This Row],[Value]]*tbMaterials[[#This Row],[Max Stack]]</f>
        <v>300000</v>
      </c>
      <c r="H163" s="28" t="str">
        <f>IF(ISTEXT(VLOOKUP(tbMaterials[[#This Row],[Item]],tbBlueprints[],1,FALSE)),"Yes","No")</f>
        <v>No</v>
      </c>
      <c r="I163" s="28" t="str">
        <f>IF(ISTEXT(VLOOKUP(tbMaterials[[#This Row],[Item]],tbRefining[],1,FALSE)),"Yes","No")</f>
        <v>No</v>
      </c>
    </row>
    <row r="164" spans="2:10" s="66" customFormat="1" ht="27.95" hidden="1" customHeight="1" x14ac:dyDescent="0.25">
      <c r="B164" s="3" t="s">
        <v>204</v>
      </c>
      <c r="C164" s="5" t="s">
        <v>277</v>
      </c>
      <c r="D164" s="5" t="s">
        <v>498</v>
      </c>
      <c r="E164" s="9">
        <v>15000</v>
      </c>
      <c r="F164" s="41">
        <f>VLOOKUP(tbMaterials[[#This Row],[Type]],tbStackSizes[],2,FALSE)</f>
        <v>20</v>
      </c>
      <c r="G164" s="41">
        <f>tbMaterials[[#This Row],[Value]]*tbMaterials[[#This Row],[Max Stack]]</f>
        <v>300000</v>
      </c>
      <c r="H164" s="41" t="str">
        <f>IF(ISTEXT(VLOOKUP(tbMaterials[[#This Row],[Item]],tbBlueprints[],1,FALSE)),"Yes","No")</f>
        <v>No</v>
      </c>
      <c r="I164" s="41" t="str">
        <f>IF(ISTEXT(VLOOKUP(tbMaterials[[#This Row],[Item]],tbRefining[],1,FALSE)),"Yes","No")</f>
        <v>No</v>
      </c>
      <c r="J164" s="3"/>
    </row>
    <row r="165" spans="2:10" s="66" customFormat="1" ht="27.95" hidden="1" customHeight="1" x14ac:dyDescent="0.25">
      <c r="B165" s="3" t="s">
        <v>895</v>
      </c>
      <c r="C165" s="5" t="s">
        <v>277</v>
      </c>
      <c r="D165" s="5" t="s">
        <v>497</v>
      </c>
      <c r="E165" s="9">
        <v>320000</v>
      </c>
      <c r="F165" s="41">
        <f>VLOOKUP(tbMaterials[[#This Row],[Type]],tbStackSizes[],2,FALSE)</f>
        <v>20</v>
      </c>
      <c r="G165" s="41">
        <f>tbMaterials[[#This Row],[Value]]*tbMaterials[[#This Row],[Max Stack]]</f>
        <v>6400000</v>
      </c>
      <c r="H165" s="41" t="str">
        <f>IF(ISTEXT(VLOOKUP(tbMaterials[[#This Row],[Item]],tbBlueprints[],1,FALSE)),"Yes","No")</f>
        <v>Yes</v>
      </c>
      <c r="I165" s="41" t="str">
        <f>IF(ISTEXT(VLOOKUP(tbMaterials[[#This Row],[Item]],tbRefining[],1,FALSE)),"Yes","No")</f>
        <v>No</v>
      </c>
      <c r="J165" s="3"/>
    </row>
    <row r="166" spans="2:10" s="2" customFormat="1" ht="27.95" hidden="1" customHeight="1" x14ac:dyDescent="0.25">
      <c r="B166" s="3" t="s">
        <v>197</v>
      </c>
      <c r="C166" s="5" t="s">
        <v>277</v>
      </c>
      <c r="D166" s="5" t="s">
        <v>509</v>
      </c>
      <c r="E166" s="9">
        <v>30000</v>
      </c>
      <c r="F166" s="41">
        <f>VLOOKUP(tbMaterials[[#This Row],[Type]],tbStackSizes[],2,FALSE)</f>
        <v>20</v>
      </c>
      <c r="G166" s="41">
        <f>tbMaterials[[#This Row],[Value]]*tbMaterials[[#This Row],[Max Stack]]</f>
        <v>600000</v>
      </c>
      <c r="H166" s="41" t="str">
        <f>IF(ISTEXT(VLOOKUP(tbMaterials[[#This Row],[Item]],tbBlueprints[],1,FALSE)),"Yes","No")</f>
        <v>No</v>
      </c>
      <c r="I166" s="41" t="str">
        <f>IF(ISTEXT(VLOOKUP(tbMaterials[[#This Row],[Item]],tbRefining[],1,FALSE)),"Yes","No")</f>
        <v>No</v>
      </c>
      <c r="J166" s="3"/>
    </row>
    <row r="167" spans="2:10" s="66" customFormat="1" ht="27.95" customHeight="1" x14ac:dyDescent="0.25">
      <c r="B167" s="66" t="s">
        <v>8</v>
      </c>
      <c r="C167" s="4" t="s">
        <v>278</v>
      </c>
      <c r="D167" s="5" t="s">
        <v>341</v>
      </c>
      <c r="E167" s="7">
        <v>34</v>
      </c>
      <c r="F167" s="28">
        <f>VLOOKUP(tbMaterials[[#This Row],[Type]],tbStackSizes[],2,FALSE)</f>
        <v>9999</v>
      </c>
      <c r="G167" s="28">
        <f>tbMaterials[[#This Row],[Value]]*tbMaterials[[#This Row],[Max Stack]]</f>
        <v>339966</v>
      </c>
      <c r="H167" s="28" t="str">
        <f>IF(ISTEXT(VLOOKUP(tbMaterials[[#This Row],[Item]],tbBlueprints[],1,FALSE)),"Yes","No")</f>
        <v>No</v>
      </c>
      <c r="I167" s="28" t="str">
        <f>IF(ISTEXT(VLOOKUP(tbMaterials[[#This Row],[Item]],tbRefining[],1,FALSE)),"Yes","No")</f>
        <v>No</v>
      </c>
    </row>
    <row r="168" spans="2:10" s="2" customFormat="1" ht="27.95" hidden="1" customHeight="1" x14ac:dyDescent="0.25">
      <c r="B168" s="66" t="s">
        <v>891</v>
      </c>
      <c r="C168" s="4" t="s">
        <v>461</v>
      </c>
      <c r="D168" s="5" t="s">
        <v>482</v>
      </c>
      <c r="E168" s="7">
        <v>615</v>
      </c>
      <c r="F168" s="28">
        <f>VLOOKUP(tbMaterials[[#This Row],[Type]],tbStackSizes[],2,FALSE)</f>
        <v>10</v>
      </c>
      <c r="G168" s="28">
        <f>tbMaterials[[#This Row],[Value]]*tbMaterials[[#This Row],[Max Stack]]</f>
        <v>6150</v>
      </c>
      <c r="H168" s="28" t="str">
        <f>IF(ISTEXT(VLOOKUP(tbMaterials[[#This Row],[Item]],tbBlueprints[],1,FALSE)),"Yes","No")</f>
        <v>Yes</v>
      </c>
      <c r="I168" s="28" t="str">
        <f>IF(ISTEXT(VLOOKUP(tbMaterials[[#This Row],[Item]],tbRefining[],1,FALSE)),"Yes","No")</f>
        <v>No</v>
      </c>
      <c r="J168" s="66"/>
    </row>
    <row r="169" spans="2:10" s="2" customFormat="1" ht="27.95" customHeight="1" x14ac:dyDescent="0.25">
      <c r="B169" s="2" t="s">
        <v>61</v>
      </c>
      <c r="C169" s="4" t="s">
        <v>278</v>
      </c>
      <c r="D169" s="5" t="s">
        <v>339</v>
      </c>
      <c r="E169" s="7">
        <v>62</v>
      </c>
      <c r="F169" s="28">
        <f>VLOOKUP(tbMaterials[[#This Row],[Type]],tbStackSizes[],2,FALSE)</f>
        <v>9999</v>
      </c>
      <c r="G169" s="28">
        <f>tbMaterials[[#This Row],[Value]]*tbMaterials[[#This Row],[Max Stack]]</f>
        <v>619938</v>
      </c>
      <c r="H169" s="28" t="str">
        <f>IF(ISTEXT(VLOOKUP(tbMaterials[[#This Row],[Item]],tbBlueprints[],1,FALSE)),"Yes","No")</f>
        <v>No</v>
      </c>
      <c r="I169" s="28" t="str">
        <f>IF(ISTEXT(VLOOKUP(tbMaterials[[#This Row],[Item]],tbRefining[],1,FALSE)),"Yes","No")</f>
        <v>No</v>
      </c>
    </row>
    <row r="170" spans="2:10" s="2" customFormat="1" ht="27.95" hidden="1" customHeight="1" x14ac:dyDescent="0.25">
      <c r="B170" s="2" t="s">
        <v>953</v>
      </c>
      <c r="C170" s="4" t="s">
        <v>291</v>
      </c>
      <c r="D170" s="5" t="s">
        <v>945</v>
      </c>
      <c r="E170" s="7">
        <v>24000</v>
      </c>
      <c r="F170" s="28">
        <f>VLOOKUP(tbMaterials[[#This Row],[Type]],tbStackSizes[],2,FALSE)</f>
        <v>20</v>
      </c>
      <c r="G170" s="28">
        <f>tbMaterials[[#This Row],[Value]]*tbMaterials[[#This Row],[Max Stack]]</f>
        <v>480000</v>
      </c>
      <c r="H170" s="28" t="str">
        <f>IF(ISTEXT(VLOOKUP(tbMaterials[[#This Row],[Item]],tbBlueprints[],1,FALSE)),"Yes","No")</f>
        <v>No</v>
      </c>
      <c r="I170" s="28" t="str">
        <f>IF(ISTEXT(VLOOKUP(tbMaterials[[#This Row],[Item]],tbRefining[],1,FALSE)),"Yes","No")</f>
        <v>No</v>
      </c>
    </row>
    <row r="171" spans="2:10" s="2" customFormat="1" ht="27.95" customHeight="1" x14ac:dyDescent="0.25">
      <c r="B171" s="66" t="s">
        <v>34</v>
      </c>
      <c r="C171" s="4" t="s">
        <v>278</v>
      </c>
      <c r="D171" s="5" t="s">
        <v>339</v>
      </c>
      <c r="E171" s="7">
        <v>62</v>
      </c>
      <c r="F171" s="28">
        <f>VLOOKUP(tbMaterials[[#This Row],[Type]],tbStackSizes[],2,FALSE)</f>
        <v>9999</v>
      </c>
      <c r="G171" s="28">
        <f>tbMaterials[[#This Row],[Value]]*tbMaterials[[#This Row],[Max Stack]]</f>
        <v>619938</v>
      </c>
      <c r="H171" s="28" t="str">
        <f>IF(ISTEXT(VLOOKUP(tbMaterials[[#This Row],[Item]],tbBlueprints[],1,FALSE)),"Yes","No")</f>
        <v>No</v>
      </c>
      <c r="I171" s="28" t="str">
        <f>IF(ISTEXT(VLOOKUP(tbMaterials[[#This Row],[Item]],tbRefining[],1,FALSE)),"Yes","No")</f>
        <v>No</v>
      </c>
      <c r="J171" s="66"/>
    </row>
    <row r="172" spans="2:10" s="2" customFormat="1" ht="27.95" hidden="1" customHeight="1" x14ac:dyDescent="0.25">
      <c r="B172" s="66" t="s">
        <v>950</v>
      </c>
      <c r="C172" s="4" t="s">
        <v>291</v>
      </c>
      <c r="D172" s="5" t="s">
        <v>945</v>
      </c>
      <c r="E172" s="7">
        <v>30000</v>
      </c>
      <c r="F172" s="28">
        <f>VLOOKUP(tbMaterials[[#This Row],[Type]],tbStackSizes[],2,FALSE)</f>
        <v>20</v>
      </c>
      <c r="G172" s="28">
        <f>tbMaterials[[#This Row],[Value]]*tbMaterials[[#This Row],[Max Stack]]</f>
        <v>600000</v>
      </c>
      <c r="H172" s="28" t="str">
        <f>IF(ISTEXT(VLOOKUP(tbMaterials[[#This Row],[Item]],tbBlueprints[],1,FALSE)),"Yes","No")</f>
        <v>No</v>
      </c>
      <c r="I172" s="28" t="str">
        <f>IF(ISTEXT(VLOOKUP(tbMaterials[[#This Row],[Item]],tbRefining[],1,FALSE)),"Yes","No")</f>
        <v>No</v>
      </c>
      <c r="J172" s="66"/>
    </row>
    <row r="173" spans="2:10" s="66" customFormat="1" ht="27.95" hidden="1" customHeight="1" x14ac:dyDescent="0.25">
      <c r="B173" s="3" t="s">
        <v>1034</v>
      </c>
      <c r="C173" s="4" t="s">
        <v>291</v>
      </c>
      <c r="D173" s="5" t="s">
        <v>362</v>
      </c>
      <c r="E173" s="9">
        <v>3200</v>
      </c>
      <c r="F173" s="28">
        <f>VLOOKUP(tbMaterials[[#This Row],[Type]],tbStackSizes[],2,FALSE)</f>
        <v>20</v>
      </c>
      <c r="G173" s="28">
        <f>tbMaterials[[#This Row],[Value]]*tbMaterials[[#This Row],[Max Stack]]</f>
        <v>64000</v>
      </c>
      <c r="H173" s="28" t="str">
        <f>IF(ISTEXT(VLOOKUP(tbMaterials[[#This Row],[Item]],tbBlueprints[],1,FALSE)),"Yes","No")</f>
        <v>No</v>
      </c>
      <c r="I173" s="28" t="str">
        <f>IF(ISTEXT(VLOOKUP(tbMaterials[[#This Row],[Item]],tbRefining[],1,FALSE)),"Yes","No")</f>
        <v>No</v>
      </c>
      <c r="J173" s="3" t="s">
        <v>1035</v>
      </c>
    </row>
    <row r="174" spans="2:10" s="2" customFormat="1" ht="27.95" customHeight="1" x14ac:dyDescent="0.25">
      <c r="B174" s="66" t="s">
        <v>18</v>
      </c>
      <c r="C174" s="4" t="s">
        <v>278</v>
      </c>
      <c r="D174" s="5" t="s">
        <v>349</v>
      </c>
      <c r="E174" s="7">
        <v>505</v>
      </c>
      <c r="F174" s="28">
        <f>VLOOKUP(tbMaterials[[#This Row],[Type]],tbStackSizes[],2,FALSE)</f>
        <v>9999</v>
      </c>
      <c r="G174" s="28">
        <f>tbMaterials[[#This Row],[Value]]*tbMaterials[[#This Row],[Max Stack]]</f>
        <v>5049495</v>
      </c>
      <c r="H174" s="28" t="str">
        <f>IF(ISTEXT(VLOOKUP(tbMaterials[[#This Row],[Item]],tbBlueprints[],1,FALSE)),"Yes","No")</f>
        <v>No</v>
      </c>
      <c r="I174" s="28" t="str">
        <f>IF(ISTEXT(VLOOKUP(tbMaterials[[#This Row],[Item]],tbRefining[],1,FALSE)),"Yes","No")</f>
        <v>Yes</v>
      </c>
      <c r="J174" s="66"/>
    </row>
    <row r="175" spans="2:10" s="2" customFormat="1" ht="27.95" hidden="1" customHeight="1" x14ac:dyDescent="0.25">
      <c r="B175" s="66" t="s">
        <v>840</v>
      </c>
      <c r="C175" s="4" t="s">
        <v>277</v>
      </c>
      <c r="D175" s="5" t="s">
        <v>571</v>
      </c>
      <c r="E175" s="7">
        <v>130000</v>
      </c>
      <c r="F175" s="28">
        <f>VLOOKUP(tbMaterials[[#This Row],[Type]],tbStackSizes[],2,FALSE)</f>
        <v>20</v>
      </c>
      <c r="G175" s="28">
        <f>tbMaterials[[#This Row],[Value]]*tbMaterials[[#This Row],[Max Stack]]</f>
        <v>2600000</v>
      </c>
      <c r="H175" s="28" t="str">
        <f>IF(ISTEXT(VLOOKUP(tbMaterials[[#This Row],[Item]],tbBlueprints[],1,FALSE)),"Yes","No")</f>
        <v>Yes</v>
      </c>
      <c r="I175" s="28" t="str">
        <f>IF(ISTEXT(VLOOKUP(tbMaterials[[#This Row],[Item]],tbRefining[],1,FALSE)),"Yes","No")</f>
        <v>No</v>
      </c>
      <c r="J175" s="66"/>
    </row>
    <row r="176" spans="2:10" s="2" customFormat="1" ht="27.95" hidden="1" customHeight="1" x14ac:dyDescent="0.25">
      <c r="B176" s="2" t="s">
        <v>194</v>
      </c>
      <c r="C176" s="4" t="s">
        <v>277</v>
      </c>
      <c r="D176" s="5" t="s">
        <v>557</v>
      </c>
      <c r="E176" s="7">
        <v>30000</v>
      </c>
      <c r="F176" s="28">
        <f>VLOOKUP(tbMaterials[[#This Row],[Type]],tbStackSizes[],2,FALSE)</f>
        <v>20</v>
      </c>
      <c r="G176" s="28">
        <f>tbMaterials[[#This Row],[Value]]*tbMaterials[[#This Row],[Max Stack]]</f>
        <v>600000</v>
      </c>
      <c r="H176" s="28" t="str">
        <f>IF(ISTEXT(VLOOKUP(tbMaterials[[#This Row],[Item]],tbBlueprints[],1,FALSE)),"Yes","No")</f>
        <v>No</v>
      </c>
      <c r="I176" s="28" t="str">
        <f>IF(ISTEXT(VLOOKUP(tbMaterials[[#This Row],[Item]],tbRefining[],1,FALSE)),"Yes","No")</f>
        <v>No</v>
      </c>
    </row>
    <row r="177" spans="2:10" s="2" customFormat="1" ht="27.95" hidden="1" customHeight="1" x14ac:dyDescent="0.25">
      <c r="B177" s="66" t="s">
        <v>896</v>
      </c>
      <c r="C177" s="4" t="s">
        <v>277</v>
      </c>
      <c r="D177" s="5" t="s">
        <v>572</v>
      </c>
      <c r="E177" s="7">
        <v>4200000</v>
      </c>
      <c r="F177" s="28">
        <f>VLOOKUP(tbMaterials[[#This Row],[Type]],tbStackSizes[],2,FALSE)</f>
        <v>20</v>
      </c>
      <c r="G177" s="28">
        <f>tbMaterials[[#This Row],[Value]]*tbMaterials[[#This Row],[Max Stack]]</f>
        <v>84000000</v>
      </c>
      <c r="H177" s="28" t="str">
        <f>IF(ISTEXT(VLOOKUP(tbMaterials[[#This Row],[Item]],tbBlueprints[],1,FALSE)),"Yes","No")</f>
        <v>Yes</v>
      </c>
      <c r="I177" s="28" t="str">
        <f>IF(ISTEXT(VLOOKUP(tbMaterials[[#This Row],[Item]],tbRefining[],1,FALSE)),"Yes","No")</f>
        <v>No</v>
      </c>
      <c r="J177" s="66"/>
    </row>
    <row r="178" spans="2:10" s="66" customFormat="1" ht="27.95" hidden="1" customHeight="1" x14ac:dyDescent="0.25">
      <c r="B178" s="66" t="s">
        <v>980</v>
      </c>
      <c r="C178" s="4" t="s">
        <v>291</v>
      </c>
      <c r="D178" s="5" t="s">
        <v>945</v>
      </c>
      <c r="E178" s="7">
        <v>2100</v>
      </c>
      <c r="F178" s="28">
        <f>VLOOKUP(tbMaterials[[#This Row],[Type]],tbStackSizes[],2,FALSE)</f>
        <v>20</v>
      </c>
      <c r="G178" s="28">
        <f>tbMaterials[[#This Row],[Value]]*tbMaterials[[#This Row],[Max Stack]]</f>
        <v>42000</v>
      </c>
      <c r="H178" s="28" t="str">
        <f>IF(ISTEXT(VLOOKUP(tbMaterials[[#This Row],[Item]],tbBlueprints[],1,FALSE)),"Yes","No")</f>
        <v>No</v>
      </c>
      <c r="I178" s="28" t="str">
        <f>IF(ISTEXT(VLOOKUP(tbMaterials[[#This Row],[Item]],tbRefining[],1,FALSE)),"Yes","No")</f>
        <v>No</v>
      </c>
    </row>
    <row r="179" spans="2:10" s="66" customFormat="1" ht="27.95" hidden="1" customHeight="1" x14ac:dyDescent="0.25">
      <c r="B179" s="66" t="s">
        <v>978</v>
      </c>
      <c r="C179" s="4" t="s">
        <v>291</v>
      </c>
      <c r="D179" s="5" t="s">
        <v>945</v>
      </c>
      <c r="E179" s="7">
        <v>9000</v>
      </c>
      <c r="F179" s="28">
        <f>VLOOKUP(tbMaterials[[#This Row],[Type]],tbStackSizes[],2,FALSE)</f>
        <v>20</v>
      </c>
      <c r="G179" s="28">
        <f>tbMaterials[[#This Row],[Value]]*tbMaterials[[#This Row],[Max Stack]]</f>
        <v>180000</v>
      </c>
      <c r="H179" s="28" t="str">
        <f>IF(ISTEXT(VLOOKUP(tbMaterials[[#This Row],[Item]],tbBlueprints[],1,FALSE)),"Yes","No")</f>
        <v>No</v>
      </c>
      <c r="I179" s="28" t="str">
        <f>IF(ISTEXT(VLOOKUP(tbMaterials[[#This Row],[Item]],tbRefining[],1,FALSE)),"Yes","No")</f>
        <v>No</v>
      </c>
    </row>
    <row r="180" spans="2:10" s="2" customFormat="1" ht="27.95" hidden="1" customHeight="1" x14ac:dyDescent="0.25">
      <c r="B180" s="66" t="s">
        <v>956</v>
      </c>
      <c r="C180" s="4" t="s">
        <v>291</v>
      </c>
      <c r="D180" s="5" t="s">
        <v>945</v>
      </c>
      <c r="E180" s="7">
        <v>9400</v>
      </c>
      <c r="F180" s="28">
        <f>VLOOKUP(tbMaterials[[#This Row],[Type]],tbStackSizes[],2,FALSE)</f>
        <v>20</v>
      </c>
      <c r="G180" s="28">
        <f>tbMaterials[[#This Row],[Value]]*tbMaterials[[#This Row],[Max Stack]]</f>
        <v>188000</v>
      </c>
      <c r="H180" s="28" t="str">
        <f>IF(ISTEXT(VLOOKUP(tbMaterials[[#This Row],[Item]],tbBlueprints[],1,FALSE)),"Yes","No")</f>
        <v>No</v>
      </c>
      <c r="I180" s="28" t="str">
        <f>IF(ISTEXT(VLOOKUP(tbMaterials[[#This Row],[Item]],tbRefining[],1,FALSE)),"Yes","No")</f>
        <v>No</v>
      </c>
      <c r="J180" s="66"/>
    </row>
    <row r="181" spans="2:10" s="2" customFormat="1" ht="27.95" hidden="1" customHeight="1" x14ac:dyDescent="0.25">
      <c r="B181" s="66" t="s">
        <v>951</v>
      </c>
      <c r="C181" s="4" t="s">
        <v>291</v>
      </c>
      <c r="D181" s="5" t="s">
        <v>945</v>
      </c>
      <c r="E181" s="7">
        <v>12000</v>
      </c>
      <c r="F181" s="28">
        <f>VLOOKUP(tbMaterials[[#This Row],[Type]],tbStackSizes[],2,FALSE)</f>
        <v>20</v>
      </c>
      <c r="G181" s="28">
        <f>tbMaterials[[#This Row],[Value]]*tbMaterials[[#This Row],[Max Stack]]</f>
        <v>240000</v>
      </c>
      <c r="H181" s="28" t="str">
        <f>IF(ISTEXT(VLOOKUP(tbMaterials[[#This Row],[Item]],tbBlueprints[],1,FALSE)),"Yes","No")</f>
        <v>No</v>
      </c>
      <c r="I181" s="28" t="str">
        <f>IF(ISTEXT(VLOOKUP(tbMaterials[[#This Row],[Item]],tbRefining[],1,FALSE)),"Yes","No")</f>
        <v>No</v>
      </c>
      <c r="J181" s="66"/>
    </row>
    <row r="182" spans="2:10" s="2" customFormat="1" ht="27.95" hidden="1" customHeight="1" x14ac:dyDescent="0.25">
      <c r="B182" s="66" t="s">
        <v>961</v>
      </c>
      <c r="C182" s="4" t="s">
        <v>291</v>
      </c>
      <c r="D182" s="5" t="s">
        <v>945</v>
      </c>
      <c r="E182" s="7">
        <v>7200</v>
      </c>
      <c r="F182" s="28">
        <f>VLOOKUP(tbMaterials[[#This Row],[Type]],tbStackSizes[],2,FALSE)</f>
        <v>20</v>
      </c>
      <c r="G182" s="28">
        <f>tbMaterials[[#This Row],[Value]]*tbMaterials[[#This Row],[Max Stack]]</f>
        <v>144000</v>
      </c>
      <c r="H182" s="28" t="str">
        <f>IF(ISTEXT(VLOOKUP(tbMaterials[[#This Row],[Item]],tbBlueprints[],1,FALSE)),"Yes","No")</f>
        <v>No</v>
      </c>
      <c r="I182" s="28" t="str">
        <f>IF(ISTEXT(VLOOKUP(tbMaterials[[#This Row],[Item]],tbRefining[],1,FALSE)),"Yes","No")</f>
        <v>No</v>
      </c>
      <c r="J182" s="66"/>
    </row>
    <row r="183" spans="2:10" s="2" customFormat="1" ht="27.95" customHeight="1" x14ac:dyDescent="0.25">
      <c r="B183" s="66" t="s">
        <v>262</v>
      </c>
      <c r="C183" s="4" t="s">
        <v>278</v>
      </c>
      <c r="D183" s="5" t="s">
        <v>356</v>
      </c>
      <c r="E183" s="7">
        <v>138</v>
      </c>
      <c r="F183" s="28">
        <f>VLOOKUP(tbMaterials[[#This Row],[Type]],tbStackSizes[],2,FALSE)</f>
        <v>9999</v>
      </c>
      <c r="G183" s="28">
        <f>tbMaterials[[#This Row],[Value]]*tbMaterials[[#This Row],[Max Stack]]</f>
        <v>1379862</v>
      </c>
      <c r="H183" s="28" t="str">
        <f>IF(ISTEXT(VLOOKUP(tbMaterials[[#This Row],[Item]],tbBlueprints[],1,FALSE)),"Yes","No")</f>
        <v>No</v>
      </c>
      <c r="I183" s="28" t="str">
        <f>IF(ISTEXT(VLOOKUP(tbMaterials[[#This Row],[Item]],tbRefining[],1,FALSE)),"Yes","No")</f>
        <v>No</v>
      </c>
      <c r="J183" s="66"/>
    </row>
    <row r="184" spans="2:10" s="2" customFormat="1" ht="27.95" hidden="1" customHeight="1" x14ac:dyDescent="0.25">
      <c r="B184" s="3" t="s">
        <v>1036</v>
      </c>
      <c r="C184" s="4" t="s">
        <v>291</v>
      </c>
      <c r="D184" s="5" t="s">
        <v>362</v>
      </c>
      <c r="E184" s="9">
        <v>1400</v>
      </c>
      <c r="F184" s="28">
        <f>VLOOKUP(tbMaterials[[#This Row],[Type]],tbStackSizes[],2,FALSE)</f>
        <v>20</v>
      </c>
      <c r="G184" s="28">
        <f>tbMaterials[[#This Row],[Value]]*tbMaterials[[#This Row],[Max Stack]]</f>
        <v>28000</v>
      </c>
      <c r="H184" s="28" t="str">
        <f>IF(ISTEXT(VLOOKUP(tbMaterials[[#This Row],[Item]],tbBlueprints[],1,FALSE)),"Yes","No")</f>
        <v>No</v>
      </c>
      <c r="I184" s="28" t="str">
        <f>IF(ISTEXT(VLOOKUP(tbMaterials[[#This Row],[Item]],tbRefining[],1,FALSE)),"Yes","No")</f>
        <v>No</v>
      </c>
      <c r="J184" s="3" t="s">
        <v>1038</v>
      </c>
    </row>
    <row r="185" spans="2:10" s="2" customFormat="1" ht="27.95" customHeight="1" x14ac:dyDescent="0.25">
      <c r="B185" s="66" t="s">
        <v>266</v>
      </c>
      <c r="C185" s="4" t="s">
        <v>278</v>
      </c>
      <c r="D185" s="5" t="s">
        <v>348</v>
      </c>
      <c r="E185" s="7">
        <v>28</v>
      </c>
      <c r="F185" s="28">
        <f>VLOOKUP(tbMaterials[[#This Row],[Type]],tbStackSizes[],2,FALSE)</f>
        <v>9999</v>
      </c>
      <c r="G185" s="28">
        <f>tbMaterials[[#This Row],[Value]]*tbMaterials[[#This Row],[Max Stack]]</f>
        <v>279972</v>
      </c>
      <c r="H185" s="28" t="str">
        <f>IF(ISTEXT(VLOOKUP(tbMaterials[[#This Row],[Item]],tbBlueprints[],1,FALSE)),"Yes","No")</f>
        <v>No</v>
      </c>
      <c r="I185" s="28" t="str">
        <f>IF(ISTEXT(VLOOKUP(tbMaterials[[#This Row],[Item]],tbRefining[],1,FALSE)),"Yes","No")</f>
        <v>No</v>
      </c>
      <c r="J185" s="66"/>
    </row>
    <row r="186" spans="2:10" s="66" customFormat="1" ht="27.95" customHeight="1" x14ac:dyDescent="0.25">
      <c r="B186" s="66" t="s">
        <v>119</v>
      </c>
      <c r="C186" s="4" t="s">
        <v>278</v>
      </c>
      <c r="D186" s="5" t="s">
        <v>339</v>
      </c>
      <c r="E186" s="7">
        <v>62</v>
      </c>
      <c r="F186" s="28">
        <f>VLOOKUP(tbMaterials[[#This Row],[Type]],tbStackSizes[],2,FALSE)</f>
        <v>9999</v>
      </c>
      <c r="G186" s="28">
        <f>tbMaterials[[#This Row],[Value]]*tbMaterials[[#This Row],[Max Stack]]</f>
        <v>619938</v>
      </c>
      <c r="H186" s="28" t="str">
        <f>IF(ISTEXT(VLOOKUP(tbMaterials[[#This Row],[Item]],tbBlueprints[],1,FALSE)),"Yes","No")</f>
        <v>No</v>
      </c>
      <c r="I186" s="28" t="str">
        <f>IF(ISTEXT(VLOOKUP(tbMaterials[[#This Row],[Item]],tbRefining[],1,FALSE)),"Yes","No")</f>
        <v>Yes</v>
      </c>
    </row>
    <row r="187" spans="2:10" s="2" customFormat="1" ht="27.95" hidden="1" customHeight="1" x14ac:dyDescent="0.25">
      <c r="B187" s="66" t="s">
        <v>224</v>
      </c>
      <c r="C187" s="4" t="s">
        <v>277</v>
      </c>
      <c r="D187" s="5" t="s">
        <v>559</v>
      </c>
      <c r="E187" s="7">
        <v>50000</v>
      </c>
      <c r="F187" s="28">
        <f>VLOOKUP(tbMaterials[[#This Row],[Type]],tbStackSizes[],2,FALSE)</f>
        <v>20</v>
      </c>
      <c r="G187" s="28">
        <f>tbMaterials[[#This Row],[Value]]*tbMaterials[[#This Row],[Max Stack]]</f>
        <v>1000000</v>
      </c>
      <c r="H187" s="28" t="str">
        <f>IF(ISTEXT(VLOOKUP(tbMaterials[[#This Row],[Item]],tbBlueprints[],1,FALSE)),"Yes","No")</f>
        <v>No</v>
      </c>
      <c r="I187" s="28" t="str">
        <f>IF(ISTEXT(VLOOKUP(tbMaterials[[#This Row],[Item]],tbRefining[],1,FALSE)),"Yes","No")</f>
        <v>No</v>
      </c>
      <c r="J187" s="66"/>
    </row>
    <row r="188" spans="2:10" s="2" customFormat="1" ht="27.95" hidden="1" customHeight="1" x14ac:dyDescent="0.25">
      <c r="B188" s="2" t="s">
        <v>569</v>
      </c>
      <c r="C188" s="4" t="s">
        <v>277</v>
      </c>
      <c r="D188" s="5" t="s">
        <v>572</v>
      </c>
      <c r="E188" s="7">
        <v>5200000</v>
      </c>
      <c r="F188" s="28">
        <f>VLOOKUP(tbMaterials[[#This Row],[Type]],tbStackSizes[],2,FALSE)</f>
        <v>20</v>
      </c>
      <c r="G188" s="28">
        <f>tbMaterials[[#This Row],[Value]]*tbMaterials[[#This Row],[Max Stack]]</f>
        <v>104000000</v>
      </c>
      <c r="H188" s="28" t="str">
        <f>IF(ISTEXT(VLOOKUP(tbMaterials[[#This Row],[Item]],tbBlueprints[],1,FALSE)),"Yes","No")</f>
        <v>Yes</v>
      </c>
      <c r="I188" s="28" t="str">
        <f>IF(ISTEXT(VLOOKUP(tbMaterials[[#This Row],[Item]],tbRefining[],1,FALSE)),"Yes","No")</f>
        <v>No</v>
      </c>
    </row>
    <row r="189" spans="2:10" s="66" customFormat="1" ht="27.95" customHeight="1" x14ac:dyDescent="0.25">
      <c r="B189" s="66" t="s">
        <v>333</v>
      </c>
      <c r="C189" s="4" t="s">
        <v>278</v>
      </c>
      <c r="D189" s="5" t="s">
        <v>355</v>
      </c>
      <c r="E189" s="7">
        <v>20</v>
      </c>
      <c r="F189" s="28">
        <f>VLOOKUP(tbMaterials[[#This Row],[Type]],tbStackSizes[],2,FALSE)</f>
        <v>9999</v>
      </c>
      <c r="G189" s="28">
        <f>tbMaterials[[#This Row],[Value]]*tbMaterials[[#This Row],[Max Stack]]</f>
        <v>199980</v>
      </c>
      <c r="H189" s="28" t="str">
        <f>IF(ISTEXT(VLOOKUP(tbMaterials[[#This Row],[Item]],tbBlueprints[],1,FALSE)),"Yes","No")</f>
        <v>No</v>
      </c>
      <c r="I189" s="28" t="str">
        <f>IF(ISTEXT(VLOOKUP(tbMaterials[[#This Row],[Item]],tbRefining[],1,FALSE)),"Yes","No")</f>
        <v>No</v>
      </c>
    </row>
    <row r="190" spans="2:10" s="2" customFormat="1" ht="27.95" hidden="1" customHeight="1" x14ac:dyDescent="0.25">
      <c r="B190" s="3" t="s">
        <v>474</v>
      </c>
      <c r="C190" s="5" t="s">
        <v>284</v>
      </c>
      <c r="D190" s="5" t="s">
        <v>461</v>
      </c>
      <c r="E190" s="9">
        <v>4200</v>
      </c>
      <c r="F190" s="41">
        <f>VLOOKUP(tbMaterials[[#This Row],[Type]],tbStackSizes[],2,FALSE)</f>
        <v>5</v>
      </c>
      <c r="G190" s="41">
        <f>tbMaterials[[#This Row],[Value]]*tbMaterials[[#This Row],[Max Stack]]</f>
        <v>21000</v>
      </c>
      <c r="H190" s="41" t="str">
        <f>IF(ISTEXT(VLOOKUP(tbMaterials[[#This Row],[Item]],tbBlueprints[],1,FALSE)),"Yes","No")</f>
        <v>Yes</v>
      </c>
      <c r="I190" s="41" t="str">
        <f>IF(ISTEXT(VLOOKUP(tbMaterials[[#This Row],[Item]],tbRefining[],1,FALSE)),"Yes","No")</f>
        <v>Yes</v>
      </c>
      <c r="J190" s="3"/>
    </row>
    <row r="191" spans="2:10" s="2" customFormat="1" ht="27.95" hidden="1" customHeight="1" x14ac:dyDescent="0.25">
      <c r="B191" s="2" t="s">
        <v>457</v>
      </c>
      <c r="C191" s="4" t="s">
        <v>458</v>
      </c>
      <c r="D191" s="5" t="s">
        <v>459</v>
      </c>
      <c r="E191" s="7">
        <v>1000</v>
      </c>
      <c r="F191" s="28">
        <f>VLOOKUP(tbMaterials[[#This Row],[Type]],tbStackSizes[],2,FALSE)</f>
        <v>20</v>
      </c>
      <c r="G191" s="28">
        <f>tbMaterials[[#This Row],[Value]]*tbMaterials[[#This Row],[Max Stack]]</f>
        <v>20000</v>
      </c>
      <c r="H191" s="28" t="str">
        <f>IF(ISTEXT(VLOOKUP(tbMaterials[[#This Row],[Item]],tbBlueprints[],1,FALSE)),"Yes","No")</f>
        <v>No</v>
      </c>
      <c r="I191" s="28" t="str">
        <f>IF(ISTEXT(VLOOKUP(tbMaterials[[#This Row],[Item]],tbRefining[],1,FALSE)),"Yes","No")</f>
        <v>No</v>
      </c>
    </row>
    <row r="192" spans="2:10" s="66" customFormat="1" ht="27.95" hidden="1" customHeight="1" x14ac:dyDescent="0.25">
      <c r="B192" s="3" t="s">
        <v>1039</v>
      </c>
      <c r="C192" s="4" t="s">
        <v>291</v>
      </c>
      <c r="D192" s="5" t="s">
        <v>362</v>
      </c>
      <c r="E192" s="9">
        <v>3200</v>
      </c>
      <c r="F192" s="28">
        <f>VLOOKUP(tbMaterials[[#This Row],[Type]],tbStackSizes[],2,FALSE)</f>
        <v>20</v>
      </c>
      <c r="G192" s="28">
        <f>tbMaterials[[#This Row],[Value]]*tbMaterials[[#This Row],[Max Stack]]</f>
        <v>64000</v>
      </c>
      <c r="H192" s="28" t="str">
        <f>IF(ISTEXT(VLOOKUP(tbMaterials[[#This Row],[Item]],tbBlueprints[],1,FALSE)),"Yes","No")</f>
        <v>No</v>
      </c>
      <c r="I192" s="28" t="str">
        <f>IF(ISTEXT(VLOOKUP(tbMaterials[[#This Row],[Item]],tbRefining[],1,FALSE)),"Yes","No")</f>
        <v>No</v>
      </c>
      <c r="J192" s="3" t="s">
        <v>1037</v>
      </c>
    </row>
    <row r="193" spans="2:10" s="2" customFormat="1" ht="27.95" hidden="1" customHeight="1" x14ac:dyDescent="0.25">
      <c r="B193" s="2" t="s">
        <v>954</v>
      </c>
      <c r="C193" s="4" t="s">
        <v>291</v>
      </c>
      <c r="D193" s="5" t="s">
        <v>945</v>
      </c>
      <c r="E193" s="7">
        <v>1800</v>
      </c>
      <c r="F193" s="28">
        <f>VLOOKUP(tbMaterials[[#This Row],[Type]],tbStackSizes[],2,FALSE)</f>
        <v>20</v>
      </c>
      <c r="G193" s="28">
        <f>tbMaterials[[#This Row],[Value]]*tbMaterials[[#This Row],[Max Stack]]</f>
        <v>36000</v>
      </c>
      <c r="H193" s="28" t="str">
        <f>IF(ISTEXT(VLOOKUP(tbMaterials[[#This Row],[Item]],tbBlueprints[],1,FALSE)),"Yes","No")</f>
        <v>No</v>
      </c>
      <c r="I193" s="28" t="str">
        <f>IF(ISTEXT(VLOOKUP(tbMaterials[[#This Row],[Item]],tbRefining[],1,FALSE)),"Yes","No")</f>
        <v>No</v>
      </c>
    </row>
    <row r="194" spans="2:10" s="66" customFormat="1" ht="27.95" customHeight="1" x14ac:dyDescent="0.25">
      <c r="B194" s="66" t="s">
        <v>357</v>
      </c>
      <c r="C194" s="4" t="s">
        <v>278</v>
      </c>
      <c r="D194" s="5" t="s">
        <v>353</v>
      </c>
      <c r="E194" s="7">
        <v>20</v>
      </c>
      <c r="F194" s="28">
        <f>VLOOKUP(tbMaterials[[#This Row],[Type]],tbStackSizes[],2,FALSE)</f>
        <v>9999</v>
      </c>
      <c r="G194" s="28">
        <f>tbMaterials[[#This Row],[Value]]*tbMaterials[[#This Row],[Max Stack]]</f>
        <v>199980</v>
      </c>
      <c r="H194" s="28" t="str">
        <f>IF(ISTEXT(VLOOKUP(tbMaterials[[#This Row],[Item]],tbBlueprints[],1,FALSE)),"Yes","No")</f>
        <v>No</v>
      </c>
      <c r="I194" s="28" t="str">
        <f>IF(ISTEXT(VLOOKUP(tbMaterials[[#This Row],[Item]],tbRefining[],1,FALSE)),"Yes","No")</f>
        <v>No</v>
      </c>
    </row>
    <row r="195" spans="2:10" s="2" customFormat="1" ht="27.95" hidden="1" customHeight="1" x14ac:dyDescent="0.25">
      <c r="B195" s="2" t="s">
        <v>965</v>
      </c>
      <c r="C195" s="4" t="s">
        <v>291</v>
      </c>
      <c r="D195" s="5" t="s">
        <v>945</v>
      </c>
      <c r="E195" s="7">
        <v>1800</v>
      </c>
      <c r="F195" s="28">
        <f>VLOOKUP(tbMaterials[[#This Row],[Type]],tbStackSizes[],2,FALSE)</f>
        <v>20</v>
      </c>
      <c r="G195" s="28">
        <f>tbMaterials[[#This Row],[Value]]*tbMaterials[[#This Row],[Max Stack]]</f>
        <v>36000</v>
      </c>
      <c r="H195" s="28" t="str">
        <f>IF(ISTEXT(VLOOKUP(tbMaterials[[#This Row],[Item]],tbBlueprints[],1,FALSE)),"Yes","No")</f>
        <v>No</v>
      </c>
      <c r="I195" s="28" t="str">
        <f>IF(ISTEXT(VLOOKUP(tbMaterials[[#This Row],[Item]],tbRefining[],1,FALSE)),"Yes","No")</f>
        <v>No</v>
      </c>
    </row>
    <row r="196" spans="2:10" s="66" customFormat="1" ht="27.95" customHeight="1" x14ac:dyDescent="0.25">
      <c r="B196" s="66" t="s">
        <v>358</v>
      </c>
      <c r="C196" s="4" t="s">
        <v>278</v>
      </c>
      <c r="D196" s="5" t="s">
        <v>353</v>
      </c>
      <c r="E196" s="7">
        <v>20</v>
      </c>
      <c r="F196" s="28">
        <f>VLOOKUP(tbMaterials[[#This Row],[Type]],tbStackSizes[],2,FALSE)</f>
        <v>9999</v>
      </c>
      <c r="G196" s="28">
        <f>tbMaterials[[#This Row],[Value]]*tbMaterials[[#This Row],[Max Stack]]</f>
        <v>199980</v>
      </c>
      <c r="H196" s="28" t="str">
        <f>IF(ISTEXT(VLOOKUP(tbMaterials[[#This Row],[Item]],tbBlueprints[],1,FALSE)),"Yes","No")</f>
        <v>No</v>
      </c>
      <c r="I196" s="28" t="str">
        <f>IF(ISTEXT(VLOOKUP(tbMaterials[[#This Row],[Item]],tbRefining[],1,FALSE)),"Yes","No")</f>
        <v>No</v>
      </c>
    </row>
    <row r="197" spans="2:10" s="2" customFormat="1" ht="27.95" customHeight="1" x14ac:dyDescent="0.25">
      <c r="B197" s="66" t="s">
        <v>105</v>
      </c>
      <c r="C197" s="4" t="s">
        <v>278</v>
      </c>
      <c r="D197" s="5" t="s">
        <v>353</v>
      </c>
      <c r="E197" s="7">
        <v>20</v>
      </c>
      <c r="F197" s="28">
        <f>VLOOKUP(tbMaterials[[#This Row],[Type]],tbStackSizes[],2,FALSE)</f>
        <v>9999</v>
      </c>
      <c r="G197" s="28">
        <f>tbMaterials[[#This Row],[Value]]*tbMaterials[[#This Row],[Max Stack]]</f>
        <v>199980</v>
      </c>
      <c r="H197" s="28" t="str">
        <f>IF(ISTEXT(VLOOKUP(tbMaterials[[#This Row],[Item]],tbBlueprints[],1,FALSE)),"Yes","No")</f>
        <v>No</v>
      </c>
      <c r="I197" s="28" t="str">
        <f>IF(ISTEXT(VLOOKUP(tbMaterials[[#This Row],[Item]],tbRefining[],1,FALSE)),"Yes","No")</f>
        <v>No</v>
      </c>
      <c r="J197" s="66"/>
    </row>
    <row r="198" spans="2:10" s="2" customFormat="1" ht="27.95" hidden="1" customHeight="1" x14ac:dyDescent="0.25">
      <c r="B198" s="3" t="s">
        <v>294</v>
      </c>
      <c r="C198" s="5" t="s">
        <v>277</v>
      </c>
      <c r="D198" s="5" t="s">
        <v>325</v>
      </c>
      <c r="E198" s="9">
        <v>11685</v>
      </c>
      <c r="F198" s="41">
        <f>VLOOKUP(tbMaterials[[#This Row],[Type]],tbStackSizes[],2,FALSE)</f>
        <v>20</v>
      </c>
      <c r="G198" s="41">
        <f>tbMaterials[[#This Row],[Value]]*tbMaterials[[#This Row],[Max Stack]]</f>
        <v>233700</v>
      </c>
      <c r="H198" s="41" t="str">
        <f>IF(ISTEXT(VLOOKUP(tbMaterials[[#This Row],[Item]],tbBlueprints[],1,FALSE)),"Yes","No")</f>
        <v>No</v>
      </c>
      <c r="I198" s="41" t="str">
        <f>IF(ISTEXT(VLOOKUP(tbMaterials[[#This Row],[Item]],tbRefining[],1,FALSE)),"Yes","No")</f>
        <v>No</v>
      </c>
      <c r="J198" s="3"/>
    </row>
    <row r="199" spans="2:10" s="2" customFormat="1" ht="27.95" customHeight="1" x14ac:dyDescent="0.25">
      <c r="B199" s="2" t="s">
        <v>56</v>
      </c>
      <c r="C199" s="4" t="s">
        <v>278</v>
      </c>
      <c r="D199" s="5" t="s">
        <v>342</v>
      </c>
      <c r="E199" s="7">
        <v>299</v>
      </c>
      <c r="F199" s="28">
        <f>VLOOKUP(tbMaterials[[#This Row],[Type]],tbStackSizes[],2,FALSE)</f>
        <v>9999</v>
      </c>
      <c r="G199" s="28">
        <f>tbMaterials[[#This Row],[Value]]*tbMaterials[[#This Row],[Max Stack]]</f>
        <v>2989701</v>
      </c>
      <c r="H199" s="28" t="str">
        <f>IF(ISTEXT(VLOOKUP(tbMaterials[[#This Row],[Item]],tbBlueprints[],1,FALSE)),"Yes","No")</f>
        <v>No</v>
      </c>
      <c r="I199" s="28" t="str">
        <f>IF(ISTEXT(VLOOKUP(tbMaterials[[#This Row],[Item]],tbRefining[],1,FALSE)),"Yes","No")</f>
        <v>No</v>
      </c>
    </row>
    <row r="200" spans="2:10" s="2" customFormat="1" ht="27.95" hidden="1" customHeight="1" x14ac:dyDescent="0.25">
      <c r="B200" s="2" t="s">
        <v>324</v>
      </c>
      <c r="C200" s="4" t="s">
        <v>284</v>
      </c>
      <c r="D200" s="5" t="s">
        <v>325</v>
      </c>
      <c r="E200" s="7">
        <v>50000</v>
      </c>
      <c r="F200" s="28">
        <f>VLOOKUP(tbMaterials[[#This Row],[Type]],tbStackSizes[],2,FALSE)</f>
        <v>5</v>
      </c>
      <c r="G200" s="28">
        <f>tbMaterials[[#This Row],[Value]]*tbMaterials[[#This Row],[Max Stack]]</f>
        <v>250000</v>
      </c>
      <c r="H200" s="28" t="str">
        <f>IF(ISTEXT(VLOOKUP(tbMaterials[[#This Row],[Item]],tbBlueprints[],1,FALSE)),"Yes","No")</f>
        <v>No</v>
      </c>
      <c r="I200" s="28" t="str">
        <f>IF(ISTEXT(VLOOKUP(tbMaterials[[#This Row],[Item]],tbRefining[],1,FALSE)),"Yes","No")</f>
        <v>No</v>
      </c>
    </row>
    <row r="201" spans="2:10" s="2" customFormat="1" ht="27.95" hidden="1" customHeight="1" x14ac:dyDescent="0.25">
      <c r="B201" s="2" t="s">
        <v>933</v>
      </c>
      <c r="C201" s="4" t="s">
        <v>291</v>
      </c>
      <c r="D201" s="5" t="s">
        <v>923</v>
      </c>
      <c r="E201" s="7">
        <v>800</v>
      </c>
      <c r="F201" s="28">
        <f>VLOOKUP(tbMaterials[[#This Row],[Type]],tbStackSizes[],2,FALSE)</f>
        <v>20</v>
      </c>
      <c r="G201" s="28">
        <f>tbMaterials[[#This Row],[Value]]*tbMaterials[[#This Row],[Max Stack]]</f>
        <v>16000</v>
      </c>
      <c r="H201" s="28" t="str">
        <f>IF(ISTEXT(VLOOKUP(tbMaterials[[#This Row],[Item]],tbBlueprints[],1,FALSE)),"Yes","No")</f>
        <v>No</v>
      </c>
      <c r="I201" s="28" t="str">
        <f>IF(ISTEXT(VLOOKUP(tbMaterials[[#This Row],[Item]],tbRefining[],1,FALSE)),"Yes","No")</f>
        <v>No</v>
      </c>
      <c r="J201" s="2" t="s">
        <v>1050</v>
      </c>
    </row>
    <row r="202" spans="2:10" s="2" customFormat="1" ht="27.95" hidden="1" customHeight="1" x14ac:dyDescent="0.25">
      <c r="B202" s="66" t="s">
        <v>966</v>
      </c>
      <c r="C202" s="4" t="s">
        <v>291</v>
      </c>
      <c r="D202" s="5" t="s">
        <v>945</v>
      </c>
      <c r="E202" s="7">
        <v>7200</v>
      </c>
      <c r="F202" s="28">
        <f>VLOOKUP(tbMaterials[[#This Row],[Type]],tbStackSizes[],2,FALSE)</f>
        <v>20</v>
      </c>
      <c r="G202" s="28">
        <f>tbMaterials[[#This Row],[Value]]*tbMaterials[[#This Row],[Max Stack]]</f>
        <v>144000</v>
      </c>
      <c r="H202" s="28" t="str">
        <f>IF(ISTEXT(VLOOKUP(tbMaterials[[#This Row],[Item]],tbBlueprints[],1,FALSE)),"Yes","No")</f>
        <v>No</v>
      </c>
      <c r="I202" s="28" t="str">
        <f>IF(ISTEXT(VLOOKUP(tbMaterials[[#This Row],[Item]],tbRefining[],1,FALSE)),"Yes","No")</f>
        <v>No</v>
      </c>
      <c r="J202" s="66"/>
    </row>
    <row r="203" spans="2:10" s="2" customFormat="1" ht="27.95" hidden="1" customHeight="1" x14ac:dyDescent="0.25">
      <c r="B203" s="3" t="s">
        <v>203</v>
      </c>
      <c r="C203" s="5" t="s">
        <v>277</v>
      </c>
      <c r="D203" s="5" t="s">
        <v>498</v>
      </c>
      <c r="E203" s="9">
        <v>6000</v>
      </c>
      <c r="F203" s="41">
        <f>VLOOKUP(tbMaterials[[#This Row],[Type]],tbStackSizes[],2,FALSE)</f>
        <v>20</v>
      </c>
      <c r="G203" s="41">
        <f>tbMaterials[[#This Row],[Value]]*tbMaterials[[#This Row],[Max Stack]]</f>
        <v>120000</v>
      </c>
      <c r="H203" s="41" t="str">
        <f>IF(ISTEXT(VLOOKUP(tbMaterials[[#This Row],[Item]],tbBlueprints[],1,FALSE)),"Yes","No")</f>
        <v>No</v>
      </c>
      <c r="I203" s="41" t="str">
        <f>IF(ISTEXT(VLOOKUP(tbMaterials[[#This Row],[Item]],tbRefining[],1,FALSE)),"Yes","No")</f>
        <v>No</v>
      </c>
      <c r="J203" s="3"/>
    </row>
    <row r="204" spans="2:10" s="2" customFormat="1" ht="27.95" hidden="1" customHeight="1" x14ac:dyDescent="0.25">
      <c r="B204" s="3" t="s">
        <v>489</v>
      </c>
      <c r="C204" s="5" t="s">
        <v>277</v>
      </c>
      <c r="D204" s="5" t="s">
        <v>497</v>
      </c>
      <c r="E204" s="9">
        <v>400000</v>
      </c>
      <c r="F204" s="41">
        <f>VLOOKUP(tbMaterials[[#This Row],[Type]],tbStackSizes[],2,FALSE)</f>
        <v>20</v>
      </c>
      <c r="G204" s="41">
        <f>tbMaterials[[#This Row],[Value]]*tbMaterials[[#This Row],[Max Stack]]</f>
        <v>8000000</v>
      </c>
      <c r="H204" s="41" t="str">
        <f>IF(ISTEXT(VLOOKUP(tbMaterials[[#This Row],[Item]],tbBlueprints[],1,FALSE)),"Yes","No")</f>
        <v>Yes</v>
      </c>
      <c r="I204" s="41" t="str">
        <f>IF(ISTEXT(VLOOKUP(tbMaterials[[#This Row],[Item]],tbRefining[],1,FALSE)),"Yes","No")</f>
        <v>No</v>
      </c>
      <c r="J204" s="3"/>
    </row>
    <row r="205" spans="2:10" s="2" customFormat="1" ht="27.95" customHeight="1" x14ac:dyDescent="0.25">
      <c r="B205" s="66" t="s">
        <v>15</v>
      </c>
      <c r="C205" s="4" t="s">
        <v>278</v>
      </c>
      <c r="D205" s="5" t="s">
        <v>348</v>
      </c>
      <c r="E205" s="7">
        <v>2</v>
      </c>
      <c r="F205" s="28">
        <f>VLOOKUP(tbMaterials[[#This Row],[Type]],tbStackSizes[],2,FALSE)</f>
        <v>9999</v>
      </c>
      <c r="G205" s="28">
        <f>tbMaterials[[#This Row],[Value]]*tbMaterials[[#This Row],[Max Stack]]</f>
        <v>19998</v>
      </c>
      <c r="H205" s="28" t="str">
        <f>IF(ISTEXT(VLOOKUP(tbMaterials[[#This Row],[Item]],tbBlueprints[],1,FALSE)),"Yes","No")</f>
        <v>No</v>
      </c>
      <c r="I205" s="28" t="str">
        <f>IF(ISTEXT(VLOOKUP(tbMaterials[[#This Row],[Item]],tbRefining[],1,FALSE)),"Yes","No")</f>
        <v>No</v>
      </c>
    </row>
    <row r="206" spans="2:10" s="2" customFormat="1" ht="27.95" customHeight="1" x14ac:dyDescent="0.25">
      <c r="B206" s="2" t="s">
        <v>19</v>
      </c>
      <c r="C206" s="4" t="s">
        <v>278</v>
      </c>
      <c r="D206" s="5" t="s">
        <v>349</v>
      </c>
      <c r="E206" s="7">
        <v>186</v>
      </c>
      <c r="F206" s="28">
        <f>VLOOKUP(tbMaterials[[#This Row],[Type]],tbStackSizes[],2,FALSE)</f>
        <v>9999</v>
      </c>
      <c r="G206" s="28">
        <f>tbMaterials[[#This Row],[Value]]*tbMaterials[[#This Row],[Max Stack]]</f>
        <v>1859814</v>
      </c>
      <c r="H206" s="28" t="str">
        <f>IF(ISTEXT(VLOOKUP(tbMaterials[[#This Row],[Item]],tbBlueprints[],1,FALSE)),"Yes","No")</f>
        <v>No</v>
      </c>
      <c r="I206" s="28" t="str">
        <f>IF(ISTEXT(VLOOKUP(tbMaterials[[#This Row],[Item]],tbRefining[],1,FALSE)),"Yes","No")</f>
        <v>No</v>
      </c>
    </row>
    <row r="207" spans="2:10" s="2" customFormat="1" ht="27.95" hidden="1" customHeight="1" x14ac:dyDescent="0.25">
      <c r="B207" s="3" t="s">
        <v>213</v>
      </c>
      <c r="C207" s="5" t="s">
        <v>277</v>
      </c>
      <c r="D207" s="5" t="s">
        <v>494</v>
      </c>
      <c r="E207" s="9">
        <v>15000</v>
      </c>
      <c r="F207" s="41">
        <f>VLOOKUP(tbMaterials[[#This Row],[Type]],tbStackSizes[],2,FALSE)</f>
        <v>20</v>
      </c>
      <c r="G207" s="41">
        <f>tbMaterials[[#This Row],[Value]]*tbMaterials[[#This Row],[Max Stack]]</f>
        <v>300000</v>
      </c>
      <c r="H207" s="41" t="str">
        <f>IF(ISTEXT(VLOOKUP(tbMaterials[[#This Row],[Item]],tbBlueprints[],1,FALSE)),"Yes","No")</f>
        <v>No</v>
      </c>
      <c r="I207" s="41" t="str">
        <f>IF(ISTEXT(VLOOKUP(tbMaterials[[#This Row],[Item]],tbRefining[],1,FALSE)),"Yes","No")</f>
        <v>No</v>
      </c>
      <c r="J207" s="3"/>
    </row>
    <row r="208" spans="2:10" s="66" customFormat="1" ht="27.95" hidden="1" customHeight="1" x14ac:dyDescent="0.25">
      <c r="B208" s="3" t="s">
        <v>984</v>
      </c>
      <c r="C208" s="5" t="s">
        <v>291</v>
      </c>
      <c r="D208" s="5" t="s">
        <v>945</v>
      </c>
      <c r="E208" s="9">
        <v>2200</v>
      </c>
      <c r="F208" s="41">
        <f>VLOOKUP(tbMaterials[[#This Row],[Type]],tbStackSizes[],2,FALSE)</f>
        <v>20</v>
      </c>
      <c r="G208" s="41">
        <f>tbMaterials[[#This Row],[Value]]*tbMaterials[[#This Row],[Max Stack]]</f>
        <v>44000</v>
      </c>
      <c r="H208" s="41" t="str">
        <f>IF(ISTEXT(VLOOKUP(tbMaterials[[#This Row],[Item]],tbBlueprints[],1,FALSE)),"Yes","No")</f>
        <v>No</v>
      </c>
      <c r="I208" s="41" t="str">
        <f>IF(ISTEXT(VLOOKUP(tbMaterials[[#This Row],[Item]],tbRefining[],1,FALSE)),"Yes","No")</f>
        <v>No</v>
      </c>
      <c r="J208" s="3"/>
    </row>
    <row r="209" spans="2:10" s="2" customFormat="1" ht="27.95" customHeight="1" x14ac:dyDescent="0.25">
      <c r="B209" s="2" t="s">
        <v>9</v>
      </c>
      <c r="C209" s="4" t="s">
        <v>278</v>
      </c>
      <c r="D209" s="5" t="s">
        <v>359</v>
      </c>
      <c r="E209" s="7">
        <v>41</v>
      </c>
      <c r="F209" s="28">
        <f>VLOOKUP(tbMaterials[[#This Row],[Type]],tbStackSizes[],2,FALSE)</f>
        <v>9999</v>
      </c>
      <c r="G209" s="28">
        <f>tbMaterials[[#This Row],[Value]]*tbMaterials[[#This Row],[Max Stack]]</f>
        <v>409959</v>
      </c>
      <c r="H209" s="28" t="str">
        <f>IF(ISTEXT(VLOOKUP(tbMaterials[[#This Row],[Item]],tbBlueprints[],1,FALSE)),"Yes","No")</f>
        <v>No</v>
      </c>
      <c r="I209" s="28" t="str">
        <f>IF(ISTEXT(VLOOKUP(tbMaterials[[#This Row],[Item]],tbRefining[],1,FALSE)),"Yes","No")</f>
        <v>No</v>
      </c>
    </row>
    <row r="210" spans="2:10" s="2" customFormat="1" ht="27.95" customHeight="1" x14ac:dyDescent="0.25">
      <c r="B210" s="2" t="s">
        <v>11</v>
      </c>
      <c r="C210" s="4" t="s">
        <v>278</v>
      </c>
      <c r="D210" s="5" t="s">
        <v>359</v>
      </c>
      <c r="E210" s="7">
        <v>82</v>
      </c>
      <c r="F210" s="28">
        <f>VLOOKUP(tbMaterials[[#This Row],[Type]],tbStackSizes[],2,FALSE)</f>
        <v>9999</v>
      </c>
      <c r="G210" s="28">
        <f>tbMaterials[[#This Row],[Value]]*tbMaterials[[#This Row],[Max Stack]]</f>
        <v>819918</v>
      </c>
      <c r="H210" s="28" t="str">
        <f>IF(ISTEXT(VLOOKUP(tbMaterials[[#This Row],[Item]],tbBlueprints[],1,FALSE)),"Yes","No")</f>
        <v>No</v>
      </c>
      <c r="I210" s="28" t="str">
        <f>IF(ISTEXT(VLOOKUP(tbMaterials[[#This Row],[Item]],tbRefining[],1,FALSE)),"Yes","No")</f>
        <v>No</v>
      </c>
    </row>
    <row r="211" spans="2:10" s="2" customFormat="1" ht="27.95" customHeight="1" x14ac:dyDescent="0.25">
      <c r="B211" s="66" t="s">
        <v>14</v>
      </c>
      <c r="C211" s="4" t="s">
        <v>278</v>
      </c>
      <c r="D211" s="5" t="s">
        <v>340</v>
      </c>
      <c r="E211" s="7">
        <v>70</v>
      </c>
      <c r="F211" s="28">
        <f>VLOOKUP(tbMaterials[[#This Row],[Type]],tbStackSizes[],2,FALSE)</f>
        <v>9999</v>
      </c>
      <c r="G211" s="28">
        <f>tbMaterials[[#This Row],[Value]]*tbMaterials[[#This Row],[Max Stack]]</f>
        <v>699930</v>
      </c>
      <c r="H211" s="28" t="str">
        <f>IF(ISTEXT(VLOOKUP(tbMaterials[[#This Row],[Item]],tbBlueprints[],1,FALSE)),"Yes","No")</f>
        <v>No</v>
      </c>
      <c r="I211" s="28" t="str">
        <f>IF(ISTEXT(VLOOKUP(tbMaterials[[#This Row],[Item]],tbRefining[],1,FALSE)),"Yes","No")</f>
        <v>No</v>
      </c>
      <c r="J211" s="66"/>
    </row>
    <row r="212" spans="2:10" s="2" customFormat="1" ht="27.95" hidden="1" customHeight="1" x14ac:dyDescent="0.25">
      <c r="B212" s="2" t="s">
        <v>838</v>
      </c>
      <c r="C212" s="4" t="s">
        <v>284</v>
      </c>
      <c r="D212" s="5" t="s">
        <v>572</v>
      </c>
      <c r="E212" s="7">
        <v>1000</v>
      </c>
      <c r="F212" s="28">
        <f>VLOOKUP(tbMaterials[[#This Row],[Type]],tbStackSizes[],2,FALSE)</f>
        <v>5</v>
      </c>
      <c r="G212" s="28">
        <f>tbMaterials[[#This Row],[Value]]*tbMaterials[[#This Row],[Max Stack]]</f>
        <v>5000</v>
      </c>
      <c r="H212" s="28" t="str">
        <f>IF(ISTEXT(VLOOKUP(tbMaterials[[#This Row],[Item]],tbBlueprints[],1,FALSE)),"Yes","No")</f>
        <v>Yes</v>
      </c>
      <c r="I212" s="28" t="str">
        <f>IF(ISTEXT(VLOOKUP(tbMaterials[[#This Row],[Item]],tbRefining[],1,FALSE)),"Yes","No")</f>
        <v>No</v>
      </c>
    </row>
    <row r="213" spans="2:10" s="2" customFormat="1" ht="27.95" hidden="1" customHeight="1" x14ac:dyDescent="0.25">
      <c r="B213" s="2" t="s">
        <v>521</v>
      </c>
      <c r="C213" s="4" t="s">
        <v>277</v>
      </c>
      <c r="D213" s="5" t="s">
        <v>558</v>
      </c>
      <c r="E213" s="7">
        <v>1000</v>
      </c>
      <c r="F213" s="28">
        <f>VLOOKUP(tbMaterials[[#This Row],[Type]],tbStackSizes[],2,FALSE)</f>
        <v>20</v>
      </c>
      <c r="G213" s="28">
        <f>tbMaterials[[#This Row],[Value]]*tbMaterials[[#This Row],[Max Stack]]</f>
        <v>20000</v>
      </c>
      <c r="H213" s="28" t="str">
        <f>IF(ISTEXT(VLOOKUP(tbMaterials[[#This Row],[Item]],tbBlueprints[],1,FALSE)),"Yes","No")</f>
        <v>No</v>
      </c>
      <c r="I213" s="28" t="str">
        <f>IF(ISTEXT(VLOOKUP(tbMaterials[[#This Row],[Item]],tbRefining[],1,FALSE)),"Yes","No")</f>
        <v>No</v>
      </c>
    </row>
    <row r="214" spans="2:10" s="2" customFormat="1" ht="27.95" customHeight="1" x14ac:dyDescent="0.25">
      <c r="B214" s="66" t="s">
        <v>82</v>
      </c>
      <c r="C214" s="4" t="s">
        <v>278</v>
      </c>
      <c r="D214" s="5" t="s">
        <v>340</v>
      </c>
      <c r="E214" s="7">
        <v>32</v>
      </c>
      <c r="F214" s="28">
        <f>VLOOKUP(tbMaterials[[#This Row],[Type]],tbStackSizes[],2,FALSE)</f>
        <v>9999</v>
      </c>
      <c r="G214" s="28">
        <f>tbMaterials[[#This Row],[Value]]*tbMaterials[[#This Row],[Max Stack]]</f>
        <v>319968</v>
      </c>
      <c r="H214" s="28" t="str">
        <f>IF(ISTEXT(VLOOKUP(tbMaterials[[#This Row],[Item]],tbBlueprints[],1,FALSE)),"Yes","No")</f>
        <v>No</v>
      </c>
      <c r="I214" s="28" t="str">
        <f>IF(ISTEXT(VLOOKUP(tbMaterials[[#This Row],[Item]],tbRefining[],1,FALSE)),"Yes","No")</f>
        <v>No</v>
      </c>
      <c r="J214" s="66"/>
    </row>
    <row r="215" spans="2:10" s="2" customFormat="1" ht="27.95" hidden="1" customHeight="1" x14ac:dyDescent="0.25">
      <c r="B215" s="2" t="s">
        <v>69</v>
      </c>
      <c r="C215" s="4" t="s">
        <v>277</v>
      </c>
      <c r="D215" s="5" t="s">
        <v>559</v>
      </c>
      <c r="E215" s="7">
        <v>6000</v>
      </c>
      <c r="F215" s="28">
        <f>VLOOKUP(tbMaterials[[#This Row],[Type]],tbStackSizes[],2,FALSE)</f>
        <v>20</v>
      </c>
      <c r="G215" s="28">
        <f>tbMaterials[[#This Row],[Value]]*tbMaterials[[#This Row],[Max Stack]]</f>
        <v>120000</v>
      </c>
      <c r="H215" s="28" t="str">
        <f>IF(ISTEXT(VLOOKUP(tbMaterials[[#This Row],[Item]],tbBlueprints[],1,FALSE)),"Yes","No")</f>
        <v>No</v>
      </c>
      <c r="I215" s="28" t="str">
        <f>IF(ISTEXT(VLOOKUP(tbMaterials[[#This Row],[Item]],tbRefining[],1,FALSE)),"Yes","No")</f>
        <v>No</v>
      </c>
    </row>
    <row r="216" spans="2:10" s="2" customFormat="1" ht="27.95" hidden="1" customHeight="1" x14ac:dyDescent="0.25">
      <c r="B216" s="2" t="s">
        <v>892</v>
      </c>
      <c r="C216" s="4" t="s">
        <v>291</v>
      </c>
      <c r="D216" s="5" t="s">
        <v>886</v>
      </c>
      <c r="E216" s="7"/>
      <c r="F216" s="28">
        <f>VLOOKUP(tbMaterials[[#This Row],[Type]],tbStackSizes[],2,FALSE)</f>
        <v>20</v>
      </c>
      <c r="G216" s="28">
        <f>tbMaterials[[#This Row],[Value]]*tbMaterials[[#This Row],[Max Stack]]</f>
        <v>0</v>
      </c>
      <c r="H216" s="28" t="str">
        <f>IF(ISTEXT(VLOOKUP(tbMaterials[[#This Row],[Item]],tbBlueprints[],1,FALSE)),"Yes","No")</f>
        <v>Yes</v>
      </c>
      <c r="I216" s="28" t="str">
        <f>IF(ISTEXT(VLOOKUP(tbMaterials[[#This Row],[Item]],tbRefining[],1,FALSE)),"Yes","No")</f>
        <v>No</v>
      </c>
    </row>
    <row r="217" spans="2:10" s="2" customFormat="1" ht="27.95" hidden="1" customHeight="1" x14ac:dyDescent="0.25">
      <c r="B217" s="2" t="s">
        <v>900</v>
      </c>
      <c r="C217" s="4" t="s">
        <v>277</v>
      </c>
      <c r="D217" s="5" t="s">
        <v>899</v>
      </c>
      <c r="E217" s="7">
        <v>15600000</v>
      </c>
      <c r="F217" s="28">
        <f>VLOOKUP(tbMaterials[[#This Row],[Type]],tbStackSizes[],2,FALSE)</f>
        <v>20</v>
      </c>
      <c r="G217" s="28">
        <f>tbMaterials[[#This Row],[Value]]*tbMaterials[[#This Row],[Max Stack]]</f>
        <v>312000000</v>
      </c>
      <c r="H217" s="28" t="str">
        <f>IF(ISTEXT(VLOOKUP(tbMaterials[[#This Row],[Item]],tbBlueprints[],1,FALSE)),"Yes","No")</f>
        <v>Yes</v>
      </c>
      <c r="I217" s="28" t="str">
        <f>IF(ISTEXT(VLOOKUP(tbMaterials[[#This Row],[Item]],tbRefining[],1,FALSE)),"Yes","No")</f>
        <v>No</v>
      </c>
    </row>
    <row r="218" spans="2:10" s="66" customFormat="1" ht="27.95" hidden="1" customHeight="1" x14ac:dyDescent="0.25">
      <c r="B218" s="66" t="s">
        <v>363</v>
      </c>
      <c r="C218" s="4" t="s">
        <v>284</v>
      </c>
      <c r="D218" s="5" t="s">
        <v>364</v>
      </c>
      <c r="E218" s="7">
        <v>129150</v>
      </c>
      <c r="F218" s="28">
        <f>VLOOKUP(tbMaterials[[#This Row],[Type]],tbStackSizes[],2,FALSE)</f>
        <v>5</v>
      </c>
      <c r="G218" s="28">
        <f>tbMaterials[[#This Row],[Value]]*tbMaterials[[#This Row],[Max Stack]]</f>
        <v>645750</v>
      </c>
      <c r="H218" s="28" t="str">
        <f>IF(ISTEXT(VLOOKUP(tbMaterials[[#This Row],[Item]],tbBlueprints[],1,FALSE)),"Yes","No")</f>
        <v>No</v>
      </c>
      <c r="I218" s="28" t="str">
        <f>IF(ISTEXT(VLOOKUP(tbMaterials[[#This Row],[Item]],tbRefining[],1,FALSE)),"Yes","No")</f>
        <v>No</v>
      </c>
    </row>
    <row r="219" spans="2:10" s="2" customFormat="1" ht="27.95" customHeight="1" x14ac:dyDescent="0.25">
      <c r="B219" s="2" t="s">
        <v>35</v>
      </c>
      <c r="C219" s="4" t="s">
        <v>278</v>
      </c>
      <c r="D219" s="5" t="s">
        <v>355</v>
      </c>
      <c r="E219" s="7">
        <v>20</v>
      </c>
      <c r="F219" s="28">
        <f>VLOOKUP(tbMaterials[[#This Row],[Type]],tbStackSizes[],2,FALSE)</f>
        <v>9999</v>
      </c>
      <c r="G219" s="28">
        <f>tbMaterials[[#This Row],[Value]]*tbMaterials[[#This Row],[Max Stack]]</f>
        <v>199980</v>
      </c>
      <c r="H219" s="28" t="str">
        <f>IF(ISTEXT(VLOOKUP(tbMaterials[[#This Row],[Item]],tbBlueprints[],1,FALSE)),"Yes","No")</f>
        <v>No</v>
      </c>
      <c r="I219" s="28" t="str">
        <f>IF(ISTEXT(VLOOKUP(tbMaterials[[#This Row],[Item]],tbRefining[],1,FALSE)),"Yes","No")</f>
        <v>No</v>
      </c>
    </row>
    <row r="220" spans="2:10" s="66" customFormat="1" ht="27.95" hidden="1" customHeight="1" x14ac:dyDescent="0.25">
      <c r="B220" s="66" t="s">
        <v>206</v>
      </c>
      <c r="C220" s="4" t="s">
        <v>277</v>
      </c>
      <c r="D220" s="5" t="s">
        <v>498</v>
      </c>
      <c r="E220" s="7">
        <v>50000</v>
      </c>
      <c r="F220" s="28">
        <f>VLOOKUP(tbMaterials[[#This Row],[Type]],tbStackSizes[],2,FALSE)</f>
        <v>20</v>
      </c>
      <c r="G220" s="28">
        <f>tbMaterials[[#This Row],[Value]]*tbMaterials[[#This Row],[Max Stack]]</f>
        <v>1000000</v>
      </c>
      <c r="H220" s="28" t="str">
        <f>IF(ISTEXT(VLOOKUP(tbMaterials[[#This Row],[Item]],tbBlueprints[],1,FALSE)),"Yes","No")</f>
        <v>No</v>
      </c>
      <c r="I220" s="28" t="str">
        <f>IF(ISTEXT(VLOOKUP(tbMaterials[[#This Row],[Item]],tbRefining[],1,FALSE)),"Yes","No")</f>
        <v>No</v>
      </c>
    </row>
    <row r="221" spans="2:10" s="2" customFormat="1" ht="27.95" hidden="1" customHeight="1" x14ac:dyDescent="0.25">
      <c r="B221" s="3" t="s">
        <v>499</v>
      </c>
      <c r="C221" s="5" t="s">
        <v>277</v>
      </c>
      <c r="D221" s="5" t="s">
        <v>497</v>
      </c>
      <c r="E221" s="9">
        <v>2000000</v>
      </c>
      <c r="F221" s="41">
        <f>VLOOKUP(tbMaterials[[#This Row],[Type]],tbStackSizes[],2,FALSE)</f>
        <v>20</v>
      </c>
      <c r="G221" s="41">
        <f>tbMaterials[[#This Row],[Value]]*tbMaterials[[#This Row],[Max Stack]]</f>
        <v>40000000</v>
      </c>
      <c r="H221" s="41" t="str">
        <f>IF(ISTEXT(VLOOKUP(tbMaterials[[#This Row],[Item]],tbBlueprints[],1,FALSE)),"Yes","No")</f>
        <v>Yes</v>
      </c>
      <c r="I221" s="41" t="str">
        <f>IF(ISTEXT(VLOOKUP(tbMaterials[[#This Row],[Item]],tbRefining[],1,FALSE)),"Yes","No")</f>
        <v>No</v>
      </c>
      <c r="J221" s="3"/>
    </row>
    <row r="222" spans="2:10" s="2" customFormat="1" ht="27.95" hidden="1" customHeight="1" x14ac:dyDescent="0.25">
      <c r="B222" s="3" t="s">
        <v>469</v>
      </c>
      <c r="C222" s="5" t="s">
        <v>284</v>
      </c>
      <c r="D222" s="5" t="s">
        <v>461</v>
      </c>
      <c r="E222" s="9">
        <v>5100</v>
      </c>
      <c r="F222" s="41">
        <f>VLOOKUP(tbMaterials[[#This Row],[Type]],tbStackSizes[],2,FALSE)</f>
        <v>5</v>
      </c>
      <c r="G222" s="41">
        <f>tbMaterials[[#This Row],[Value]]*tbMaterials[[#This Row],[Max Stack]]</f>
        <v>25500</v>
      </c>
      <c r="H222" s="41" t="str">
        <f>IF(ISTEXT(VLOOKUP(tbMaterials[[#This Row],[Item]],tbBlueprints[],1,FALSE)),"Yes","No")</f>
        <v>Yes</v>
      </c>
      <c r="I222" s="41" t="str">
        <f>IF(ISTEXT(VLOOKUP(tbMaterials[[#This Row],[Item]],tbRefining[],1,FALSE)),"Yes","No")</f>
        <v>Yes</v>
      </c>
      <c r="J222" s="3"/>
    </row>
    <row r="223" spans="2:10" s="66" customFormat="1" ht="27.95" hidden="1" customHeight="1" x14ac:dyDescent="0.25">
      <c r="B223" s="66" t="s">
        <v>938</v>
      </c>
      <c r="C223" s="4" t="s">
        <v>291</v>
      </c>
      <c r="D223" s="5" t="s">
        <v>923</v>
      </c>
      <c r="E223" s="7">
        <v>800</v>
      </c>
      <c r="F223" s="28">
        <f>VLOOKUP(tbMaterials[[#This Row],[Type]],tbStackSizes[],2,FALSE)</f>
        <v>20</v>
      </c>
      <c r="G223" s="28">
        <f>tbMaterials[[#This Row],[Value]]*tbMaterials[[#This Row],[Max Stack]]</f>
        <v>16000</v>
      </c>
      <c r="H223" s="28" t="str">
        <f>IF(ISTEXT(VLOOKUP(tbMaterials[[#This Row],[Item]],tbBlueprints[],1,FALSE)),"Yes","No")</f>
        <v>No</v>
      </c>
      <c r="I223" s="28" t="str">
        <f>IF(ISTEXT(VLOOKUP(tbMaterials[[#This Row],[Item]],tbRefining[],1,FALSE)),"Yes","No")</f>
        <v>No</v>
      </c>
      <c r="J223" s="66" t="s">
        <v>1051</v>
      </c>
    </row>
    <row r="224" spans="2:10" s="2" customFormat="1" ht="27.95" hidden="1" customHeight="1" x14ac:dyDescent="0.25">
      <c r="B224" s="2" t="s">
        <v>952</v>
      </c>
      <c r="C224" s="4" t="s">
        <v>291</v>
      </c>
      <c r="D224" s="5" t="s">
        <v>945</v>
      </c>
      <c r="E224" s="7">
        <v>9000</v>
      </c>
      <c r="F224" s="28">
        <f>VLOOKUP(tbMaterials[[#This Row],[Type]],tbStackSizes[],2,FALSE)</f>
        <v>20</v>
      </c>
      <c r="G224" s="28">
        <f>tbMaterials[[#This Row],[Value]]*tbMaterials[[#This Row],[Max Stack]]</f>
        <v>180000</v>
      </c>
      <c r="H224" s="28" t="str">
        <f>IF(ISTEXT(VLOOKUP(tbMaterials[[#This Row],[Item]],tbBlueprints[],1,FALSE)),"Yes","No")</f>
        <v>No</v>
      </c>
      <c r="I224" s="28" t="str">
        <f>IF(ISTEXT(VLOOKUP(tbMaterials[[#This Row],[Item]],tbRefining[],1,FALSE)),"Yes","No")</f>
        <v>No</v>
      </c>
    </row>
    <row r="225" spans="2:10" s="2" customFormat="1" ht="27.95" hidden="1" customHeight="1" x14ac:dyDescent="0.25">
      <c r="B225" s="2" t="s">
        <v>33</v>
      </c>
      <c r="C225" s="4" t="s">
        <v>284</v>
      </c>
      <c r="D225" s="5" t="s">
        <v>461</v>
      </c>
      <c r="E225" s="7">
        <v>6150</v>
      </c>
      <c r="F225" s="28">
        <f>VLOOKUP(tbMaterials[[#This Row],[Type]],tbStackSizes[],2,FALSE)</f>
        <v>5</v>
      </c>
      <c r="G225" s="28">
        <f>tbMaterials[[#This Row],[Value]]*tbMaterials[[#This Row],[Max Stack]]</f>
        <v>30750</v>
      </c>
      <c r="H225" s="28" t="str">
        <f>IF(ISTEXT(VLOOKUP(tbMaterials[[#This Row],[Item]],tbBlueprints[],1,FALSE)),"Yes","No")</f>
        <v>Yes</v>
      </c>
      <c r="I225" s="28" t="str">
        <f>IF(ISTEXT(VLOOKUP(tbMaterials[[#This Row],[Item]],tbRefining[],1,FALSE)),"Yes","No")</f>
        <v>No</v>
      </c>
    </row>
    <row r="226" spans="2:10" s="2" customFormat="1" ht="27.95" hidden="1" customHeight="1" x14ac:dyDescent="0.25">
      <c r="B226" s="3" t="s">
        <v>500</v>
      </c>
      <c r="C226" s="5" t="s">
        <v>277</v>
      </c>
      <c r="D226" s="5" t="s">
        <v>496</v>
      </c>
      <c r="E226" s="9">
        <v>50000</v>
      </c>
      <c r="F226" s="41">
        <f>VLOOKUP(tbMaterials[[#This Row],[Type]],tbStackSizes[],2,FALSE)</f>
        <v>20</v>
      </c>
      <c r="G226" s="41">
        <f>tbMaterials[[#This Row],[Value]]*tbMaterials[[#This Row],[Max Stack]]</f>
        <v>1000000</v>
      </c>
      <c r="H226" s="41" t="str">
        <f>IF(ISTEXT(VLOOKUP(tbMaterials[[#This Row],[Item]],tbBlueprints[],1,FALSE)),"Yes","No")</f>
        <v>Yes</v>
      </c>
      <c r="I226" s="41" t="str">
        <f>IF(ISTEXT(VLOOKUP(tbMaterials[[#This Row],[Item]],tbRefining[],1,FALSE)),"Yes","No")</f>
        <v>Yes</v>
      </c>
      <c r="J226" s="3"/>
    </row>
    <row r="227" spans="2:10" s="2" customFormat="1" ht="27.95" customHeight="1" x14ac:dyDescent="0.25">
      <c r="B227" s="66" t="s">
        <v>25</v>
      </c>
      <c r="C227" s="4" t="s">
        <v>278</v>
      </c>
      <c r="D227" s="5" t="s">
        <v>345</v>
      </c>
      <c r="E227" s="7">
        <v>6</v>
      </c>
      <c r="F227" s="28">
        <f>VLOOKUP(tbMaterials[[#This Row],[Type]],tbStackSizes[],2,FALSE)</f>
        <v>9999</v>
      </c>
      <c r="G227" s="28">
        <f>tbMaterials[[#This Row],[Value]]*tbMaterials[[#This Row],[Max Stack]]</f>
        <v>59994</v>
      </c>
      <c r="H227" s="28" t="str">
        <f>IF(ISTEXT(VLOOKUP(tbMaterials[[#This Row],[Item]],tbBlueprints[],1,FALSE)),"Yes","No")</f>
        <v>No</v>
      </c>
      <c r="I227" s="28" t="str">
        <f>IF(ISTEXT(VLOOKUP(tbMaterials[[#This Row],[Item]],tbRefining[],1,FALSE)),"Yes","No")</f>
        <v>No</v>
      </c>
      <c r="J227" s="66"/>
    </row>
    <row r="228" spans="2:10" s="2" customFormat="1" ht="27.95" hidden="1" customHeight="1" x14ac:dyDescent="0.25">
      <c r="B228" s="2" t="s">
        <v>292</v>
      </c>
      <c r="C228" s="4" t="s">
        <v>284</v>
      </c>
      <c r="D228" s="5" t="s">
        <v>513</v>
      </c>
      <c r="E228" s="7">
        <v>3280</v>
      </c>
      <c r="F228" s="28">
        <f>VLOOKUP(tbMaterials[[#This Row],[Type]],tbStackSizes[],2,FALSE)</f>
        <v>5</v>
      </c>
      <c r="G228" s="28">
        <f>tbMaterials[[#This Row],[Value]]*tbMaterials[[#This Row],[Max Stack]]</f>
        <v>16400</v>
      </c>
      <c r="H228" s="28" t="str">
        <f>IF(ISTEXT(VLOOKUP(tbMaterials[[#This Row],[Item]],tbBlueprints[],1,FALSE)),"Yes","No")</f>
        <v>No</v>
      </c>
      <c r="I228" s="28" t="str">
        <f>IF(ISTEXT(VLOOKUP(tbMaterials[[#This Row],[Item]],tbRefining[],1,FALSE)),"Yes","No")</f>
        <v>No</v>
      </c>
      <c r="J228" s="2" t="s">
        <v>471</v>
      </c>
    </row>
    <row r="229" spans="2:10" s="2" customFormat="1" ht="27.95" hidden="1" customHeight="1" x14ac:dyDescent="0.25">
      <c r="B229" s="2" t="s">
        <v>520</v>
      </c>
      <c r="C229" s="4" t="s">
        <v>277</v>
      </c>
      <c r="D229" s="5" t="s">
        <v>557</v>
      </c>
      <c r="E229" s="7">
        <v>6000</v>
      </c>
      <c r="F229" s="28">
        <f>VLOOKUP(tbMaterials[[#This Row],[Type]],tbStackSizes[],2,FALSE)</f>
        <v>20</v>
      </c>
      <c r="G229" s="28">
        <f>tbMaterials[[#This Row],[Value]]*tbMaterials[[#This Row],[Max Stack]]</f>
        <v>120000</v>
      </c>
      <c r="H229" s="28" t="str">
        <f>IF(ISTEXT(VLOOKUP(tbMaterials[[#This Row],[Item]],tbBlueprints[],1,FALSE)),"Yes","No")</f>
        <v>No</v>
      </c>
      <c r="I229" s="28" t="str">
        <f>IF(ISTEXT(VLOOKUP(tbMaterials[[#This Row],[Item]],tbRefining[],1,FALSE)),"Yes","No")</f>
        <v>No</v>
      </c>
    </row>
    <row r="230" spans="2:10" s="2" customFormat="1" ht="27.95" hidden="1" customHeight="1" x14ac:dyDescent="0.25">
      <c r="B230" s="3" t="s">
        <v>833</v>
      </c>
      <c r="C230" s="5" t="s">
        <v>277</v>
      </c>
      <c r="D230" s="5" t="s">
        <v>571</v>
      </c>
      <c r="E230" s="9">
        <v>50000</v>
      </c>
      <c r="F230" s="5">
        <f>VLOOKUP(tbMaterials[[#This Row],[Type]],tbStackSizes[],2,FALSE)</f>
        <v>20</v>
      </c>
      <c r="G230" s="5">
        <f>tbMaterials[[#This Row],[Value]]*tbMaterials[[#This Row],[Max Stack]]</f>
        <v>1000000</v>
      </c>
      <c r="H230" s="5" t="str">
        <f>IF(ISTEXT(VLOOKUP(tbMaterials[[#This Row],[Item]],tbBlueprints[],1,FALSE)),"Yes","No")</f>
        <v>Yes</v>
      </c>
      <c r="I230" s="5" t="str">
        <f>IF(ISTEXT(VLOOKUP(tbMaterials[[#This Row],[Item]],tbRefining[],1,FALSE)),"Yes","No")</f>
        <v>No</v>
      </c>
      <c r="J230" s="3"/>
    </row>
    <row r="231" spans="2:10" s="2" customFormat="1" ht="27.95" hidden="1" customHeight="1" x14ac:dyDescent="0.25">
      <c r="B231" s="3" t="s">
        <v>480</v>
      </c>
      <c r="C231" s="5" t="s">
        <v>291</v>
      </c>
      <c r="D231" s="5" t="s">
        <v>483</v>
      </c>
      <c r="E231" s="9">
        <v>5750</v>
      </c>
      <c r="F231" s="41">
        <f>VLOOKUP(tbMaterials[[#This Row],[Type]],tbStackSizes[],2,FALSE)</f>
        <v>20</v>
      </c>
      <c r="G231" s="41">
        <f>tbMaterials[[#This Row],[Value]]*tbMaterials[[#This Row],[Max Stack]]</f>
        <v>115000</v>
      </c>
      <c r="H231" s="41" t="str">
        <f>IF(ISTEXT(VLOOKUP(tbMaterials[[#This Row],[Item]],tbBlueprints[],1,FALSE)),"Yes","No")</f>
        <v>Yes</v>
      </c>
      <c r="I231" s="41" t="str">
        <f>IF(ISTEXT(VLOOKUP(tbMaterials[[#This Row],[Item]],tbRefining[],1,FALSE)),"Yes","No")</f>
        <v>Yes</v>
      </c>
      <c r="J231" s="3" t="s">
        <v>484</v>
      </c>
    </row>
    <row r="232" spans="2:10" s="2" customFormat="1" ht="27.95" customHeight="1" x14ac:dyDescent="0.25">
      <c r="B232" s="2" t="s">
        <v>57</v>
      </c>
      <c r="C232" s="4" t="s">
        <v>278</v>
      </c>
      <c r="D232" s="5" t="s">
        <v>339</v>
      </c>
      <c r="E232" s="7">
        <v>62</v>
      </c>
      <c r="F232" s="28">
        <f>VLOOKUP(tbMaterials[[#This Row],[Type]],tbStackSizes[],2,FALSE)</f>
        <v>9999</v>
      </c>
      <c r="G232" s="28">
        <f>tbMaterials[[#This Row],[Value]]*tbMaterials[[#This Row],[Max Stack]]</f>
        <v>619938</v>
      </c>
      <c r="H232" s="28" t="str">
        <f>IF(ISTEXT(VLOOKUP(tbMaterials[[#This Row],[Item]],tbBlueprints[],1,FALSE)),"Yes","No")</f>
        <v>No</v>
      </c>
      <c r="I232" s="28" t="str">
        <f>IF(ISTEXT(VLOOKUP(tbMaterials[[#This Row],[Item]],tbRefining[],1,FALSE)),"Yes","No")</f>
        <v>Yes</v>
      </c>
    </row>
    <row r="233" spans="2:10" s="2" customFormat="1" ht="27.95" customHeight="1" x14ac:dyDescent="0.25">
      <c r="B233" s="2" t="s">
        <v>360</v>
      </c>
      <c r="C233" s="4" t="s">
        <v>278</v>
      </c>
      <c r="D233" s="5" t="s">
        <v>353</v>
      </c>
      <c r="E233" s="7">
        <v>20</v>
      </c>
      <c r="F233" s="28">
        <f>VLOOKUP(tbMaterials[[#This Row],[Type]],tbStackSizes[],2,FALSE)</f>
        <v>9999</v>
      </c>
      <c r="G233" s="28">
        <f>tbMaterials[[#This Row],[Value]]*tbMaterials[[#This Row],[Max Stack]]</f>
        <v>199980</v>
      </c>
      <c r="H233" s="28" t="str">
        <f>IF(ISTEXT(VLOOKUP(tbMaterials[[#This Row],[Item]],tbBlueprints[],1,FALSE)),"Yes","No")</f>
        <v>No</v>
      </c>
      <c r="I233" s="28" t="str">
        <f>IF(ISTEXT(VLOOKUP(tbMaterials[[#This Row],[Item]],tbRefining[],1,FALSE)),"Yes","No")</f>
        <v>No</v>
      </c>
    </row>
    <row r="234" spans="2:10" s="2" customFormat="1" ht="27.95" hidden="1" customHeight="1" x14ac:dyDescent="0.25">
      <c r="B234" s="66" t="s">
        <v>941</v>
      </c>
      <c r="C234" s="4" t="s">
        <v>210</v>
      </c>
      <c r="D234" s="5" t="s">
        <v>461</v>
      </c>
      <c r="E234" s="7">
        <v>1547</v>
      </c>
      <c r="F234" s="28" t="e">
        <f>VLOOKUP(tbMaterials[[#This Row],[Type]],tbStackSizes[],2,FALSE)</f>
        <v>#N/A</v>
      </c>
      <c r="G234" s="28" t="e">
        <f>tbMaterials[[#This Row],[Value]]*tbMaterials[[#This Row],[Max Stack]]</f>
        <v>#N/A</v>
      </c>
      <c r="H234" s="28" t="str">
        <f>IF(ISTEXT(VLOOKUP(tbMaterials[[#This Row],[Item]],tbBlueprints[],1,FALSE)),"Yes","No")</f>
        <v>Yes</v>
      </c>
      <c r="I234" s="28" t="str">
        <f>IF(ISTEXT(VLOOKUP(tbMaterials[[#This Row],[Item]],tbRefining[],1,FALSE)),"Yes","No")</f>
        <v>No</v>
      </c>
      <c r="J234" s="66"/>
    </row>
    <row r="235" spans="2:10" s="2" customFormat="1" ht="27.95" hidden="1" customHeight="1" x14ac:dyDescent="0.25">
      <c r="B235" s="66" t="s">
        <v>511</v>
      </c>
      <c r="C235" s="4" t="s">
        <v>277</v>
      </c>
      <c r="D235" s="4" t="s">
        <v>277</v>
      </c>
      <c r="E235" s="7">
        <v>24750</v>
      </c>
      <c r="F235" s="28">
        <f>VLOOKUP(tbMaterials[[#This Row],[Type]],tbStackSizes[],2,FALSE)</f>
        <v>20</v>
      </c>
      <c r="G235" s="28">
        <f>tbMaterials[[#This Row],[Value]]*tbMaterials[[#This Row],[Max Stack]]</f>
        <v>495000</v>
      </c>
      <c r="H235" s="28" t="str">
        <f>IF(ISTEXT(VLOOKUP(tbMaterials[[#This Row],[Item]],tbBlueprints[],1,FALSE)),"Yes","No")</f>
        <v>No</v>
      </c>
      <c r="I235" s="28" t="str">
        <f>IF(ISTEXT(VLOOKUP(tbMaterials[[#This Row],[Item]],tbRefining[],1,FALSE)),"Yes","No")</f>
        <v>No</v>
      </c>
      <c r="J235" s="66"/>
    </row>
    <row r="236" spans="2:10" s="2" customFormat="1" ht="27.95" hidden="1" customHeight="1" x14ac:dyDescent="0.25">
      <c r="B236" s="2" t="s">
        <v>285</v>
      </c>
      <c r="C236" s="4" t="s">
        <v>284</v>
      </c>
      <c r="D236" s="5" t="s">
        <v>512</v>
      </c>
      <c r="E236" s="7">
        <v>11688</v>
      </c>
      <c r="F236" s="28">
        <f>VLOOKUP(tbMaterials[[#This Row],[Type]],tbStackSizes[],2,FALSE)</f>
        <v>5</v>
      </c>
      <c r="G236" s="28">
        <f>tbMaterials[[#This Row],[Value]]*tbMaterials[[#This Row],[Max Stack]]</f>
        <v>58440</v>
      </c>
      <c r="H236" s="28" t="str">
        <f>IF(ISTEXT(VLOOKUP(tbMaterials[[#This Row],[Item]],tbBlueprints[],1,FALSE)),"Yes","No")</f>
        <v>No</v>
      </c>
      <c r="I236" s="28" t="str">
        <f>IF(ISTEXT(VLOOKUP(tbMaterials[[#This Row],[Item]],tbRefining[],1,FALSE)),"Yes","No")</f>
        <v>No</v>
      </c>
    </row>
    <row r="237" spans="2:10" s="2" customFormat="1" ht="27.95" hidden="1" customHeight="1" x14ac:dyDescent="0.25">
      <c r="B237" s="2" t="s">
        <v>286</v>
      </c>
      <c r="C237" s="4" t="s">
        <v>284</v>
      </c>
      <c r="D237" s="5" t="s">
        <v>512</v>
      </c>
      <c r="E237" s="7">
        <v>24750</v>
      </c>
      <c r="F237" s="28">
        <f>VLOOKUP(tbMaterials[[#This Row],[Type]],tbStackSizes[],2,FALSE)</f>
        <v>5</v>
      </c>
      <c r="G237" s="28">
        <f>tbMaterials[[#This Row],[Value]]*tbMaterials[[#This Row],[Max Stack]]</f>
        <v>123750</v>
      </c>
      <c r="H237" s="28" t="str">
        <f>IF(ISTEXT(VLOOKUP(tbMaterials[[#This Row],[Item]],tbBlueprints[],1,FALSE)),"Yes","No")</f>
        <v>No</v>
      </c>
      <c r="I237" s="28" t="str">
        <f>IF(ISTEXT(VLOOKUP(tbMaterials[[#This Row],[Item]],tbRefining[],1,FALSE)),"Yes","No")</f>
        <v>No</v>
      </c>
    </row>
    <row r="238" spans="2:10" s="2" customFormat="1" ht="27.95" hidden="1" customHeight="1" x14ac:dyDescent="0.25">
      <c r="B238" s="2" t="s">
        <v>893</v>
      </c>
      <c r="C238" s="4" t="s">
        <v>291</v>
      </c>
      <c r="D238" s="5" t="s">
        <v>894</v>
      </c>
      <c r="E238" s="7">
        <v>46750</v>
      </c>
      <c r="F238" s="28">
        <f>VLOOKUP(tbMaterials[[#This Row],[Type]],tbStackSizes[],2,FALSE)</f>
        <v>20</v>
      </c>
      <c r="G238" s="28">
        <f>tbMaterials[[#This Row],[Value]]*tbMaterials[[#This Row],[Max Stack]]</f>
        <v>935000</v>
      </c>
      <c r="H238" s="28" t="str">
        <f>IF(ISTEXT(VLOOKUP(tbMaterials[[#This Row],[Item]],tbBlueprints[],1,FALSE)),"Yes","No")</f>
        <v>Yes</v>
      </c>
      <c r="I238" s="28" t="str">
        <f>IF(ISTEXT(VLOOKUP(tbMaterials[[#This Row],[Item]],tbRefining[],1,FALSE)),"Yes","No")</f>
        <v>No</v>
      </c>
    </row>
    <row r="239" spans="2:10" s="2" customFormat="1" ht="27.95" hidden="1" customHeight="1" x14ac:dyDescent="0.25">
      <c r="B239" s="3" t="s">
        <v>221</v>
      </c>
      <c r="C239" s="5" t="s">
        <v>277</v>
      </c>
      <c r="D239" s="5" t="s">
        <v>493</v>
      </c>
      <c r="E239" s="9">
        <v>6000</v>
      </c>
      <c r="F239" s="41">
        <f>VLOOKUP(tbMaterials[[#This Row],[Type]],tbStackSizes[],2,FALSE)</f>
        <v>20</v>
      </c>
      <c r="G239" s="41">
        <f>tbMaterials[[#This Row],[Value]]*tbMaterials[[#This Row],[Max Stack]]</f>
        <v>120000</v>
      </c>
      <c r="H239" s="41" t="str">
        <f>IF(ISTEXT(VLOOKUP(tbMaterials[[#This Row],[Item]],tbBlueprints[],1,FALSE)),"Yes","No")</f>
        <v>No</v>
      </c>
      <c r="I239" s="41" t="str">
        <f>IF(ISTEXT(VLOOKUP(tbMaterials[[#This Row],[Item]],tbRefining[],1,FALSE)),"Yes","No")</f>
        <v>No</v>
      </c>
      <c r="J239" s="3"/>
    </row>
    <row r="240" spans="2:10" s="2" customFormat="1" ht="27.95" hidden="1" customHeight="1" x14ac:dyDescent="0.25">
      <c r="B240" s="2" t="s">
        <v>464</v>
      </c>
      <c r="C240" s="4" t="s">
        <v>291</v>
      </c>
      <c r="D240" s="5" t="s">
        <v>465</v>
      </c>
      <c r="E240" s="7">
        <v>25000</v>
      </c>
      <c r="F240" s="28">
        <f>VLOOKUP(tbMaterials[[#This Row],[Type]],tbStackSizes[],2,FALSE)</f>
        <v>20</v>
      </c>
      <c r="G240" s="28">
        <f>tbMaterials[[#This Row],[Value]]*tbMaterials[[#This Row],[Max Stack]]</f>
        <v>500000</v>
      </c>
      <c r="H240" s="28" t="str">
        <f>IF(ISTEXT(VLOOKUP(tbMaterials[[#This Row],[Item]],tbBlueprints[],1,FALSE)),"Yes","No")</f>
        <v>No</v>
      </c>
      <c r="I240" s="28" t="str">
        <f>IF(ISTEXT(VLOOKUP(tbMaterials[[#This Row],[Item]],tbRefining[],1,FALSE)),"Yes","No")</f>
        <v>No</v>
      </c>
    </row>
    <row r="241" spans="2:10" s="2" customFormat="1" ht="27.95" hidden="1" customHeight="1" x14ac:dyDescent="0.25">
      <c r="B241" s="66" t="s">
        <v>1044</v>
      </c>
      <c r="C241" s="4" t="s">
        <v>291</v>
      </c>
      <c r="D241" s="5" t="s">
        <v>974</v>
      </c>
      <c r="E241" s="7">
        <v>0</v>
      </c>
      <c r="F241" s="28">
        <f>VLOOKUP(tbMaterials[[#This Row],[Type]],tbStackSizes[],2,FALSE)</f>
        <v>20</v>
      </c>
      <c r="G241" s="28">
        <f>tbMaterials[[#This Row],[Value]]*tbMaterials[[#This Row],[Max Stack]]</f>
        <v>0</v>
      </c>
      <c r="H241" s="28" t="str">
        <f>IF(ISTEXT(VLOOKUP(tbMaterials[[#This Row],[Item]],tbBlueprints[],1,FALSE)),"Yes","No")</f>
        <v>No</v>
      </c>
      <c r="I241" s="28" t="str">
        <f>IF(ISTEXT(VLOOKUP(tbMaterials[[#This Row],[Item]],tbRefining[],1,FALSE)),"Yes","No")</f>
        <v>No</v>
      </c>
      <c r="J241" s="66" t="s">
        <v>1045</v>
      </c>
    </row>
    <row r="242" spans="2:10" s="2" customFormat="1" ht="27.95" hidden="1" customHeight="1" x14ac:dyDescent="0.25">
      <c r="B242" s="66" t="s">
        <v>1046</v>
      </c>
      <c r="C242" s="4" t="s">
        <v>291</v>
      </c>
      <c r="D242" s="5" t="s">
        <v>974</v>
      </c>
      <c r="E242" s="7">
        <v>800</v>
      </c>
      <c r="F242" s="28">
        <f>VLOOKUP(tbMaterials[[#This Row],[Type]],tbStackSizes[],2,FALSE)</f>
        <v>20</v>
      </c>
      <c r="G242" s="28">
        <f>tbMaterials[[#This Row],[Value]]*tbMaterials[[#This Row],[Max Stack]]</f>
        <v>16000</v>
      </c>
      <c r="H242" s="28" t="str">
        <f>IF(ISTEXT(VLOOKUP(tbMaterials[[#This Row],[Item]],tbBlueprints[],1,FALSE)),"Yes","No")</f>
        <v>No</v>
      </c>
      <c r="I242" s="28" t="str">
        <f>IF(ISTEXT(VLOOKUP(tbMaterials[[#This Row],[Item]],tbRefining[],1,FALSE)),"Yes","No")</f>
        <v>No</v>
      </c>
      <c r="J242" s="66" t="s">
        <v>1047</v>
      </c>
    </row>
    <row r="243" spans="2:10" s="2" customFormat="1" ht="27.95" customHeight="1" x14ac:dyDescent="0.25">
      <c r="C243" s="4"/>
      <c r="D243" s="5"/>
      <c r="E243" s="7"/>
      <c r="F243" s="4"/>
      <c r="G243" s="4"/>
      <c r="H243" s="4"/>
      <c r="I243" s="4"/>
    </row>
    <row r="244" spans="2:10" s="2" customFormat="1" ht="27.95" customHeight="1" x14ac:dyDescent="0.25">
      <c r="C244" s="4"/>
      <c r="D244" s="5"/>
      <c r="E244" s="7"/>
      <c r="F244" s="4"/>
      <c r="G244" s="4"/>
      <c r="H244" s="4"/>
      <c r="I244" s="4"/>
    </row>
    <row r="245" spans="2:10" s="2" customFormat="1" ht="27.95" customHeight="1" x14ac:dyDescent="0.25">
      <c r="C245" s="4"/>
      <c r="D245" s="5"/>
      <c r="E245" s="7"/>
      <c r="F245" s="4"/>
      <c r="G245" s="4"/>
      <c r="H245" s="4"/>
      <c r="I245" s="4"/>
    </row>
    <row r="246" spans="2:10" s="2" customFormat="1" ht="27.95" customHeight="1" x14ac:dyDescent="0.25">
      <c r="C246" s="4"/>
      <c r="D246" s="5"/>
      <c r="E246" s="7"/>
      <c r="F246" s="4"/>
      <c r="G246" s="4"/>
      <c r="H246" s="4"/>
      <c r="I246" s="4"/>
    </row>
    <row r="247" spans="2:10" s="2" customFormat="1" ht="27.95" customHeight="1" x14ac:dyDescent="0.25">
      <c r="C247" s="4"/>
      <c r="D247" s="5"/>
      <c r="E247" s="7"/>
      <c r="F247" s="4"/>
      <c r="G247" s="4"/>
      <c r="H247" s="4"/>
      <c r="I247" s="4"/>
    </row>
    <row r="248" spans="2:10" s="2" customFormat="1" ht="27.95" customHeight="1" x14ac:dyDescent="0.25">
      <c r="C248" s="4"/>
      <c r="D248" s="5"/>
      <c r="E248" s="7"/>
      <c r="F248" s="4"/>
      <c r="G248" s="4"/>
      <c r="H248" s="4"/>
      <c r="I248" s="4"/>
    </row>
    <row r="249" spans="2:10" s="2" customFormat="1" ht="27.95" customHeight="1" x14ac:dyDescent="0.25">
      <c r="C249" s="4"/>
      <c r="D249" s="5"/>
      <c r="E249" s="7"/>
      <c r="F249" s="4"/>
      <c r="G249" s="4"/>
      <c r="H249" s="4"/>
      <c r="I249" s="4"/>
    </row>
    <row r="250" spans="2:10" s="2" customFormat="1" ht="27.95" customHeight="1" x14ac:dyDescent="0.25">
      <c r="C250" s="4"/>
      <c r="D250" s="5"/>
      <c r="E250" s="7"/>
      <c r="F250" s="4"/>
      <c r="G250" s="4"/>
      <c r="H250" s="4"/>
      <c r="I250" s="4"/>
    </row>
    <row r="251" spans="2:10" s="2" customFormat="1" ht="27.95" customHeight="1" x14ac:dyDescent="0.25">
      <c r="C251" s="4"/>
      <c r="D251" s="5"/>
      <c r="E251" s="7"/>
      <c r="F251" s="4"/>
      <c r="G251" s="4"/>
      <c r="H251" s="4"/>
      <c r="I251" s="4"/>
    </row>
    <row r="252" spans="2:10" s="2" customFormat="1" ht="27.95" customHeight="1" x14ac:dyDescent="0.25">
      <c r="C252" s="4"/>
      <c r="D252" s="5"/>
      <c r="E252" s="7"/>
      <c r="F252" s="4"/>
      <c r="G252" s="4"/>
      <c r="H252" s="4"/>
      <c r="I252" s="4"/>
    </row>
    <row r="253" spans="2:10" s="2" customFormat="1" ht="27.95" customHeight="1" x14ac:dyDescent="0.25">
      <c r="C253" s="4"/>
      <c r="D253" s="5"/>
      <c r="E253" s="7"/>
      <c r="F253" s="4"/>
      <c r="G253" s="4"/>
      <c r="H253" s="4"/>
      <c r="I253" s="4"/>
    </row>
    <row r="254" spans="2:10" s="2" customFormat="1" ht="27.95" customHeight="1" x14ac:dyDescent="0.25">
      <c r="C254" s="4"/>
      <c r="D254" s="5"/>
      <c r="E254" s="7"/>
      <c r="F254" s="4"/>
      <c r="G254" s="4"/>
      <c r="H254" s="4"/>
      <c r="I254" s="4"/>
    </row>
    <row r="255" spans="2:10" s="2" customFormat="1" ht="27.95" customHeight="1" x14ac:dyDescent="0.25">
      <c r="C255" s="4"/>
      <c r="D255" s="5"/>
      <c r="E255" s="7"/>
      <c r="F255" s="4"/>
      <c r="G255" s="4"/>
      <c r="H255" s="4"/>
      <c r="I255" s="4"/>
    </row>
    <row r="256" spans="2:10" s="2" customFormat="1" ht="27.95" customHeight="1" x14ac:dyDescent="0.25">
      <c r="C256" s="4"/>
      <c r="D256" s="5"/>
      <c r="E256" s="7"/>
      <c r="F256" s="4"/>
      <c r="G256" s="4"/>
      <c r="H256" s="4"/>
      <c r="I256" s="4"/>
    </row>
    <row r="257" spans="3:9" s="2" customFormat="1" ht="27.95" customHeight="1" x14ac:dyDescent="0.25">
      <c r="C257" s="4"/>
      <c r="D257" s="5"/>
      <c r="E257" s="7"/>
      <c r="F257" s="4"/>
      <c r="G257" s="4"/>
      <c r="H257" s="4"/>
      <c r="I257" s="4"/>
    </row>
    <row r="258" spans="3:9" s="2" customFormat="1" ht="27.95" customHeight="1" x14ac:dyDescent="0.25">
      <c r="C258" s="4"/>
      <c r="D258" s="5"/>
      <c r="E258" s="7"/>
      <c r="F258" s="4"/>
      <c r="G258" s="4"/>
      <c r="H258" s="4"/>
      <c r="I258" s="4"/>
    </row>
    <row r="259" spans="3:9" s="2" customFormat="1" ht="27.95" customHeight="1" x14ac:dyDescent="0.25">
      <c r="C259" s="4"/>
      <c r="D259" s="5"/>
      <c r="E259" s="7"/>
      <c r="F259" s="4"/>
      <c r="G259" s="4"/>
      <c r="H259" s="4"/>
      <c r="I259" s="4"/>
    </row>
    <row r="260" spans="3:9" ht="27.95" customHeight="1" x14ac:dyDescent="0.25"/>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59D5B-380F-4B44-A635-D7AF64DBD60F}">
  <dimension ref="B1:L53"/>
  <sheetViews>
    <sheetView showGridLines="0" topLeftCell="A10" workbookViewId="0">
      <selection activeCell="B11" sqref="B11"/>
    </sheetView>
  </sheetViews>
  <sheetFormatPr defaultRowHeight="27.95" customHeight="1" x14ac:dyDescent="0.25"/>
  <cols>
    <col min="1" max="1" width="1.5703125" style="2" customWidth="1"/>
    <col min="2" max="2" width="27.28515625" style="2" customWidth="1"/>
    <col min="3" max="3" width="17.140625" style="2" customWidth="1"/>
    <col min="4" max="8" width="12.85546875" style="2" customWidth="1"/>
    <col min="9" max="10" width="13.140625" style="2" customWidth="1"/>
    <col min="11" max="12" width="12.85546875" style="4" customWidth="1"/>
    <col min="13" max="16384" width="9.140625" style="2"/>
  </cols>
  <sheetData>
    <row r="1" spans="2:12" ht="6.75" customHeight="1" x14ac:dyDescent="0.25"/>
    <row r="2" spans="2:12" ht="27.95" customHeight="1" x14ac:dyDescent="0.25">
      <c r="B2" s="45" t="s">
        <v>678</v>
      </c>
    </row>
    <row r="3" spans="2:12" ht="27.95" customHeight="1" x14ac:dyDescent="0.25">
      <c r="B3" s="2" t="s">
        <v>582</v>
      </c>
      <c r="C3" s="2" t="s">
        <v>583</v>
      </c>
      <c r="D3" s="2" t="s">
        <v>683</v>
      </c>
      <c r="E3" s="2" t="s">
        <v>584</v>
      </c>
      <c r="F3" s="2" t="s">
        <v>647</v>
      </c>
    </row>
    <row r="4" spans="2:12" ht="27.95" customHeight="1" x14ac:dyDescent="0.25">
      <c r="B4" s="2" t="s">
        <v>1133</v>
      </c>
      <c r="C4" s="4" t="s">
        <v>634</v>
      </c>
      <c r="D4" s="4">
        <v>24</v>
      </c>
      <c r="E4" s="4">
        <v>2086</v>
      </c>
      <c r="F4" s="4">
        <v>235.7</v>
      </c>
    </row>
    <row r="5" spans="2:12" ht="27.95" customHeight="1" x14ac:dyDescent="0.25">
      <c r="B5" s="2" t="s">
        <v>682</v>
      </c>
      <c r="C5" s="4" t="s">
        <v>588</v>
      </c>
      <c r="D5" s="4">
        <v>24</v>
      </c>
      <c r="E5" s="4">
        <v>2478</v>
      </c>
      <c r="F5" s="4">
        <v>354</v>
      </c>
    </row>
    <row r="6" spans="2:12" ht="27.95" customHeight="1" x14ac:dyDescent="0.25">
      <c r="B6" s="2" t="s">
        <v>684</v>
      </c>
      <c r="C6" s="4" t="s">
        <v>609</v>
      </c>
      <c r="D6" s="4">
        <v>16</v>
      </c>
      <c r="E6" s="4">
        <v>333</v>
      </c>
      <c r="F6" s="4">
        <v>206</v>
      </c>
    </row>
    <row r="8" spans="2:12" ht="27.95" customHeight="1" x14ac:dyDescent="0.25">
      <c r="B8" s="45" t="s">
        <v>679</v>
      </c>
    </row>
    <row r="9" spans="2:12" ht="27.95" customHeight="1" x14ac:dyDescent="0.25">
      <c r="B9" s="2" t="s">
        <v>582</v>
      </c>
      <c r="C9" s="2" t="s">
        <v>652</v>
      </c>
      <c r="D9" s="4" t="s">
        <v>583</v>
      </c>
      <c r="E9" s="4" t="s">
        <v>648</v>
      </c>
      <c r="F9" s="4" t="s">
        <v>627</v>
      </c>
      <c r="G9" s="2" t="s">
        <v>661</v>
      </c>
      <c r="H9" s="2" t="s">
        <v>629</v>
      </c>
      <c r="I9" s="2" t="s">
        <v>649</v>
      </c>
      <c r="J9" s="66" t="s">
        <v>1134</v>
      </c>
      <c r="K9" s="5" t="s">
        <v>1135</v>
      </c>
      <c r="L9" s="5" t="s">
        <v>1136</v>
      </c>
    </row>
    <row r="10" spans="2:12" ht="27.95" customHeight="1" x14ac:dyDescent="0.25">
      <c r="B10" s="2" t="s">
        <v>702</v>
      </c>
      <c r="C10" s="66" t="s">
        <v>1133</v>
      </c>
      <c r="D10" s="4" t="s">
        <v>609</v>
      </c>
      <c r="E10" s="10">
        <v>0.31</v>
      </c>
      <c r="F10" s="10"/>
      <c r="G10" s="10"/>
      <c r="H10" s="10"/>
      <c r="I10" s="4"/>
      <c r="J10" s="10">
        <v>-0.31</v>
      </c>
      <c r="K10" s="11">
        <v>1</v>
      </c>
      <c r="L10" s="10">
        <v>-0.06</v>
      </c>
    </row>
    <row r="11" spans="2:12" s="66" customFormat="1" ht="27.95" customHeight="1" x14ac:dyDescent="0.25">
      <c r="B11" s="66" t="s">
        <v>1138</v>
      </c>
      <c r="C11" s="66" t="s">
        <v>1133</v>
      </c>
      <c r="D11" s="4" t="s">
        <v>634</v>
      </c>
      <c r="E11" s="10"/>
      <c r="F11" s="10">
        <v>0.14000000000000001</v>
      </c>
      <c r="G11" s="10">
        <v>-0.18</v>
      </c>
      <c r="H11" s="10">
        <v>0.01</v>
      </c>
      <c r="I11" s="4">
        <v>8</v>
      </c>
      <c r="J11" s="10"/>
      <c r="K11" s="11"/>
      <c r="L11" s="10"/>
    </row>
    <row r="12" spans="2:12" s="66" customFormat="1" ht="27.95" customHeight="1" x14ac:dyDescent="0.25">
      <c r="B12" s="66" t="s">
        <v>1139</v>
      </c>
      <c r="C12" s="66" t="s">
        <v>1133</v>
      </c>
      <c r="D12" s="4" t="s">
        <v>634</v>
      </c>
      <c r="E12" s="10"/>
      <c r="F12" s="10"/>
      <c r="G12" s="10"/>
      <c r="H12" s="10">
        <v>0.01</v>
      </c>
      <c r="I12" s="4">
        <v>8</v>
      </c>
      <c r="J12" s="10"/>
      <c r="K12" s="11">
        <v>1</v>
      </c>
      <c r="L12" s="10">
        <v>-0.15</v>
      </c>
    </row>
    <row r="13" spans="2:12" s="66" customFormat="1" ht="27.95" customHeight="1" x14ac:dyDescent="0.25">
      <c r="B13" s="66" t="s">
        <v>1140</v>
      </c>
      <c r="C13" s="66" t="s">
        <v>1133</v>
      </c>
      <c r="D13" s="4" t="s">
        <v>634</v>
      </c>
      <c r="E13" s="10"/>
      <c r="F13" s="10"/>
      <c r="G13" s="10">
        <v>-0.11</v>
      </c>
      <c r="H13" s="10">
        <v>0.01</v>
      </c>
      <c r="I13" s="4">
        <v>8</v>
      </c>
      <c r="J13" s="10"/>
      <c r="K13" s="11">
        <v>1.4</v>
      </c>
      <c r="L13" s="10"/>
    </row>
    <row r="14" spans="2:12" ht="27.95" customHeight="1" x14ac:dyDescent="0.25">
      <c r="B14" s="2" t="s">
        <v>421</v>
      </c>
      <c r="C14" s="2" t="s">
        <v>682</v>
      </c>
      <c r="D14" s="4" t="s">
        <v>609</v>
      </c>
      <c r="E14" s="10">
        <v>0.31</v>
      </c>
      <c r="F14" s="10"/>
      <c r="G14" s="10"/>
      <c r="H14" s="10"/>
      <c r="I14" s="4"/>
      <c r="J14" s="10"/>
      <c r="K14" s="11"/>
      <c r="L14" s="10"/>
    </row>
    <row r="15" spans="2:12" s="66" customFormat="1" ht="27.95" customHeight="1" x14ac:dyDescent="0.25">
      <c r="B15" s="66" t="s">
        <v>700</v>
      </c>
      <c r="C15" s="66" t="s">
        <v>682</v>
      </c>
      <c r="D15" s="4" t="s">
        <v>609</v>
      </c>
      <c r="E15" s="10"/>
      <c r="F15" s="10">
        <v>0.11</v>
      </c>
      <c r="G15" s="10">
        <v>-0.22</v>
      </c>
      <c r="H15" s="10">
        <v>0.02</v>
      </c>
      <c r="I15" s="4">
        <v>8</v>
      </c>
      <c r="J15" s="10"/>
      <c r="K15" s="11"/>
      <c r="L15" s="10"/>
    </row>
    <row r="16" spans="2:12" ht="27.95" customHeight="1" x14ac:dyDescent="0.25">
      <c r="B16" s="2" t="s">
        <v>685</v>
      </c>
      <c r="C16" s="2" t="s">
        <v>682</v>
      </c>
      <c r="D16" s="4" t="s">
        <v>588</v>
      </c>
      <c r="E16" s="10"/>
      <c r="F16" s="10"/>
      <c r="G16" s="10">
        <v>-0.11</v>
      </c>
      <c r="H16" s="10">
        <v>0.03</v>
      </c>
      <c r="I16" s="4">
        <v>6</v>
      </c>
      <c r="J16" s="10"/>
      <c r="K16" s="11"/>
      <c r="L16" s="10"/>
    </row>
    <row r="17" spans="2:12" ht="27.95" customHeight="1" x14ac:dyDescent="0.25">
      <c r="B17" s="2" t="s">
        <v>694</v>
      </c>
      <c r="C17" s="2" t="s">
        <v>682</v>
      </c>
      <c r="D17" s="4" t="s">
        <v>634</v>
      </c>
      <c r="E17" s="10"/>
      <c r="F17" s="10">
        <v>0.13</v>
      </c>
      <c r="G17" s="10">
        <v>-0.15</v>
      </c>
      <c r="H17" s="10">
        <v>0.03</v>
      </c>
      <c r="I17" s="4"/>
      <c r="J17" s="10"/>
      <c r="K17" s="11"/>
      <c r="L17" s="10"/>
    </row>
    <row r="18" spans="2:12" ht="27.95" customHeight="1" x14ac:dyDescent="0.25">
      <c r="B18" s="66" t="s">
        <v>630</v>
      </c>
      <c r="C18" s="66"/>
      <c r="D18" s="4"/>
      <c r="E18" s="10">
        <f>SUBTOTAL(109,tbMU_Boltcaster[Accuracy])</f>
        <v>0.62</v>
      </c>
      <c r="F18" s="10"/>
      <c r="G18" s="10">
        <f>SUBTOTAL(109,tbMU_Boltcaster[Reload Time])</f>
        <v>-0.77</v>
      </c>
      <c r="H18" s="10">
        <f>SUBTOTAL(109,tbMU_Boltcaster[Damage])</f>
        <v>0.11</v>
      </c>
      <c r="I18" s="11">
        <f>SUBTOTAL(109,tbMU_Boltcaster[Clip Size])</f>
        <v>38</v>
      </c>
      <c r="J18" s="10">
        <f>SUBTOTAL(109,tbMU_Boltcaster[Recoil])</f>
        <v>-0.31</v>
      </c>
      <c r="K18" s="11">
        <f>SUBTOTAL(109,tbMU_Boltcaster[Shots per Burst])</f>
        <v>3.4</v>
      </c>
      <c r="L18" s="10">
        <f>SUBTOTAL(109,tbMU_Boltcaster[Burst Cooldown])</f>
        <v>-0.21</v>
      </c>
    </row>
    <row r="20" spans="2:12" ht="27.95" customHeight="1" x14ac:dyDescent="0.25">
      <c r="B20" s="45" t="s">
        <v>680</v>
      </c>
    </row>
    <row r="21" spans="2:12" ht="27.95" customHeight="1" x14ac:dyDescent="0.25">
      <c r="B21" s="2" t="s">
        <v>582</v>
      </c>
      <c r="C21" s="2" t="s">
        <v>652</v>
      </c>
      <c r="D21" s="4" t="s">
        <v>583</v>
      </c>
      <c r="E21" s="4" t="s">
        <v>629</v>
      </c>
      <c r="F21" s="3" t="s">
        <v>653</v>
      </c>
    </row>
    <row r="22" spans="2:12" ht="27.95" customHeight="1" x14ac:dyDescent="0.25">
      <c r="B22" s="2" t="s">
        <v>1137</v>
      </c>
      <c r="C22" s="66" t="s">
        <v>1133</v>
      </c>
      <c r="D22" s="4" t="s">
        <v>634</v>
      </c>
      <c r="E22" s="10">
        <v>0.04</v>
      </c>
      <c r="F22" s="10">
        <v>-0.16</v>
      </c>
    </row>
    <row r="23" spans="2:12" s="66" customFormat="1" ht="27.95" customHeight="1" x14ac:dyDescent="0.25">
      <c r="B23" s="66" t="s">
        <v>1142</v>
      </c>
      <c r="C23" s="66" t="s">
        <v>1133</v>
      </c>
      <c r="D23" s="4" t="s">
        <v>634</v>
      </c>
      <c r="E23" s="10">
        <v>0.04</v>
      </c>
      <c r="F23" s="10">
        <v>-0.16</v>
      </c>
      <c r="K23" s="4"/>
      <c r="L23" s="4"/>
    </row>
    <row r="24" spans="2:12" s="66" customFormat="1" ht="27.95" customHeight="1" x14ac:dyDescent="0.25">
      <c r="B24" s="66" t="s">
        <v>1141</v>
      </c>
      <c r="C24" s="66" t="s">
        <v>1133</v>
      </c>
      <c r="D24" s="4" t="s">
        <v>634</v>
      </c>
      <c r="E24" s="10">
        <v>0.04</v>
      </c>
      <c r="F24" s="10">
        <v>-0.13</v>
      </c>
      <c r="K24" s="4"/>
      <c r="L24" s="4"/>
    </row>
    <row r="25" spans="2:12" s="66" customFormat="1" ht="27.95" customHeight="1" x14ac:dyDescent="0.25">
      <c r="B25" s="66" t="s">
        <v>1143</v>
      </c>
      <c r="C25" s="66" t="s">
        <v>1133</v>
      </c>
      <c r="D25" s="4" t="s">
        <v>609</v>
      </c>
      <c r="E25" s="10">
        <v>0.13</v>
      </c>
      <c r="F25" s="10"/>
      <c r="K25" s="4"/>
      <c r="L25" s="4"/>
    </row>
    <row r="26" spans="2:12" ht="27.95" customHeight="1" x14ac:dyDescent="0.25">
      <c r="B26" s="66" t="s">
        <v>630</v>
      </c>
      <c r="C26" s="66"/>
      <c r="D26" s="4"/>
      <c r="E26" s="10">
        <f>SUBTOTAL(109,tbMU_Boltcaster28[Damage])</f>
        <v>0.25</v>
      </c>
      <c r="F26" s="10">
        <f>SUBTOTAL(109,tbMU_Boltcaster28[Time to Full Power])</f>
        <v>-0.45</v>
      </c>
    </row>
    <row r="27" spans="2:12" ht="27.95" customHeight="1" x14ac:dyDescent="0.25">
      <c r="D27" s="4"/>
      <c r="E27" s="10"/>
    </row>
    <row r="28" spans="2:12" ht="27.95" customHeight="1" x14ac:dyDescent="0.25">
      <c r="B28" s="45" t="s">
        <v>681</v>
      </c>
    </row>
    <row r="29" spans="2:12" ht="27.95" customHeight="1" x14ac:dyDescent="0.25">
      <c r="B29" s="2" t="s">
        <v>582</v>
      </c>
      <c r="C29" s="2" t="s">
        <v>652</v>
      </c>
      <c r="D29" s="4" t="s">
        <v>583</v>
      </c>
      <c r="E29" s="4" t="s">
        <v>629</v>
      </c>
      <c r="F29" s="4" t="s">
        <v>649</v>
      </c>
      <c r="G29" s="4" t="s">
        <v>627</v>
      </c>
      <c r="H29" s="2" t="s">
        <v>661</v>
      </c>
    </row>
    <row r="30" spans="2:12" ht="27.95" customHeight="1" x14ac:dyDescent="0.25">
      <c r="B30" s="2" t="s">
        <v>651</v>
      </c>
      <c r="C30" s="2" t="s">
        <v>646</v>
      </c>
      <c r="D30" s="4" t="s">
        <v>639</v>
      </c>
      <c r="E30" s="10">
        <v>0.03</v>
      </c>
      <c r="F30" s="55">
        <v>12</v>
      </c>
      <c r="G30" s="10">
        <v>0</v>
      </c>
      <c r="H30" s="10">
        <v>0</v>
      </c>
    </row>
    <row r="31" spans="2:12" ht="27.95" customHeight="1" x14ac:dyDescent="0.25">
      <c r="B31" s="2" t="s">
        <v>650</v>
      </c>
      <c r="C31" s="2" t="s">
        <v>646</v>
      </c>
      <c r="D31" s="4" t="s">
        <v>588</v>
      </c>
      <c r="E31" s="10">
        <v>0.03</v>
      </c>
      <c r="F31" s="55">
        <v>0</v>
      </c>
      <c r="G31" s="10">
        <v>0.1</v>
      </c>
      <c r="H31" s="10">
        <v>0</v>
      </c>
    </row>
    <row r="32" spans="2:12" ht="27.95" customHeight="1" x14ac:dyDescent="0.25">
      <c r="B32" s="2" t="s">
        <v>660</v>
      </c>
      <c r="C32" s="2" t="s">
        <v>646</v>
      </c>
      <c r="D32" s="4" t="s">
        <v>634</v>
      </c>
      <c r="E32" s="10">
        <v>7.0000000000000007E-2</v>
      </c>
      <c r="F32" s="55"/>
      <c r="G32" s="10">
        <v>0.11</v>
      </c>
      <c r="H32" s="10">
        <v>-0.06</v>
      </c>
    </row>
    <row r="33" spans="2:12" ht="27.95" customHeight="1" x14ac:dyDescent="0.25">
      <c r="B33" s="2" t="s">
        <v>630</v>
      </c>
      <c r="D33" s="4"/>
      <c r="E33" s="10">
        <f>SUBTOTAL(109,tbMU_Boltcaster29[Damage])</f>
        <v>0.13</v>
      </c>
      <c r="F33" s="11">
        <f>SUBTOTAL(109,tbMU_Boltcaster29[Clip Size])</f>
        <v>12</v>
      </c>
      <c r="G33" s="10">
        <f>SUBTOTAL(109,tbMU_Boltcaster29[Fire Rate])</f>
        <v>0.21000000000000002</v>
      </c>
      <c r="H33" s="56">
        <f>SUBTOTAL(109,tbMU_Boltcaster29[Reload Time])</f>
        <v>-0.06</v>
      </c>
    </row>
    <row r="35" spans="2:12" ht="27.95" customHeight="1" x14ac:dyDescent="0.25">
      <c r="B35" s="45" t="s">
        <v>693</v>
      </c>
    </row>
    <row r="36" spans="2:12" ht="27.95" customHeight="1" x14ac:dyDescent="0.25">
      <c r="B36" s="32" t="s">
        <v>582</v>
      </c>
      <c r="C36" s="32" t="s">
        <v>652</v>
      </c>
      <c r="D36" s="21" t="s">
        <v>583</v>
      </c>
      <c r="E36" s="32" t="s">
        <v>661</v>
      </c>
      <c r="F36" s="32" t="s">
        <v>629</v>
      </c>
      <c r="G36" s="32" t="s">
        <v>627</v>
      </c>
      <c r="H36" s="32" t="s">
        <v>649</v>
      </c>
    </row>
    <row r="37" spans="2:12" ht="27.95" customHeight="1" x14ac:dyDescent="0.25">
      <c r="B37" s="2" t="s">
        <v>701</v>
      </c>
      <c r="C37" s="2" t="s">
        <v>682</v>
      </c>
      <c r="D37" s="4" t="s">
        <v>609</v>
      </c>
      <c r="E37" s="10">
        <v>-0.11</v>
      </c>
      <c r="F37" s="10"/>
      <c r="G37" s="10"/>
      <c r="H37" s="4"/>
    </row>
    <row r="38" spans="2:12" ht="27.95" customHeight="1" x14ac:dyDescent="0.25">
      <c r="B38" s="2" t="s">
        <v>692</v>
      </c>
      <c r="C38" s="2" t="s">
        <v>682</v>
      </c>
      <c r="D38" s="4" t="s">
        <v>634</v>
      </c>
      <c r="E38" s="10">
        <v>-0.21</v>
      </c>
      <c r="F38" s="10">
        <v>0.02</v>
      </c>
      <c r="G38" s="10">
        <v>0.11</v>
      </c>
      <c r="H38" s="4">
        <v>8</v>
      </c>
    </row>
    <row r="39" spans="2:12" ht="27.95" customHeight="1" x14ac:dyDescent="0.25">
      <c r="B39" s="2" t="s">
        <v>695</v>
      </c>
      <c r="C39" s="2" t="s">
        <v>682</v>
      </c>
      <c r="D39" s="4" t="s">
        <v>588</v>
      </c>
      <c r="E39" s="10">
        <v>-0.2</v>
      </c>
      <c r="F39" s="10">
        <v>0.01</v>
      </c>
      <c r="G39" s="10">
        <v>0.08</v>
      </c>
      <c r="H39" s="4">
        <v>8</v>
      </c>
    </row>
    <row r="40" spans="2:12" ht="27.95" customHeight="1" x14ac:dyDescent="0.25">
      <c r="B40" s="2" t="s">
        <v>700</v>
      </c>
      <c r="C40" s="2" t="s">
        <v>682</v>
      </c>
      <c r="D40" s="4" t="s">
        <v>634</v>
      </c>
      <c r="E40" s="10">
        <v>-0.22</v>
      </c>
      <c r="F40" s="10">
        <v>0.02</v>
      </c>
      <c r="G40" s="10">
        <v>0.11</v>
      </c>
      <c r="H40" s="4">
        <v>8</v>
      </c>
    </row>
    <row r="41" spans="2:12" s="66" customFormat="1" ht="27.95" customHeight="1" x14ac:dyDescent="0.25">
      <c r="B41" s="66" t="s">
        <v>1138</v>
      </c>
      <c r="C41" s="66" t="s">
        <v>1133</v>
      </c>
      <c r="D41" s="4" t="s">
        <v>634</v>
      </c>
      <c r="E41" s="10">
        <v>-0.18</v>
      </c>
      <c r="F41" s="10">
        <v>0.01</v>
      </c>
      <c r="G41" s="10">
        <v>0.14000000000000001</v>
      </c>
      <c r="H41" s="4">
        <v>8</v>
      </c>
      <c r="K41" s="4"/>
      <c r="L41" s="4"/>
    </row>
    <row r="43" spans="2:12" ht="27.95" customHeight="1" x14ac:dyDescent="0.25">
      <c r="B43" s="45" t="s">
        <v>686</v>
      </c>
    </row>
    <row r="44" spans="2:12" ht="27.95" customHeight="1" x14ac:dyDescent="0.25">
      <c r="B44" s="32" t="s">
        <v>582</v>
      </c>
      <c r="C44" s="32" t="s">
        <v>652</v>
      </c>
      <c r="D44" s="21" t="s">
        <v>583</v>
      </c>
      <c r="E44" s="3" t="s">
        <v>687</v>
      </c>
      <c r="F44" s="3" t="s">
        <v>688</v>
      </c>
      <c r="G44" s="3" t="s">
        <v>689</v>
      </c>
      <c r="H44" s="3" t="s">
        <v>691</v>
      </c>
    </row>
    <row r="45" spans="2:12" ht="27.95" customHeight="1" x14ac:dyDescent="0.25">
      <c r="B45" s="36" t="s">
        <v>690</v>
      </c>
      <c r="C45" s="36" t="s">
        <v>682</v>
      </c>
      <c r="D45" s="57" t="s">
        <v>609</v>
      </c>
      <c r="E45" s="54">
        <v>97.92</v>
      </c>
      <c r="F45" s="54">
        <v>65.540000000000006</v>
      </c>
      <c r="G45" s="54">
        <v>0.36</v>
      </c>
      <c r="H45" s="54"/>
    </row>
    <row r="46" spans="2:12" ht="27.95" customHeight="1" x14ac:dyDescent="0.25">
      <c r="B46" s="36" t="s">
        <v>420</v>
      </c>
      <c r="C46" s="36" t="s">
        <v>682</v>
      </c>
      <c r="D46" s="57" t="s">
        <v>639</v>
      </c>
      <c r="E46" s="54"/>
      <c r="F46" s="54"/>
      <c r="G46" s="54">
        <v>0.11</v>
      </c>
      <c r="H46" s="54">
        <v>-0.2</v>
      </c>
    </row>
    <row r="48" spans="2:12" ht="27.95" customHeight="1" x14ac:dyDescent="0.25">
      <c r="B48" s="45" t="s">
        <v>703</v>
      </c>
    </row>
    <row r="49" spans="2:8" ht="27.95" customHeight="1" x14ac:dyDescent="0.25">
      <c r="B49" s="32" t="s">
        <v>582</v>
      </c>
      <c r="C49" s="32" t="s">
        <v>652</v>
      </c>
      <c r="D49" s="21" t="s">
        <v>583</v>
      </c>
      <c r="E49" s="5" t="s">
        <v>705</v>
      </c>
      <c r="F49" s="5" t="s">
        <v>706</v>
      </c>
      <c r="G49" s="5" t="s">
        <v>628</v>
      </c>
      <c r="H49" s="5" t="s">
        <v>707</v>
      </c>
    </row>
    <row r="50" spans="2:8" ht="27.95" customHeight="1" x14ac:dyDescent="0.25">
      <c r="B50" s="2" t="s">
        <v>704</v>
      </c>
      <c r="C50" s="36" t="s">
        <v>682</v>
      </c>
      <c r="D50" s="4" t="s">
        <v>634</v>
      </c>
      <c r="E50" s="54">
        <v>0.21</v>
      </c>
      <c r="F50" s="54">
        <v>-0.17</v>
      </c>
      <c r="G50" s="54">
        <v>0.42</v>
      </c>
      <c r="H50" s="54">
        <v>0.16</v>
      </c>
    </row>
    <row r="51" spans="2:8" ht="27.95" customHeight="1" x14ac:dyDescent="0.25">
      <c r="B51" s="2" t="s">
        <v>708</v>
      </c>
      <c r="C51" s="36" t="s">
        <v>682</v>
      </c>
      <c r="D51" s="4" t="s">
        <v>588</v>
      </c>
      <c r="E51" s="54"/>
      <c r="F51" s="54"/>
      <c r="G51" s="54"/>
      <c r="H51" s="54">
        <v>0.15</v>
      </c>
    </row>
    <row r="52" spans="2:8" ht="27.95" customHeight="1" x14ac:dyDescent="0.25">
      <c r="B52" s="2" t="s">
        <v>736</v>
      </c>
      <c r="C52" s="36" t="s">
        <v>682</v>
      </c>
      <c r="D52" s="4" t="s">
        <v>634</v>
      </c>
      <c r="E52" s="54">
        <v>0.21</v>
      </c>
      <c r="F52" s="54">
        <v>-0.19</v>
      </c>
      <c r="G52" s="54">
        <v>0.41</v>
      </c>
      <c r="H52" s="54">
        <v>0.2</v>
      </c>
    </row>
    <row r="53" spans="2:8" ht="27.95" customHeight="1" x14ac:dyDescent="0.25">
      <c r="B53" s="2" t="s">
        <v>630</v>
      </c>
      <c r="C53" s="38"/>
      <c r="D53" s="4"/>
      <c r="E53" s="10">
        <f>SUBTOTAL(109,tbMU_Mining[Fuel Efficiency])</f>
        <v>0.42</v>
      </c>
      <c r="F53" s="10">
        <f>SUBTOTAL(109,tbMU_Mining[Overheat Downtime])</f>
        <v>-0.36</v>
      </c>
      <c r="G53" s="10">
        <f>SUBTOTAL(109,tbMU_Mining[Heat Dispersion])</f>
        <v>0.83</v>
      </c>
      <c r="H53" s="10">
        <f>SUBTOTAL(109,tbMU_Mining[Mining Speed])</f>
        <v>0.51</v>
      </c>
    </row>
  </sheetData>
  <pageMargins left="0.7" right="0.7" top="0.75" bottom="0.75" header="0.3" footer="0.3"/>
  <pageSetup orientation="portrait" r:id="rId1"/>
  <tableParts count="7">
    <tablePart r:id="rId2"/>
    <tablePart r:id="rId3"/>
    <tablePart r:id="rId4"/>
    <tablePart r:id="rId5"/>
    <tablePart r:id="rId6"/>
    <tablePart r:id="rId7"/>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E4B2-A483-416B-888B-A9ECE290C9BC}">
  <sheetPr codeName="Sheet8"/>
  <dimension ref="B1:K236"/>
  <sheetViews>
    <sheetView showGridLines="0" workbookViewId="0">
      <selection activeCell="C32" sqref="C32"/>
    </sheetView>
  </sheetViews>
  <sheetFormatPr defaultRowHeight="14.25" x14ac:dyDescent="0.25"/>
  <cols>
    <col min="1" max="1" width="1.42578125" style="1" customWidth="1"/>
    <col min="2" max="2" width="28.7109375" style="1" customWidth="1"/>
    <col min="3" max="3" width="13.140625" style="1" customWidth="1"/>
    <col min="4" max="4" width="13.140625" style="6" customWidth="1"/>
    <col min="5" max="5" width="13.140625" style="1" customWidth="1"/>
    <col min="6" max="6" width="13.140625" style="6" customWidth="1"/>
    <col min="7" max="7" width="13.140625" style="1" customWidth="1"/>
    <col min="8" max="9" width="13.140625" style="6" customWidth="1"/>
    <col min="10" max="10" width="13.140625" style="29" customWidth="1"/>
    <col min="11" max="11" width="13.140625" style="1" customWidth="1"/>
    <col min="12" max="16384" width="9.140625" style="1"/>
  </cols>
  <sheetData>
    <row r="1" spans="2:11" ht="7.5" customHeight="1" x14ac:dyDescent="0.25"/>
    <row r="2" spans="2:11" s="2" customFormat="1" ht="27.95" customHeight="1" x14ac:dyDescent="0.25">
      <c r="B2" s="2" t="s">
        <v>0</v>
      </c>
      <c r="C2" s="32" t="s">
        <v>313</v>
      </c>
      <c r="D2" s="21" t="s">
        <v>314</v>
      </c>
      <c r="E2" s="32" t="s">
        <v>315</v>
      </c>
      <c r="F2" s="21" t="s">
        <v>316</v>
      </c>
      <c r="G2" s="32" t="s">
        <v>317</v>
      </c>
      <c r="H2" s="21" t="s">
        <v>318</v>
      </c>
      <c r="I2" s="34" t="s">
        <v>329</v>
      </c>
      <c r="J2" s="7" t="s">
        <v>319</v>
      </c>
      <c r="K2" s="35" t="s">
        <v>330</v>
      </c>
    </row>
    <row r="3" spans="2:11" s="2" customFormat="1" ht="27.95" customHeight="1" x14ac:dyDescent="0.25">
      <c r="B3" s="2" t="s">
        <v>308</v>
      </c>
      <c r="C3" s="2" t="s">
        <v>61</v>
      </c>
      <c r="D3" s="4">
        <v>30</v>
      </c>
      <c r="E3" s="2" t="s">
        <v>25</v>
      </c>
      <c r="F3" s="4">
        <v>20</v>
      </c>
      <c r="G3" s="2" t="s">
        <v>6</v>
      </c>
      <c r="H3" s="4">
        <v>60</v>
      </c>
      <c r="I3" s="4">
        <v>1</v>
      </c>
      <c r="J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13860</v>
      </c>
      <c r="K3" s="28">
        <f>IF(ISNUMBER(tbRefining[[#This Row],[Total Cost]]),tbRefining[[#This Row],[Total Cost]]/tbRefining[[#This Row],[Output Qty]],"")</f>
        <v>13860</v>
      </c>
    </row>
    <row r="4" spans="2:11" s="2" customFormat="1" ht="27.95" customHeight="1" x14ac:dyDescent="0.25">
      <c r="B4" s="2" t="s">
        <v>308</v>
      </c>
      <c r="C4" s="2" t="s">
        <v>61</v>
      </c>
      <c r="D4" s="4">
        <v>30</v>
      </c>
      <c r="E4" s="2" t="s">
        <v>25</v>
      </c>
      <c r="F4" s="4">
        <v>20</v>
      </c>
      <c r="G4" s="2" t="s">
        <v>267</v>
      </c>
      <c r="H4" s="4">
        <v>30</v>
      </c>
      <c r="I4" s="4">
        <v>1</v>
      </c>
      <c r="J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14010</v>
      </c>
      <c r="K4" s="28">
        <f>IF(ISNUMBER(tbRefining[[#This Row],[Total Cost]]),tbRefining[[#This Row],[Total Cost]]/tbRefining[[#This Row],[Output Qty]],"")</f>
        <v>14010</v>
      </c>
    </row>
    <row r="5" spans="2:11" s="2" customFormat="1" ht="27.95" customHeight="1" x14ac:dyDescent="0.25">
      <c r="B5" s="2" t="s">
        <v>308</v>
      </c>
      <c r="C5" s="2" t="s">
        <v>61</v>
      </c>
      <c r="D5" s="4">
        <v>30</v>
      </c>
      <c r="E5" s="2" t="s">
        <v>19</v>
      </c>
      <c r="F5" s="4">
        <v>20</v>
      </c>
      <c r="G5" s="2" t="s">
        <v>6</v>
      </c>
      <c r="H5" s="4">
        <v>60</v>
      </c>
      <c r="I5" s="4">
        <v>1</v>
      </c>
      <c r="J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17460</v>
      </c>
      <c r="K5" s="28">
        <f>IF(ISNUMBER(tbRefining[[#This Row],[Total Cost]]),tbRefining[[#This Row],[Total Cost]]/tbRefining[[#This Row],[Output Qty]],"")</f>
        <v>17460</v>
      </c>
    </row>
    <row r="6" spans="2:11" s="2" customFormat="1" ht="27.95" customHeight="1" x14ac:dyDescent="0.25">
      <c r="B6" s="2" t="s">
        <v>308</v>
      </c>
      <c r="C6" s="2" t="s">
        <v>61</v>
      </c>
      <c r="D6" s="4">
        <v>30</v>
      </c>
      <c r="E6" s="2" t="s">
        <v>19</v>
      </c>
      <c r="F6" s="4">
        <v>20</v>
      </c>
      <c r="G6" s="2" t="s">
        <v>267</v>
      </c>
      <c r="H6" s="4">
        <v>30</v>
      </c>
      <c r="I6" s="4">
        <v>1</v>
      </c>
      <c r="J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17610</v>
      </c>
      <c r="K6" s="28">
        <f>IF(ISNUMBER(tbRefining[[#This Row],[Total Cost]]),tbRefining[[#This Row],[Total Cost]]/tbRefining[[#This Row],[Output Qty]],"")</f>
        <v>17610</v>
      </c>
    </row>
    <row r="7" spans="2:11" s="2" customFormat="1" ht="27.95" customHeight="1" x14ac:dyDescent="0.25">
      <c r="B7" s="2" t="s">
        <v>308</v>
      </c>
      <c r="C7" s="2" t="s">
        <v>61</v>
      </c>
      <c r="D7" s="4">
        <v>30</v>
      </c>
      <c r="E7" s="2" t="s">
        <v>24</v>
      </c>
      <c r="F7" s="4">
        <v>10</v>
      </c>
      <c r="G7" s="2" t="s">
        <v>6</v>
      </c>
      <c r="H7" s="4">
        <v>60</v>
      </c>
      <c r="I7" s="4">
        <v>1</v>
      </c>
      <c r="J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17270</v>
      </c>
      <c r="K7" s="28">
        <f>IF(ISNUMBER(tbRefining[[#This Row],[Total Cost]]),tbRefining[[#This Row],[Total Cost]]/tbRefining[[#This Row],[Output Qty]],"")</f>
        <v>17270</v>
      </c>
    </row>
    <row r="8" spans="2:11" s="2" customFormat="1" ht="27.95" customHeight="1" x14ac:dyDescent="0.25">
      <c r="B8" s="2" t="s">
        <v>308</v>
      </c>
      <c r="C8" s="2" t="s">
        <v>61</v>
      </c>
      <c r="D8" s="4">
        <v>30</v>
      </c>
      <c r="E8" s="2" t="s">
        <v>24</v>
      </c>
      <c r="F8" s="4">
        <v>10</v>
      </c>
      <c r="G8" s="2" t="s">
        <v>267</v>
      </c>
      <c r="H8" s="4">
        <v>30</v>
      </c>
      <c r="I8" s="4">
        <v>1</v>
      </c>
      <c r="J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17420</v>
      </c>
      <c r="K8" s="28">
        <f>IF(ISNUMBER(tbRefining[[#This Row],[Total Cost]]),tbRefining[[#This Row],[Total Cost]]/tbRefining[[#This Row],[Output Qty]],"")</f>
        <v>17420</v>
      </c>
    </row>
    <row r="9" spans="2:11" s="2" customFormat="1" ht="27.95" customHeight="1" x14ac:dyDescent="0.25">
      <c r="B9" s="2" t="s">
        <v>308</v>
      </c>
      <c r="C9" s="2" t="s">
        <v>61</v>
      </c>
      <c r="D9" s="4">
        <v>30</v>
      </c>
      <c r="E9" s="2" t="s">
        <v>18</v>
      </c>
      <c r="F9" s="4">
        <v>5</v>
      </c>
      <c r="G9" s="2" t="s">
        <v>6</v>
      </c>
      <c r="H9" s="4">
        <v>60</v>
      </c>
      <c r="I9" s="4">
        <v>1</v>
      </c>
      <c r="J9"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16265</v>
      </c>
      <c r="K9" s="28">
        <f>IF(ISNUMBER(tbRefining[[#This Row],[Total Cost]]),tbRefining[[#This Row],[Total Cost]]/tbRefining[[#This Row],[Output Qty]],"")</f>
        <v>16265</v>
      </c>
    </row>
    <row r="10" spans="2:11" s="2" customFormat="1" ht="27.95" customHeight="1" x14ac:dyDescent="0.25">
      <c r="B10" s="2" t="s">
        <v>308</v>
      </c>
      <c r="C10" s="2" t="s">
        <v>61</v>
      </c>
      <c r="D10" s="4">
        <v>30</v>
      </c>
      <c r="E10" s="2" t="s">
        <v>18</v>
      </c>
      <c r="F10" s="4">
        <v>5</v>
      </c>
      <c r="G10" s="2" t="s">
        <v>267</v>
      </c>
      <c r="H10" s="4">
        <v>30</v>
      </c>
      <c r="I10" s="4">
        <v>1</v>
      </c>
      <c r="J10"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16415</v>
      </c>
      <c r="K10" s="28">
        <f>IF(ISNUMBER(tbRefining[[#This Row],[Total Cost]]),tbRefining[[#This Row],[Total Cost]]/tbRefining[[#This Row],[Output Qty]],"")</f>
        <v>16415</v>
      </c>
    </row>
    <row r="11" spans="2:11" s="2" customFormat="1" ht="27.95" customHeight="1" x14ac:dyDescent="0.25">
      <c r="B11" s="2" t="s">
        <v>296</v>
      </c>
      <c r="C11" s="2" t="s">
        <v>296</v>
      </c>
      <c r="D11" s="4">
        <v>1</v>
      </c>
      <c r="E11" s="2" t="s">
        <v>261</v>
      </c>
      <c r="F11" s="4">
        <v>1</v>
      </c>
      <c r="H11" s="4"/>
      <c r="I11" s="4">
        <v>2</v>
      </c>
      <c r="J11"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479</v>
      </c>
      <c r="K11" s="28">
        <f>IF(ISNUMBER(tbRefining[[#This Row],[Total Cost]]),tbRefining[[#This Row],[Total Cost]]/tbRefining[[#This Row],[Output Qty]],"")</f>
        <v>239.5</v>
      </c>
    </row>
    <row r="12" spans="2:11" s="2" customFormat="1" ht="27.95" customHeight="1" x14ac:dyDescent="0.25">
      <c r="B12" s="67" t="s">
        <v>7</v>
      </c>
      <c r="C12" s="67" t="s">
        <v>245</v>
      </c>
      <c r="D12" s="42">
        <v>1</v>
      </c>
      <c r="E12" s="67"/>
      <c r="F12" s="42"/>
      <c r="G12" s="67"/>
      <c r="H12" s="42"/>
      <c r="I12" s="42">
        <v>2</v>
      </c>
      <c r="J12"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16</v>
      </c>
      <c r="K12" s="43">
        <f>IF(ISNUMBER(tbRefining[[#This Row],[Total Cost]]),tbRefining[[#This Row],[Total Cost]]/tbRefining[[#This Row],[Output Qty]],"")</f>
        <v>8</v>
      </c>
    </row>
    <row r="13" spans="2:11" s="2" customFormat="1" ht="27.95" customHeight="1" x14ac:dyDescent="0.25">
      <c r="B13" s="3" t="s">
        <v>479</v>
      </c>
      <c r="C13" s="2" t="s">
        <v>7</v>
      </c>
      <c r="D13" s="4">
        <v>50</v>
      </c>
      <c r="E13" s="2" t="s">
        <v>260</v>
      </c>
      <c r="F13" s="4">
        <v>50</v>
      </c>
      <c r="H13" s="4"/>
      <c r="I13" s="4">
        <v>1</v>
      </c>
      <c r="J1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1800</v>
      </c>
      <c r="K13" s="28">
        <f>IF(ISNUMBER(tbRefining[[#This Row],[Total Cost]]),tbRefining[[#This Row],[Total Cost]]/tbRefining[[#This Row],[Output Qty]],"")</f>
        <v>1800</v>
      </c>
    </row>
    <row r="14" spans="2:11" s="2" customFormat="1" ht="27.95" customHeight="1" x14ac:dyDescent="0.25">
      <c r="B14" s="3" t="s">
        <v>479</v>
      </c>
      <c r="C14" s="2" t="s">
        <v>7</v>
      </c>
      <c r="D14" s="4">
        <v>40</v>
      </c>
      <c r="E14" s="2" t="s">
        <v>260</v>
      </c>
      <c r="F14" s="4">
        <v>40</v>
      </c>
      <c r="G14" s="2" t="s">
        <v>25</v>
      </c>
      <c r="H14" s="4">
        <v>50</v>
      </c>
      <c r="I14" s="4">
        <v>1</v>
      </c>
      <c r="J1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1740</v>
      </c>
      <c r="K14" s="28">
        <f>IF(ISNUMBER(tbRefining[[#This Row],[Total Cost]]),tbRefining[[#This Row],[Total Cost]]/tbRefining[[#This Row],[Output Qty]],"")</f>
        <v>1740</v>
      </c>
    </row>
    <row r="15" spans="2:11" s="2" customFormat="1" ht="27.95" customHeight="1" x14ac:dyDescent="0.25">
      <c r="B15" s="3" t="s">
        <v>468</v>
      </c>
      <c r="C15" s="2" t="s">
        <v>56</v>
      </c>
      <c r="D15" s="4">
        <v>50</v>
      </c>
      <c r="E15" s="2" t="s">
        <v>83</v>
      </c>
      <c r="F15" s="4">
        <v>50</v>
      </c>
      <c r="H15" s="4"/>
      <c r="I15" s="4">
        <v>1</v>
      </c>
      <c r="J1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45050</v>
      </c>
      <c r="K15" s="28">
        <f>IF(ISNUMBER(tbRefining[[#This Row],[Total Cost]]),tbRefining[[#This Row],[Total Cost]]/tbRefining[[#This Row],[Output Qty]],"")</f>
        <v>45050</v>
      </c>
    </row>
    <row r="16" spans="2:11" s="2" customFormat="1" ht="27.95" customHeight="1" x14ac:dyDescent="0.25">
      <c r="B16" s="3" t="s">
        <v>468</v>
      </c>
      <c r="C16" s="2" t="s">
        <v>56</v>
      </c>
      <c r="D16" s="4">
        <v>40</v>
      </c>
      <c r="E16" s="2" t="s">
        <v>83</v>
      </c>
      <c r="F16" s="4">
        <v>40</v>
      </c>
      <c r="G16" s="2" t="s">
        <v>25</v>
      </c>
      <c r="H16" s="4">
        <v>50</v>
      </c>
      <c r="I16" s="4">
        <v>1</v>
      </c>
      <c r="J1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36340</v>
      </c>
      <c r="K16" s="28">
        <f>IF(ISNUMBER(tbRefining[[#This Row],[Total Cost]]),tbRefining[[#This Row],[Total Cost]]/tbRefining[[#This Row],[Output Qty]],"")</f>
        <v>36340</v>
      </c>
    </row>
    <row r="17" spans="2:11" s="2" customFormat="1" ht="27.95" customHeight="1" x14ac:dyDescent="0.25">
      <c r="B17" s="66" t="s">
        <v>83</v>
      </c>
      <c r="C17" s="2" t="s">
        <v>56</v>
      </c>
      <c r="D17" s="4">
        <v>2</v>
      </c>
      <c r="F17" s="4"/>
      <c r="H17" s="4"/>
      <c r="I17" s="4">
        <v>1</v>
      </c>
      <c r="J1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598</v>
      </c>
      <c r="K17" s="28">
        <f>IF(ISNUMBER(tbRefining[[#This Row],[Total Cost]]),tbRefining[[#This Row],[Total Cost]]/tbRefining[[#This Row],[Output Qty]],"")</f>
        <v>598</v>
      </c>
    </row>
    <row r="18" spans="2:11" s="2" customFormat="1" ht="27.95" customHeight="1" x14ac:dyDescent="0.25">
      <c r="B18" s="67" t="s">
        <v>83</v>
      </c>
      <c r="C18" s="67" t="s">
        <v>56</v>
      </c>
      <c r="D18" s="42">
        <v>2</v>
      </c>
      <c r="E18" s="67" t="s">
        <v>8</v>
      </c>
      <c r="F18" s="42">
        <v>2</v>
      </c>
      <c r="G18" s="67"/>
      <c r="H18" s="42"/>
      <c r="I18" s="42">
        <v>5</v>
      </c>
      <c r="J18"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666</v>
      </c>
      <c r="K18" s="43">
        <f>IF(ISNUMBER(tbRefining[[#This Row],[Total Cost]]),tbRefining[[#This Row],[Total Cost]]/tbRefining[[#This Row],[Output Qty]],"")</f>
        <v>133.19999999999999</v>
      </c>
    </row>
    <row r="19" spans="2:11" s="2" customFormat="1" ht="27.95" customHeight="1" x14ac:dyDescent="0.25">
      <c r="B19" s="36" t="s">
        <v>83</v>
      </c>
      <c r="C19" s="2" t="s">
        <v>468</v>
      </c>
      <c r="D19" s="4">
        <v>1</v>
      </c>
      <c r="F19" s="4"/>
      <c r="H19" s="4"/>
      <c r="I19" s="4">
        <v>150</v>
      </c>
      <c r="J19"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6150</v>
      </c>
      <c r="K19" s="28">
        <f>IF(ISNUMBER(tbRefining[[#This Row],[Total Cost]]),tbRefining[[#This Row],[Total Cost]]/tbRefining[[#This Row],[Output Qty]],"")</f>
        <v>41</v>
      </c>
    </row>
    <row r="20" spans="2:11" s="2" customFormat="1" ht="27.95" customHeight="1" x14ac:dyDescent="0.25">
      <c r="B20" s="101" t="s">
        <v>83</v>
      </c>
      <c r="C20" s="67" t="s">
        <v>83</v>
      </c>
      <c r="D20" s="42">
        <v>1</v>
      </c>
      <c r="E20" s="67" t="s">
        <v>8</v>
      </c>
      <c r="F20" s="42">
        <v>2</v>
      </c>
      <c r="G20" s="67"/>
      <c r="H20" s="42"/>
      <c r="I20" s="42">
        <v>6</v>
      </c>
      <c r="J20"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670</v>
      </c>
      <c r="K20" s="43">
        <f>IF(ISNUMBER(tbRefining[[#This Row],[Total Cost]]),tbRefining[[#This Row],[Total Cost]]/tbRefining[[#This Row],[Output Qty]],"")</f>
        <v>111.66666666666667</v>
      </c>
    </row>
    <row r="21" spans="2:11" s="2" customFormat="1" ht="27.95" customHeight="1" x14ac:dyDescent="0.25">
      <c r="B21" s="36" t="s">
        <v>83</v>
      </c>
      <c r="C21" s="2" t="s">
        <v>351</v>
      </c>
      <c r="D21" s="4">
        <v>1</v>
      </c>
      <c r="E21" s="2" t="s">
        <v>8</v>
      </c>
      <c r="F21" s="4">
        <v>1</v>
      </c>
      <c r="H21" s="4"/>
      <c r="I21" s="4">
        <v>2</v>
      </c>
      <c r="J21"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75</v>
      </c>
      <c r="K21" s="28">
        <f>IF(ISNUMBER(tbRefining[[#This Row],[Total Cost]]),tbRefining[[#This Row],[Total Cost]]/tbRefining[[#This Row],[Output Qty]],"")</f>
        <v>37.5</v>
      </c>
    </row>
    <row r="22" spans="2:11" s="2" customFormat="1" ht="27.95" customHeight="1" x14ac:dyDescent="0.25">
      <c r="B22" s="36" t="s">
        <v>83</v>
      </c>
      <c r="C22" s="2" t="s">
        <v>351</v>
      </c>
      <c r="D22" s="4">
        <v>1</v>
      </c>
      <c r="E22" s="2" t="s">
        <v>262</v>
      </c>
      <c r="F22" s="4">
        <v>1</v>
      </c>
      <c r="H22" s="4"/>
      <c r="I22" s="4">
        <v>2</v>
      </c>
      <c r="J22"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179</v>
      </c>
      <c r="K22" s="28">
        <f>IF(ISNUMBER(tbRefining[[#This Row],[Total Cost]]),tbRefining[[#This Row],[Total Cost]]/tbRefining[[#This Row],[Output Qty]],"")</f>
        <v>89.5</v>
      </c>
    </row>
    <row r="23" spans="2:11" s="2" customFormat="1" ht="27.95" customHeight="1" x14ac:dyDescent="0.25">
      <c r="B23" s="66" t="s">
        <v>83</v>
      </c>
      <c r="C23" s="2" t="s">
        <v>351</v>
      </c>
      <c r="D23" s="4">
        <v>1</v>
      </c>
      <c r="E23" s="2" t="s">
        <v>56</v>
      </c>
      <c r="F23" s="4">
        <v>1</v>
      </c>
      <c r="H23" s="4"/>
      <c r="I23" s="4">
        <v>2</v>
      </c>
      <c r="J2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340</v>
      </c>
      <c r="K23" s="28">
        <f>IF(ISNUMBER(tbRefining[[#This Row],[Total Cost]]),tbRefining[[#This Row],[Total Cost]]/tbRefining[[#This Row],[Output Qty]],"")</f>
        <v>170</v>
      </c>
    </row>
    <row r="24" spans="2:11" s="2" customFormat="1" ht="27.95" customHeight="1" x14ac:dyDescent="0.25">
      <c r="B24" s="66" t="s">
        <v>83</v>
      </c>
      <c r="C24" s="2" t="s">
        <v>351</v>
      </c>
      <c r="D24" s="4">
        <v>1</v>
      </c>
      <c r="E24" s="2" t="s">
        <v>83</v>
      </c>
      <c r="F24" s="4">
        <v>1</v>
      </c>
      <c r="H24" s="4"/>
      <c r="I24" s="4">
        <v>2</v>
      </c>
      <c r="J2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643</v>
      </c>
      <c r="K24" s="28">
        <f>IF(ISNUMBER(tbRefining[[#This Row],[Total Cost]]),tbRefining[[#This Row],[Total Cost]]/tbRefining[[#This Row],[Output Qty]],"")</f>
        <v>321.5</v>
      </c>
    </row>
    <row r="25" spans="2:11" s="2" customFormat="1" ht="27.95" customHeight="1" x14ac:dyDescent="0.25">
      <c r="B25" s="2" t="s">
        <v>261</v>
      </c>
      <c r="C25" s="2" t="s">
        <v>328</v>
      </c>
      <c r="D25" s="4">
        <v>1</v>
      </c>
      <c r="F25" s="4"/>
      <c r="H25" s="4"/>
      <c r="I25" s="4">
        <v>1</v>
      </c>
      <c r="J2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245</v>
      </c>
      <c r="K25" s="28">
        <f>IF(ISNUMBER(tbRefining[[#This Row],[Total Cost]]),tbRefining[[#This Row],[Total Cost]]/tbRefining[[#This Row],[Output Qty]],"")</f>
        <v>245</v>
      </c>
    </row>
    <row r="26" spans="2:11" s="2" customFormat="1" ht="27.95" customHeight="1" x14ac:dyDescent="0.25">
      <c r="B26" s="2" t="s">
        <v>261</v>
      </c>
      <c r="C26" s="2" t="s">
        <v>266</v>
      </c>
      <c r="D26" s="4">
        <v>1</v>
      </c>
      <c r="E26" s="2" t="s">
        <v>328</v>
      </c>
      <c r="F26" s="4">
        <v>1</v>
      </c>
      <c r="H26" s="4"/>
      <c r="I26" s="4">
        <v>2</v>
      </c>
      <c r="J2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273</v>
      </c>
      <c r="K26" s="28">
        <f>IF(ISNUMBER(tbRefining[[#This Row],[Total Cost]]),tbRefining[[#This Row],[Total Cost]]/tbRefining[[#This Row],[Output Qty]],"")</f>
        <v>136.5</v>
      </c>
    </row>
    <row r="27" spans="2:11" s="2" customFormat="1" ht="27.95" customHeight="1" x14ac:dyDescent="0.25">
      <c r="B27" s="2" t="s">
        <v>261</v>
      </c>
      <c r="C27" s="2" t="s">
        <v>335</v>
      </c>
      <c r="D27" s="4">
        <v>1</v>
      </c>
      <c r="F27" s="4"/>
      <c r="H27" s="4"/>
      <c r="I27" s="4">
        <v>2</v>
      </c>
      <c r="J2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450</v>
      </c>
      <c r="K27" s="28">
        <f>IF(ISNUMBER(tbRefining[[#This Row],[Total Cost]]),tbRefining[[#This Row],[Total Cost]]/tbRefining[[#This Row],[Output Qty]],"")</f>
        <v>225</v>
      </c>
    </row>
    <row r="28" spans="2:11" s="2" customFormat="1" ht="27.95" customHeight="1" x14ac:dyDescent="0.25">
      <c r="B28" s="2" t="s">
        <v>261</v>
      </c>
      <c r="C28" s="2" t="s">
        <v>266</v>
      </c>
      <c r="D28" s="4">
        <v>1</v>
      </c>
      <c r="E28" s="2" t="s">
        <v>335</v>
      </c>
      <c r="F28" s="4">
        <v>1</v>
      </c>
      <c r="H28" s="4"/>
      <c r="I28" s="4">
        <v>4</v>
      </c>
      <c r="J2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478</v>
      </c>
      <c r="K28" s="28">
        <f>IF(ISNUMBER(tbRefining[[#This Row],[Total Cost]]),tbRefining[[#This Row],[Total Cost]]/tbRefining[[#This Row],[Output Qty]],"")</f>
        <v>119.5</v>
      </c>
    </row>
    <row r="29" spans="2:11" s="66" customFormat="1" ht="27.95" customHeight="1" x14ac:dyDescent="0.25">
      <c r="B29" s="67" t="s">
        <v>261</v>
      </c>
      <c r="C29" s="67" t="s">
        <v>332</v>
      </c>
      <c r="D29" s="42">
        <v>2</v>
      </c>
      <c r="E29" s="67"/>
      <c r="F29" s="42"/>
      <c r="G29" s="67"/>
      <c r="H29" s="42"/>
      <c r="I29" s="42">
        <v>3</v>
      </c>
      <c r="J29"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550</v>
      </c>
      <c r="K29" s="43">
        <f>IF(ISNUMBER(tbRefining[[#This Row],[Total Cost]]),tbRefining[[#This Row],[Total Cost]]/tbRefining[[#This Row],[Output Qty]],"")</f>
        <v>183.33333333333334</v>
      </c>
    </row>
    <row r="30" spans="2:11" s="2" customFormat="1" ht="27.95" customHeight="1" x14ac:dyDescent="0.25">
      <c r="B30" s="38" t="s">
        <v>470</v>
      </c>
      <c r="C30" s="2" t="s">
        <v>9</v>
      </c>
      <c r="D30" s="4">
        <v>50</v>
      </c>
      <c r="E30" s="2" t="s">
        <v>11</v>
      </c>
      <c r="F30" s="4">
        <v>50</v>
      </c>
      <c r="H30" s="4"/>
      <c r="I30" s="4">
        <v>1</v>
      </c>
      <c r="J30"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6150</v>
      </c>
      <c r="K30" s="28">
        <f>IF(ISNUMBER(tbRefining[[#This Row],[Total Cost]]),tbRefining[[#This Row],[Total Cost]]/tbRefining[[#This Row],[Output Qty]],"")</f>
        <v>6150</v>
      </c>
    </row>
    <row r="31" spans="2:11" s="2" customFormat="1" ht="27.95" customHeight="1" x14ac:dyDescent="0.25">
      <c r="B31" s="36" t="s">
        <v>470</v>
      </c>
      <c r="C31" s="2" t="s">
        <v>9</v>
      </c>
      <c r="D31" s="4">
        <v>40</v>
      </c>
      <c r="E31" s="2" t="s">
        <v>11</v>
      </c>
      <c r="F31" s="4">
        <v>40</v>
      </c>
      <c r="G31" s="2" t="s">
        <v>25</v>
      </c>
      <c r="H31" s="4">
        <v>50</v>
      </c>
      <c r="I31" s="4">
        <v>1</v>
      </c>
      <c r="J31"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5220</v>
      </c>
      <c r="K31" s="28">
        <f>IF(ISNUMBER(tbRefining[[#This Row],[Total Cost]]),tbRefining[[#This Row],[Total Cost]]/tbRefining[[#This Row],[Output Qty]],"")</f>
        <v>5220</v>
      </c>
    </row>
    <row r="32" spans="2:11" s="2" customFormat="1" ht="27.95" customHeight="1" x14ac:dyDescent="0.25">
      <c r="B32" s="36" t="s">
        <v>346</v>
      </c>
      <c r="C32" s="2" t="s">
        <v>10</v>
      </c>
      <c r="D32" s="4">
        <v>1</v>
      </c>
      <c r="E32" s="2" t="s">
        <v>25</v>
      </c>
      <c r="F32" s="4">
        <v>1</v>
      </c>
      <c r="H32" s="4"/>
      <c r="I32" s="4">
        <v>1</v>
      </c>
      <c r="J32"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40</v>
      </c>
      <c r="K32" s="28">
        <f>IF(ISNUMBER(tbRefining[[#This Row],[Total Cost]]),tbRefining[[#This Row],[Total Cost]]/tbRefining[[#This Row],[Output Qty]],"")</f>
        <v>40</v>
      </c>
    </row>
    <row r="33" spans="2:11" s="2" customFormat="1" ht="27.95" customHeight="1" x14ac:dyDescent="0.25">
      <c r="B33" s="101" t="s">
        <v>10</v>
      </c>
      <c r="C33" s="67" t="s">
        <v>25</v>
      </c>
      <c r="D33" s="42">
        <v>5</v>
      </c>
      <c r="E33" s="67"/>
      <c r="F33" s="42"/>
      <c r="G33" s="67"/>
      <c r="H33" s="42"/>
      <c r="I33" s="42">
        <v>1</v>
      </c>
      <c r="J33"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30</v>
      </c>
      <c r="K33" s="43">
        <f>IF(ISNUMBER(tbRefining[[#This Row],[Total Cost]]),tbRefining[[#This Row],[Total Cost]]/tbRefining[[#This Row],[Output Qty]],"")</f>
        <v>30</v>
      </c>
    </row>
    <row r="34" spans="2:11" s="2" customFormat="1" ht="27.95" customHeight="1" x14ac:dyDescent="0.25">
      <c r="B34" s="2" t="s">
        <v>10</v>
      </c>
      <c r="C34" s="2" t="s">
        <v>462</v>
      </c>
      <c r="D34" s="4">
        <v>1</v>
      </c>
      <c r="F34" s="4"/>
      <c r="H34" s="4"/>
      <c r="I34" s="4">
        <v>50</v>
      </c>
      <c r="J3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200</v>
      </c>
      <c r="K34" s="28">
        <f>IF(ISNUMBER(tbRefining[[#This Row],[Total Cost]]),tbRefining[[#This Row],[Total Cost]]/tbRefining[[#This Row],[Output Qty]],"")</f>
        <v>4</v>
      </c>
    </row>
    <row r="35" spans="2:11" s="2" customFormat="1" ht="27.95" customHeight="1" x14ac:dyDescent="0.25">
      <c r="B35" s="2" t="s">
        <v>462</v>
      </c>
      <c r="C35" s="2" t="s">
        <v>10</v>
      </c>
      <c r="D35" s="4">
        <v>30</v>
      </c>
      <c r="F35" s="4"/>
      <c r="H35" s="4"/>
      <c r="I35" s="4">
        <v>1</v>
      </c>
      <c r="J3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1020</v>
      </c>
      <c r="K35" s="28">
        <f>IF(ISNUMBER(tbRefining[[#This Row],[Total Cost]]),tbRefining[[#This Row],[Total Cost]]/tbRefining[[#This Row],[Output Qty]],"")</f>
        <v>1020</v>
      </c>
    </row>
    <row r="36" spans="2:11" s="2" customFormat="1" ht="27.95" customHeight="1" x14ac:dyDescent="0.25">
      <c r="B36" s="2" t="s">
        <v>462</v>
      </c>
      <c r="C36" s="2" t="s">
        <v>10</v>
      </c>
      <c r="D36" s="4">
        <v>30</v>
      </c>
      <c r="F36" s="4"/>
      <c r="H36" s="4"/>
      <c r="I36" s="4">
        <v>1</v>
      </c>
      <c r="J3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1020</v>
      </c>
      <c r="K36" s="28">
        <f>IF(ISNUMBER(tbRefining[[#This Row],[Total Cost]]),tbRefining[[#This Row],[Total Cost]]/tbRefining[[#This Row],[Output Qty]],"")</f>
        <v>1020</v>
      </c>
    </row>
    <row r="37" spans="2:11" s="66" customFormat="1" ht="27.95" customHeight="1" x14ac:dyDescent="0.25">
      <c r="B37" s="67" t="s">
        <v>332</v>
      </c>
      <c r="C37" s="67" t="s">
        <v>261</v>
      </c>
      <c r="D37" s="42">
        <v>1</v>
      </c>
      <c r="E37" s="67" t="s">
        <v>332</v>
      </c>
      <c r="F37" s="42">
        <v>1</v>
      </c>
      <c r="G37" s="67"/>
      <c r="H37" s="42"/>
      <c r="I37" s="42">
        <v>2</v>
      </c>
      <c r="J37"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520</v>
      </c>
      <c r="K37" s="43">
        <f>IF(ISNUMBER(tbRefining[[#This Row],[Total Cost]]),tbRefining[[#This Row],[Total Cost]]/tbRefining[[#This Row],[Output Qty]],"")</f>
        <v>260</v>
      </c>
    </row>
    <row r="38" spans="2:11" s="2" customFormat="1" ht="27.95" customHeight="1" x14ac:dyDescent="0.25">
      <c r="B38" s="2" t="s">
        <v>501</v>
      </c>
      <c r="C38" s="2" t="s">
        <v>333</v>
      </c>
      <c r="D38" s="4">
        <v>100</v>
      </c>
      <c r="E38" s="2" t="s">
        <v>7</v>
      </c>
      <c r="F38" s="4">
        <v>20</v>
      </c>
      <c r="G38" s="2" t="s">
        <v>83</v>
      </c>
      <c r="H38" s="4">
        <v>5</v>
      </c>
      <c r="I38" s="4">
        <v>1</v>
      </c>
      <c r="J3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5250</v>
      </c>
      <c r="K38" s="28">
        <f>IF(ISNUMBER(tbRefining[[#This Row],[Total Cost]]),tbRefining[[#This Row],[Total Cost]]/tbRefining[[#This Row],[Output Qty]],"")</f>
        <v>5250</v>
      </c>
    </row>
    <row r="39" spans="2:11" s="2" customFormat="1" ht="27.95" customHeight="1" x14ac:dyDescent="0.25">
      <c r="B39" s="2" t="s">
        <v>501</v>
      </c>
      <c r="C39" s="2" t="s">
        <v>333</v>
      </c>
      <c r="D39" s="4">
        <v>100</v>
      </c>
      <c r="E39" s="2" t="s">
        <v>7</v>
      </c>
      <c r="F39" s="4">
        <v>20</v>
      </c>
      <c r="G39" s="2" t="s">
        <v>56</v>
      </c>
      <c r="H39" s="4">
        <v>10</v>
      </c>
      <c r="I39" s="4">
        <v>1</v>
      </c>
      <c r="J39"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5230</v>
      </c>
      <c r="K39" s="28">
        <f>IF(ISNUMBER(tbRefining[[#This Row],[Total Cost]]),tbRefining[[#This Row],[Total Cost]]/tbRefining[[#This Row],[Output Qty]],"")</f>
        <v>5230</v>
      </c>
    </row>
    <row r="40" spans="2:11" s="2" customFormat="1" ht="27.95" customHeight="1" x14ac:dyDescent="0.25">
      <c r="B40" s="2" t="s">
        <v>501</v>
      </c>
      <c r="C40" s="2" t="s">
        <v>333</v>
      </c>
      <c r="D40" s="4">
        <v>100</v>
      </c>
      <c r="E40" s="2" t="s">
        <v>260</v>
      </c>
      <c r="F40" s="4">
        <v>10</v>
      </c>
      <c r="G40" s="2" t="s">
        <v>83</v>
      </c>
      <c r="H40" s="4">
        <v>5</v>
      </c>
      <c r="I40" s="4">
        <v>1</v>
      </c>
      <c r="J40"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5250</v>
      </c>
      <c r="K40" s="28">
        <f>IF(ISNUMBER(tbRefining[[#This Row],[Total Cost]]),tbRefining[[#This Row],[Total Cost]]/tbRefining[[#This Row],[Output Qty]],"")</f>
        <v>5250</v>
      </c>
    </row>
    <row r="41" spans="2:11" s="2" customFormat="1" ht="27.95" customHeight="1" x14ac:dyDescent="0.25">
      <c r="B41" s="2" t="s">
        <v>501</v>
      </c>
      <c r="C41" s="2" t="s">
        <v>333</v>
      </c>
      <c r="D41" s="4">
        <v>100</v>
      </c>
      <c r="E41" s="2" t="s">
        <v>260</v>
      </c>
      <c r="F41" s="4">
        <v>10</v>
      </c>
      <c r="G41" s="2" t="s">
        <v>56</v>
      </c>
      <c r="H41" s="4">
        <v>10</v>
      </c>
      <c r="I41" s="4">
        <v>1</v>
      </c>
      <c r="J41"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5230</v>
      </c>
      <c r="K41" s="28">
        <f>IF(ISNUMBER(tbRefining[[#This Row],[Total Cost]]),tbRefining[[#This Row],[Total Cost]]/tbRefining[[#This Row],[Output Qty]],"")</f>
        <v>5230</v>
      </c>
    </row>
    <row r="42" spans="2:11" s="2" customFormat="1" ht="27.95" customHeight="1" x14ac:dyDescent="0.25">
      <c r="B42" s="2" t="s">
        <v>245</v>
      </c>
      <c r="C42" s="2" t="s">
        <v>245</v>
      </c>
      <c r="D42" s="4">
        <v>1</v>
      </c>
      <c r="E42" s="2" t="s">
        <v>84</v>
      </c>
      <c r="F42" s="4">
        <v>1</v>
      </c>
      <c r="H42" s="4"/>
      <c r="I42" s="4">
        <v>2</v>
      </c>
      <c r="J42"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78</v>
      </c>
      <c r="K42" s="28">
        <f>IF(ISNUMBER(tbRefining[[#This Row],[Total Cost]]),tbRefining[[#This Row],[Total Cost]]/tbRefining[[#This Row],[Output Qty]],"")</f>
        <v>39</v>
      </c>
    </row>
    <row r="43" spans="2:11" s="2" customFormat="1" ht="27.95" customHeight="1" x14ac:dyDescent="0.25">
      <c r="B43" s="2" t="s">
        <v>55</v>
      </c>
      <c r="C43" s="2" t="s">
        <v>55</v>
      </c>
      <c r="D43" s="4">
        <v>1</v>
      </c>
      <c r="E43" s="2" t="s">
        <v>57</v>
      </c>
      <c r="F43" s="4">
        <v>1</v>
      </c>
      <c r="H43" s="4"/>
      <c r="I43" s="4">
        <v>2</v>
      </c>
      <c r="J4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78</v>
      </c>
      <c r="K43" s="28">
        <f>IF(ISNUMBER(tbRefining[[#This Row],[Total Cost]]),tbRefining[[#This Row],[Total Cost]]/tbRefining[[#This Row],[Output Qty]],"")</f>
        <v>39</v>
      </c>
    </row>
    <row r="44" spans="2:11" s="2" customFormat="1" ht="27.95" customHeight="1" x14ac:dyDescent="0.25">
      <c r="B44" s="2" t="s">
        <v>796</v>
      </c>
      <c r="C44" s="2" t="s">
        <v>71</v>
      </c>
      <c r="D44" s="4">
        <v>40</v>
      </c>
      <c r="F44" s="4"/>
      <c r="H44" s="4"/>
      <c r="I44" s="4">
        <v>1</v>
      </c>
      <c r="J4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480</v>
      </c>
      <c r="K44" s="28">
        <f>IF(ISNUMBER(tbRefining[[#This Row],[Total Cost]]),tbRefining[[#This Row],[Total Cost]]/tbRefining[[#This Row],[Output Qty]],"")</f>
        <v>480</v>
      </c>
    </row>
    <row r="45" spans="2:11" s="2" customFormat="1" ht="27.95" customHeight="1" x14ac:dyDescent="0.25">
      <c r="B45" s="2" t="s">
        <v>352</v>
      </c>
      <c r="C45" s="2" t="s">
        <v>944</v>
      </c>
      <c r="D45" s="4">
        <v>1</v>
      </c>
      <c r="F45" s="4"/>
      <c r="H45" s="4"/>
      <c r="I45" s="4">
        <v>50</v>
      </c>
      <c r="J4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57000</v>
      </c>
      <c r="K45" s="28">
        <f>IF(ISNUMBER(tbRefining[[#This Row],[Total Cost]]),tbRefining[[#This Row],[Total Cost]]/tbRefining[[#This Row],[Output Qty]],"")</f>
        <v>1140</v>
      </c>
    </row>
    <row r="46" spans="2:11" s="2" customFormat="1" ht="27.95" customHeight="1" x14ac:dyDescent="0.25">
      <c r="B46" s="2" t="s">
        <v>246</v>
      </c>
      <c r="C46" s="2" t="s">
        <v>12</v>
      </c>
      <c r="D46" s="4">
        <v>1</v>
      </c>
      <c r="E46" s="2" t="s">
        <v>328</v>
      </c>
      <c r="F46" s="4">
        <v>1</v>
      </c>
      <c r="H46" s="4"/>
      <c r="I46" s="4">
        <v>2</v>
      </c>
      <c r="J4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259</v>
      </c>
      <c r="K46" s="28">
        <f>IF(ISNUMBER(tbRefining[[#This Row],[Total Cost]]),tbRefining[[#This Row],[Total Cost]]/tbRefining[[#This Row],[Output Qty]],"")</f>
        <v>129.5</v>
      </c>
    </row>
    <row r="47" spans="2:11" s="2" customFormat="1" ht="27.95" customHeight="1" x14ac:dyDescent="0.25">
      <c r="B47" s="66" t="s">
        <v>246</v>
      </c>
      <c r="C47" s="66" t="s">
        <v>12</v>
      </c>
      <c r="D47" s="4">
        <v>1</v>
      </c>
      <c r="E47" s="66" t="s">
        <v>335</v>
      </c>
      <c r="F47" s="4">
        <v>1</v>
      </c>
      <c r="G47" s="66"/>
      <c r="H47" s="4"/>
      <c r="I47" s="4">
        <v>4</v>
      </c>
      <c r="J4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464</v>
      </c>
      <c r="K47" s="28">
        <f>IF(ISNUMBER(tbRefining[[#This Row],[Total Cost]]),tbRefining[[#This Row],[Total Cost]]/tbRefining[[#This Row],[Output Qty]],"")</f>
        <v>116</v>
      </c>
    </row>
    <row r="48" spans="2:11" s="2" customFormat="1" ht="27.95" customHeight="1" x14ac:dyDescent="0.25">
      <c r="B48" s="2" t="s">
        <v>23</v>
      </c>
      <c r="C48" s="2" t="s">
        <v>6</v>
      </c>
      <c r="D48" s="4">
        <v>1</v>
      </c>
      <c r="E48" s="2" t="s">
        <v>21</v>
      </c>
      <c r="F48" s="4">
        <v>1</v>
      </c>
      <c r="H48" s="4"/>
      <c r="I48" s="4">
        <v>1</v>
      </c>
      <c r="J4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218</v>
      </c>
      <c r="K48" s="28">
        <f>IF(ISNUMBER(tbRefining[[#This Row],[Total Cost]]),tbRefining[[#This Row],[Total Cost]]/tbRefining[[#This Row],[Output Qty]],"")</f>
        <v>218</v>
      </c>
    </row>
    <row r="49" spans="2:11" s="2" customFormat="1" ht="27.95" customHeight="1" x14ac:dyDescent="0.25">
      <c r="B49" s="35" t="s">
        <v>23</v>
      </c>
      <c r="C49" s="35" t="s">
        <v>334</v>
      </c>
      <c r="D49" s="42">
        <v>1</v>
      </c>
      <c r="E49" s="35" t="s">
        <v>11</v>
      </c>
      <c r="F49" s="42">
        <v>1</v>
      </c>
      <c r="G49" s="35"/>
      <c r="H49" s="42"/>
      <c r="I49" s="42">
        <v>4</v>
      </c>
      <c r="J49"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122</v>
      </c>
      <c r="K49" s="43">
        <f>IF(ISNUMBER(tbRefining[[#This Row],[Total Cost]]),tbRefining[[#This Row],[Total Cost]]/tbRefining[[#This Row],[Output Qty]],"")</f>
        <v>30.5</v>
      </c>
    </row>
    <row r="50" spans="2:11" s="2" customFormat="1" ht="27.95" customHeight="1" x14ac:dyDescent="0.25">
      <c r="B50" s="2" t="s">
        <v>23</v>
      </c>
      <c r="C50" s="2" t="s">
        <v>334</v>
      </c>
      <c r="D50" s="4">
        <v>1</v>
      </c>
      <c r="E50" s="2" t="s">
        <v>11</v>
      </c>
      <c r="F50" s="4">
        <v>2</v>
      </c>
      <c r="H50" s="4"/>
      <c r="I50" s="4">
        <v>3</v>
      </c>
      <c r="J50"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204</v>
      </c>
      <c r="K50" s="28">
        <f>IF(ISNUMBER(tbRefining[[#This Row],[Total Cost]]),tbRefining[[#This Row],[Total Cost]]/tbRefining[[#This Row],[Output Qty]],"")</f>
        <v>68</v>
      </c>
    </row>
    <row r="51" spans="2:11" s="2" customFormat="1" ht="27.95" customHeight="1" x14ac:dyDescent="0.25">
      <c r="B51" s="2" t="s">
        <v>334</v>
      </c>
      <c r="C51" s="2" t="s">
        <v>347</v>
      </c>
      <c r="D51" s="4">
        <v>3</v>
      </c>
      <c r="F51" s="4"/>
      <c r="H51" s="4"/>
      <c r="I51" s="4">
        <v>2</v>
      </c>
      <c r="J51"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36</v>
      </c>
      <c r="K51" s="28">
        <f>IF(ISNUMBER(tbRefining[[#This Row],[Total Cost]]),tbRefining[[#This Row],[Total Cost]]/tbRefining[[#This Row],[Output Qty]],"")</f>
        <v>18</v>
      </c>
    </row>
    <row r="52" spans="2:11" s="2" customFormat="1" ht="27.95" customHeight="1" x14ac:dyDescent="0.25">
      <c r="B52" s="2" t="s">
        <v>334</v>
      </c>
      <c r="C52" s="2" t="s">
        <v>7</v>
      </c>
      <c r="D52" s="4">
        <v>1</v>
      </c>
      <c r="E52" s="2" t="s">
        <v>262</v>
      </c>
      <c r="F52" s="4">
        <v>1</v>
      </c>
      <c r="H52" s="4"/>
      <c r="I52" s="4">
        <v>1</v>
      </c>
      <c r="J52"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150</v>
      </c>
      <c r="K52" s="28">
        <f>IF(ISNUMBER(tbRefining[[#This Row],[Total Cost]]),tbRefining[[#This Row],[Total Cost]]/tbRefining[[#This Row],[Output Qty]],"")</f>
        <v>150</v>
      </c>
    </row>
    <row r="53" spans="2:11" s="2" customFormat="1" ht="27.95" customHeight="1" x14ac:dyDescent="0.25">
      <c r="B53" s="2" t="s">
        <v>334</v>
      </c>
      <c r="C53" s="2" t="s">
        <v>260</v>
      </c>
      <c r="D53" s="4">
        <v>1</v>
      </c>
      <c r="E53" s="2" t="s">
        <v>262</v>
      </c>
      <c r="F53" s="4">
        <v>1</v>
      </c>
      <c r="H53" s="4"/>
      <c r="I53" s="4">
        <v>2</v>
      </c>
      <c r="J5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162</v>
      </c>
      <c r="K53" s="28">
        <f>IF(ISNUMBER(tbRefining[[#This Row],[Total Cost]]),tbRefining[[#This Row],[Total Cost]]/tbRefining[[#This Row],[Output Qty]],"")</f>
        <v>81</v>
      </c>
    </row>
    <row r="54" spans="2:11" s="2" customFormat="1" ht="27.95" customHeight="1" x14ac:dyDescent="0.25">
      <c r="B54" s="2" t="s">
        <v>334</v>
      </c>
      <c r="C54" s="2" t="s">
        <v>10</v>
      </c>
      <c r="D54" s="4">
        <v>1</v>
      </c>
      <c r="E54" s="2" t="s">
        <v>260</v>
      </c>
      <c r="F54" s="4">
        <v>1</v>
      </c>
      <c r="H54" s="4"/>
      <c r="I54" s="4">
        <v>1</v>
      </c>
      <c r="J5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58</v>
      </c>
      <c r="K54" s="28">
        <f>IF(ISNUMBER(tbRefining[[#This Row],[Total Cost]]),tbRefining[[#This Row],[Total Cost]]/tbRefining[[#This Row],[Output Qty]],"")</f>
        <v>58</v>
      </c>
    </row>
    <row r="55" spans="2:11" s="2" customFormat="1" ht="27.95" customHeight="1" x14ac:dyDescent="0.25">
      <c r="B55" s="2" t="s">
        <v>488</v>
      </c>
      <c r="C55" s="2" t="s">
        <v>21</v>
      </c>
      <c r="D55" s="4">
        <v>100</v>
      </c>
      <c r="E55" s="2" t="s">
        <v>7</v>
      </c>
      <c r="F55" s="4">
        <v>20</v>
      </c>
      <c r="G55" s="2" t="s">
        <v>83</v>
      </c>
      <c r="H55" s="4">
        <v>5</v>
      </c>
      <c r="I55" s="4">
        <v>1</v>
      </c>
      <c r="J5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5250</v>
      </c>
      <c r="K55" s="28">
        <f>IF(ISNUMBER(tbRefining[[#This Row],[Total Cost]]),tbRefining[[#This Row],[Total Cost]]/tbRefining[[#This Row],[Output Qty]],"")</f>
        <v>5250</v>
      </c>
    </row>
    <row r="56" spans="2:11" s="2" customFormat="1" ht="27.95" customHeight="1" x14ac:dyDescent="0.25">
      <c r="B56" s="66" t="s">
        <v>488</v>
      </c>
      <c r="C56" s="66" t="s">
        <v>21</v>
      </c>
      <c r="D56" s="4">
        <v>100</v>
      </c>
      <c r="E56" s="66" t="s">
        <v>7</v>
      </c>
      <c r="F56" s="4">
        <v>20</v>
      </c>
      <c r="G56" s="66" t="s">
        <v>56</v>
      </c>
      <c r="H56" s="4">
        <v>10</v>
      </c>
      <c r="I56" s="4">
        <v>1</v>
      </c>
      <c r="J5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5230</v>
      </c>
      <c r="K56" s="28">
        <f>IF(ISNUMBER(tbRefining[[#This Row],[Total Cost]]),tbRefining[[#This Row],[Total Cost]]/tbRefining[[#This Row],[Output Qty]],"")</f>
        <v>5230</v>
      </c>
    </row>
    <row r="57" spans="2:11" s="2" customFormat="1" ht="27.95" customHeight="1" x14ac:dyDescent="0.25">
      <c r="B57" s="2" t="s">
        <v>488</v>
      </c>
      <c r="C57" s="2" t="s">
        <v>21</v>
      </c>
      <c r="D57" s="4">
        <v>100</v>
      </c>
      <c r="E57" s="2" t="s">
        <v>260</v>
      </c>
      <c r="F57" s="4">
        <v>10</v>
      </c>
      <c r="G57" s="2" t="s">
        <v>83</v>
      </c>
      <c r="H57" s="4">
        <v>5</v>
      </c>
      <c r="I57" s="4">
        <v>1</v>
      </c>
      <c r="J5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5250</v>
      </c>
      <c r="K57" s="28">
        <f>IF(ISNUMBER(tbRefining[[#This Row],[Total Cost]]),tbRefining[[#This Row],[Total Cost]]/tbRefining[[#This Row],[Output Qty]],"")</f>
        <v>5250</v>
      </c>
    </row>
    <row r="58" spans="2:11" s="2" customFormat="1" ht="27.95" customHeight="1" x14ac:dyDescent="0.25">
      <c r="B58" s="2" t="s">
        <v>488</v>
      </c>
      <c r="C58" s="2" t="s">
        <v>21</v>
      </c>
      <c r="D58" s="4">
        <v>100</v>
      </c>
      <c r="E58" s="2" t="s">
        <v>260</v>
      </c>
      <c r="F58" s="4">
        <v>10</v>
      </c>
      <c r="G58" s="2" t="s">
        <v>56</v>
      </c>
      <c r="H58" s="4">
        <v>10</v>
      </c>
      <c r="I58" s="4">
        <v>1</v>
      </c>
      <c r="J5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5230</v>
      </c>
      <c r="K58" s="28">
        <f>IF(ISNUMBER(tbRefining[[#This Row],[Total Cost]]),tbRefining[[#This Row],[Total Cost]]/tbRefining[[#This Row],[Output Qty]],"")</f>
        <v>5230</v>
      </c>
    </row>
    <row r="59" spans="2:11" s="2" customFormat="1" ht="27.95" customHeight="1" x14ac:dyDescent="0.25">
      <c r="B59" s="2" t="s">
        <v>18</v>
      </c>
      <c r="C59" s="2" t="s">
        <v>518</v>
      </c>
      <c r="D59" s="4">
        <v>1</v>
      </c>
      <c r="F59" s="4"/>
      <c r="H59" s="4"/>
      <c r="I59" s="4">
        <v>250</v>
      </c>
      <c r="J59"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150000</v>
      </c>
      <c r="K59" s="28">
        <f>IF(ISNUMBER(tbRefining[[#This Row],[Total Cost]]),tbRefining[[#This Row],[Total Cost]]/tbRefining[[#This Row],[Output Qty]],"")</f>
        <v>600</v>
      </c>
    </row>
    <row r="60" spans="2:11" s="2" customFormat="1" ht="27.95" customHeight="1" x14ac:dyDescent="0.25">
      <c r="B60" s="2" t="s">
        <v>18</v>
      </c>
      <c r="C60" s="2" t="s">
        <v>515</v>
      </c>
      <c r="D60" s="4">
        <v>1</v>
      </c>
      <c r="F60" s="4"/>
      <c r="H60" s="4"/>
      <c r="I60" s="4">
        <v>250</v>
      </c>
      <c r="J60"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150000</v>
      </c>
      <c r="K60" s="28">
        <f>IF(ISNUMBER(tbRefining[[#This Row],[Total Cost]]),tbRefining[[#This Row],[Total Cost]]/tbRefining[[#This Row],[Output Qty]],"")</f>
        <v>600</v>
      </c>
    </row>
    <row r="61" spans="2:11" s="2" customFormat="1" ht="27.95" customHeight="1" x14ac:dyDescent="0.25">
      <c r="B61" s="67" t="s">
        <v>18</v>
      </c>
      <c r="C61" s="67" t="s">
        <v>24</v>
      </c>
      <c r="D61" s="42">
        <v>1</v>
      </c>
      <c r="E61" s="67" t="s">
        <v>19</v>
      </c>
      <c r="F61" s="42">
        <v>1</v>
      </c>
      <c r="G61" s="67"/>
      <c r="H61" s="42"/>
      <c r="I61" s="42">
        <v>1</v>
      </c>
      <c r="J61" s="43">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539</v>
      </c>
      <c r="K61" s="43">
        <f>IF(ISNUMBER(tbRefining[[#This Row],[Total Cost]]),tbRefining[[#This Row],[Total Cost]]/tbRefining[[#This Row],[Output Qty]],"")</f>
        <v>539</v>
      </c>
    </row>
    <row r="62" spans="2:11" s="2" customFormat="1" ht="27.95" customHeight="1" x14ac:dyDescent="0.25">
      <c r="B62" s="66" t="s">
        <v>18</v>
      </c>
      <c r="C62" s="66" t="s">
        <v>12</v>
      </c>
      <c r="D62" s="4">
        <v>1</v>
      </c>
      <c r="E62" s="66" t="s">
        <v>8</v>
      </c>
      <c r="F62" s="4">
        <v>1</v>
      </c>
      <c r="G62" s="66" t="s">
        <v>261</v>
      </c>
      <c r="H62" s="4">
        <v>250</v>
      </c>
      <c r="I62" s="4">
        <v>10</v>
      </c>
      <c r="J62"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61298</v>
      </c>
      <c r="K62" s="28">
        <f>IF(ISNUMBER(tbRefining[[#This Row],[Total Cost]]),tbRefining[[#This Row],[Total Cost]]/tbRefining[[#This Row],[Output Qty]],"")</f>
        <v>6129.8</v>
      </c>
    </row>
    <row r="63" spans="2:11" s="2" customFormat="1" ht="27.95" customHeight="1" x14ac:dyDescent="0.25">
      <c r="B63" s="66" t="s">
        <v>119</v>
      </c>
      <c r="C63" s="66" t="s">
        <v>24</v>
      </c>
      <c r="D63" s="4">
        <v>1</v>
      </c>
      <c r="E63" s="66" t="s">
        <v>8</v>
      </c>
      <c r="F63" s="4">
        <v>1</v>
      </c>
      <c r="G63" s="66"/>
      <c r="H63" s="4"/>
      <c r="I63" s="4">
        <v>2</v>
      </c>
      <c r="J6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387</v>
      </c>
      <c r="K63" s="28">
        <f>IF(ISNUMBER(tbRefining[[#This Row],[Total Cost]]),tbRefining[[#This Row],[Total Cost]]/tbRefining[[#This Row],[Output Qty]],"")</f>
        <v>193.5</v>
      </c>
    </row>
    <row r="64" spans="2:11" s="2" customFormat="1" ht="27.95" customHeight="1" x14ac:dyDescent="0.25">
      <c r="B64" s="66" t="s">
        <v>119</v>
      </c>
      <c r="C64" s="66" t="s">
        <v>24</v>
      </c>
      <c r="D64" s="4">
        <v>1</v>
      </c>
      <c r="E64" s="66"/>
      <c r="F64" s="4"/>
      <c r="G64" s="66"/>
      <c r="H64" s="4"/>
      <c r="I64" s="4">
        <v>1</v>
      </c>
      <c r="J6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353</v>
      </c>
      <c r="K64" s="28">
        <f>IF(ISNUMBER(tbRefining[[#This Row],[Total Cost]]),tbRefining[[#This Row],[Total Cost]]/tbRefining[[#This Row],[Output Qty]],"")</f>
        <v>353</v>
      </c>
    </row>
    <row r="65" spans="2:11" s="2" customFormat="1" ht="27.95" customHeight="1" x14ac:dyDescent="0.25">
      <c r="B65" s="66" t="s">
        <v>119</v>
      </c>
      <c r="C65" s="66" t="s">
        <v>118</v>
      </c>
      <c r="D65" s="4">
        <v>1</v>
      </c>
      <c r="E65" s="66" t="s">
        <v>56</v>
      </c>
      <c r="F65" s="4">
        <v>1</v>
      </c>
      <c r="G65" s="66"/>
      <c r="H65" s="4"/>
      <c r="I65" s="4">
        <v>1</v>
      </c>
      <c r="J6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327</v>
      </c>
      <c r="K65" s="28">
        <f>IF(ISNUMBER(tbRefining[[#This Row],[Total Cost]]),tbRefining[[#This Row],[Total Cost]]/tbRefining[[#This Row],[Output Qty]],"")</f>
        <v>327</v>
      </c>
    </row>
    <row r="66" spans="2:11" s="2" customFormat="1" ht="27.95" customHeight="1" x14ac:dyDescent="0.25">
      <c r="B66" s="66" t="s">
        <v>119</v>
      </c>
      <c r="C66" s="66" t="s">
        <v>57</v>
      </c>
      <c r="D66" s="4">
        <v>2</v>
      </c>
      <c r="E66" s="66" t="s">
        <v>12</v>
      </c>
      <c r="F66" s="4">
        <v>1</v>
      </c>
      <c r="G66" s="66"/>
      <c r="H66" s="4"/>
      <c r="I66" s="4">
        <v>1</v>
      </c>
      <c r="J6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138</v>
      </c>
      <c r="K66" s="28">
        <f>IF(ISNUMBER(tbRefining[[#This Row],[Total Cost]]),tbRefining[[#This Row],[Total Cost]]/tbRefining[[#This Row],[Output Qty]],"")</f>
        <v>138</v>
      </c>
    </row>
    <row r="67" spans="2:11" s="2" customFormat="1" ht="27.95" customHeight="1" x14ac:dyDescent="0.25">
      <c r="B67" s="66" t="s">
        <v>119</v>
      </c>
      <c r="C67" s="66" t="s">
        <v>57</v>
      </c>
      <c r="D67" s="4">
        <v>2</v>
      </c>
      <c r="E67" s="66" t="s">
        <v>266</v>
      </c>
      <c r="F67" s="4">
        <v>1</v>
      </c>
      <c r="G67" s="66"/>
      <c r="H67" s="4"/>
      <c r="I67" s="4">
        <v>1</v>
      </c>
      <c r="J6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152</v>
      </c>
      <c r="K67" s="28">
        <f>IF(ISNUMBER(tbRefining[[#This Row],[Total Cost]]),tbRefining[[#This Row],[Total Cost]]/tbRefining[[#This Row],[Output Qty]],"")</f>
        <v>152</v>
      </c>
    </row>
    <row r="68" spans="2:11" s="2" customFormat="1" ht="27.95" customHeight="1" x14ac:dyDescent="0.25">
      <c r="B68" s="38" t="s">
        <v>474</v>
      </c>
      <c r="C68" s="66" t="s">
        <v>246</v>
      </c>
      <c r="D68" s="4">
        <v>35</v>
      </c>
      <c r="E68" s="66" t="s">
        <v>266</v>
      </c>
      <c r="F68" s="4">
        <v>35</v>
      </c>
      <c r="G68" s="66" t="s">
        <v>12</v>
      </c>
      <c r="H68" s="4">
        <v>35</v>
      </c>
      <c r="I68" s="4">
        <v>1</v>
      </c>
      <c r="J6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4340</v>
      </c>
      <c r="K68" s="28">
        <f>IF(ISNUMBER(tbRefining[[#This Row],[Total Cost]]),tbRefining[[#This Row],[Total Cost]]/tbRefining[[#This Row],[Output Qty]],"")</f>
        <v>4340</v>
      </c>
    </row>
    <row r="69" spans="2:11" s="2" customFormat="1" ht="27.95" customHeight="1" x14ac:dyDescent="0.25">
      <c r="B69" s="38" t="s">
        <v>474</v>
      </c>
      <c r="C69" s="66" t="s">
        <v>246</v>
      </c>
      <c r="D69" s="4">
        <v>25</v>
      </c>
      <c r="E69" s="66" t="s">
        <v>8</v>
      </c>
      <c r="F69" s="4">
        <v>50</v>
      </c>
      <c r="G69" s="66"/>
      <c r="H69" s="4"/>
      <c r="I69" s="4">
        <v>1</v>
      </c>
      <c r="J69"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3750</v>
      </c>
      <c r="K69" s="28">
        <f>IF(ISNUMBER(tbRefining[[#This Row],[Total Cost]]),tbRefining[[#This Row],[Total Cost]]/tbRefining[[#This Row],[Output Qty]],"")</f>
        <v>3750</v>
      </c>
    </row>
    <row r="70" spans="2:11" s="2" customFormat="1" ht="27.95" customHeight="1" x14ac:dyDescent="0.25">
      <c r="B70" s="38" t="s">
        <v>474</v>
      </c>
      <c r="C70" s="66" t="s">
        <v>246</v>
      </c>
      <c r="D70" s="4">
        <v>20</v>
      </c>
      <c r="E70" s="66" t="s">
        <v>8</v>
      </c>
      <c r="F70" s="4">
        <v>20</v>
      </c>
      <c r="G70" s="66" t="s">
        <v>25</v>
      </c>
      <c r="H70" s="4">
        <v>25</v>
      </c>
      <c r="I70" s="4">
        <v>1</v>
      </c>
      <c r="J70"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2470</v>
      </c>
      <c r="K70" s="28">
        <f>IF(ISNUMBER(tbRefining[[#This Row],[Total Cost]]),tbRefining[[#This Row],[Total Cost]]/tbRefining[[#This Row],[Output Qty]],"")</f>
        <v>2470</v>
      </c>
    </row>
    <row r="71" spans="2:11" s="2" customFormat="1" ht="27.95" customHeight="1" x14ac:dyDescent="0.25">
      <c r="B71" s="38" t="s">
        <v>469</v>
      </c>
      <c r="C71" s="66" t="s">
        <v>8</v>
      </c>
      <c r="D71" s="4">
        <v>100</v>
      </c>
      <c r="E71" s="66" t="s">
        <v>25</v>
      </c>
      <c r="F71" s="4">
        <v>50</v>
      </c>
      <c r="G71" s="66"/>
      <c r="H71" s="4"/>
      <c r="I71" s="4">
        <v>1</v>
      </c>
      <c r="J71"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3700</v>
      </c>
      <c r="K71" s="28">
        <f>IF(ISNUMBER(tbRefining[[#This Row],[Total Cost]]),tbRefining[[#This Row],[Total Cost]]/tbRefining[[#This Row],[Output Qty]],"")</f>
        <v>3700</v>
      </c>
    </row>
    <row r="72" spans="2:11" s="2" customFormat="1" ht="27.95" customHeight="1" x14ac:dyDescent="0.25">
      <c r="B72" s="38" t="s">
        <v>469</v>
      </c>
      <c r="C72" s="66" t="s">
        <v>8</v>
      </c>
      <c r="D72" s="4">
        <v>40</v>
      </c>
      <c r="E72" s="66" t="s">
        <v>25</v>
      </c>
      <c r="F72" s="4">
        <v>50</v>
      </c>
      <c r="G72" s="66" t="s">
        <v>57</v>
      </c>
      <c r="H72" s="4">
        <v>40</v>
      </c>
      <c r="I72" s="4">
        <v>1</v>
      </c>
      <c r="J72"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4140</v>
      </c>
      <c r="K72" s="28">
        <f>IF(ISNUMBER(tbRefining[[#This Row],[Total Cost]]),tbRefining[[#This Row],[Total Cost]]/tbRefining[[#This Row],[Output Qty]],"")</f>
        <v>4140</v>
      </c>
    </row>
    <row r="73" spans="2:11" s="2" customFormat="1" ht="27.95" customHeight="1" x14ac:dyDescent="0.25">
      <c r="B73" s="66" t="s">
        <v>500</v>
      </c>
      <c r="C73" s="66" t="s">
        <v>35</v>
      </c>
      <c r="D73" s="4">
        <v>100</v>
      </c>
      <c r="E73" s="66" t="s">
        <v>7</v>
      </c>
      <c r="F73" s="4">
        <v>20</v>
      </c>
      <c r="G73" s="66" t="s">
        <v>83</v>
      </c>
      <c r="H73" s="4">
        <v>5</v>
      </c>
      <c r="I73" s="4">
        <v>1</v>
      </c>
      <c r="J7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5250</v>
      </c>
      <c r="K73" s="28">
        <f>IF(ISNUMBER(tbRefining[[#This Row],[Total Cost]]),tbRefining[[#This Row],[Total Cost]]/tbRefining[[#This Row],[Output Qty]],"")</f>
        <v>5250</v>
      </c>
    </row>
    <row r="74" spans="2:11" s="2" customFormat="1" ht="27.95" customHeight="1" x14ac:dyDescent="0.25">
      <c r="B74" s="66" t="s">
        <v>500</v>
      </c>
      <c r="C74" s="66" t="s">
        <v>35</v>
      </c>
      <c r="D74" s="4">
        <v>100</v>
      </c>
      <c r="E74" s="66" t="s">
        <v>7</v>
      </c>
      <c r="F74" s="4">
        <v>20</v>
      </c>
      <c r="G74" s="66" t="s">
        <v>56</v>
      </c>
      <c r="H74" s="4">
        <v>10</v>
      </c>
      <c r="I74" s="4">
        <v>1</v>
      </c>
      <c r="J7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5230</v>
      </c>
      <c r="K74" s="28">
        <f>IF(ISNUMBER(tbRefining[[#This Row],[Total Cost]]),tbRefining[[#This Row],[Total Cost]]/tbRefining[[#This Row],[Output Qty]],"")</f>
        <v>5230</v>
      </c>
    </row>
    <row r="75" spans="2:11" s="2" customFormat="1" ht="27.95" customHeight="1" x14ac:dyDescent="0.25">
      <c r="B75" s="66" t="s">
        <v>500</v>
      </c>
      <c r="C75" s="66" t="s">
        <v>35</v>
      </c>
      <c r="D75" s="4">
        <v>100</v>
      </c>
      <c r="E75" s="66" t="s">
        <v>260</v>
      </c>
      <c r="F75" s="4">
        <v>10</v>
      </c>
      <c r="G75" s="66" t="s">
        <v>83</v>
      </c>
      <c r="H75" s="4">
        <v>5</v>
      </c>
      <c r="I75" s="4">
        <v>1</v>
      </c>
      <c r="J7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5250</v>
      </c>
      <c r="K75" s="28">
        <f>IF(ISNUMBER(tbRefining[[#This Row],[Total Cost]]),tbRefining[[#This Row],[Total Cost]]/tbRefining[[#This Row],[Output Qty]],"")</f>
        <v>5250</v>
      </c>
    </row>
    <row r="76" spans="2:11" s="2" customFormat="1" ht="27.95" customHeight="1" x14ac:dyDescent="0.25">
      <c r="B76" s="66" t="s">
        <v>500</v>
      </c>
      <c r="C76" s="66" t="s">
        <v>35</v>
      </c>
      <c r="D76" s="4">
        <v>100</v>
      </c>
      <c r="E76" s="66" t="s">
        <v>260</v>
      </c>
      <c r="F76" s="4">
        <v>10</v>
      </c>
      <c r="G76" s="66" t="s">
        <v>56</v>
      </c>
      <c r="H76" s="4">
        <v>10</v>
      </c>
      <c r="I76" s="4">
        <v>1</v>
      </c>
      <c r="J7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5230</v>
      </c>
      <c r="K76" s="28">
        <f>IF(ISNUMBER(tbRefining[[#This Row],[Total Cost]]),tbRefining[[#This Row],[Total Cost]]/tbRefining[[#This Row],[Output Qty]],"")</f>
        <v>5230</v>
      </c>
    </row>
    <row r="77" spans="2:11" s="2" customFormat="1" ht="27.95" customHeight="1" x14ac:dyDescent="0.25">
      <c r="B77" s="66" t="s">
        <v>480</v>
      </c>
      <c r="C77" s="66" t="s">
        <v>8</v>
      </c>
      <c r="D77" s="4">
        <v>10</v>
      </c>
      <c r="E77" s="66" t="s">
        <v>7</v>
      </c>
      <c r="F77" s="4">
        <v>20</v>
      </c>
      <c r="G77" s="66" t="s">
        <v>12</v>
      </c>
      <c r="H77" s="4">
        <v>20</v>
      </c>
      <c r="I77" s="4">
        <v>1</v>
      </c>
      <c r="J7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860</v>
      </c>
      <c r="K77" s="28">
        <f>IF(ISNUMBER(tbRefining[[#This Row],[Total Cost]]),tbRefining[[#This Row],[Total Cost]]/tbRefining[[#This Row],[Output Qty]],"")</f>
        <v>860</v>
      </c>
    </row>
    <row r="78" spans="2:11" s="2" customFormat="1" ht="27.95" customHeight="1" x14ac:dyDescent="0.25">
      <c r="B78" s="66" t="s">
        <v>480</v>
      </c>
      <c r="C78" s="66" t="s">
        <v>8</v>
      </c>
      <c r="D78" s="4">
        <v>10</v>
      </c>
      <c r="E78" s="66" t="s">
        <v>7</v>
      </c>
      <c r="F78" s="4">
        <v>20</v>
      </c>
      <c r="G78" s="66" t="s">
        <v>266</v>
      </c>
      <c r="H78" s="4">
        <v>20</v>
      </c>
      <c r="I78" s="4">
        <v>1</v>
      </c>
      <c r="J7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1140</v>
      </c>
      <c r="K78" s="28">
        <f>IF(ISNUMBER(tbRefining[[#This Row],[Total Cost]]),tbRefining[[#This Row],[Total Cost]]/tbRefining[[#This Row],[Output Qty]],"")</f>
        <v>1140</v>
      </c>
    </row>
    <row r="79" spans="2:11" s="2" customFormat="1" ht="27.95" customHeight="1" x14ac:dyDescent="0.25">
      <c r="B79" s="66" t="s">
        <v>480</v>
      </c>
      <c r="C79" s="66" t="s">
        <v>8</v>
      </c>
      <c r="D79" s="4">
        <v>10</v>
      </c>
      <c r="E79" s="66" t="s">
        <v>7</v>
      </c>
      <c r="F79" s="4">
        <v>20</v>
      </c>
      <c r="G79" s="66" t="s">
        <v>6</v>
      </c>
      <c r="H79" s="4">
        <v>10</v>
      </c>
      <c r="I79" s="4">
        <v>1</v>
      </c>
      <c r="J79"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2560</v>
      </c>
      <c r="K79" s="28">
        <f>IF(ISNUMBER(tbRefining[[#This Row],[Total Cost]]),tbRefining[[#This Row],[Total Cost]]/tbRefining[[#This Row],[Output Qty]],"")</f>
        <v>2560</v>
      </c>
    </row>
    <row r="80" spans="2:11" s="2" customFormat="1" ht="27.95" customHeight="1" x14ac:dyDescent="0.25">
      <c r="B80" s="66" t="s">
        <v>480</v>
      </c>
      <c r="C80" s="66" t="s">
        <v>8</v>
      </c>
      <c r="D80" s="4">
        <v>10</v>
      </c>
      <c r="E80" s="66" t="s">
        <v>260</v>
      </c>
      <c r="F80" s="4">
        <v>10</v>
      </c>
      <c r="G80" s="66" t="s">
        <v>12</v>
      </c>
      <c r="H80" s="4">
        <v>20</v>
      </c>
      <c r="I80" s="4">
        <v>1</v>
      </c>
      <c r="J80"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860</v>
      </c>
      <c r="K80" s="28">
        <f>IF(ISNUMBER(tbRefining[[#This Row],[Total Cost]]),tbRefining[[#This Row],[Total Cost]]/tbRefining[[#This Row],[Output Qty]],"")</f>
        <v>860</v>
      </c>
    </row>
    <row r="81" spans="2:11" s="66" customFormat="1" ht="27.95" customHeight="1" x14ac:dyDescent="0.25">
      <c r="B81" s="66" t="s">
        <v>480</v>
      </c>
      <c r="C81" s="66" t="s">
        <v>8</v>
      </c>
      <c r="D81" s="4">
        <v>10</v>
      </c>
      <c r="E81" s="66" t="s">
        <v>260</v>
      </c>
      <c r="F81" s="4">
        <v>10</v>
      </c>
      <c r="G81" s="66" t="s">
        <v>266</v>
      </c>
      <c r="H81" s="4">
        <v>20</v>
      </c>
      <c r="I81" s="4">
        <v>1</v>
      </c>
      <c r="J81"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1140</v>
      </c>
      <c r="K81" s="28">
        <f>IF(ISNUMBER(tbRefining[[#This Row],[Total Cost]]),tbRefining[[#This Row],[Total Cost]]/tbRefining[[#This Row],[Output Qty]],"")</f>
        <v>1140</v>
      </c>
    </row>
    <row r="82" spans="2:11" s="66" customFormat="1" ht="27.95" customHeight="1" x14ac:dyDescent="0.25">
      <c r="B82" s="66" t="s">
        <v>57</v>
      </c>
      <c r="C82" s="66" t="s">
        <v>34</v>
      </c>
      <c r="D82" s="4">
        <v>2</v>
      </c>
      <c r="E82" s="66" t="s">
        <v>12</v>
      </c>
      <c r="F82" s="4">
        <v>1</v>
      </c>
      <c r="H82" s="4"/>
      <c r="I82" s="4">
        <v>1</v>
      </c>
      <c r="J82"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138</v>
      </c>
      <c r="K82" s="28">
        <f>IF(ISNUMBER(tbRefining[[#This Row],[Total Cost]]),tbRefining[[#This Row],[Total Cost]]/tbRefining[[#This Row],[Output Qty]],"")</f>
        <v>138</v>
      </c>
    </row>
    <row r="83" spans="2:11" s="66" customFormat="1" ht="27.95" customHeight="1" x14ac:dyDescent="0.25">
      <c r="B83" s="66" t="s">
        <v>57</v>
      </c>
      <c r="C83" s="66" t="s">
        <v>34</v>
      </c>
      <c r="D83" s="4">
        <v>2</v>
      </c>
      <c r="E83" s="66" t="s">
        <v>266</v>
      </c>
      <c r="F83" s="4">
        <v>1</v>
      </c>
      <c r="H83" s="4"/>
      <c r="I83" s="4">
        <v>1</v>
      </c>
      <c r="J83"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152</v>
      </c>
      <c r="K83" s="28">
        <f>IF(ISNUMBER(tbRefining[[#This Row],[Total Cost]]),tbRefining[[#This Row],[Total Cost]]/tbRefining[[#This Row],[Output Qty]],"")</f>
        <v>152</v>
      </c>
    </row>
    <row r="84" spans="2:11" s="66" customFormat="1" ht="27.95" customHeight="1" x14ac:dyDescent="0.25">
      <c r="B84" s="66" t="s">
        <v>57</v>
      </c>
      <c r="C84" s="66" t="s">
        <v>55</v>
      </c>
      <c r="D84" s="4">
        <v>2</v>
      </c>
      <c r="E84" s="66" t="s">
        <v>56</v>
      </c>
      <c r="F84" s="4">
        <v>1</v>
      </c>
      <c r="H84" s="4"/>
      <c r="I84" s="4">
        <v>1</v>
      </c>
      <c r="J84"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331</v>
      </c>
      <c r="K84" s="28">
        <f>IF(ISNUMBER(tbRefining[[#This Row],[Total Cost]]),tbRefining[[#This Row],[Total Cost]]/tbRefining[[#This Row],[Output Qty]],"")</f>
        <v>331</v>
      </c>
    </row>
    <row r="85" spans="2:11" s="66" customFormat="1" ht="27.95" customHeight="1" x14ac:dyDescent="0.25">
      <c r="B85" s="66" t="s">
        <v>57</v>
      </c>
      <c r="C85" s="66" t="s">
        <v>333</v>
      </c>
      <c r="D85" s="4">
        <v>1</v>
      </c>
      <c r="E85" s="66" t="s">
        <v>10</v>
      </c>
      <c r="F85" s="4">
        <v>1</v>
      </c>
      <c r="H85" s="4"/>
      <c r="I85" s="4">
        <v>1</v>
      </c>
      <c r="J85"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54</v>
      </c>
      <c r="K85" s="28">
        <f>IF(ISNUMBER(tbRefining[[#This Row],[Total Cost]]),tbRefining[[#This Row],[Total Cost]]/tbRefining[[#This Row],[Output Qty]],"")</f>
        <v>54</v>
      </c>
    </row>
    <row r="86" spans="2:11" s="66" customFormat="1" ht="27.95" customHeight="1" x14ac:dyDescent="0.25">
      <c r="B86" s="66" t="s">
        <v>57</v>
      </c>
      <c r="C86" s="66" t="s">
        <v>333</v>
      </c>
      <c r="D86" s="4">
        <v>1</v>
      </c>
      <c r="E86" s="66" t="s">
        <v>12</v>
      </c>
      <c r="F86" s="4">
        <v>1</v>
      </c>
      <c r="H86" s="4"/>
      <c r="I86" s="4">
        <v>1</v>
      </c>
      <c r="J86"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34</v>
      </c>
      <c r="K86" s="28">
        <f>IF(ISNUMBER(tbRefining[[#This Row],[Total Cost]]),tbRefining[[#This Row],[Total Cost]]/tbRefining[[#This Row],[Output Qty]],"")</f>
        <v>34</v>
      </c>
    </row>
    <row r="87" spans="2:11" s="66" customFormat="1" ht="27.95" customHeight="1" x14ac:dyDescent="0.25">
      <c r="B87" s="66" t="s">
        <v>57</v>
      </c>
      <c r="C87" s="66" t="s">
        <v>333</v>
      </c>
      <c r="D87" s="4">
        <v>1</v>
      </c>
      <c r="E87" s="66" t="s">
        <v>266</v>
      </c>
      <c r="F87" s="4">
        <v>1</v>
      </c>
      <c r="H87" s="4"/>
      <c r="I87" s="4">
        <v>2</v>
      </c>
      <c r="J87"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48</v>
      </c>
      <c r="K87" s="28">
        <f>IF(ISNUMBER(tbRefining[[#This Row],[Total Cost]]),tbRefining[[#This Row],[Total Cost]]/tbRefining[[#This Row],[Output Qty]],"")</f>
        <v>24</v>
      </c>
    </row>
    <row r="88" spans="2:11" s="66" customFormat="1" ht="27.95" customHeight="1" x14ac:dyDescent="0.25">
      <c r="B88" s="66" t="s">
        <v>57</v>
      </c>
      <c r="C88" s="66" t="s">
        <v>333</v>
      </c>
      <c r="D88" s="4">
        <v>1</v>
      </c>
      <c r="E88" s="66" t="s">
        <v>246</v>
      </c>
      <c r="F88" s="4">
        <v>1</v>
      </c>
      <c r="H88" s="4"/>
      <c r="I88" s="4">
        <v>3</v>
      </c>
      <c r="J88" s="28">
        <f>IF(ISTEXT(tbRefining[[#This Row],[Item 3]]),tbRefining[[#This Row],[Quantity 1]]*(VLOOKUP(tbRefining[[#This Row],[Item 1]],tbMaterials[],4,FALSE))+tbRefining[[#This Row],[Quantity 2]]*(VLOOKUP(tbRefining[[#This Row],[Item 2]],tbMaterials[],4,FALSE))+tbRefining[[#This Row],[Quantity 3]]*(VLOOKUP(tbRefining[[#This Row],[Item 3]],tbMaterials[],4,FALSE)),IF(ISTEXT(tbRefining[[#This Row],[Item 2]]),tbRefining[[#This Row],[Quantity 1]]*(VLOOKUP(tbRefining[[#This Row],[Item 1]],tbMaterials[],4,FALSE))+tbRefining[[#This Row],[Quantity 2]]*(VLOOKUP(tbRefining[[#This Row],[Item 2]],tbMaterials[],4,FALSE)),IF(ISTEXT(tbRefining[[#This Row],[Item 1]]),tbRefining[[#This Row],[Quantity 1]]*(VLOOKUP(tbRefining[[#This Row],[Item 1]],tbMaterials[],4,FALSE)),"")))</f>
        <v>102</v>
      </c>
      <c r="K88" s="28">
        <f>IF(ISNUMBER(tbRefining[[#This Row],[Total Cost]]),tbRefining[[#This Row],[Total Cost]]/tbRefining[[#This Row],[Output Qty]],"")</f>
        <v>34</v>
      </c>
    </row>
    <row r="89" spans="2:11" s="66" customFormat="1" ht="27.95" customHeight="1" x14ac:dyDescent="0.25">
      <c r="D89" s="4"/>
      <c r="F89" s="4"/>
      <c r="H89" s="4"/>
      <c r="I89" s="4"/>
      <c r="J89" s="7"/>
    </row>
    <row r="90" spans="2:11" s="66" customFormat="1" ht="27.95" customHeight="1" x14ac:dyDescent="0.25">
      <c r="D90" s="4"/>
      <c r="F90" s="4"/>
      <c r="H90" s="4"/>
      <c r="I90" s="4"/>
      <c r="J90" s="7"/>
    </row>
    <row r="91" spans="2:11" s="66" customFormat="1" ht="27.95" customHeight="1" x14ac:dyDescent="0.25">
      <c r="D91" s="4"/>
      <c r="F91" s="4"/>
      <c r="H91" s="4"/>
      <c r="I91" s="4"/>
      <c r="J91" s="7"/>
    </row>
    <row r="92" spans="2:11" s="66" customFormat="1" ht="27.95" customHeight="1" x14ac:dyDescent="0.25">
      <c r="D92" s="4"/>
      <c r="F92" s="4"/>
      <c r="H92" s="4"/>
      <c r="I92" s="4"/>
      <c r="J92" s="7"/>
    </row>
    <row r="93" spans="2:11" s="66" customFormat="1" ht="27.95" customHeight="1" x14ac:dyDescent="0.25">
      <c r="D93" s="4"/>
      <c r="F93" s="4"/>
      <c r="H93" s="4"/>
      <c r="I93" s="4"/>
      <c r="J93" s="7"/>
    </row>
    <row r="94" spans="2:11" s="66" customFormat="1" ht="27.95" customHeight="1" x14ac:dyDescent="0.25">
      <c r="D94" s="4"/>
      <c r="F94" s="4"/>
      <c r="H94" s="4"/>
      <c r="I94" s="4"/>
      <c r="J94" s="7"/>
    </row>
    <row r="95" spans="2:11" s="66" customFormat="1" ht="27.95" customHeight="1" x14ac:dyDescent="0.25">
      <c r="D95" s="4"/>
      <c r="F95" s="4"/>
      <c r="H95" s="4"/>
      <c r="I95" s="4"/>
      <c r="J95" s="7"/>
    </row>
    <row r="96" spans="2:11" s="66" customFormat="1" ht="27.95" customHeight="1" x14ac:dyDescent="0.25">
      <c r="D96" s="4"/>
      <c r="F96" s="4"/>
      <c r="H96" s="4"/>
      <c r="I96" s="4"/>
      <c r="J96" s="7"/>
    </row>
    <row r="97" spans="4:10" s="66" customFormat="1" ht="27.95" customHeight="1" x14ac:dyDescent="0.25">
      <c r="D97" s="4"/>
      <c r="F97" s="4"/>
      <c r="H97" s="4"/>
      <c r="I97" s="4"/>
      <c r="J97" s="7"/>
    </row>
    <row r="98" spans="4:10" s="66" customFormat="1" ht="27.95" customHeight="1" x14ac:dyDescent="0.25">
      <c r="D98" s="4"/>
      <c r="F98" s="4"/>
      <c r="H98" s="4"/>
      <c r="I98" s="4"/>
      <c r="J98" s="7"/>
    </row>
    <row r="99" spans="4:10" s="66" customFormat="1" ht="27.95" customHeight="1" x14ac:dyDescent="0.25">
      <c r="D99" s="4"/>
      <c r="F99" s="4"/>
      <c r="H99" s="4"/>
      <c r="I99" s="4"/>
      <c r="J99" s="7"/>
    </row>
    <row r="100" spans="4:10" s="66" customFormat="1" ht="27.95" customHeight="1" x14ac:dyDescent="0.25">
      <c r="D100" s="4"/>
      <c r="F100" s="4"/>
      <c r="H100" s="4"/>
      <c r="I100" s="4"/>
      <c r="J100" s="7"/>
    </row>
    <row r="101" spans="4:10" s="66" customFormat="1" ht="27.95" customHeight="1" x14ac:dyDescent="0.25">
      <c r="D101" s="4"/>
      <c r="F101" s="4"/>
      <c r="H101" s="4"/>
      <c r="I101" s="4"/>
      <c r="J101" s="7"/>
    </row>
    <row r="102" spans="4:10" s="66" customFormat="1" ht="27.95" customHeight="1" x14ac:dyDescent="0.25">
      <c r="D102" s="4"/>
      <c r="F102" s="4"/>
      <c r="H102" s="4"/>
      <c r="I102" s="4"/>
      <c r="J102" s="7"/>
    </row>
    <row r="103" spans="4:10" s="66" customFormat="1" ht="27.95" customHeight="1" x14ac:dyDescent="0.25">
      <c r="D103" s="4"/>
      <c r="F103" s="4"/>
      <c r="H103" s="4"/>
      <c r="I103" s="4"/>
      <c r="J103" s="7"/>
    </row>
    <row r="104" spans="4:10" s="66" customFormat="1" ht="27.95" customHeight="1" x14ac:dyDescent="0.25">
      <c r="D104" s="4"/>
      <c r="F104" s="4"/>
      <c r="H104" s="4"/>
      <c r="I104" s="4"/>
      <c r="J104" s="7"/>
    </row>
    <row r="105" spans="4:10" s="66" customFormat="1" ht="27.95" customHeight="1" x14ac:dyDescent="0.25">
      <c r="D105" s="4"/>
      <c r="F105" s="4"/>
      <c r="H105" s="4"/>
      <c r="I105" s="4"/>
      <c r="J105" s="7"/>
    </row>
    <row r="106" spans="4:10" s="66" customFormat="1" ht="27.95" customHeight="1" x14ac:dyDescent="0.25">
      <c r="D106" s="4"/>
      <c r="F106" s="4"/>
      <c r="H106" s="4"/>
      <c r="I106" s="4"/>
      <c r="J106" s="7"/>
    </row>
    <row r="107" spans="4:10" s="66" customFormat="1" ht="27.95" customHeight="1" x14ac:dyDescent="0.25">
      <c r="D107" s="4"/>
      <c r="F107" s="4"/>
      <c r="H107" s="4"/>
      <c r="I107" s="4"/>
      <c r="J107" s="7"/>
    </row>
    <row r="108" spans="4:10" s="66" customFormat="1" ht="27.95" customHeight="1" x14ac:dyDescent="0.25">
      <c r="D108" s="4"/>
      <c r="F108" s="4"/>
      <c r="H108" s="4"/>
      <c r="I108" s="4"/>
      <c r="J108" s="7"/>
    </row>
    <row r="109" spans="4:10" s="66" customFormat="1" ht="27.95" customHeight="1" x14ac:dyDescent="0.25">
      <c r="D109" s="4"/>
      <c r="F109" s="4"/>
      <c r="H109" s="4"/>
      <c r="I109" s="4"/>
      <c r="J109" s="7"/>
    </row>
    <row r="110" spans="4:10" s="66" customFormat="1" ht="27.95" customHeight="1" x14ac:dyDescent="0.25">
      <c r="D110" s="4"/>
      <c r="F110" s="4"/>
      <c r="H110" s="4"/>
      <c r="I110" s="4"/>
      <c r="J110" s="7"/>
    </row>
    <row r="111" spans="4:10" s="66" customFormat="1" ht="27.95" customHeight="1" x14ac:dyDescent="0.25">
      <c r="D111" s="4"/>
      <c r="F111" s="4"/>
      <c r="H111" s="4"/>
      <c r="I111" s="4"/>
      <c r="J111" s="7"/>
    </row>
    <row r="112" spans="4:10" s="66" customFormat="1" ht="27.95" customHeight="1" x14ac:dyDescent="0.25">
      <c r="D112" s="4"/>
      <c r="F112" s="4"/>
      <c r="H112" s="4"/>
      <c r="I112" s="4"/>
      <c r="J112" s="7"/>
    </row>
    <row r="113" spans="4:10" s="66" customFormat="1" ht="27.95" customHeight="1" x14ac:dyDescent="0.25">
      <c r="D113" s="4"/>
      <c r="F113" s="4"/>
      <c r="H113" s="4"/>
      <c r="I113" s="4"/>
      <c r="J113" s="7"/>
    </row>
    <row r="114" spans="4:10" s="66" customFormat="1" ht="27.95" customHeight="1" x14ac:dyDescent="0.25">
      <c r="D114" s="4"/>
      <c r="F114" s="4"/>
      <c r="H114" s="4"/>
      <c r="I114" s="4"/>
      <c r="J114" s="7"/>
    </row>
    <row r="115" spans="4:10" s="66" customFormat="1" ht="27.95" customHeight="1" x14ac:dyDescent="0.25">
      <c r="D115" s="4"/>
      <c r="F115" s="4"/>
      <c r="H115" s="4"/>
      <c r="I115" s="4"/>
      <c r="J115" s="7"/>
    </row>
    <row r="116" spans="4:10" s="66" customFormat="1" ht="27.95" customHeight="1" x14ac:dyDescent="0.25">
      <c r="D116" s="4"/>
      <c r="F116" s="4"/>
      <c r="H116" s="4"/>
      <c r="I116" s="4"/>
      <c r="J116" s="7"/>
    </row>
    <row r="117" spans="4:10" s="66" customFormat="1" ht="27.95" customHeight="1" x14ac:dyDescent="0.25">
      <c r="D117" s="4"/>
      <c r="F117" s="4"/>
      <c r="H117" s="4"/>
      <c r="I117" s="4"/>
      <c r="J117" s="7"/>
    </row>
    <row r="118" spans="4:10" s="66" customFormat="1" ht="27.95" customHeight="1" x14ac:dyDescent="0.25">
      <c r="D118" s="4"/>
      <c r="F118" s="4"/>
      <c r="H118" s="4"/>
      <c r="I118" s="4"/>
      <c r="J118" s="7"/>
    </row>
    <row r="119" spans="4:10" s="66" customFormat="1" ht="27.95" customHeight="1" x14ac:dyDescent="0.25">
      <c r="D119" s="4"/>
      <c r="F119" s="4"/>
      <c r="H119" s="4"/>
      <c r="I119" s="4"/>
      <c r="J119" s="7"/>
    </row>
    <row r="120" spans="4:10" s="66" customFormat="1" ht="27.95" customHeight="1" x14ac:dyDescent="0.25">
      <c r="D120" s="4"/>
      <c r="F120" s="4"/>
      <c r="H120" s="4"/>
      <c r="I120" s="4"/>
      <c r="J120" s="7"/>
    </row>
    <row r="121" spans="4:10" s="66" customFormat="1" ht="27.95" customHeight="1" x14ac:dyDescent="0.25">
      <c r="D121" s="4"/>
      <c r="F121" s="4"/>
      <c r="H121" s="4"/>
      <c r="I121" s="4"/>
      <c r="J121" s="7"/>
    </row>
    <row r="122" spans="4:10" s="66" customFormat="1" ht="27.95" customHeight="1" x14ac:dyDescent="0.25">
      <c r="D122" s="4"/>
      <c r="F122" s="4"/>
      <c r="H122" s="4"/>
      <c r="I122" s="4"/>
      <c r="J122" s="7"/>
    </row>
    <row r="123" spans="4:10" s="66" customFormat="1" ht="27.95" customHeight="1" x14ac:dyDescent="0.25">
      <c r="D123" s="4"/>
      <c r="F123" s="4"/>
      <c r="H123" s="4"/>
      <c r="I123" s="4"/>
      <c r="J123" s="7"/>
    </row>
    <row r="124" spans="4:10" s="66" customFormat="1" ht="27.95" customHeight="1" x14ac:dyDescent="0.25">
      <c r="D124" s="4"/>
      <c r="F124" s="4"/>
      <c r="H124" s="4"/>
      <c r="I124" s="4"/>
      <c r="J124" s="7"/>
    </row>
    <row r="125" spans="4:10" s="66" customFormat="1" ht="27.95" customHeight="1" x14ac:dyDescent="0.25">
      <c r="D125" s="4"/>
      <c r="F125" s="4"/>
      <c r="H125" s="4"/>
      <c r="I125" s="4"/>
      <c r="J125" s="7"/>
    </row>
    <row r="126" spans="4:10" s="66" customFormat="1" ht="27.95" customHeight="1" x14ac:dyDescent="0.25">
      <c r="D126" s="4"/>
      <c r="F126" s="4"/>
      <c r="H126" s="4"/>
      <c r="I126" s="4"/>
      <c r="J126" s="7"/>
    </row>
    <row r="127" spans="4:10" s="66" customFormat="1" ht="27.95" customHeight="1" x14ac:dyDescent="0.25">
      <c r="D127" s="4"/>
      <c r="F127" s="4"/>
      <c r="H127" s="4"/>
      <c r="I127" s="4"/>
      <c r="J127" s="7"/>
    </row>
    <row r="128" spans="4:10" s="66" customFormat="1" ht="27.95" customHeight="1" x14ac:dyDescent="0.25">
      <c r="D128" s="4"/>
      <c r="F128" s="4"/>
      <c r="H128" s="4"/>
      <c r="I128" s="4"/>
      <c r="J128" s="7"/>
    </row>
    <row r="129" spans="4:10" s="66" customFormat="1" ht="27.95" customHeight="1" x14ac:dyDescent="0.25">
      <c r="D129" s="4"/>
      <c r="F129" s="4"/>
      <c r="H129" s="4"/>
      <c r="I129" s="4"/>
      <c r="J129" s="7"/>
    </row>
    <row r="130" spans="4:10" s="66" customFormat="1" ht="27.95" customHeight="1" x14ac:dyDescent="0.25">
      <c r="D130" s="4"/>
      <c r="F130" s="4"/>
      <c r="H130" s="4"/>
      <c r="I130" s="4"/>
      <c r="J130" s="7"/>
    </row>
    <row r="131" spans="4:10" s="66" customFormat="1" ht="27.95" customHeight="1" x14ac:dyDescent="0.25">
      <c r="D131" s="4"/>
      <c r="F131" s="4"/>
      <c r="H131" s="4"/>
      <c r="I131" s="4"/>
      <c r="J131" s="7"/>
    </row>
    <row r="132" spans="4:10" s="66" customFormat="1" ht="27.95" customHeight="1" x14ac:dyDescent="0.25">
      <c r="D132" s="4"/>
      <c r="F132" s="4"/>
      <c r="H132" s="4"/>
      <c r="I132" s="4"/>
      <c r="J132" s="7"/>
    </row>
    <row r="133" spans="4:10" s="66" customFormat="1" ht="27.95" customHeight="1" x14ac:dyDescent="0.25">
      <c r="D133" s="4"/>
      <c r="F133" s="4"/>
      <c r="H133" s="4"/>
      <c r="I133" s="4"/>
      <c r="J133" s="7"/>
    </row>
    <row r="134" spans="4:10" s="66" customFormat="1" ht="27.95" customHeight="1" x14ac:dyDescent="0.25">
      <c r="D134" s="4"/>
      <c r="F134" s="4"/>
      <c r="H134" s="4"/>
      <c r="I134" s="4"/>
      <c r="J134" s="7"/>
    </row>
    <row r="135" spans="4:10" s="66" customFormat="1" ht="27.95" customHeight="1" x14ac:dyDescent="0.25">
      <c r="D135" s="4"/>
      <c r="F135" s="4"/>
      <c r="H135" s="4"/>
      <c r="I135" s="4"/>
      <c r="J135" s="7"/>
    </row>
    <row r="136" spans="4:10" s="66" customFormat="1" ht="27.95" customHeight="1" x14ac:dyDescent="0.25">
      <c r="D136" s="4"/>
      <c r="F136" s="4"/>
      <c r="H136" s="4"/>
      <c r="I136" s="4"/>
      <c r="J136" s="7"/>
    </row>
    <row r="137" spans="4:10" s="66" customFormat="1" ht="27.95" customHeight="1" x14ac:dyDescent="0.25">
      <c r="D137" s="4"/>
      <c r="F137" s="4"/>
      <c r="H137" s="4"/>
      <c r="I137" s="4"/>
      <c r="J137" s="7"/>
    </row>
    <row r="138" spans="4:10" s="66" customFormat="1" ht="27.95" customHeight="1" x14ac:dyDescent="0.25">
      <c r="D138" s="4"/>
      <c r="F138" s="4"/>
      <c r="H138" s="4"/>
      <c r="I138" s="4"/>
      <c r="J138" s="7"/>
    </row>
    <row r="139" spans="4:10" s="66" customFormat="1" ht="27.95" customHeight="1" x14ac:dyDescent="0.25">
      <c r="D139" s="4"/>
      <c r="F139" s="4"/>
      <c r="H139" s="4"/>
      <c r="I139" s="4"/>
      <c r="J139" s="7"/>
    </row>
    <row r="140" spans="4:10" s="66" customFormat="1" ht="27.95" customHeight="1" x14ac:dyDescent="0.25">
      <c r="D140" s="4"/>
      <c r="F140" s="4"/>
      <c r="H140" s="4"/>
      <c r="I140" s="4"/>
      <c r="J140" s="7"/>
    </row>
    <row r="141" spans="4:10" s="66" customFormat="1" ht="27.95" customHeight="1" x14ac:dyDescent="0.25">
      <c r="D141" s="4"/>
      <c r="F141" s="4"/>
      <c r="H141" s="4"/>
      <c r="I141" s="4"/>
      <c r="J141" s="7"/>
    </row>
    <row r="142" spans="4:10" s="66" customFormat="1" ht="27.95" customHeight="1" x14ac:dyDescent="0.25">
      <c r="D142" s="4"/>
      <c r="F142" s="4"/>
      <c r="H142" s="4"/>
      <c r="I142" s="4"/>
      <c r="J142" s="7"/>
    </row>
    <row r="143" spans="4:10" s="66" customFormat="1" ht="27.95" customHeight="1" x14ac:dyDescent="0.25">
      <c r="D143" s="4"/>
      <c r="F143" s="4"/>
      <c r="H143" s="4"/>
      <c r="I143" s="4"/>
      <c r="J143" s="7"/>
    </row>
    <row r="144" spans="4:10" s="66" customFormat="1" ht="27.95" customHeight="1" x14ac:dyDescent="0.25">
      <c r="D144" s="4"/>
      <c r="F144" s="4"/>
      <c r="H144" s="4"/>
      <c r="I144" s="4"/>
      <c r="J144" s="7"/>
    </row>
    <row r="145" spans="4:10" s="66" customFormat="1" ht="27.95" customHeight="1" x14ac:dyDescent="0.25">
      <c r="D145" s="4"/>
      <c r="F145" s="4"/>
      <c r="H145" s="4"/>
      <c r="I145" s="4"/>
      <c r="J145" s="7"/>
    </row>
    <row r="146" spans="4:10" s="66" customFormat="1" ht="27.95" customHeight="1" x14ac:dyDescent="0.25">
      <c r="D146" s="4"/>
      <c r="F146" s="4"/>
      <c r="H146" s="4"/>
      <c r="I146" s="4"/>
      <c r="J146" s="7"/>
    </row>
    <row r="147" spans="4:10" s="66" customFormat="1" ht="27.95" customHeight="1" x14ac:dyDescent="0.25">
      <c r="D147" s="4"/>
      <c r="F147" s="4"/>
      <c r="H147" s="4"/>
      <c r="I147" s="4"/>
      <c r="J147" s="7"/>
    </row>
    <row r="148" spans="4:10" s="66" customFormat="1" ht="27.95" customHeight="1" x14ac:dyDescent="0.25">
      <c r="D148" s="4"/>
      <c r="F148" s="4"/>
      <c r="H148" s="4"/>
      <c r="I148" s="4"/>
      <c r="J148" s="7"/>
    </row>
    <row r="149" spans="4:10" s="66" customFormat="1" ht="27.95" customHeight="1" x14ac:dyDescent="0.25">
      <c r="D149" s="4"/>
      <c r="F149" s="4"/>
      <c r="H149" s="4"/>
      <c r="I149" s="4"/>
      <c r="J149" s="7"/>
    </row>
    <row r="150" spans="4:10" s="66" customFormat="1" ht="27.95" customHeight="1" x14ac:dyDescent="0.25">
      <c r="D150" s="4"/>
      <c r="F150" s="4"/>
      <c r="H150" s="4"/>
      <c r="I150" s="4"/>
      <c r="J150" s="7"/>
    </row>
    <row r="151" spans="4:10" s="66" customFormat="1" ht="27.95" customHeight="1" x14ac:dyDescent="0.25">
      <c r="D151" s="4"/>
      <c r="F151" s="4"/>
      <c r="H151" s="4"/>
      <c r="I151" s="4"/>
      <c r="J151" s="7"/>
    </row>
    <row r="152" spans="4:10" s="66" customFormat="1" ht="27.95" customHeight="1" x14ac:dyDescent="0.25">
      <c r="D152" s="4"/>
      <c r="F152" s="4"/>
      <c r="H152" s="4"/>
      <c r="I152" s="4"/>
      <c r="J152" s="7"/>
    </row>
    <row r="153" spans="4:10" s="66" customFormat="1" ht="27.95" customHeight="1" x14ac:dyDescent="0.25">
      <c r="D153" s="4"/>
      <c r="F153" s="4"/>
      <c r="H153" s="4"/>
      <c r="I153" s="4"/>
      <c r="J153" s="7"/>
    </row>
    <row r="154" spans="4:10" s="66" customFormat="1" ht="27.95" customHeight="1" x14ac:dyDescent="0.25">
      <c r="D154" s="4"/>
      <c r="F154" s="4"/>
      <c r="H154" s="4"/>
      <c r="I154" s="4"/>
      <c r="J154" s="7"/>
    </row>
    <row r="155" spans="4:10" s="66" customFormat="1" ht="27.95" customHeight="1" x14ac:dyDescent="0.25">
      <c r="D155" s="4"/>
      <c r="F155" s="4"/>
      <c r="H155" s="4"/>
      <c r="I155" s="4"/>
      <c r="J155" s="7"/>
    </row>
    <row r="156" spans="4:10" s="66" customFormat="1" ht="27.95" customHeight="1" x14ac:dyDescent="0.25">
      <c r="D156" s="4"/>
      <c r="F156" s="4"/>
      <c r="H156" s="4"/>
      <c r="I156" s="4"/>
      <c r="J156" s="7"/>
    </row>
    <row r="157" spans="4:10" s="66" customFormat="1" ht="27.95" customHeight="1" x14ac:dyDescent="0.25">
      <c r="D157" s="4"/>
      <c r="F157" s="4"/>
      <c r="H157" s="4"/>
      <c r="I157" s="4"/>
      <c r="J157" s="7"/>
    </row>
    <row r="158" spans="4:10" s="66" customFormat="1" ht="27.95" customHeight="1" x14ac:dyDescent="0.25">
      <c r="D158" s="4"/>
      <c r="F158" s="4"/>
      <c r="H158" s="4"/>
      <c r="I158" s="4"/>
      <c r="J158" s="7"/>
    </row>
    <row r="159" spans="4:10" s="66" customFormat="1" ht="27.95" customHeight="1" x14ac:dyDescent="0.25">
      <c r="D159" s="4"/>
      <c r="F159" s="4"/>
      <c r="H159" s="4"/>
      <c r="I159" s="4"/>
      <c r="J159" s="7"/>
    </row>
    <row r="160" spans="4:10" s="66" customFormat="1" ht="27.95" customHeight="1" x14ac:dyDescent="0.25">
      <c r="D160" s="4"/>
      <c r="F160" s="4"/>
      <c r="H160" s="4"/>
      <c r="I160" s="4"/>
      <c r="J160" s="7"/>
    </row>
    <row r="161" spans="4:10" s="66" customFormat="1" ht="27.95" customHeight="1" x14ac:dyDescent="0.25">
      <c r="D161" s="4"/>
      <c r="F161" s="4"/>
      <c r="H161" s="4"/>
      <c r="I161" s="4"/>
      <c r="J161" s="7"/>
    </row>
    <row r="162" spans="4:10" s="66" customFormat="1" ht="27.95" customHeight="1" x14ac:dyDescent="0.25">
      <c r="D162" s="4"/>
      <c r="F162" s="4"/>
      <c r="H162" s="4"/>
      <c r="I162" s="4"/>
      <c r="J162" s="7"/>
    </row>
    <row r="163" spans="4:10" s="66" customFormat="1" ht="27.95" customHeight="1" x14ac:dyDescent="0.25">
      <c r="D163" s="4"/>
      <c r="F163" s="4"/>
      <c r="H163" s="4"/>
      <c r="I163" s="4"/>
      <c r="J163" s="7"/>
    </row>
    <row r="164" spans="4:10" s="66" customFormat="1" ht="27.95" customHeight="1" x14ac:dyDescent="0.25">
      <c r="D164" s="4"/>
      <c r="F164" s="4"/>
      <c r="H164" s="4"/>
      <c r="I164" s="4"/>
      <c r="J164" s="7"/>
    </row>
    <row r="165" spans="4:10" s="66" customFormat="1" ht="27.95" customHeight="1" x14ac:dyDescent="0.25">
      <c r="D165" s="4"/>
      <c r="F165" s="4"/>
      <c r="H165" s="4"/>
      <c r="I165" s="4"/>
      <c r="J165" s="7"/>
    </row>
    <row r="166" spans="4:10" s="66" customFormat="1" ht="27.95" customHeight="1" x14ac:dyDescent="0.25">
      <c r="D166" s="4"/>
      <c r="F166" s="4"/>
      <c r="H166" s="4"/>
      <c r="I166" s="4"/>
      <c r="J166" s="7"/>
    </row>
    <row r="167" spans="4:10" s="66" customFormat="1" ht="27.95" customHeight="1" x14ac:dyDescent="0.25">
      <c r="D167" s="4"/>
      <c r="F167" s="4"/>
      <c r="H167" s="4"/>
      <c r="I167" s="4"/>
      <c r="J167" s="7"/>
    </row>
    <row r="168" spans="4:10" s="66" customFormat="1" ht="27.95" customHeight="1" x14ac:dyDescent="0.25">
      <c r="D168" s="4"/>
      <c r="F168" s="4"/>
      <c r="H168" s="4"/>
      <c r="I168" s="4"/>
      <c r="J168" s="7"/>
    </row>
    <row r="169" spans="4:10" s="66" customFormat="1" ht="27.95" customHeight="1" x14ac:dyDescent="0.25">
      <c r="D169" s="4"/>
      <c r="F169" s="4"/>
      <c r="H169" s="4"/>
      <c r="I169" s="4"/>
      <c r="J169" s="7"/>
    </row>
    <row r="170" spans="4:10" s="66" customFormat="1" ht="27.95" customHeight="1" x14ac:dyDescent="0.25">
      <c r="D170" s="4"/>
      <c r="F170" s="4"/>
      <c r="H170" s="4"/>
      <c r="I170" s="4"/>
      <c r="J170" s="7"/>
    </row>
    <row r="171" spans="4:10" s="66" customFormat="1" ht="27.95" customHeight="1" x14ac:dyDescent="0.25">
      <c r="D171" s="4"/>
      <c r="F171" s="4"/>
      <c r="H171" s="4"/>
      <c r="I171" s="4"/>
      <c r="J171" s="7"/>
    </row>
    <row r="172" spans="4:10" s="66" customFormat="1" ht="27.95" customHeight="1" x14ac:dyDescent="0.25">
      <c r="D172" s="4"/>
      <c r="F172" s="4"/>
      <c r="H172" s="4"/>
      <c r="I172" s="4"/>
      <c r="J172" s="7"/>
    </row>
    <row r="173" spans="4:10" s="66" customFormat="1" ht="27.95" customHeight="1" x14ac:dyDescent="0.25">
      <c r="D173" s="4"/>
      <c r="F173" s="4"/>
      <c r="H173" s="4"/>
      <c r="I173" s="4"/>
      <c r="J173" s="7"/>
    </row>
    <row r="174" spans="4:10" s="66" customFormat="1" ht="27.95" customHeight="1" x14ac:dyDescent="0.25">
      <c r="D174" s="4"/>
      <c r="F174" s="4"/>
      <c r="H174" s="4"/>
      <c r="I174" s="4"/>
      <c r="J174" s="7"/>
    </row>
    <row r="175" spans="4:10" s="66" customFormat="1" ht="27.95" customHeight="1" x14ac:dyDescent="0.25">
      <c r="D175" s="4"/>
      <c r="F175" s="4"/>
      <c r="H175" s="4"/>
      <c r="I175" s="4"/>
      <c r="J175" s="7"/>
    </row>
    <row r="176" spans="4:10" s="66" customFormat="1" ht="27.95" customHeight="1" x14ac:dyDescent="0.25">
      <c r="D176" s="4"/>
      <c r="F176" s="4"/>
      <c r="H176" s="4"/>
      <c r="I176" s="4"/>
      <c r="J176" s="7"/>
    </row>
    <row r="177" spans="4:10" s="66" customFormat="1" ht="27.95" customHeight="1" x14ac:dyDescent="0.25">
      <c r="D177" s="4"/>
      <c r="F177" s="4"/>
      <c r="H177" s="4"/>
      <c r="I177" s="4"/>
      <c r="J177" s="7"/>
    </row>
    <row r="178" spans="4:10" s="66" customFormat="1" ht="27.95" customHeight="1" x14ac:dyDescent="0.25">
      <c r="D178" s="4"/>
      <c r="F178" s="4"/>
      <c r="H178" s="4"/>
      <c r="I178" s="4"/>
      <c r="J178" s="7"/>
    </row>
    <row r="179" spans="4:10" s="66" customFormat="1" ht="27.95" customHeight="1" x14ac:dyDescent="0.25">
      <c r="D179" s="4"/>
      <c r="F179" s="4"/>
      <c r="H179" s="4"/>
      <c r="I179" s="4"/>
      <c r="J179" s="7"/>
    </row>
    <row r="180" spans="4:10" s="66" customFormat="1" ht="27.95" customHeight="1" x14ac:dyDescent="0.25">
      <c r="D180" s="4"/>
      <c r="F180" s="4"/>
      <c r="H180" s="4"/>
      <c r="I180" s="4"/>
      <c r="J180" s="7"/>
    </row>
    <row r="181" spans="4:10" s="66" customFormat="1" ht="27.95" customHeight="1" x14ac:dyDescent="0.25">
      <c r="D181" s="4"/>
      <c r="F181" s="4"/>
      <c r="H181" s="4"/>
      <c r="I181" s="4"/>
      <c r="J181" s="7"/>
    </row>
    <row r="182" spans="4:10" s="66" customFormat="1" ht="27.95" customHeight="1" x14ac:dyDescent="0.25">
      <c r="D182" s="4"/>
      <c r="F182" s="4"/>
      <c r="H182" s="4"/>
      <c r="I182" s="4"/>
      <c r="J182" s="7"/>
    </row>
    <row r="183" spans="4:10" s="66" customFormat="1" ht="27.95" customHeight="1" x14ac:dyDescent="0.25">
      <c r="D183" s="4"/>
      <c r="F183" s="4"/>
      <c r="H183" s="4"/>
      <c r="I183" s="4"/>
      <c r="J183" s="7"/>
    </row>
    <row r="184" spans="4:10" s="66" customFormat="1" ht="27.95" customHeight="1" x14ac:dyDescent="0.25">
      <c r="D184" s="4"/>
      <c r="F184" s="4"/>
      <c r="H184" s="4"/>
      <c r="I184" s="4"/>
      <c r="J184" s="7"/>
    </row>
    <row r="185" spans="4:10" s="66" customFormat="1" ht="27.95" customHeight="1" x14ac:dyDescent="0.25">
      <c r="D185" s="4"/>
      <c r="F185" s="4"/>
      <c r="H185" s="4"/>
      <c r="I185" s="4"/>
      <c r="J185" s="7"/>
    </row>
    <row r="186" spans="4:10" s="66" customFormat="1" ht="27.95" customHeight="1" x14ac:dyDescent="0.25">
      <c r="D186" s="4"/>
      <c r="F186" s="4"/>
      <c r="H186" s="4"/>
      <c r="I186" s="4"/>
      <c r="J186" s="7"/>
    </row>
    <row r="187" spans="4:10" s="66" customFormat="1" ht="27.95" customHeight="1" x14ac:dyDescent="0.25">
      <c r="D187" s="4"/>
      <c r="F187" s="4"/>
      <c r="H187" s="4"/>
      <c r="I187" s="4"/>
      <c r="J187" s="7"/>
    </row>
    <row r="188" spans="4:10" s="66" customFormat="1" ht="27.95" customHeight="1" x14ac:dyDescent="0.25">
      <c r="D188" s="4"/>
      <c r="F188" s="4"/>
      <c r="H188" s="4"/>
      <c r="I188" s="4"/>
      <c r="J188" s="7"/>
    </row>
    <row r="189" spans="4:10" s="66" customFormat="1" ht="27.95" customHeight="1" x14ac:dyDescent="0.25">
      <c r="D189" s="4"/>
      <c r="F189" s="4"/>
      <c r="H189" s="4"/>
      <c r="I189" s="4"/>
      <c r="J189" s="7"/>
    </row>
    <row r="190" spans="4:10" s="66" customFormat="1" ht="27.95" customHeight="1" x14ac:dyDescent="0.25">
      <c r="D190" s="4"/>
      <c r="F190" s="4"/>
      <c r="H190" s="4"/>
      <c r="I190" s="4"/>
      <c r="J190" s="7"/>
    </row>
    <row r="191" spans="4:10" s="66" customFormat="1" ht="27.95" customHeight="1" x14ac:dyDescent="0.25">
      <c r="D191" s="4"/>
      <c r="F191" s="4"/>
      <c r="H191" s="4"/>
      <c r="I191" s="4"/>
      <c r="J191" s="7"/>
    </row>
    <row r="192" spans="4:10" s="66" customFormat="1" ht="27.95" customHeight="1" x14ac:dyDescent="0.25">
      <c r="D192" s="4"/>
      <c r="F192" s="4"/>
      <c r="H192" s="4"/>
      <c r="I192" s="4"/>
      <c r="J192" s="7"/>
    </row>
    <row r="193" spans="4:10" s="66" customFormat="1" ht="27.95" customHeight="1" x14ac:dyDescent="0.25">
      <c r="D193" s="4"/>
      <c r="F193" s="4"/>
      <c r="H193" s="4"/>
      <c r="I193" s="4"/>
      <c r="J193" s="7"/>
    </row>
    <row r="194" spans="4:10" s="66" customFormat="1" ht="27.95" customHeight="1" x14ac:dyDescent="0.25">
      <c r="D194" s="4"/>
      <c r="F194" s="4"/>
      <c r="H194" s="4"/>
      <c r="I194" s="4"/>
      <c r="J194" s="7"/>
    </row>
    <row r="195" spans="4:10" s="66" customFormat="1" ht="27.95" customHeight="1" x14ac:dyDescent="0.25">
      <c r="D195" s="4"/>
      <c r="F195" s="4"/>
      <c r="H195" s="4"/>
      <c r="I195" s="4"/>
      <c r="J195" s="7"/>
    </row>
    <row r="196" spans="4:10" s="66" customFormat="1" ht="27.95" customHeight="1" x14ac:dyDescent="0.25">
      <c r="D196" s="4"/>
      <c r="F196" s="4"/>
      <c r="H196" s="4"/>
      <c r="I196" s="4"/>
      <c r="J196" s="7"/>
    </row>
    <row r="197" spans="4:10" s="66" customFormat="1" ht="27.95" customHeight="1" x14ac:dyDescent="0.25">
      <c r="D197" s="4"/>
      <c r="F197" s="4"/>
      <c r="H197" s="4"/>
      <c r="I197" s="4"/>
      <c r="J197" s="7"/>
    </row>
    <row r="198" spans="4:10" s="66" customFormat="1" ht="27.95" customHeight="1" x14ac:dyDescent="0.25">
      <c r="D198" s="4"/>
      <c r="F198" s="4"/>
      <c r="H198" s="4"/>
      <c r="I198" s="4"/>
      <c r="J198" s="7"/>
    </row>
    <row r="199" spans="4:10" s="66" customFormat="1" ht="27.95" customHeight="1" x14ac:dyDescent="0.25">
      <c r="D199" s="4"/>
      <c r="F199" s="4"/>
      <c r="H199" s="4"/>
      <c r="I199" s="4"/>
      <c r="J199" s="7"/>
    </row>
    <row r="200" spans="4:10" s="66" customFormat="1" ht="27.95" customHeight="1" x14ac:dyDescent="0.25">
      <c r="D200" s="4"/>
      <c r="F200" s="4"/>
      <c r="H200" s="4"/>
      <c r="I200" s="4"/>
      <c r="J200" s="7"/>
    </row>
    <row r="201" spans="4:10" s="66" customFormat="1" ht="27.95" customHeight="1" x14ac:dyDescent="0.25">
      <c r="D201" s="4"/>
      <c r="F201" s="4"/>
      <c r="H201" s="4"/>
      <c r="I201" s="4"/>
      <c r="J201" s="7"/>
    </row>
    <row r="202" spans="4:10" s="66" customFormat="1" ht="27.95" customHeight="1" x14ac:dyDescent="0.25">
      <c r="D202" s="4"/>
      <c r="F202" s="4"/>
      <c r="H202" s="4"/>
      <c r="I202" s="4"/>
      <c r="J202" s="7"/>
    </row>
    <row r="203" spans="4:10" s="66" customFormat="1" ht="27.95" customHeight="1" x14ac:dyDescent="0.25">
      <c r="D203" s="4"/>
      <c r="F203" s="4"/>
      <c r="H203" s="4"/>
      <c r="I203" s="4"/>
      <c r="J203" s="7"/>
    </row>
    <row r="204" spans="4:10" s="66" customFormat="1" ht="27.95" customHeight="1" x14ac:dyDescent="0.25">
      <c r="D204" s="4"/>
      <c r="F204" s="4"/>
      <c r="H204" s="4"/>
      <c r="I204" s="4"/>
      <c r="J204" s="7"/>
    </row>
    <row r="205" spans="4:10" s="66" customFormat="1" ht="27.95" customHeight="1" x14ac:dyDescent="0.25">
      <c r="D205" s="4"/>
      <c r="F205" s="4"/>
      <c r="H205" s="4"/>
      <c r="I205" s="4"/>
      <c r="J205" s="7"/>
    </row>
    <row r="206" spans="4:10" s="66" customFormat="1" ht="27.95" customHeight="1" x14ac:dyDescent="0.25">
      <c r="D206" s="4"/>
      <c r="F206" s="4"/>
      <c r="H206" s="4"/>
      <c r="I206" s="4"/>
      <c r="J206" s="7"/>
    </row>
    <row r="207" spans="4:10" s="66" customFormat="1" ht="27.95" customHeight="1" x14ac:dyDescent="0.25">
      <c r="D207" s="4"/>
      <c r="F207" s="4"/>
      <c r="H207" s="4"/>
      <c r="I207" s="4"/>
      <c r="J207" s="7"/>
    </row>
    <row r="208" spans="4:10" s="66" customFormat="1" ht="27.95" customHeight="1" x14ac:dyDescent="0.25">
      <c r="D208" s="4"/>
      <c r="F208" s="4"/>
      <c r="H208" s="4"/>
      <c r="I208" s="4"/>
      <c r="J208" s="7"/>
    </row>
    <row r="209" spans="4:10" s="66" customFormat="1" ht="27.95" customHeight="1" x14ac:dyDescent="0.25">
      <c r="D209" s="4"/>
      <c r="F209" s="4"/>
      <c r="H209" s="4"/>
      <c r="I209" s="4"/>
      <c r="J209" s="7"/>
    </row>
    <row r="210" spans="4:10" s="66" customFormat="1" ht="27.95" customHeight="1" x14ac:dyDescent="0.25">
      <c r="D210" s="4"/>
      <c r="F210" s="4"/>
      <c r="H210" s="4"/>
      <c r="I210" s="4"/>
      <c r="J210" s="7"/>
    </row>
    <row r="211" spans="4:10" s="66" customFormat="1" ht="27.95" customHeight="1" x14ac:dyDescent="0.25">
      <c r="D211" s="4"/>
      <c r="F211" s="4"/>
      <c r="H211" s="4"/>
      <c r="I211" s="4"/>
      <c r="J211" s="7"/>
    </row>
    <row r="212" spans="4:10" s="66" customFormat="1" ht="27.95" customHeight="1" x14ac:dyDescent="0.25">
      <c r="D212" s="4"/>
      <c r="F212" s="4"/>
      <c r="H212" s="4"/>
      <c r="I212" s="4"/>
      <c r="J212" s="7"/>
    </row>
    <row r="213" spans="4:10" s="66" customFormat="1" ht="27.95" customHeight="1" x14ac:dyDescent="0.25">
      <c r="D213" s="4"/>
      <c r="F213" s="4"/>
      <c r="H213" s="4"/>
      <c r="I213" s="4"/>
      <c r="J213" s="7"/>
    </row>
    <row r="214" spans="4:10" s="66" customFormat="1" ht="27.95" customHeight="1" x14ac:dyDescent="0.25">
      <c r="D214" s="4"/>
      <c r="F214" s="4"/>
      <c r="H214" s="4"/>
      <c r="I214" s="4"/>
      <c r="J214" s="7"/>
    </row>
    <row r="215" spans="4:10" s="66" customFormat="1" ht="27.95" customHeight="1" x14ac:dyDescent="0.25">
      <c r="D215" s="4"/>
      <c r="F215" s="4"/>
      <c r="H215" s="4"/>
      <c r="I215" s="4"/>
      <c r="J215" s="7"/>
    </row>
    <row r="216" spans="4:10" s="66" customFormat="1" ht="27.95" customHeight="1" x14ac:dyDescent="0.25">
      <c r="D216" s="4"/>
      <c r="F216" s="4"/>
      <c r="H216" s="4"/>
      <c r="I216" s="4"/>
      <c r="J216" s="7"/>
    </row>
    <row r="217" spans="4:10" s="66" customFormat="1" ht="27.95" customHeight="1" x14ac:dyDescent="0.25">
      <c r="D217" s="4"/>
      <c r="F217" s="4"/>
      <c r="H217" s="4"/>
      <c r="I217" s="4"/>
      <c r="J217" s="7"/>
    </row>
    <row r="218" spans="4:10" s="66" customFormat="1" ht="27.95" customHeight="1" x14ac:dyDescent="0.25">
      <c r="D218" s="4"/>
      <c r="F218" s="4"/>
      <c r="H218" s="4"/>
      <c r="I218" s="4"/>
      <c r="J218" s="7"/>
    </row>
    <row r="219" spans="4:10" s="66" customFormat="1" ht="27.95" customHeight="1" x14ac:dyDescent="0.25">
      <c r="D219" s="4"/>
      <c r="F219" s="4"/>
      <c r="H219" s="4"/>
      <c r="I219" s="4"/>
      <c r="J219" s="7"/>
    </row>
    <row r="220" spans="4:10" s="66" customFormat="1" ht="27.95" customHeight="1" x14ac:dyDescent="0.25">
      <c r="D220" s="4"/>
      <c r="F220" s="4"/>
      <c r="H220" s="4"/>
      <c r="I220" s="4"/>
      <c r="J220" s="7"/>
    </row>
    <row r="221" spans="4:10" s="66" customFormat="1" ht="27.95" customHeight="1" x14ac:dyDescent="0.25">
      <c r="D221" s="4"/>
      <c r="F221" s="4"/>
      <c r="H221" s="4"/>
      <c r="I221" s="4"/>
      <c r="J221" s="7"/>
    </row>
    <row r="222" spans="4:10" s="66" customFormat="1" ht="27.95" customHeight="1" x14ac:dyDescent="0.25">
      <c r="D222" s="4"/>
      <c r="F222" s="4"/>
      <c r="H222" s="4"/>
      <c r="I222" s="4"/>
      <c r="J222" s="7"/>
    </row>
    <row r="223" spans="4:10" s="66" customFormat="1" ht="27.95" customHeight="1" x14ac:dyDescent="0.25">
      <c r="D223" s="4"/>
      <c r="F223" s="4"/>
      <c r="H223" s="4"/>
      <c r="I223" s="4"/>
      <c r="J223" s="7"/>
    </row>
    <row r="224" spans="4:10" s="66" customFormat="1" ht="27.95" customHeight="1" x14ac:dyDescent="0.25">
      <c r="D224" s="4"/>
      <c r="F224" s="4"/>
      <c r="H224" s="4"/>
      <c r="I224" s="4"/>
      <c r="J224" s="7"/>
    </row>
    <row r="225" spans="4:10" s="66" customFormat="1" ht="27.95" customHeight="1" x14ac:dyDescent="0.25">
      <c r="D225" s="4"/>
      <c r="F225" s="4"/>
      <c r="H225" s="4"/>
      <c r="I225" s="4"/>
      <c r="J225" s="7"/>
    </row>
    <row r="226" spans="4:10" s="66" customFormat="1" ht="27.95" customHeight="1" x14ac:dyDescent="0.25">
      <c r="D226" s="4"/>
      <c r="F226" s="4"/>
      <c r="H226" s="4"/>
      <c r="I226" s="4"/>
      <c r="J226" s="7"/>
    </row>
    <row r="227" spans="4:10" s="66" customFormat="1" ht="27.95" customHeight="1" x14ac:dyDescent="0.25">
      <c r="D227" s="4"/>
      <c r="F227" s="4"/>
      <c r="H227" s="4"/>
      <c r="I227" s="4"/>
      <c r="J227" s="7"/>
    </row>
    <row r="228" spans="4:10" s="66" customFormat="1" ht="27.95" customHeight="1" x14ac:dyDescent="0.25">
      <c r="D228" s="4"/>
      <c r="F228" s="4"/>
      <c r="H228" s="4"/>
      <c r="I228" s="4"/>
      <c r="J228" s="7"/>
    </row>
    <row r="229" spans="4:10" s="66" customFormat="1" ht="27.95" customHeight="1" x14ac:dyDescent="0.25">
      <c r="D229" s="4"/>
      <c r="F229" s="4"/>
      <c r="H229" s="4"/>
      <c r="I229" s="4"/>
      <c r="J229" s="7"/>
    </row>
    <row r="230" spans="4:10" s="66" customFormat="1" ht="27.95" customHeight="1" x14ac:dyDescent="0.25">
      <c r="D230" s="4"/>
      <c r="F230" s="4"/>
      <c r="H230" s="4"/>
      <c r="I230" s="4"/>
      <c r="J230" s="7"/>
    </row>
    <row r="231" spans="4:10" s="66" customFormat="1" ht="27.95" customHeight="1" x14ac:dyDescent="0.25">
      <c r="D231" s="4"/>
      <c r="F231" s="4"/>
      <c r="H231" s="4"/>
      <c r="I231" s="4"/>
      <c r="J231" s="7"/>
    </row>
    <row r="232" spans="4:10" s="66" customFormat="1" ht="27.95" customHeight="1" x14ac:dyDescent="0.25">
      <c r="D232" s="4"/>
      <c r="F232" s="4"/>
      <c r="H232" s="4"/>
      <c r="I232" s="4"/>
      <c r="J232" s="7"/>
    </row>
    <row r="233" spans="4:10" s="66" customFormat="1" ht="27.95" customHeight="1" x14ac:dyDescent="0.25">
      <c r="D233" s="4"/>
      <c r="F233" s="4"/>
      <c r="H233" s="4"/>
      <c r="I233" s="4"/>
      <c r="J233" s="7"/>
    </row>
    <row r="234" spans="4:10" s="66" customFormat="1" ht="27.95" customHeight="1" x14ac:dyDescent="0.25">
      <c r="D234" s="4"/>
      <c r="F234" s="4"/>
      <c r="H234" s="4"/>
      <c r="I234" s="4"/>
      <c r="J234" s="7"/>
    </row>
    <row r="235" spans="4:10" s="66" customFormat="1" ht="27.95" customHeight="1" x14ac:dyDescent="0.25">
      <c r="D235" s="4"/>
      <c r="F235" s="4"/>
      <c r="H235" s="4"/>
      <c r="I235" s="4"/>
      <c r="J235" s="7"/>
    </row>
    <row r="236" spans="4:10" s="66" customFormat="1" ht="27.95" customHeight="1" x14ac:dyDescent="0.25">
      <c r="D236" s="4"/>
      <c r="F236" s="4"/>
      <c r="H236" s="4"/>
      <c r="I236" s="4"/>
      <c r="J236" s="7"/>
    </row>
  </sheetData>
  <phoneticPr fontId="4" type="noConversion"/>
  <dataValidations count="1">
    <dataValidation type="list" allowBlank="1" showInputMessage="1" showErrorMessage="1" sqref="E3:E10 G3:G10 B23:B24 B3:B18 E25:E30 C3:C24" xr:uid="{72AC4AC1-C04E-41F1-867E-34459A1B089B}">
      <formula1>lsMaterials</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D7067-D546-4529-B61A-31DEAEE2A522}">
  <dimension ref="B1:M96"/>
  <sheetViews>
    <sheetView showGridLines="0" topLeftCell="A40" workbookViewId="0">
      <selection activeCell="B62" sqref="B62"/>
    </sheetView>
  </sheetViews>
  <sheetFormatPr defaultRowHeight="27.95" customHeight="1" x14ac:dyDescent="0.25"/>
  <cols>
    <col min="1" max="1" width="1.42578125" style="66" customWidth="1"/>
    <col min="2" max="2" width="28.28515625" style="66" customWidth="1"/>
    <col min="3" max="5" width="12.85546875" style="66" customWidth="1"/>
    <col min="6" max="7" width="12.85546875" style="4" customWidth="1"/>
    <col min="8" max="16384" width="9.140625" style="66"/>
  </cols>
  <sheetData>
    <row r="1" spans="2:13" ht="7.5" customHeight="1" x14ac:dyDescent="0.25"/>
    <row r="2" spans="2:13" ht="27.95" customHeight="1" x14ac:dyDescent="0.25">
      <c r="B2" s="45" t="s">
        <v>916</v>
      </c>
      <c r="L2" s="4"/>
      <c r="M2" s="4"/>
    </row>
    <row r="3" spans="2:13" ht="27.95" customHeight="1" x14ac:dyDescent="0.25">
      <c r="B3" s="66" t="s">
        <v>0</v>
      </c>
      <c r="C3" s="66" t="s">
        <v>920</v>
      </c>
      <c r="D3" s="66" t="s">
        <v>924</v>
      </c>
      <c r="E3" s="66" t="s">
        <v>949</v>
      </c>
      <c r="F3" s="4" t="s">
        <v>1</v>
      </c>
      <c r="G3" s="4" t="s">
        <v>921</v>
      </c>
      <c r="H3" s="66" t="s">
        <v>939</v>
      </c>
    </row>
    <row r="4" spans="2:13" ht="27.95" customHeight="1" x14ac:dyDescent="0.25">
      <c r="B4" s="66" t="s">
        <v>942</v>
      </c>
      <c r="C4" s="66" t="s">
        <v>943</v>
      </c>
      <c r="D4" s="66" t="s">
        <v>937</v>
      </c>
      <c r="F4" s="7">
        <f>VLOOKUP(tbRecipes[[#This Row],[Item]],tbMaterials[],4,FALSE)</f>
        <v>90000</v>
      </c>
      <c r="G4" s="17">
        <f>VLOOKUP(tbRecipes[[#This Row],[Ingredient 1]],tbMaterials[],4,FALSE)+_xlfn.IFNA(VLOOKUP(tbRecipes[[#This Row],[Ingredient 2]],tbMaterials[],4,FALSE),0)+_xlfn.IFNA(VLOOKUP(tbRecipes[[#This Row],[Ingredient 3]],tbMaterials[],4,FALSE),0)</f>
        <v>90300</v>
      </c>
    </row>
    <row r="5" spans="2:13" ht="27.95" customHeight="1" x14ac:dyDescent="0.25">
      <c r="B5" s="66" t="s">
        <v>942</v>
      </c>
      <c r="C5" s="66" t="s">
        <v>944</v>
      </c>
      <c r="D5" s="66" t="s">
        <v>937</v>
      </c>
      <c r="F5" s="7">
        <f>VLOOKUP(tbRecipes[[#This Row],[Item]],tbMaterials[],4,FALSE)</f>
        <v>90000</v>
      </c>
      <c r="G5" s="17">
        <f>VLOOKUP(tbRecipes[[#This Row],[Ingredient 1]],tbMaterials[],4,FALSE)+_xlfn.IFNA(VLOOKUP(tbRecipes[[#This Row],[Ingredient 2]],tbMaterials[],4,FALSE),0)+_xlfn.IFNA(VLOOKUP(tbRecipes[[#This Row],[Ingredient 3]],tbMaterials[],4,FALSE),0)</f>
        <v>57300</v>
      </c>
    </row>
    <row r="6" spans="2:13" ht="27.95" customHeight="1" x14ac:dyDescent="0.25">
      <c r="B6" s="66" t="s">
        <v>942</v>
      </c>
      <c r="C6" s="66" t="s">
        <v>986</v>
      </c>
      <c r="D6" s="66" t="s">
        <v>943</v>
      </c>
      <c r="F6" s="7">
        <f>VLOOKUP(tbRecipes[[#This Row],[Item]],tbMaterials[],4,FALSE)</f>
        <v>90000</v>
      </c>
      <c r="G6" s="7">
        <f>VLOOKUP(tbRecipes[[#This Row],[Ingredient 1]],tbMaterials[],4,FALSE)+_xlfn.IFNA(VLOOKUP(tbRecipes[[#This Row],[Ingredient 2]],tbMaterials[],4,FALSE),0)+_xlfn.IFNA(VLOOKUP(tbRecipes[[#This Row],[Ingredient 3]],tbMaterials[],4,FALSE),0)</f>
        <v>91400</v>
      </c>
    </row>
    <row r="7" spans="2:13" ht="27.95" customHeight="1" x14ac:dyDescent="0.25">
      <c r="B7" s="66" t="s">
        <v>942</v>
      </c>
      <c r="C7" s="66" t="s">
        <v>944</v>
      </c>
      <c r="D7" s="66" t="s">
        <v>986</v>
      </c>
      <c r="F7" s="7">
        <f>VLOOKUP(tbRecipes[[#This Row],[Item]],tbMaterials[],4,FALSE)</f>
        <v>90000</v>
      </c>
      <c r="G7" s="17">
        <f>VLOOKUP(tbRecipes[[#This Row],[Ingredient 1]],tbMaterials[],4,FALSE)+_xlfn.IFNA(VLOOKUP(tbRecipes[[#This Row],[Ingredient 2]],tbMaterials[],4,FALSE),0)+_xlfn.IFNA(VLOOKUP(tbRecipes[[#This Row],[Ingredient 3]],tbMaterials[],4,FALSE),0)</f>
        <v>58400</v>
      </c>
    </row>
    <row r="8" spans="2:13" ht="27.95" customHeight="1" x14ac:dyDescent="0.25">
      <c r="B8" s="66" t="s">
        <v>971</v>
      </c>
      <c r="C8" s="66" t="s">
        <v>972</v>
      </c>
      <c r="D8" s="66" t="s">
        <v>334</v>
      </c>
      <c r="F8" s="7">
        <f>VLOOKUP(tbRecipes[[#This Row],[Item]],tbMaterials[],4,FALSE)</f>
        <v>800</v>
      </c>
      <c r="G8" s="7">
        <f>VLOOKUP(tbRecipes[[#This Row],[Ingredient 1]],tbMaterials[],4,FALSE)+_xlfn.IFNA(VLOOKUP(tbRecipes[[#This Row],[Ingredient 2]],tbMaterials[],4,FALSE),0)+_xlfn.IFNA(VLOOKUP(tbRecipes[[#This Row],[Ingredient 3]],tbMaterials[],4,FALSE),0)</f>
        <v>1440</v>
      </c>
    </row>
    <row r="9" spans="2:13" ht="27.95" customHeight="1" x14ac:dyDescent="0.25">
      <c r="B9" s="66" t="s">
        <v>971</v>
      </c>
      <c r="C9" s="66" t="s">
        <v>973</v>
      </c>
      <c r="D9" s="66" t="s">
        <v>334</v>
      </c>
      <c r="F9" s="7">
        <f>VLOOKUP(tbRecipes[[#This Row],[Item]],tbMaterials[],4,FALSE)</f>
        <v>800</v>
      </c>
      <c r="G9" s="7">
        <f>VLOOKUP(tbRecipes[[#This Row],[Ingredient 1]],tbMaterials[],4,FALSE)+_xlfn.IFNA(VLOOKUP(tbRecipes[[#This Row],[Ingredient 2]],tbMaterials[],4,FALSE),0)+_xlfn.IFNA(VLOOKUP(tbRecipes[[#This Row],[Ingredient 3]],tbMaterials[],4,FALSE),0)</f>
        <v>1440</v>
      </c>
    </row>
    <row r="10" spans="2:13" ht="27.95" customHeight="1" x14ac:dyDescent="0.25">
      <c r="B10" s="67" t="s">
        <v>926</v>
      </c>
      <c r="C10" s="67" t="s">
        <v>118</v>
      </c>
      <c r="D10" s="67" t="s">
        <v>347</v>
      </c>
      <c r="E10" s="67"/>
      <c r="F10" s="96">
        <f>VLOOKUP(tbRecipes[[#This Row],[Item]],tbMaterials[],4,FALSE)</f>
        <v>300</v>
      </c>
      <c r="G10" s="95">
        <f>VLOOKUP(tbRecipes[[#This Row],[Ingredient 1]],tbMaterials[],4,FALSE)+_xlfn.IFNA(VLOOKUP(tbRecipes[[#This Row],[Ingredient 2]],tbMaterials[],4,FALSE),0)+_xlfn.IFNA(VLOOKUP(tbRecipes[[#This Row],[Ingredient 3]],tbMaterials[],4,FALSE),0)</f>
        <v>40</v>
      </c>
    </row>
    <row r="11" spans="2:13" ht="27.95" customHeight="1" x14ac:dyDescent="0.25">
      <c r="B11" s="66" t="s">
        <v>948</v>
      </c>
      <c r="C11" s="66" t="s">
        <v>950</v>
      </c>
      <c r="D11" s="66" t="s">
        <v>951</v>
      </c>
      <c r="E11" s="66" t="s">
        <v>937</v>
      </c>
      <c r="F11" s="7">
        <f>VLOOKUP(tbRecipes[[#This Row],[Item]],tbMaterials[],4,FALSE)</f>
        <v>62000</v>
      </c>
      <c r="G11" s="17">
        <f>VLOOKUP(tbRecipes[[#This Row],[Ingredient 1]],tbMaterials[],4,FALSE)+_xlfn.IFNA(VLOOKUP(tbRecipes[[#This Row],[Ingredient 2]],tbMaterials[],4,FALSE),0)+_xlfn.IFNA(VLOOKUP(tbRecipes[[#This Row],[Ingredient 3]],tbMaterials[],4,FALSE),0)</f>
        <v>42300</v>
      </c>
    </row>
    <row r="12" spans="2:13" ht="27.95" customHeight="1" x14ac:dyDescent="0.25">
      <c r="B12" s="66" t="s">
        <v>948</v>
      </c>
      <c r="C12" s="66" t="s">
        <v>950</v>
      </c>
      <c r="D12" s="66" t="s">
        <v>952</v>
      </c>
      <c r="E12" s="66" t="s">
        <v>937</v>
      </c>
      <c r="F12" s="7">
        <f>VLOOKUP(tbRecipes[[#This Row],[Item]],tbMaterials[],4,FALSE)</f>
        <v>62000</v>
      </c>
      <c r="G12" s="17">
        <f>VLOOKUP(tbRecipes[[#This Row],[Ingredient 1]],tbMaterials[],4,FALSE)+_xlfn.IFNA(VLOOKUP(tbRecipes[[#This Row],[Ingredient 2]],tbMaterials[],4,FALSE),0)+_xlfn.IFNA(VLOOKUP(tbRecipes[[#This Row],[Ingredient 3]],tbMaterials[],4,FALSE),0)</f>
        <v>39300</v>
      </c>
    </row>
    <row r="13" spans="2:13" ht="27.95" customHeight="1" x14ac:dyDescent="0.25">
      <c r="B13" s="66" t="s">
        <v>955</v>
      </c>
      <c r="C13" s="66" t="s">
        <v>958</v>
      </c>
      <c r="F13" s="7">
        <f>VLOOKUP(tbRecipes[[#This Row],[Item]],tbMaterials[],4,FALSE)</f>
        <v>7200</v>
      </c>
      <c r="G13" s="17">
        <f>VLOOKUP(tbRecipes[[#This Row],[Ingredient 1]],tbMaterials[],4,FALSE)+_xlfn.IFNA(VLOOKUP(tbRecipes[[#This Row],[Ingredient 2]],tbMaterials[],4,FALSE),0)+_xlfn.IFNA(VLOOKUP(tbRecipes[[#This Row],[Ingredient 3]],tbMaterials[],4,FALSE),0)</f>
        <v>5400</v>
      </c>
    </row>
    <row r="14" spans="2:13" ht="27.95" customHeight="1" x14ac:dyDescent="0.25">
      <c r="B14" s="66" t="s">
        <v>958</v>
      </c>
      <c r="C14" s="66" t="s">
        <v>959</v>
      </c>
      <c r="F14" s="7">
        <f>VLOOKUP(tbRecipes[[#This Row],[Item]],tbMaterials[],4,FALSE)</f>
        <v>5400</v>
      </c>
      <c r="G14" s="17">
        <f>VLOOKUP(tbRecipes[[#This Row],[Ingredient 1]],tbMaterials[],4,FALSE)+_xlfn.IFNA(VLOOKUP(tbRecipes[[#This Row],[Ingredient 2]],tbMaterials[],4,FALSE),0)+_xlfn.IFNA(VLOOKUP(tbRecipes[[#This Row],[Ingredient 3]],tbMaterials[],4,FALSE),0)</f>
        <v>3200</v>
      </c>
    </row>
    <row r="15" spans="2:13" ht="27.95" customHeight="1" x14ac:dyDescent="0.25">
      <c r="B15" s="66" t="s">
        <v>958</v>
      </c>
      <c r="C15" s="66" t="s">
        <v>960</v>
      </c>
      <c r="F15" s="7">
        <f>VLOOKUP(tbRecipes[[#This Row],[Item]],tbMaterials[],4,FALSE)</f>
        <v>5400</v>
      </c>
      <c r="G15" s="17">
        <f>VLOOKUP(tbRecipes[[#This Row],[Ingredient 1]],tbMaterials[],4,FALSE)+_xlfn.IFNA(VLOOKUP(tbRecipes[[#This Row],[Ingredient 2]],tbMaterials[],4,FALSE),0)+_xlfn.IFNA(VLOOKUP(tbRecipes[[#This Row],[Ingredient 3]],tbMaterials[],4,FALSE),0)</f>
        <v>1600</v>
      </c>
    </row>
    <row r="16" spans="2:13" ht="27.95" customHeight="1" x14ac:dyDescent="0.25">
      <c r="B16" s="66" t="s">
        <v>958</v>
      </c>
      <c r="C16" s="66" t="s">
        <v>959</v>
      </c>
      <c r="F16" s="7">
        <f>VLOOKUP(tbRecipes[[#This Row],[Item]],tbMaterials[],4,FALSE)</f>
        <v>5400</v>
      </c>
      <c r="G16" s="17">
        <f>VLOOKUP(tbRecipes[[#This Row],[Ingredient 1]],tbMaterials[],4,FALSE)+_xlfn.IFNA(VLOOKUP(tbRecipes[[#This Row],[Ingredient 2]],tbMaterials[],4,FALSE),0)+_xlfn.IFNA(VLOOKUP(tbRecipes[[#This Row],[Ingredient 3]],tbMaterials[],4,FALSE),0)</f>
        <v>3200</v>
      </c>
    </row>
    <row r="17" spans="2:7" ht="27.95" customHeight="1" x14ac:dyDescent="0.25">
      <c r="B17" s="66" t="s">
        <v>958</v>
      </c>
      <c r="C17" s="66" t="s">
        <v>960</v>
      </c>
      <c r="F17" s="7">
        <f>VLOOKUP(tbRecipes[[#This Row],[Item]],tbMaterials[],4,FALSE)</f>
        <v>5400</v>
      </c>
      <c r="G17" s="17">
        <f>VLOOKUP(tbRecipes[[#This Row],[Ingredient 1]],tbMaterials[],4,FALSE)+_xlfn.IFNA(VLOOKUP(tbRecipes[[#This Row],[Ingredient 2]],tbMaterials[],4,FALSE),0)+_xlfn.IFNA(VLOOKUP(tbRecipes[[#This Row],[Ingredient 3]],tbMaterials[],4,FALSE),0)</f>
        <v>1600</v>
      </c>
    </row>
    <row r="18" spans="2:7" ht="27.95" customHeight="1" x14ac:dyDescent="0.25">
      <c r="B18" s="67" t="s">
        <v>919</v>
      </c>
      <c r="C18" s="67" t="s">
        <v>245</v>
      </c>
      <c r="D18" s="67" t="s">
        <v>347</v>
      </c>
      <c r="E18" s="67"/>
      <c r="F18" s="96">
        <f>VLOOKUP(tbRecipes[[#This Row],[Item]],tbMaterials[],4,FALSE)</f>
        <v>800</v>
      </c>
      <c r="G18" s="42">
        <f>VLOOKUP(tbRecipes[[#This Row],[Ingredient 1]],tbMaterials[],4,FALSE)+_xlfn.IFNA(VLOOKUP(tbRecipes[[#This Row],[Ingredient 2]],tbMaterials[],4,FALSE),0)+_xlfn.IFNA(VLOOKUP(tbRecipes[[#This Row],[Ingredient 3]],tbMaterials[],4,FALSE),0)</f>
        <v>28</v>
      </c>
    </row>
    <row r="19" spans="2:7" ht="27.95" customHeight="1" x14ac:dyDescent="0.25">
      <c r="B19" s="67" t="s">
        <v>919</v>
      </c>
      <c r="C19" s="67" t="s">
        <v>926</v>
      </c>
      <c r="D19" s="67" t="s">
        <v>347</v>
      </c>
      <c r="E19" s="67"/>
      <c r="F19" s="96">
        <f>VLOOKUP(tbRecipes[[#This Row],[Item]],tbMaterials[],4,FALSE)</f>
        <v>800</v>
      </c>
      <c r="G19" s="95">
        <f>VLOOKUP(tbRecipes[[#This Row],[Ingredient 1]],tbMaterials[],4,FALSE)+_xlfn.IFNA(VLOOKUP(tbRecipes[[#This Row],[Ingredient 2]],tbMaterials[],4,FALSE),0)+_xlfn.IFNA(VLOOKUP(tbRecipes[[#This Row],[Ingredient 3]],tbMaterials[],4,FALSE),0)</f>
        <v>312</v>
      </c>
    </row>
    <row r="20" spans="2:7" ht="27.95" customHeight="1" x14ac:dyDescent="0.25">
      <c r="B20" s="66" t="s">
        <v>919</v>
      </c>
      <c r="C20" s="66" t="s">
        <v>361</v>
      </c>
      <c r="D20" s="66" t="s">
        <v>347</v>
      </c>
      <c r="F20" s="7">
        <f>VLOOKUP(tbRecipes[[#This Row],[Item]],tbMaterials[],4,FALSE)</f>
        <v>800</v>
      </c>
      <c r="G20" s="17">
        <f>VLOOKUP(tbRecipes[[#This Row],[Ingredient 1]],tbMaterials[],4,FALSE)+_xlfn.IFNA(VLOOKUP(tbRecipes[[#This Row],[Ingredient 2]],tbMaterials[],4,FALSE),0)+_xlfn.IFNA(VLOOKUP(tbRecipes[[#This Row],[Ingredient 3]],tbMaterials[],4,FALSE),0)</f>
        <v>312</v>
      </c>
    </row>
    <row r="21" spans="2:7" ht="27.95" customHeight="1" x14ac:dyDescent="0.25">
      <c r="B21" s="67" t="s">
        <v>919</v>
      </c>
      <c r="C21" s="67" t="s">
        <v>929</v>
      </c>
      <c r="D21" s="67" t="s">
        <v>347</v>
      </c>
      <c r="E21" s="67"/>
      <c r="F21" s="96">
        <f>VLOOKUP(tbRecipes[[#This Row],[Item]],tbMaterials[],4,FALSE)</f>
        <v>800</v>
      </c>
      <c r="G21" s="95">
        <f>VLOOKUP(tbRecipes[[#This Row],[Ingredient 1]],tbMaterials[],4,FALSE)+_xlfn.IFNA(VLOOKUP(tbRecipes[[#This Row],[Ingredient 2]],tbMaterials[],4,FALSE),0)+_xlfn.IFNA(VLOOKUP(tbRecipes[[#This Row],[Ingredient 3]],tbMaterials[],4,FALSE),0)</f>
        <v>312</v>
      </c>
    </row>
    <row r="22" spans="2:7" ht="27.95" customHeight="1" x14ac:dyDescent="0.25">
      <c r="B22" s="66" t="s">
        <v>919</v>
      </c>
      <c r="C22" s="66" t="s">
        <v>927</v>
      </c>
      <c r="D22" s="66" t="s">
        <v>347</v>
      </c>
      <c r="F22" s="7">
        <f>VLOOKUP(tbRecipes[[#This Row],[Item]],tbMaterials[],4,FALSE)</f>
        <v>800</v>
      </c>
      <c r="G22" s="17">
        <f>VLOOKUP(tbRecipes[[#This Row],[Ingredient 1]],tbMaterials[],4,FALSE)+_xlfn.IFNA(VLOOKUP(tbRecipes[[#This Row],[Ingredient 2]],tbMaterials[],4,FALSE),0)+_xlfn.IFNA(VLOOKUP(tbRecipes[[#This Row],[Ingredient 3]],tbMaterials[],4,FALSE),0)</f>
        <v>312</v>
      </c>
    </row>
    <row r="23" spans="2:7" ht="27.95" customHeight="1" x14ac:dyDescent="0.25">
      <c r="B23" s="67" t="s">
        <v>919</v>
      </c>
      <c r="C23" s="67" t="s">
        <v>922</v>
      </c>
      <c r="D23" s="67" t="s">
        <v>347</v>
      </c>
      <c r="E23" s="67"/>
      <c r="F23" s="96">
        <f>VLOOKUP(tbRecipes[[#This Row],[Item]],tbMaterials[],4,FALSE)</f>
        <v>800</v>
      </c>
      <c r="G23" s="95">
        <f>VLOOKUP(tbRecipes[[#This Row],[Ingredient 1]],tbMaterials[],4,FALSE)+_xlfn.IFNA(VLOOKUP(tbRecipes[[#This Row],[Ingredient 2]],tbMaterials[],4,FALSE),0)+_xlfn.IFNA(VLOOKUP(tbRecipes[[#This Row],[Ingredient 3]],tbMaterials[],4,FALSE),0)</f>
        <v>312</v>
      </c>
    </row>
    <row r="24" spans="2:7" ht="27.95" customHeight="1" x14ac:dyDescent="0.25">
      <c r="B24" s="66" t="s">
        <v>919</v>
      </c>
      <c r="C24" s="66" t="s">
        <v>928</v>
      </c>
      <c r="D24" s="66" t="s">
        <v>347</v>
      </c>
      <c r="F24" s="7">
        <f>VLOOKUP(tbRecipes[[#This Row],[Item]],tbMaterials[],4,FALSE)</f>
        <v>800</v>
      </c>
      <c r="G24" s="17">
        <f>VLOOKUP(tbRecipes[[#This Row],[Ingredient 1]],tbMaterials[],4,FALSE)+_xlfn.IFNA(VLOOKUP(tbRecipes[[#This Row],[Ingredient 2]],tbMaterials[],4,FALSE),0)+_xlfn.IFNA(VLOOKUP(tbRecipes[[#This Row],[Ingredient 3]],tbMaterials[],4,FALSE),0)</f>
        <v>312</v>
      </c>
    </row>
    <row r="25" spans="2:7" ht="27.95" customHeight="1" x14ac:dyDescent="0.25">
      <c r="B25" s="67" t="s">
        <v>930</v>
      </c>
      <c r="C25" s="67" t="s">
        <v>118</v>
      </c>
      <c r="D25" s="67" t="s">
        <v>347</v>
      </c>
      <c r="E25" s="67"/>
      <c r="F25" s="96">
        <f>VLOOKUP(tbRecipes[[#This Row],[Item]],tbMaterials[],4,FALSE)</f>
        <v>800</v>
      </c>
      <c r="G25" s="95">
        <f>VLOOKUP(tbRecipes[[#This Row],[Ingredient 1]],tbMaterials[],4,FALSE)+_xlfn.IFNA(VLOOKUP(tbRecipes[[#This Row],[Ingredient 2]],tbMaterials[],4,FALSE),0)+_xlfn.IFNA(VLOOKUP(tbRecipes[[#This Row],[Ingredient 3]],tbMaterials[],4,FALSE),0)</f>
        <v>40</v>
      </c>
    </row>
    <row r="26" spans="2:7" ht="27.95" customHeight="1" x14ac:dyDescent="0.25">
      <c r="B26" s="66" t="s">
        <v>930</v>
      </c>
      <c r="C26" s="66" t="s">
        <v>22</v>
      </c>
      <c r="D26" s="66" t="s">
        <v>347</v>
      </c>
      <c r="F26" s="7">
        <f>VLOOKUP(tbRecipes[[#This Row],[Item]],tbMaterials[],4,FALSE)</f>
        <v>800</v>
      </c>
      <c r="G26" s="17">
        <f>VLOOKUP(tbRecipes[[#This Row],[Ingredient 1]],tbMaterials[],4,FALSE)+_xlfn.IFNA(VLOOKUP(tbRecipes[[#This Row],[Ingredient 2]],tbMaterials[],4,FALSE),0)+_xlfn.IFNA(VLOOKUP(tbRecipes[[#This Row],[Ingredient 3]],tbMaterials[],4,FALSE),0)</f>
        <v>812</v>
      </c>
    </row>
    <row r="27" spans="2:7" ht="27.95" customHeight="1" x14ac:dyDescent="0.25">
      <c r="B27" s="66" t="s">
        <v>930</v>
      </c>
      <c r="C27" s="66" t="s">
        <v>931</v>
      </c>
      <c r="D27" s="66" t="s">
        <v>347</v>
      </c>
      <c r="F27" s="7">
        <f>VLOOKUP(tbRecipes[[#This Row],[Item]],tbMaterials[],4,FALSE)</f>
        <v>800</v>
      </c>
      <c r="G27" s="17">
        <f>VLOOKUP(tbRecipes[[#This Row],[Ingredient 1]],tbMaterials[],4,FALSE)+_xlfn.IFNA(VLOOKUP(tbRecipes[[#This Row],[Ingredient 2]],tbMaterials[],4,FALSE),0)+_xlfn.IFNA(VLOOKUP(tbRecipes[[#This Row],[Ingredient 3]],tbMaterials[],4,FALSE),0)</f>
        <v>812</v>
      </c>
    </row>
    <row r="28" spans="2:7" ht="27.95" customHeight="1" x14ac:dyDescent="0.25">
      <c r="B28" s="66" t="s">
        <v>930</v>
      </c>
      <c r="C28" s="66" t="s">
        <v>562</v>
      </c>
      <c r="D28" s="66" t="s">
        <v>347</v>
      </c>
      <c r="F28" s="7">
        <f>VLOOKUP(tbRecipes[[#This Row],[Item]],tbMaterials[],4,FALSE)</f>
        <v>800</v>
      </c>
      <c r="G28" s="17">
        <f>VLOOKUP(tbRecipes[[#This Row],[Ingredient 1]],tbMaterials[],4,FALSE)+_xlfn.IFNA(VLOOKUP(tbRecipes[[#This Row],[Ingredient 2]],tbMaterials[],4,FALSE),0)+_xlfn.IFNA(VLOOKUP(tbRecipes[[#This Row],[Ingredient 3]],tbMaterials[],4,FALSE),0)</f>
        <v>312</v>
      </c>
    </row>
    <row r="29" spans="2:7" ht="27.95" customHeight="1" x14ac:dyDescent="0.25">
      <c r="B29" s="66" t="s">
        <v>930</v>
      </c>
      <c r="C29" s="66" t="s">
        <v>23</v>
      </c>
      <c r="D29" s="66" t="s">
        <v>347</v>
      </c>
      <c r="F29" s="7">
        <f>VLOOKUP(tbRecipes[[#This Row],[Item]],tbMaterials[],4,FALSE)</f>
        <v>800</v>
      </c>
      <c r="G29" s="17">
        <f>VLOOKUP(tbRecipes[[#This Row],[Ingredient 1]],tbMaterials[],4,FALSE)+_xlfn.IFNA(VLOOKUP(tbRecipes[[#This Row],[Ingredient 2]],tbMaterials[],4,FALSE),0)+_xlfn.IFNA(VLOOKUP(tbRecipes[[#This Row],[Ingredient 3]],tbMaterials[],4,FALSE),0)</f>
        <v>53</v>
      </c>
    </row>
    <row r="30" spans="2:7" ht="27.95" customHeight="1" x14ac:dyDescent="0.25">
      <c r="B30" s="67" t="s">
        <v>930</v>
      </c>
      <c r="C30" s="67" t="s">
        <v>932</v>
      </c>
      <c r="D30" s="67" t="s">
        <v>347</v>
      </c>
      <c r="E30" s="67"/>
      <c r="F30" s="96">
        <f>VLOOKUP(tbRecipes[[#This Row],[Item]],tbMaterials[],4,FALSE)</f>
        <v>800</v>
      </c>
      <c r="G30" s="95">
        <f>VLOOKUP(tbRecipes[[#This Row],[Ingredient 1]],tbMaterials[],4,FALSE)+_xlfn.IFNA(VLOOKUP(tbRecipes[[#This Row],[Ingredient 2]],tbMaterials[],4,FALSE),0)+_xlfn.IFNA(VLOOKUP(tbRecipes[[#This Row],[Ingredient 3]],tbMaterials[],4,FALSE),0)</f>
        <v>312</v>
      </c>
    </row>
    <row r="31" spans="2:7" ht="27.95" customHeight="1" x14ac:dyDescent="0.25">
      <c r="B31" s="67" t="s">
        <v>930</v>
      </c>
      <c r="C31" s="67" t="s">
        <v>82</v>
      </c>
      <c r="D31" s="67" t="s">
        <v>347</v>
      </c>
      <c r="E31" s="67"/>
      <c r="F31" s="96">
        <f>VLOOKUP(tbRecipes[[#This Row],[Item]],tbMaterials[],4,FALSE)</f>
        <v>800</v>
      </c>
      <c r="G31" s="95">
        <f>VLOOKUP(tbRecipes[[#This Row],[Ingredient 1]],tbMaterials[],4,FALSE)+_xlfn.IFNA(VLOOKUP(tbRecipes[[#This Row],[Ingredient 2]],tbMaterials[],4,FALSE),0)+_xlfn.IFNA(VLOOKUP(tbRecipes[[#This Row],[Ingredient 3]],tbMaterials[],4,FALSE),0)</f>
        <v>44</v>
      </c>
    </row>
    <row r="32" spans="2:7" ht="27.95" customHeight="1" x14ac:dyDescent="0.25">
      <c r="B32" s="66" t="s">
        <v>930</v>
      </c>
      <c r="C32" s="66" t="s">
        <v>16</v>
      </c>
      <c r="D32" s="66" t="s">
        <v>347</v>
      </c>
      <c r="F32" s="7">
        <f>VLOOKUP(tbRecipes[[#This Row],[Item]],tbMaterials[],4,FALSE)</f>
        <v>800</v>
      </c>
      <c r="G32" s="17">
        <f>VLOOKUP(tbRecipes[[#This Row],[Ingredient 1]],tbMaterials[],4,FALSE)+_xlfn.IFNA(VLOOKUP(tbRecipes[[#This Row],[Ingredient 2]],tbMaterials[],4,FALSE),0)+_xlfn.IFNA(VLOOKUP(tbRecipes[[#This Row],[Ingredient 3]],tbMaterials[],4,FALSE),0)</f>
        <v>312</v>
      </c>
    </row>
    <row r="33" spans="2:7" ht="27.95" customHeight="1" x14ac:dyDescent="0.25">
      <c r="B33" s="66" t="s">
        <v>964</v>
      </c>
      <c r="C33" s="66" t="s">
        <v>22</v>
      </c>
      <c r="F33" s="7">
        <f>VLOOKUP(tbRecipes[[#This Row],[Item]],tbMaterials[],4,FALSE)</f>
        <v>1800</v>
      </c>
      <c r="G33" s="17">
        <f>VLOOKUP(tbRecipes[[#This Row],[Ingredient 1]],tbMaterials[],4,FALSE)+_xlfn.IFNA(VLOOKUP(tbRecipes[[#This Row],[Ingredient 2]],tbMaterials[],4,FALSE),0)+_xlfn.IFNA(VLOOKUP(tbRecipes[[#This Row],[Ingredient 3]],tbMaterials[],4,FALSE),0)</f>
        <v>800</v>
      </c>
    </row>
    <row r="34" spans="2:7" ht="27.95" customHeight="1" x14ac:dyDescent="0.25">
      <c r="B34" s="66" t="s">
        <v>977</v>
      </c>
      <c r="C34" s="66" t="s">
        <v>975</v>
      </c>
      <c r="D34" s="66" t="s">
        <v>978</v>
      </c>
      <c r="F34" s="7">
        <f>VLOOKUP(tbRecipes[[#This Row],[Item]],tbMaterials[],4,FALSE)</f>
        <v>9000</v>
      </c>
      <c r="G34" s="7">
        <f>VLOOKUP(tbRecipes[[#This Row],[Ingredient 1]],tbMaterials[],4,FALSE)+_xlfn.IFNA(VLOOKUP(tbRecipes[[#This Row],[Ingredient 2]],tbMaterials[],4,FALSE),0)+_xlfn.IFNA(VLOOKUP(tbRecipes[[#This Row],[Ingredient 3]],tbMaterials[],4,FALSE),0)</f>
        <v>12200</v>
      </c>
    </row>
    <row r="35" spans="2:7" ht="27.95" customHeight="1" x14ac:dyDescent="0.25">
      <c r="B35" s="67" t="s">
        <v>935</v>
      </c>
      <c r="C35" s="67" t="s">
        <v>71</v>
      </c>
      <c r="D35" s="67"/>
      <c r="E35" s="67"/>
      <c r="F35" s="96">
        <f>VLOOKUP(tbRecipes[[#This Row],[Item]],tbMaterials[],4,FALSE)</f>
        <v>300</v>
      </c>
      <c r="G35" s="95">
        <f>VLOOKUP(tbRecipes[[#This Row],[Ingredient 1]],tbMaterials[],4,FALSE)+_xlfn.IFNA(VLOOKUP(tbRecipes[[#This Row],[Ingredient 2]],tbMaterials[],4,FALSE),0)+_xlfn.IFNA(VLOOKUP(tbRecipes[[#This Row],[Ingredient 3]],tbMaterials[],4,FALSE),0)</f>
        <v>12</v>
      </c>
    </row>
    <row r="36" spans="2:7" ht="27.95" customHeight="1" x14ac:dyDescent="0.25">
      <c r="B36" s="66" t="s">
        <v>982</v>
      </c>
      <c r="C36" s="66" t="s">
        <v>979</v>
      </c>
      <c r="D36" s="66" t="s">
        <v>334</v>
      </c>
      <c r="F36" s="7">
        <f>VLOOKUP(tbRecipes[[#This Row],[Item]],tbMaterials[],4,FALSE)</f>
        <v>800</v>
      </c>
      <c r="G36" s="7">
        <f>VLOOKUP(tbRecipes[[#This Row],[Ingredient 1]],tbMaterials[],4,FALSE)+_xlfn.IFNA(VLOOKUP(tbRecipes[[#This Row],[Ingredient 2]],tbMaterials[],4,FALSE),0)+_xlfn.IFNA(VLOOKUP(tbRecipes[[#This Row],[Ingredient 3]],tbMaterials[],4,FALSE),0)</f>
        <v>1040</v>
      </c>
    </row>
    <row r="37" spans="2:7" ht="27.95" customHeight="1" x14ac:dyDescent="0.25">
      <c r="B37" s="66" t="s">
        <v>982</v>
      </c>
      <c r="C37" s="66" t="s">
        <v>986</v>
      </c>
      <c r="D37" s="66" t="s">
        <v>334</v>
      </c>
      <c r="F37" s="7">
        <f>VLOOKUP(tbRecipes[[#This Row],[Item]],tbMaterials[],4,FALSE)</f>
        <v>800</v>
      </c>
      <c r="G37" s="17">
        <f>VLOOKUP(tbRecipes[[#This Row],[Ingredient 1]],tbMaterials[],4,FALSE)+_xlfn.IFNA(VLOOKUP(tbRecipes[[#This Row],[Ingredient 2]],tbMaterials[],4,FALSE),0)+_xlfn.IFNA(VLOOKUP(tbRecipes[[#This Row],[Ingredient 3]],tbMaterials[],4,FALSE),0)</f>
        <v>1440</v>
      </c>
    </row>
    <row r="38" spans="2:7" ht="27.95" customHeight="1" x14ac:dyDescent="0.25">
      <c r="B38" s="66" t="s">
        <v>943</v>
      </c>
      <c r="C38" s="66" t="s">
        <v>944</v>
      </c>
      <c r="F38" s="7">
        <f>VLOOKUP(tbRecipes[[#This Row],[Item]],tbMaterials[],4,FALSE)</f>
        <v>90000</v>
      </c>
      <c r="G38" s="17">
        <f>VLOOKUP(tbRecipes[[#This Row],[Ingredient 1]],tbMaterials[],4,FALSE)+_xlfn.IFNA(VLOOKUP(tbRecipes[[#This Row],[Ingredient 2]],tbMaterials[],4,FALSE),0)+_xlfn.IFNA(VLOOKUP(tbRecipes[[#This Row],[Ingredient 3]],tbMaterials[],4,FALSE),0)</f>
        <v>57000</v>
      </c>
    </row>
    <row r="39" spans="2:7" ht="27.95" customHeight="1" x14ac:dyDescent="0.25">
      <c r="B39" s="66" t="s">
        <v>976</v>
      </c>
      <c r="C39" s="66" t="s">
        <v>950</v>
      </c>
      <c r="D39" s="66" t="s">
        <v>975</v>
      </c>
      <c r="F39" s="7">
        <f>VLOOKUP(tbRecipes[[#This Row],[Item]],tbMaterials[],4,FALSE)</f>
        <v>54000</v>
      </c>
      <c r="G39" s="7">
        <f>VLOOKUP(tbRecipes[[#This Row],[Ingredient 1]],tbMaterials[],4,FALSE)+_xlfn.IFNA(VLOOKUP(tbRecipes[[#This Row],[Ingredient 2]],tbMaterials[],4,FALSE),0)+_xlfn.IFNA(VLOOKUP(tbRecipes[[#This Row],[Ingredient 3]],tbMaterials[],4,FALSE),0)</f>
        <v>33200</v>
      </c>
    </row>
    <row r="40" spans="2:7" ht="27.95" customHeight="1" x14ac:dyDescent="0.25">
      <c r="B40" s="66" t="s">
        <v>976</v>
      </c>
      <c r="C40" s="66" t="s">
        <v>950</v>
      </c>
      <c r="D40" s="66" t="s">
        <v>977</v>
      </c>
      <c r="F40" s="7">
        <f>VLOOKUP(tbRecipes[[#This Row],[Item]],tbMaterials[],4,FALSE)</f>
        <v>54000</v>
      </c>
      <c r="G40" s="7">
        <f>VLOOKUP(tbRecipes[[#This Row],[Ingredient 1]],tbMaterials[],4,FALSE)+_xlfn.IFNA(VLOOKUP(tbRecipes[[#This Row],[Ingredient 2]],tbMaterials[],4,FALSE),0)+_xlfn.IFNA(VLOOKUP(tbRecipes[[#This Row],[Ingredient 3]],tbMaterials[],4,FALSE),0)</f>
        <v>39000</v>
      </c>
    </row>
    <row r="41" spans="2:7" ht="27.95" customHeight="1" x14ac:dyDescent="0.25">
      <c r="B41" s="66" t="s">
        <v>957</v>
      </c>
      <c r="C41" s="66" t="s">
        <v>351</v>
      </c>
      <c r="F41" s="7">
        <f>VLOOKUP(tbRecipes[[#This Row],[Item]],tbMaterials[],4,FALSE)</f>
        <v>300</v>
      </c>
      <c r="G41" s="17">
        <f>VLOOKUP(tbRecipes[[#This Row],[Ingredient 1]],tbMaterials[],4,FALSE)+_xlfn.IFNA(VLOOKUP(tbRecipes[[#This Row],[Ingredient 2]],tbMaterials[],4,FALSE),0)+_xlfn.IFNA(VLOOKUP(tbRecipes[[#This Row],[Ingredient 3]],tbMaterials[],4,FALSE),0)</f>
        <v>41</v>
      </c>
    </row>
    <row r="42" spans="2:7" ht="27.95" customHeight="1" x14ac:dyDescent="0.25">
      <c r="B42" s="66" t="s">
        <v>979</v>
      </c>
      <c r="C42" s="66" t="s">
        <v>981</v>
      </c>
      <c r="F42" s="7">
        <f>VLOOKUP(tbRecipes[[#This Row],[Item]],tbMaterials[],4,FALSE)</f>
        <v>1000</v>
      </c>
      <c r="G42" s="7">
        <f>VLOOKUP(tbRecipes[[#This Row],[Ingredient 1]],tbMaterials[],4,FALSE)+_xlfn.IFNA(VLOOKUP(tbRecipes[[#This Row],[Ingredient 2]],tbMaterials[],4,FALSE),0)+_xlfn.IFNA(VLOOKUP(tbRecipes[[#This Row],[Ingredient 3]],tbMaterials[],4,FALSE),0)</f>
        <v>0</v>
      </c>
    </row>
    <row r="43" spans="2:7" ht="27.95" customHeight="1" x14ac:dyDescent="0.25">
      <c r="B43" s="66" t="s">
        <v>981</v>
      </c>
      <c r="C43" s="66" t="s">
        <v>334</v>
      </c>
      <c r="F43" s="7">
        <f>VLOOKUP(tbRecipes[[#This Row],[Item]],tbMaterials[],4,FALSE)</f>
        <v>0</v>
      </c>
      <c r="G43" s="7">
        <f>VLOOKUP(tbRecipes[[#This Row],[Ingredient 1]],tbMaterials[],4,FALSE)+_xlfn.IFNA(VLOOKUP(tbRecipes[[#This Row],[Ingredient 2]],tbMaterials[],4,FALSE),0)+_xlfn.IFNA(VLOOKUP(tbRecipes[[#This Row],[Ingredient 3]],tbMaterials[],4,FALSE),0)</f>
        <v>40</v>
      </c>
    </row>
    <row r="44" spans="2:7" ht="27.95" customHeight="1" x14ac:dyDescent="0.25">
      <c r="B44" s="66" t="s">
        <v>983</v>
      </c>
      <c r="C44" s="66" t="s">
        <v>950</v>
      </c>
      <c r="D44" s="66" t="s">
        <v>979</v>
      </c>
      <c r="F44" s="7">
        <f>VLOOKUP(tbRecipes[[#This Row],[Item]],tbMaterials[],4,FALSE)</f>
        <v>40000</v>
      </c>
      <c r="G44" s="7">
        <f>VLOOKUP(tbRecipes[[#This Row],[Ingredient 1]],tbMaterials[],4,FALSE)+_xlfn.IFNA(VLOOKUP(tbRecipes[[#This Row],[Ingredient 2]],tbMaterials[],4,FALSE),0)+_xlfn.IFNA(VLOOKUP(tbRecipes[[#This Row],[Ingredient 3]],tbMaterials[],4,FALSE),0)</f>
        <v>31000</v>
      </c>
    </row>
    <row r="45" spans="2:7" ht="27.95" customHeight="1" x14ac:dyDescent="0.25">
      <c r="B45" s="66" t="s">
        <v>985</v>
      </c>
      <c r="C45" s="66" t="s">
        <v>979</v>
      </c>
      <c r="D45" s="66" t="s">
        <v>979</v>
      </c>
      <c r="F45" s="7">
        <f>VLOOKUP(tbRecipes[[#This Row],[Item]],tbMaterials[],4,FALSE)</f>
        <v>6400</v>
      </c>
      <c r="G45" s="7">
        <f>VLOOKUP(tbRecipes[[#This Row],[Ingredient 1]],tbMaterials[],4,FALSE)+_xlfn.IFNA(VLOOKUP(tbRecipes[[#This Row],[Ingredient 2]],tbMaterials[],4,FALSE),0)+_xlfn.IFNA(VLOOKUP(tbRecipes[[#This Row],[Ingredient 3]],tbMaterials[],4,FALSE),0)</f>
        <v>2000</v>
      </c>
    </row>
    <row r="46" spans="2:7" ht="27.95" customHeight="1" x14ac:dyDescent="0.25">
      <c r="B46" s="66" t="s">
        <v>985</v>
      </c>
      <c r="C46" s="66" t="s">
        <v>979</v>
      </c>
      <c r="D46" s="66" t="s">
        <v>980</v>
      </c>
      <c r="F46" s="7">
        <f>VLOOKUP(tbRecipes[[#This Row],[Item]],tbMaterials[],4,FALSE)</f>
        <v>6400</v>
      </c>
      <c r="G46" s="7">
        <f>VLOOKUP(tbRecipes[[#This Row],[Ingredient 1]],tbMaterials[],4,FALSE)+_xlfn.IFNA(VLOOKUP(tbRecipes[[#This Row],[Ingredient 2]],tbMaterials[],4,FALSE),0)+_xlfn.IFNA(VLOOKUP(tbRecipes[[#This Row],[Ingredient 3]],tbMaterials[],4,FALSE),0)</f>
        <v>3100</v>
      </c>
    </row>
    <row r="47" spans="2:7" ht="27.95" customHeight="1" x14ac:dyDescent="0.25">
      <c r="B47" s="66" t="s">
        <v>985</v>
      </c>
      <c r="C47" s="66" t="s">
        <v>979</v>
      </c>
      <c r="D47" s="66" t="s">
        <v>984</v>
      </c>
      <c r="F47" s="7">
        <f>VLOOKUP(tbRecipes[[#This Row],[Item]],tbMaterials[],4,FALSE)</f>
        <v>6400</v>
      </c>
      <c r="G47" s="7">
        <f>VLOOKUP(tbRecipes[[#This Row],[Ingredient 1]],tbMaterials[],4,FALSE)+_xlfn.IFNA(VLOOKUP(tbRecipes[[#This Row],[Ingredient 2]],tbMaterials[],4,FALSE),0)+_xlfn.IFNA(VLOOKUP(tbRecipes[[#This Row],[Ingredient 3]],tbMaterials[],4,FALSE),0)</f>
        <v>3200</v>
      </c>
    </row>
    <row r="48" spans="2:7" ht="27.95" customHeight="1" x14ac:dyDescent="0.25">
      <c r="B48" s="66" t="s">
        <v>985</v>
      </c>
      <c r="C48" s="66" t="s">
        <v>986</v>
      </c>
      <c r="D48" s="66" t="s">
        <v>979</v>
      </c>
      <c r="F48" s="7">
        <f>VLOOKUP(tbRecipes[[#This Row],[Item]],tbMaterials[],4,FALSE)</f>
        <v>6400</v>
      </c>
      <c r="G48" s="7">
        <f>VLOOKUP(tbRecipes[[#This Row],[Ingredient 1]],tbMaterials[],4,FALSE)+_xlfn.IFNA(VLOOKUP(tbRecipes[[#This Row],[Ingredient 2]],tbMaterials[],4,FALSE),0)+_xlfn.IFNA(VLOOKUP(tbRecipes[[#This Row],[Ingredient 3]],tbMaterials[],4,FALSE),0)</f>
        <v>2400</v>
      </c>
    </row>
    <row r="49" spans="2:8" ht="27.95" customHeight="1" x14ac:dyDescent="0.25">
      <c r="B49" s="66" t="s">
        <v>985</v>
      </c>
      <c r="C49" s="66" t="s">
        <v>986</v>
      </c>
      <c r="D49" s="66" t="s">
        <v>980</v>
      </c>
      <c r="F49" s="7">
        <f>VLOOKUP(tbRecipes[[#This Row],[Item]],tbMaterials[],4,FALSE)</f>
        <v>6400</v>
      </c>
      <c r="G49" s="7">
        <f>VLOOKUP(tbRecipes[[#This Row],[Ingredient 1]],tbMaterials[],4,FALSE)+_xlfn.IFNA(VLOOKUP(tbRecipes[[#This Row],[Ingredient 2]],tbMaterials[],4,FALSE),0)+_xlfn.IFNA(VLOOKUP(tbRecipes[[#This Row],[Ingredient 3]],tbMaterials[],4,FALSE),0)</f>
        <v>3500</v>
      </c>
    </row>
    <row r="50" spans="2:8" ht="27.95" customHeight="1" x14ac:dyDescent="0.25">
      <c r="B50" s="66" t="s">
        <v>985</v>
      </c>
      <c r="C50" s="66" t="s">
        <v>986</v>
      </c>
      <c r="D50" s="66" t="s">
        <v>986</v>
      </c>
      <c r="F50" s="7">
        <f>VLOOKUP(tbRecipes[[#This Row],[Item]],tbMaterials[],4,FALSE)</f>
        <v>6400</v>
      </c>
      <c r="G50" s="7">
        <f>VLOOKUP(tbRecipes[[#This Row],[Ingredient 1]],tbMaterials[],4,FALSE)+_xlfn.IFNA(VLOOKUP(tbRecipes[[#This Row],[Ingredient 2]],tbMaterials[],4,FALSE),0)+_xlfn.IFNA(VLOOKUP(tbRecipes[[#This Row],[Ingredient 3]],tbMaterials[],4,FALSE),0)</f>
        <v>2800</v>
      </c>
    </row>
    <row r="51" spans="2:8" ht="27.95" customHeight="1" x14ac:dyDescent="0.25">
      <c r="B51" s="66" t="s">
        <v>985</v>
      </c>
      <c r="C51" s="66" t="s">
        <v>986</v>
      </c>
      <c r="D51" s="66" t="s">
        <v>984</v>
      </c>
      <c r="F51" s="7">
        <f>VLOOKUP(tbRecipes[[#This Row],[Item]],tbMaterials[],4,FALSE)</f>
        <v>6400</v>
      </c>
      <c r="G51" s="7">
        <f>VLOOKUP(tbRecipes[[#This Row],[Ingredient 1]],tbMaterials[],4,FALSE)+_xlfn.IFNA(VLOOKUP(tbRecipes[[#This Row],[Ingredient 2]],tbMaterials[],4,FALSE),0)+_xlfn.IFNA(VLOOKUP(tbRecipes[[#This Row],[Ingredient 3]],tbMaterials[],4,FALSE),0)</f>
        <v>3600</v>
      </c>
    </row>
    <row r="52" spans="2:8" ht="27.95" customHeight="1" x14ac:dyDescent="0.25">
      <c r="B52" s="67" t="s">
        <v>922</v>
      </c>
      <c r="C52" s="67" t="s">
        <v>245</v>
      </c>
      <c r="D52" s="67"/>
      <c r="E52" s="67"/>
      <c r="F52" s="96">
        <f>VLOOKUP(tbRecipes[[#This Row],[Item]],tbMaterials[],4,FALSE)</f>
        <v>300</v>
      </c>
      <c r="G52" s="42">
        <f>VLOOKUP(tbRecipes[[#This Row],[Ingredient 1]],tbMaterials[],4,FALSE)+_xlfn.IFNA(VLOOKUP(tbRecipes[[#This Row],[Ingredient 2]],tbMaterials[],4,FALSE),0)+_xlfn.IFNA(VLOOKUP(tbRecipes[[#This Row],[Ingredient 3]],tbMaterials[],4,FALSE),0)</f>
        <v>16</v>
      </c>
    </row>
    <row r="53" spans="2:8" ht="27.95" customHeight="1" x14ac:dyDescent="0.25">
      <c r="B53" s="66" t="s">
        <v>953</v>
      </c>
      <c r="C53" s="66" t="s">
        <v>954</v>
      </c>
      <c r="D53" s="66" t="s">
        <v>955</v>
      </c>
      <c r="F53" s="7">
        <f>VLOOKUP(tbRecipes[[#This Row],[Item]],tbMaterials[],4,FALSE)</f>
        <v>24000</v>
      </c>
      <c r="G53" s="17">
        <f>VLOOKUP(tbRecipes[[#This Row],[Ingredient 1]],tbMaterials[],4,FALSE)+_xlfn.IFNA(VLOOKUP(tbRecipes[[#This Row],[Ingredient 2]],tbMaterials[],4,FALSE),0)+_xlfn.IFNA(VLOOKUP(tbRecipes[[#This Row],[Ingredient 3]],tbMaterials[],4,FALSE),0)</f>
        <v>9000</v>
      </c>
    </row>
    <row r="54" spans="2:8" ht="27.95" customHeight="1" x14ac:dyDescent="0.25">
      <c r="B54" s="66" t="s">
        <v>953</v>
      </c>
      <c r="C54" s="66" t="s">
        <v>954</v>
      </c>
      <c r="D54" s="66" t="s">
        <v>956</v>
      </c>
      <c r="F54" s="7">
        <f>VLOOKUP(tbRecipes[[#This Row],[Item]],tbMaterials[],4,FALSE)</f>
        <v>24000</v>
      </c>
      <c r="G54" s="17">
        <f>VLOOKUP(tbRecipes[[#This Row],[Ingredient 1]],tbMaterials[],4,FALSE)+_xlfn.IFNA(VLOOKUP(tbRecipes[[#This Row],[Ingredient 2]],tbMaterials[],4,FALSE),0)+_xlfn.IFNA(VLOOKUP(tbRecipes[[#This Row],[Ingredient 3]],tbMaterials[],4,FALSE),0)</f>
        <v>11200</v>
      </c>
    </row>
    <row r="55" spans="2:8" ht="27.95" customHeight="1" x14ac:dyDescent="0.25">
      <c r="B55" s="66" t="s">
        <v>950</v>
      </c>
      <c r="C55" s="66" t="s">
        <v>953</v>
      </c>
      <c r="F55" s="7">
        <f>VLOOKUP(tbRecipes[[#This Row],[Item]],tbMaterials[],4,FALSE)</f>
        <v>30000</v>
      </c>
      <c r="G55" s="17">
        <f>VLOOKUP(tbRecipes[[#This Row],[Ingredient 1]],tbMaterials[],4,FALSE)+_xlfn.IFNA(VLOOKUP(tbRecipes[[#This Row],[Ingredient 2]],tbMaterials[],4,FALSE),0)+_xlfn.IFNA(VLOOKUP(tbRecipes[[#This Row],[Ingredient 3]],tbMaterials[],4,FALSE),0)</f>
        <v>24000</v>
      </c>
    </row>
    <row r="56" spans="2:8" ht="27.95" customHeight="1" x14ac:dyDescent="0.25">
      <c r="B56" s="67" t="s">
        <v>932</v>
      </c>
      <c r="C56" s="67" t="s">
        <v>82</v>
      </c>
      <c r="D56" s="67"/>
      <c r="E56" s="67"/>
      <c r="F56" s="96">
        <f>VLOOKUP(tbRecipes[[#This Row],[Item]],tbMaterials[],4,FALSE)</f>
        <v>300</v>
      </c>
      <c r="G56" s="95">
        <f>VLOOKUP(tbRecipes[[#This Row],[Ingredient 1]],tbMaterials[],4,FALSE)+_xlfn.IFNA(VLOOKUP(tbRecipes[[#This Row],[Ingredient 2]],tbMaterials[],4,FALSE),0)+_xlfn.IFNA(VLOOKUP(tbRecipes[[#This Row],[Ingredient 3]],tbMaterials[],4,FALSE),0)</f>
        <v>32</v>
      </c>
    </row>
    <row r="57" spans="2:8" ht="27.95" customHeight="1" x14ac:dyDescent="0.25">
      <c r="B57" s="66" t="s">
        <v>980</v>
      </c>
      <c r="C57" s="66" t="s">
        <v>979</v>
      </c>
      <c r="F57" s="7">
        <f>VLOOKUP(tbRecipes[[#This Row],[Item]],tbMaterials[],4,FALSE)</f>
        <v>2100</v>
      </c>
      <c r="G57" s="7">
        <f>VLOOKUP(tbRecipes[[#This Row],[Ingredient 1]],tbMaterials[],4,FALSE)+_xlfn.IFNA(VLOOKUP(tbRecipes[[#This Row],[Ingredient 2]],tbMaterials[],4,FALSE),0)+_xlfn.IFNA(VLOOKUP(tbRecipes[[#This Row],[Ingredient 3]],tbMaterials[],4,FALSE),0)</f>
        <v>1000</v>
      </c>
    </row>
    <row r="58" spans="2:8" ht="27.95" customHeight="1" x14ac:dyDescent="0.25">
      <c r="B58" s="66" t="s">
        <v>980</v>
      </c>
      <c r="C58" s="66" t="s">
        <v>986</v>
      </c>
      <c r="F58" s="7">
        <f>VLOOKUP(tbRecipes[[#This Row],[Item]],tbMaterials[],4,FALSE)</f>
        <v>2100</v>
      </c>
      <c r="G58" s="7">
        <f>VLOOKUP(tbRecipes[[#This Row],[Ingredient 1]],tbMaterials[],4,FALSE)+_xlfn.IFNA(VLOOKUP(tbRecipes[[#This Row],[Ingredient 2]],tbMaterials[],4,FALSE),0)+_xlfn.IFNA(VLOOKUP(tbRecipes[[#This Row],[Ingredient 3]],tbMaterials[],4,FALSE),0)</f>
        <v>1400</v>
      </c>
    </row>
    <row r="59" spans="2:8" ht="27.95" customHeight="1" x14ac:dyDescent="0.25">
      <c r="B59" s="66" t="s">
        <v>951</v>
      </c>
      <c r="C59" s="66" t="s">
        <v>961</v>
      </c>
      <c r="D59" s="66" t="s">
        <v>963</v>
      </c>
      <c r="F59" s="7">
        <f>VLOOKUP(tbRecipes[[#This Row],[Item]],tbMaterials[],4,FALSE)</f>
        <v>12000</v>
      </c>
      <c r="G59" s="17">
        <f>VLOOKUP(tbRecipes[[#This Row],[Ingredient 1]],tbMaterials[],4,FALSE)+_xlfn.IFNA(VLOOKUP(tbRecipes[[#This Row],[Ingredient 2]],tbMaterials[],4,FALSE),0)+_xlfn.IFNA(VLOOKUP(tbRecipes[[#This Row],[Ingredient 3]],tbMaterials[],4,FALSE),0)</f>
        <v>7800</v>
      </c>
    </row>
    <row r="60" spans="2:8" ht="27.95" customHeight="1" x14ac:dyDescent="0.25">
      <c r="B60" s="66" t="s">
        <v>961</v>
      </c>
      <c r="C60" s="66" t="s">
        <v>962</v>
      </c>
      <c r="F60" s="7">
        <f>VLOOKUP(tbRecipes[[#This Row],[Item]],tbMaterials[],4,FALSE)</f>
        <v>7200</v>
      </c>
      <c r="G60" s="17">
        <f>VLOOKUP(tbRecipes[[#This Row],[Ingredient 1]],tbMaterials[],4,FALSE)+_xlfn.IFNA(VLOOKUP(tbRecipes[[#This Row],[Ingredient 2]],tbMaterials[],4,FALSE),0)+_xlfn.IFNA(VLOOKUP(tbRecipes[[#This Row],[Ingredient 3]],tbMaterials[],4,FALSE),0)</f>
        <v>3200</v>
      </c>
    </row>
    <row r="61" spans="2:8" ht="27.95" customHeight="1" x14ac:dyDescent="0.25">
      <c r="B61" s="66" t="s">
        <v>954</v>
      </c>
      <c r="C61" s="66" t="s">
        <v>936</v>
      </c>
      <c r="F61" s="7">
        <f>VLOOKUP(tbRecipes[[#This Row],[Item]],tbMaterials[],4,FALSE)</f>
        <v>1800</v>
      </c>
      <c r="G61" s="17">
        <f>VLOOKUP(tbRecipes[[#This Row],[Ingredient 1]],tbMaterials[],4,FALSE)+_xlfn.IFNA(VLOOKUP(tbRecipes[[#This Row],[Ingredient 2]],tbMaterials[],4,FALSE),0)+_xlfn.IFNA(VLOOKUP(tbRecipes[[#This Row],[Ingredient 3]],tbMaterials[],4,FALSE),0)</f>
        <v>300</v>
      </c>
    </row>
    <row r="62" spans="2:8" ht="27.95" customHeight="1" x14ac:dyDescent="0.25">
      <c r="B62" s="67" t="s">
        <v>954</v>
      </c>
      <c r="C62" s="67" t="s">
        <v>935</v>
      </c>
      <c r="D62" s="67"/>
      <c r="E62" s="67"/>
      <c r="F62" s="96">
        <f>VLOOKUP(tbRecipes[[#This Row],[Item]],tbMaterials[],4,FALSE)</f>
        <v>1800</v>
      </c>
      <c r="G62" s="95">
        <f>VLOOKUP(tbRecipes[[#This Row],[Ingredient 1]],tbMaterials[],4,FALSE)+_xlfn.IFNA(VLOOKUP(tbRecipes[[#This Row],[Ingredient 2]],tbMaterials[],4,FALSE),0)+_xlfn.IFNA(VLOOKUP(tbRecipes[[#This Row],[Ingredient 3]],tbMaterials[],4,FALSE),0)</f>
        <v>300</v>
      </c>
      <c r="H62" s="67"/>
    </row>
    <row r="63" spans="2:8" ht="27.95" customHeight="1" x14ac:dyDescent="0.25">
      <c r="B63" s="66" t="s">
        <v>954</v>
      </c>
      <c r="C63" s="66" t="s">
        <v>957</v>
      </c>
      <c r="F63" s="7">
        <f>VLOOKUP(tbRecipes[[#This Row],[Item]],tbMaterials[],4,FALSE)</f>
        <v>1800</v>
      </c>
      <c r="G63" s="17">
        <f>VLOOKUP(tbRecipes[[#This Row],[Ingredient 1]],tbMaterials[],4,FALSE)+_xlfn.IFNA(VLOOKUP(tbRecipes[[#This Row],[Ingredient 2]],tbMaterials[],4,FALSE),0)+_xlfn.IFNA(VLOOKUP(tbRecipes[[#This Row],[Ingredient 3]],tbMaterials[],4,FALSE),0)</f>
        <v>300</v>
      </c>
    </row>
    <row r="64" spans="2:8" ht="27.95" customHeight="1" x14ac:dyDescent="0.25">
      <c r="B64" s="66" t="s">
        <v>965</v>
      </c>
      <c r="C64" s="66" t="s">
        <v>928</v>
      </c>
      <c r="F64" s="7">
        <f>VLOOKUP(tbRecipes[[#This Row],[Item]],tbMaterials[],4,FALSE)</f>
        <v>1800</v>
      </c>
      <c r="G64" s="17">
        <f>VLOOKUP(tbRecipes[[#This Row],[Ingredient 1]],tbMaterials[],4,FALSE)+_xlfn.IFNA(VLOOKUP(tbRecipes[[#This Row],[Ingredient 2]],tbMaterials[],4,FALSE),0)+_xlfn.IFNA(VLOOKUP(tbRecipes[[#This Row],[Ingredient 3]],tbMaterials[],4,FALSE),0)</f>
        <v>300</v>
      </c>
    </row>
    <row r="65" spans="2:7" ht="27.95" customHeight="1" x14ac:dyDescent="0.25">
      <c r="B65" s="66" t="s">
        <v>933</v>
      </c>
      <c r="C65" s="66" t="s">
        <v>934</v>
      </c>
      <c r="D65" s="66" t="s">
        <v>347</v>
      </c>
      <c r="F65" s="7">
        <f>VLOOKUP(tbRecipes[[#This Row],[Item]],tbMaterials[],4,FALSE)</f>
        <v>800</v>
      </c>
      <c r="G65" s="17">
        <f>VLOOKUP(tbRecipes[[#This Row],[Ingredient 1]],tbMaterials[],4,FALSE)+_xlfn.IFNA(VLOOKUP(tbRecipes[[#This Row],[Ingredient 2]],tbMaterials[],4,FALSE),0)+_xlfn.IFNA(VLOOKUP(tbRecipes[[#This Row],[Ingredient 3]],tbMaterials[],4,FALSE),0)</f>
        <v>312</v>
      </c>
    </row>
    <row r="66" spans="2:7" ht="27.95" customHeight="1" x14ac:dyDescent="0.25">
      <c r="B66" s="67" t="s">
        <v>933</v>
      </c>
      <c r="C66" s="67" t="s">
        <v>71</v>
      </c>
      <c r="D66" s="67" t="s">
        <v>347</v>
      </c>
      <c r="E66" s="67"/>
      <c r="F66" s="96">
        <f>VLOOKUP(tbRecipes[[#This Row],[Item]],tbMaterials[],4,FALSE)</f>
        <v>800</v>
      </c>
      <c r="G66" s="95">
        <f>VLOOKUP(tbRecipes[[#This Row],[Ingredient 1]],tbMaterials[],4,FALSE)+_xlfn.IFNA(VLOOKUP(tbRecipes[[#This Row],[Ingredient 2]],tbMaterials[],4,FALSE),0)+_xlfn.IFNA(VLOOKUP(tbRecipes[[#This Row],[Ingredient 3]],tbMaterials[],4,FALSE),0)</f>
        <v>24</v>
      </c>
    </row>
    <row r="67" spans="2:7" ht="27.95" customHeight="1" x14ac:dyDescent="0.25">
      <c r="B67" s="67" t="s">
        <v>933</v>
      </c>
      <c r="C67" s="67" t="s">
        <v>55</v>
      </c>
      <c r="D67" s="67" t="s">
        <v>347</v>
      </c>
      <c r="E67" s="67"/>
      <c r="F67" s="96">
        <f>VLOOKUP(tbRecipes[[#This Row],[Item]],tbMaterials[],4,FALSE)</f>
        <v>800</v>
      </c>
      <c r="G67" s="95">
        <f>VLOOKUP(tbRecipes[[#This Row],[Ingredient 1]],tbMaterials[],4,FALSE)+_xlfn.IFNA(VLOOKUP(tbRecipes[[#This Row],[Ingredient 2]],tbMaterials[],4,FALSE),0)+_xlfn.IFNA(VLOOKUP(tbRecipes[[#This Row],[Ingredient 3]],tbMaterials[],4,FALSE),0)</f>
        <v>28</v>
      </c>
    </row>
    <row r="68" spans="2:7" ht="27.95" customHeight="1" x14ac:dyDescent="0.25">
      <c r="B68" s="67" t="s">
        <v>933</v>
      </c>
      <c r="C68" s="67" t="s">
        <v>935</v>
      </c>
      <c r="D68" s="67" t="s">
        <v>347</v>
      </c>
      <c r="E68" s="67"/>
      <c r="F68" s="96">
        <f>VLOOKUP(tbRecipes[[#This Row],[Item]],tbMaterials[],4,FALSE)</f>
        <v>800</v>
      </c>
      <c r="G68" s="95">
        <f>VLOOKUP(tbRecipes[[#This Row],[Ingredient 1]],tbMaterials[],4,FALSE)+_xlfn.IFNA(VLOOKUP(tbRecipes[[#This Row],[Ingredient 2]],tbMaterials[],4,FALSE),0)+_xlfn.IFNA(VLOOKUP(tbRecipes[[#This Row],[Ingredient 3]],tbMaterials[],4,FALSE),0)</f>
        <v>312</v>
      </c>
    </row>
    <row r="69" spans="2:7" ht="27.95" customHeight="1" x14ac:dyDescent="0.25">
      <c r="B69" s="66" t="s">
        <v>933</v>
      </c>
      <c r="C69" s="66" t="s">
        <v>936</v>
      </c>
      <c r="D69" s="66" t="s">
        <v>347</v>
      </c>
      <c r="F69" s="7">
        <f>VLOOKUP(tbRecipes[[#This Row],[Item]],tbMaterials[],4,FALSE)</f>
        <v>800</v>
      </c>
      <c r="G69" s="17">
        <f>VLOOKUP(tbRecipes[[#This Row],[Ingredient 1]],tbMaterials[],4,FALSE)+_xlfn.IFNA(VLOOKUP(tbRecipes[[#This Row],[Ingredient 2]],tbMaterials[],4,FALSE),0)+_xlfn.IFNA(VLOOKUP(tbRecipes[[#This Row],[Ingredient 3]],tbMaterials[],4,FALSE),0)</f>
        <v>312</v>
      </c>
    </row>
    <row r="70" spans="2:7" ht="27.95" customHeight="1" x14ac:dyDescent="0.25">
      <c r="B70" s="66" t="s">
        <v>933</v>
      </c>
      <c r="C70" s="66" t="s">
        <v>742</v>
      </c>
      <c r="D70" s="66" t="s">
        <v>347</v>
      </c>
      <c r="F70" s="7">
        <f>VLOOKUP(tbRecipes[[#This Row],[Item]],tbMaterials[],4,FALSE)</f>
        <v>800</v>
      </c>
      <c r="G70" s="17">
        <f>VLOOKUP(tbRecipes[[#This Row],[Ingredient 1]],tbMaterials[],4,FALSE)+_xlfn.IFNA(VLOOKUP(tbRecipes[[#This Row],[Ingredient 2]],tbMaterials[],4,FALSE),0)+_xlfn.IFNA(VLOOKUP(tbRecipes[[#This Row],[Ingredient 3]],tbMaterials[],4,FALSE),0)</f>
        <v>312</v>
      </c>
    </row>
    <row r="71" spans="2:7" ht="27.95" customHeight="1" x14ac:dyDescent="0.25">
      <c r="B71" s="67" t="s">
        <v>933</v>
      </c>
      <c r="C71" s="67" t="s">
        <v>937</v>
      </c>
      <c r="D71" s="67" t="s">
        <v>347</v>
      </c>
      <c r="E71" s="67"/>
      <c r="F71" s="96">
        <f>VLOOKUP(tbRecipes[[#This Row],[Item]],tbMaterials[],4,FALSE)</f>
        <v>800</v>
      </c>
      <c r="G71" s="95">
        <f>VLOOKUP(tbRecipes[[#This Row],[Ingredient 1]],tbMaterials[],4,FALSE)+_xlfn.IFNA(VLOOKUP(tbRecipes[[#This Row],[Ingredient 2]],tbMaterials[],4,FALSE),0)+_xlfn.IFNA(VLOOKUP(tbRecipes[[#This Row],[Ingredient 3]],tbMaterials[],4,FALSE),0)</f>
        <v>312</v>
      </c>
    </row>
    <row r="72" spans="2:7" ht="27.95" customHeight="1" x14ac:dyDescent="0.25">
      <c r="B72" s="67" t="s">
        <v>933</v>
      </c>
      <c r="C72" s="67" t="s">
        <v>14</v>
      </c>
      <c r="D72" s="67" t="s">
        <v>347</v>
      </c>
      <c r="E72" s="67"/>
      <c r="F72" s="96">
        <f>VLOOKUP(tbRecipes[[#This Row],[Item]],tbMaterials[],4,FALSE)</f>
        <v>800</v>
      </c>
      <c r="G72" s="95">
        <f>VLOOKUP(tbRecipes[[#This Row],[Ingredient 1]],tbMaterials[],4,FALSE)+_xlfn.IFNA(VLOOKUP(tbRecipes[[#This Row],[Ingredient 2]],tbMaterials[],4,FALSE),0)+_xlfn.IFNA(VLOOKUP(tbRecipes[[#This Row],[Ingredient 3]],tbMaterials[],4,FALSE),0)</f>
        <v>82</v>
      </c>
    </row>
    <row r="73" spans="2:7" ht="27.95" customHeight="1" x14ac:dyDescent="0.25">
      <c r="B73" s="66" t="s">
        <v>966</v>
      </c>
      <c r="C73" s="66" t="s">
        <v>964</v>
      </c>
      <c r="D73" s="66" t="s">
        <v>964</v>
      </c>
      <c r="F73" s="7">
        <f>VLOOKUP(tbRecipes[[#This Row],[Item]],tbMaterials[],4,FALSE)</f>
        <v>7200</v>
      </c>
      <c r="G73" s="17">
        <f>VLOOKUP(tbRecipes[[#This Row],[Ingredient 1]],tbMaterials[],4,FALSE)+_xlfn.IFNA(VLOOKUP(tbRecipes[[#This Row],[Ingredient 2]],tbMaterials[],4,FALSE),0)+_xlfn.IFNA(VLOOKUP(tbRecipes[[#This Row],[Ingredient 3]],tbMaterials[],4,FALSE),0)</f>
        <v>3600</v>
      </c>
    </row>
    <row r="74" spans="2:7" ht="27.95" customHeight="1" x14ac:dyDescent="0.25">
      <c r="B74" s="66" t="s">
        <v>966</v>
      </c>
      <c r="C74" s="66" t="s">
        <v>964</v>
      </c>
      <c r="D74" s="66" t="s">
        <v>22</v>
      </c>
      <c r="E74" s="66" t="s">
        <v>1075</v>
      </c>
      <c r="F74" s="7">
        <f>VLOOKUP(tbRecipes[[#This Row],[Item]],tbMaterials[],4,FALSE)</f>
        <v>7200</v>
      </c>
      <c r="G74" s="17">
        <f>VLOOKUP(tbRecipes[[#This Row],[Ingredient 1]],tbMaterials[],4,FALSE)+_xlfn.IFNA(VLOOKUP(tbRecipes[[#This Row],[Ingredient 2]],tbMaterials[],4,FALSE),0)+_xlfn.IFNA(VLOOKUP(tbRecipes[[#This Row],[Ingredient 3]],tbMaterials[],4,FALSE),0)</f>
        <v>2600</v>
      </c>
    </row>
    <row r="75" spans="2:7" ht="27.95" customHeight="1" x14ac:dyDescent="0.25">
      <c r="B75" s="66" t="s">
        <v>966</v>
      </c>
      <c r="C75" s="66" t="s">
        <v>964</v>
      </c>
      <c r="D75" s="66" t="s">
        <v>929</v>
      </c>
      <c r="F75" s="7">
        <f>VLOOKUP(tbRecipes[[#This Row],[Item]],tbMaterials[],4,FALSE)</f>
        <v>7200</v>
      </c>
      <c r="G75" s="17">
        <f>VLOOKUP(tbRecipes[[#This Row],[Ingredient 1]],tbMaterials[],4,FALSE)+_xlfn.IFNA(VLOOKUP(tbRecipes[[#This Row],[Ingredient 2]],tbMaterials[],4,FALSE),0)+_xlfn.IFNA(VLOOKUP(tbRecipes[[#This Row],[Ingredient 3]],tbMaterials[],4,FALSE),0)</f>
        <v>2100</v>
      </c>
    </row>
    <row r="76" spans="2:7" ht="27.95" customHeight="1" x14ac:dyDescent="0.25">
      <c r="B76" s="66" t="s">
        <v>966</v>
      </c>
      <c r="C76" s="66" t="s">
        <v>964</v>
      </c>
      <c r="D76" s="66" t="s">
        <v>937</v>
      </c>
      <c r="F76" s="7">
        <f>VLOOKUP(tbRecipes[[#This Row],[Item]],tbMaterials[],4,FALSE)</f>
        <v>7200</v>
      </c>
      <c r="G76" s="17">
        <f>VLOOKUP(tbRecipes[[#This Row],[Ingredient 1]],tbMaterials[],4,FALSE)+_xlfn.IFNA(VLOOKUP(tbRecipes[[#This Row],[Ingredient 2]],tbMaterials[],4,FALSE),0)+_xlfn.IFNA(VLOOKUP(tbRecipes[[#This Row],[Ingredient 3]],tbMaterials[],4,FALSE),0)</f>
        <v>2100</v>
      </c>
    </row>
    <row r="77" spans="2:7" ht="27.95" customHeight="1" x14ac:dyDescent="0.25">
      <c r="B77" s="66" t="s">
        <v>966</v>
      </c>
      <c r="C77" s="66" t="s">
        <v>964</v>
      </c>
      <c r="D77" s="66" t="s">
        <v>931</v>
      </c>
      <c r="F77" s="7">
        <f>VLOOKUP(tbRecipes[[#This Row],[Item]],tbMaterials[],4,FALSE)</f>
        <v>7200</v>
      </c>
      <c r="G77" s="17">
        <f>VLOOKUP(tbRecipes[[#This Row],[Ingredient 1]],tbMaterials[],4,FALSE)+_xlfn.IFNA(VLOOKUP(tbRecipes[[#This Row],[Ingredient 2]],tbMaterials[],4,FALSE),0)+_xlfn.IFNA(VLOOKUP(tbRecipes[[#This Row],[Ingredient 3]],tbMaterials[],4,FALSE),0)</f>
        <v>2600</v>
      </c>
    </row>
    <row r="78" spans="2:7" ht="27.95" customHeight="1" x14ac:dyDescent="0.25">
      <c r="B78" s="66" t="s">
        <v>966</v>
      </c>
      <c r="C78" s="66" t="s">
        <v>965</v>
      </c>
      <c r="D78" s="66" t="s">
        <v>22</v>
      </c>
      <c r="F78" s="7">
        <f>VLOOKUP(tbRecipes[[#This Row],[Item]],tbMaterials[],4,FALSE)</f>
        <v>7200</v>
      </c>
      <c r="G78" s="17">
        <f>VLOOKUP(tbRecipes[[#This Row],[Ingredient 1]],tbMaterials[],4,FALSE)+_xlfn.IFNA(VLOOKUP(tbRecipes[[#This Row],[Ingredient 2]],tbMaterials[],4,FALSE),0)+_xlfn.IFNA(VLOOKUP(tbRecipes[[#This Row],[Ingredient 3]],tbMaterials[],4,FALSE),0)</f>
        <v>2600</v>
      </c>
    </row>
    <row r="79" spans="2:7" ht="27.95" customHeight="1" x14ac:dyDescent="0.25">
      <c r="B79" s="66" t="s">
        <v>966</v>
      </c>
      <c r="C79" s="66" t="s">
        <v>965</v>
      </c>
      <c r="D79" s="66" t="s">
        <v>929</v>
      </c>
      <c r="F79" s="7">
        <f>VLOOKUP(tbRecipes[[#This Row],[Item]],tbMaterials[],4,FALSE)</f>
        <v>7200</v>
      </c>
      <c r="G79" s="17">
        <f>VLOOKUP(tbRecipes[[#This Row],[Ingredient 1]],tbMaterials[],4,FALSE)+_xlfn.IFNA(VLOOKUP(tbRecipes[[#This Row],[Ingredient 2]],tbMaterials[],4,FALSE),0)+_xlfn.IFNA(VLOOKUP(tbRecipes[[#This Row],[Ingredient 3]],tbMaterials[],4,FALSE),0)</f>
        <v>2100</v>
      </c>
    </row>
    <row r="80" spans="2:7" ht="27.95" customHeight="1" x14ac:dyDescent="0.25">
      <c r="B80" s="66" t="s">
        <v>966</v>
      </c>
      <c r="C80" s="66" t="s">
        <v>965</v>
      </c>
      <c r="D80" s="66" t="s">
        <v>937</v>
      </c>
      <c r="F80" s="7">
        <f>VLOOKUP(tbRecipes[[#This Row],[Item]],tbMaterials[],4,FALSE)</f>
        <v>7200</v>
      </c>
      <c r="G80" s="17">
        <f>VLOOKUP(tbRecipes[[#This Row],[Ingredient 1]],tbMaterials[],4,FALSE)+_xlfn.IFNA(VLOOKUP(tbRecipes[[#This Row],[Ingredient 2]],tbMaterials[],4,FALSE),0)+_xlfn.IFNA(VLOOKUP(tbRecipes[[#This Row],[Ingredient 3]],tbMaterials[],4,FALSE),0)</f>
        <v>2100</v>
      </c>
    </row>
    <row r="81" spans="2:8" ht="27.95" customHeight="1" x14ac:dyDescent="0.25">
      <c r="B81" s="66" t="s">
        <v>966</v>
      </c>
      <c r="C81" s="66" t="s">
        <v>965</v>
      </c>
      <c r="D81" s="66" t="s">
        <v>931</v>
      </c>
      <c r="F81" s="7">
        <f>VLOOKUP(tbRecipes[[#This Row],[Item]],tbMaterials[],4,FALSE)</f>
        <v>7200</v>
      </c>
      <c r="G81" s="17">
        <f>VLOOKUP(tbRecipes[[#This Row],[Ingredient 1]],tbMaterials[],4,FALSE)+_xlfn.IFNA(VLOOKUP(tbRecipes[[#This Row],[Ingredient 2]],tbMaterials[],4,FALSE),0)+_xlfn.IFNA(VLOOKUP(tbRecipes[[#This Row],[Ingredient 3]],tbMaterials[],4,FALSE),0)</f>
        <v>2600</v>
      </c>
    </row>
    <row r="82" spans="2:8" ht="27.95" customHeight="1" x14ac:dyDescent="0.25">
      <c r="B82" s="67" t="s">
        <v>937</v>
      </c>
      <c r="C82" s="67" t="s">
        <v>55</v>
      </c>
      <c r="D82" s="67"/>
      <c r="E82" s="67"/>
      <c r="F82" s="96">
        <f>VLOOKUP(tbRecipes[[#This Row],[Item]],tbMaterials[],4,FALSE)</f>
        <v>300</v>
      </c>
      <c r="G82" s="96">
        <f>VLOOKUP(tbRecipes[[#This Row],[Ingredient 1]],tbMaterials[],4,FALSE)+_xlfn.IFNA(VLOOKUP(tbRecipes[[#This Row],[Ingredient 2]],tbMaterials[],4,FALSE),0)+_xlfn.IFNA(VLOOKUP(tbRecipes[[#This Row],[Ingredient 3]],tbMaterials[],4,FALSE),0)</f>
        <v>16</v>
      </c>
    </row>
    <row r="83" spans="2:8" ht="27.95" customHeight="1" x14ac:dyDescent="0.25">
      <c r="B83" s="67" t="s">
        <v>1030</v>
      </c>
      <c r="C83" s="67" t="s">
        <v>261</v>
      </c>
      <c r="D83" s="67"/>
      <c r="E83" s="67"/>
      <c r="F83" s="96">
        <f>VLOOKUP(tbRecipes[[#This Row],[Item]],tbMaterials[],4,FALSE)</f>
        <v>500</v>
      </c>
      <c r="G83" s="96">
        <f>VLOOKUP(tbRecipes[[#This Row],[Ingredient 1]],tbMaterials[],4,FALSE)+_xlfn.IFNA(VLOOKUP(tbRecipes[[#This Row],[Ingredient 2]],tbMaterials[],4,FALSE),0)+_xlfn.IFNA(VLOOKUP(tbRecipes[[#This Row],[Ingredient 3]],tbMaterials[],4,FALSE),0)</f>
        <v>245</v>
      </c>
    </row>
    <row r="84" spans="2:8" ht="27.95" customHeight="1" x14ac:dyDescent="0.25">
      <c r="B84" s="66" t="s">
        <v>984</v>
      </c>
      <c r="C84" s="66" t="s">
        <v>979</v>
      </c>
      <c r="D84" s="66" t="s">
        <v>7</v>
      </c>
      <c r="F84" s="7">
        <f>VLOOKUP(tbRecipes[[#This Row],[Item]],tbMaterials[],4,FALSE)</f>
        <v>2200</v>
      </c>
      <c r="G84" s="7">
        <f>VLOOKUP(tbRecipes[[#This Row],[Ingredient 1]],tbMaterials[],4,FALSE)+_xlfn.IFNA(VLOOKUP(tbRecipes[[#This Row],[Ingredient 2]],tbMaterials[],4,FALSE),0)+_xlfn.IFNA(VLOOKUP(tbRecipes[[#This Row],[Ingredient 3]],tbMaterials[],4,FALSE),0)</f>
        <v>1012</v>
      </c>
    </row>
    <row r="85" spans="2:8" ht="27.95" customHeight="1" x14ac:dyDescent="0.25">
      <c r="B85" s="66" t="s">
        <v>984</v>
      </c>
      <c r="C85" s="66" t="s">
        <v>979</v>
      </c>
      <c r="D85" s="66" t="s">
        <v>260</v>
      </c>
      <c r="F85" s="7">
        <f>VLOOKUP(tbRecipes[[#This Row],[Item]],tbMaterials[],4,FALSE)</f>
        <v>2200</v>
      </c>
      <c r="G85" s="7">
        <f>VLOOKUP(tbRecipes[[#This Row],[Ingredient 1]],tbMaterials[],4,FALSE)+_xlfn.IFNA(VLOOKUP(tbRecipes[[#This Row],[Ingredient 2]],tbMaterials[],4,FALSE),0)+_xlfn.IFNA(VLOOKUP(tbRecipes[[#This Row],[Ingredient 3]],tbMaterials[],4,FALSE),0)</f>
        <v>1024</v>
      </c>
    </row>
    <row r="86" spans="2:8" ht="27.95" customHeight="1" x14ac:dyDescent="0.25">
      <c r="B86" s="66" t="s">
        <v>984</v>
      </c>
      <c r="C86" s="66" t="s">
        <v>986</v>
      </c>
      <c r="D86" s="66" t="s">
        <v>7</v>
      </c>
      <c r="F86" s="7">
        <f>VLOOKUP(tbRecipes[[#This Row],[Item]],tbMaterials[],4,FALSE)</f>
        <v>2200</v>
      </c>
      <c r="G86" s="7">
        <f>VLOOKUP(tbRecipes[[#This Row],[Ingredient 1]],tbMaterials[],4,FALSE)+_xlfn.IFNA(VLOOKUP(tbRecipes[[#This Row],[Ingredient 2]],tbMaterials[],4,FALSE),0)+_xlfn.IFNA(VLOOKUP(tbRecipes[[#This Row],[Ingredient 3]],tbMaterials[],4,FALSE),0)</f>
        <v>1412</v>
      </c>
    </row>
    <row r="87" spans="2:8" ht="27.95" customHeight="1" x14ac:dyDescent="0.25">
      <c r="B87" s="66" t="s">
        <v>984</v>
      </c>
      <c r="C87" s="66" t="s">
        <v>986</v>
      </c>
      <c r="D87" s="66" t="s">
        <v>260</v>
      </c>
      <c r="F87" s="7">
        <f>VLOOKUP(tbRecipes[[#This Row],[Item]],tbMaterials[],4,FALSE)</f>
        <v>2200</v>
      </c>
      <c r="G87" s="7">
        <f>VLOOKUP(tbRecipes[[#This Row],[Ingredient 1]],tbMaterials[],4,FALSE)+_xlfn.IFNA(VLOOKUP(tbRecipes[[#This Row],[Ingredient 2]],tbMaterials[],4,FALSE),0)+_xlfn.IFNA(VLOOKUP(tbRecipes[[#This Row],[Ingredient 3]],tbMaterials[],4,FALSE),0)</f>
        <v>1424</v>
      </c>
    </row>
    <row r="88" spans="2:8" ht="27.95" customHeight="1" x14ac:dyDescent="0.25">
      <c r="B88" s="67" t="s">
        <v>929</v>
      </c>
      <c r="C88" s="67" t="s">
        <v>14</v>
      </c>
      <c r="D88" s="67" t="s">
        <v>347</v>
      </c>
      <c r="E88" s="67"/>
      <c r="F88" s="7">
        <f>VLOOKUP(tbRecipes[[#This Row],[Item]],tbMaterials[],4,FALSE)</f>
        <v>300</v>
      </c>
      <c r="G88" s="7">
        <f>VLOOKUP(tbRecipes[[#This Row],[Ingredient 1]],tbMaterials[],4,FALSE)+_xlfn.IFNA(VLOOKUP(tbRecipes[[#This Row],[Ingredient 2]],tbMaterials[],4,FALSE),0)+_xlfn.IFNA(VLOOKUP(tbRecipes[[#This Row],[Ingredient 3]],tbMaterials[],4,FALSE),0)</f>
        <v>82</v>
      </c>
    </row>
    <row r="89" spans="2:8" ht="27.95" customHeight="1" x14ac:dyDescent="0.25">
      <c r="B89" s="67" t="s">
        <v>938</v>
      </c>
      <c r="C89" s="67" t="s">
        <v>919</v>
      </c>
      <c r="D89" s="67" t="s">
        <v>347</v>
      </c>
      <c r="E89" s="67"/>
      <c r="F89" s="7">
        <f>VLOOKUP(tbRecipes[[#This Row],[Item]],tbMaterials[],4,FALSE)</f>
        <v>800</v>
      </c>
      <c r="G89" s="7">
        <f>VLOOKUP(tbRecipes[[#This Row],[Ingredient 1]],tbMaterials[],4,FALSE)+_xlfn.IFNA(VLOOKUP(tbRecipes[[#This Row],[Ingredient 2]],tbMaterials[],4,FALSE),0)+_xlfn.IFNA(VLOOKUP(tbRecipes[[#This Row],[Ingredient 3]],tbMaterials[],4,FALSE),0)</f>
        <v>812</v>
      </c>
    </row>
    <row r="90" spans="2:8" ht="27.95" customHeight="1" x14ac:dyDescent="0.25">
      <c r="B90" s="67" t="s">
        <v>938</v>
      </c>
      <c r="C90" s="67" t="s">
        <v>930</v>
      </c>
      <c r="D90" s="67" t="s">
        <v>347</v>
      </c>
      <c r="E90" s="67"/>
      <c r="F90" s="7">
        <f>VLOOKUP(tbRecipes[[#This Row],[Item]],tbMaterials[],4,FALSE)</f>
        <v>800</v>
      </c>
      <c r="G90" s="7">
        <f>VLOOKUP(tbRecipes[[#This Row],[Ingredient 1]],tbMaterials[],4,FALSE)+_xlfn.IFNA(VLOOKUP(tbRecipes[[#This Row],[Ingredient 2]],tbMaterials[],4,FALSE),0)+_xlfn.IFNA(VLOOKUP(tbRecipes[[#This Row],[Ingredient 3]],tbMaterials[],4,FALSE),0)</f>
        <v>812</v>
      </c>
    </row>
    <row r="91" spans="2:8" ht="27.95" customHeight="1" x14ac:dyDescent="0.25">
      <c r="B91" s="67" t="s">
        <v>938</v>
      </c>
      <c r="C91" s="67" t="s">
        <v>933</v>
      </c>
      <c r="D91" s="67" t="s">
        <v>347</v>
      </c>
      <c r="E91" s="67"/>
      <c r="F91" s="7">
        <f>VLOOKUP(tbRecipes[[#This Row],[Item]],tbMaterials[],4,FALSE)</f>
        <v>800</v>
      </c>
      <c r="G91" s="7">
        <f>VLOOKUP(tbRecipes[[#This Row],[Ingredient 1]],tbMaterials[],4,FALSE)+_xlfn.IFNA(VLOOKUP(tbRecipes[[#This Row],[Ingredient 2]],tbMaterials[],4,FALSE),0)+_xlfn.IFNA(VLOOKUP(tbRecipes[[#This Row],[Ingredient 3]],tbMaterials[],4,FALSE),0)</f>
        <v>812</v>
      </c>
    </row>
    <row r="92" spans="2:8" ht="27.95" customHeight="1" x14ac:dyDescent="0.25">
      <c r="B92" s="66" t="s">
        <v>952</v>
      </c>
      <c r="C92" s="66" t="s">
        <v>958</v>
      </c>
      <c r="D92" s="66" t="s">
        <v>963</v>
      </c>
      <c r="F92" s="7">
        <f>VLOOKUP(tbRecipes[[#This Row],[Item]],tbMaterials[],4,FALSE)</f>
        <v>9000</v>
      </c>
      <c r="G92" s="7">
        <f>VLOOKUP(tbRecipes[[#This Row],[Ingredient 1]],tbMaterials[],4,FALSE)+_xlfn.IFNA(VLOOKUP(tbRecipes[[#This Row],[Ingredient 2]],tbMaterials[],4,FALSE),0)+_xlfn.IFNA(VLOOKUP(tbRecipes[[#This Row],[Ingredient 3]],tbMaterials[],4,FALSE),0)</f>
        <v>6000</v>
      </c>
    </row>
    <row r="93" spans="2:8" ht="27.95" customHeight="1" x14ac:dyDescent="0.25">
      <c r="B93" s="67" t="s">
        <v>963</v>
      </c>
      <c r="C93" s="67" t="s">
        <v>347</v>
      </c>
      <c r="D93" s="67"/>
      <c r="E93" s="67"/>
      <c r="F93" s="7">
        <f>VLOOKUP(tbRecipes[[#This Row],[Item]],tbMaterials[],4,FALSE)</f>
        <v>600</v>
      </c>
      <c r="G93" s="7">
        <f>VLOOKUP(tbRecipes[[#This Row],[Ingredient 1]],tbMaterials[],4,FALSE)+_xlfn.IFNA(VLOOKUP(tbRecipes[[#This Row],[Ingredient 2]],tbMaterials[],4,FALSE),0)+_xlfn.IFNA(VLOOKUP(tbRecipes[[#This Row],[Ingredient 3]],tbMaterials[],4,FALSE),0)</f>
        <v>12</v>
      </c>
      <c r="H93" s="67"/>
    </row>
    <row r="94" spans="2:8" ht="27.95" customHeight="1" x14ac:dyDescent="0.25">
      <c r="B94" s="66" t="s">
        <v>1044</v>
      </c>
      <c r="C94" s="66" t="s">
        <v>919</v>
      </c>
      <c r="D94" s="66" t="s">
        <v>334</v>
      </c>
      <c r="F94" s="7">
        <f>VLOOKUP(tbRecipes[[#This Row],[Item]],tbMaterials[],4,FALSE)</f>
        <v>0</v>
      </c>
      <c r="G94" s="17">
        <f>VLOOKUP(tbRecipes[[#This Row],[Ingredient 1]],tbMaterials[],4,FALSE)+_xlfn.IFNA(VLOOKUP(tbRecipes[[#This Row],[Ingredient 2]],tbMaterials[],4,FALSE),0)+_xlfn.IFNA(VLOOKUP(tbRecipes[[#This Row],[Ingredient 3]],tbMaterials[],4,FALSE),0)</f>
        <v>840</v>
      </c>
    </row>
    <row r="95" spans="2:8" ht="27.95" customHeight="1" x14ac:dyDescent="0.25">
      <c r="B95" s="66" t="s">
        <v>1046</v>
      </c>
      <c r="C95" s="66" t="s">
        <v>525</v>
      </c>
      <c r="D95" s="66" t="s">
        <v>334</v>
      </c>
      <c r="F95" s="7">
        <f>VLOOKUP(tbRecipes[[#This Row],[Item]],tbMaterials[],4,FALSE)</f>
        <v>800</v>
      </c>
      <c r="G95" s="17" t="e">
        <f>VLOOKUP(tbRecipes[[#This Row],[Ingredient 1]],tbMaterials[],4,FALSE)+_xlfn.IFNA(VLOOKUP(tbRecipes[[#This Row],[Ingredient 2]],tbMaterials[],4,FALSE),0)+_xlfn.IFNA(VLOOKUP(tbRecipes[[#This Row],[Ingredient 3]],tbMaterials[],4,FALSE),0)</f>
        <v>#N/A</v>
      </c>
    </row>
    <row r="96" spans="2:8" ht="27.95" customHeight="1" x14ac:dyDescent="0.25">
      <c r="B96" s="66" t="s">
        <v>1046</v>
      </c>
      <c r="C96" s="66" t="s">
        <v>366</v>
      </c>
      <c r="D96" s="66" t="s">
        <v>334</v>
      </c>
      <c r="F96" s="7">
        <f>VLOOKUP(tbRecipes[[#This Row],[Item]],tbMaterials[],4,FALSE)</f>
        <v>800</v>
      </c>
      <c r="G96" s="17">
        <f>VLOOKUP(tbRecipes[[#This Row],[Ingredient 1]],tbMaterials[],4,FALSE)+_xlfn.IFNA(VLOOKUP(tbRecipes[[#This Row],[Ingredient 2]],tbMaterials[],4,FALSE),0)+_xlfn.IFNA(VLOOKUP(tbRecipes[[#This Row],[Ingredient 3]],tbMaterials[],4,FALSE),0)</f>
        <v>1440</v>
      </c>
    </row>
  </sheetData>
  <phoneticPr fontId="4"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BB626-252A-40BC-B2B7-15E00FD0BA20}">
  <sheetPr codeName="Sheet9"/>
  <dimension ref="B1:M166"/>
  <sheetViews>
    <sheetView showGridLines="0" topLeftCell="A52" workbookViewId="0">
      <selection activeCell="C69" sqref="C69"/>
    </sheetView>
  </sheetViews>
  <sheetFormatPr defaultRowHeight="14.25" x14ac:dyDescent="0.25"/>
  <cols>
    <col min="1" max="1" width="1.42578125" style="1" customWidth="1"/>
    <col min="2" max="2" width="23.85546875" style="1" customWidth="1"/>
    <col min="3" max="3" width="17.7109375" style="1" customWidth="1"/>
    <col min="4" max="10" width="12.85546875" style="1" customWidth="1"/>
    <col min="11" max="12" width="12.85546875" style="6" customWidth="1"/>
    <col min="13" max="16384" width="9.140625" style="1"/>
  </cols>
  <sheetData>
    <row r="1" spans="2:13" ht="7.5" customHeight="1" x14ac:dyDescent="0.25"/>
    <row r="2" spans="2:13" s="2" customFormat="1" ht="27.95" customHeight="1" x14ac:dyDescent="0.25">
      <c r="B2" s="45" t="s">
        <v>716</v>
      </c>
      <c r="K2" s="4"/>
      <c r="L2" s="4"/>
    </row>
    <row r="3" spans="2:13" s="3" customFormat="1" ht="27.95" customHeight="1" x14ac:dyDescent="0.25">
      <c r="B3" s="3" t="s">
        <v>582</v>
      </c>
      <c r="C3" s="5" t="s">
        <v>583</v>
      </c>
      <c r="D3" s="5" t="s">
        <v>584</v>
      </c>
      <c r="E3" s="5" t="s">
        <v>585</v>
      </c>
      <c r="F3" s="5" t="s">
        <v>586</v>
      </c>
      <c r="G3" s="5" t="s">
        <v>587</v>
      </c>
      <c r="H3" s="5" t="s">
        <v>723</v>
      </c>
      <c r="I3" s="5" t="s">
        <v>724</v>
      </c>
      <c r="J3" s="5" t="s">
        <v>296</v>
      </c>
      <c r="K3" s="5" t="s">
        <v>332</v>
      </c>
      <c r="L3" s="5" t="s">
        <v>295</v>
      </c>
      <c r="M3" s="5" t="s">
        <v>623</v>
      </c>
    </row>
    <row r="4" spans="2:13" s="2" customFormat="1" ht="27.95" customHeight="1" x14ac:dyDescent="0.25">
      <c r="B4" s="2" t="s">
        <v>804</v>
      </c>
      <c r="C4" s="4" t="s">
        <v>710</v>
      </c>
      <c r="D4" s="11">
        <v>212.7</v>
      </c>
      <c r="E4" s="11">
        <v>231.4</v>
      </c>
      <c r="F4" s="11">
        <v>153.4</v>
      </c>
      <c r="G4" s="11">
        <v>401</v>
      </c>
      <c r="H4" s="11">
        <v>48</v>
      </c>
      <c r="I4" s="11">
        <v>21</v>
      </c>
      <c r="J4" s="4" t="s">
        <v>91</v>
      </c>
      <c r="K4" s="4" t="s">
        <v>91</v>
      </c>
      <c r="L4" s="4" t="s">
        <v>91</v>
      </c>
      <c r="M4" s="4" t="s">
        <v>41</v>
      </c>
    </row>
    <row r="5" spans="2:13" s="2" customFormat="1" ht="27.95" hidden="1" customHeight="1" x14ac:dyDescent="0.25">
      <c r="B5" s="2" t="s">
        <v>776</v>
      </c>
      <c r="C5" s="4" t="s">
        <v>710</v>
      </c>
      <c r="D5" s="11">
        <v>191</v>
      </c>
      <c r="E5" s="11">
        <v>231</v>
      </c>
      <c r="F5" s="11">
        <v>155</v>
      </c>
      <c r="G5" s="11">
        <v>395.5</v>
      </c>
      <c r="H5" s="11">
        <v>18</v>
      </c>
      <c r="I5" s="11">
        <v>5</v>
      </c>
      <c r="J5" s="4"/>
      <c r="K5" s="4"/>
      <c r="L5" s="4"/>
      <c r="M5" s="4" t="s">
        <v>60</v>
      </c>
    </row>
    <row r="6" spans="2:13" s="66" customFormat="1" ht="27.95" customHeight="1" x14ac:dyDescent="0.25">
      <c r="B6" s="66" t="s">
        <v>709</v>
      </c>
      <c r="C6" s="4" t="s">
        <v>710</v>
      </c>
      <c r="D6" s="11">
        <v>197.1</v>
      </c>
      <c r="E6" s="11">
        <v>230.7</v>
      </c>
      <c r="F6" s="65">
        <v>477.3</v>
      </c>
      <c r="G6" s="11">
        <v>395.5</v>
      </c>
      <c r="H6" s="11">
        <v>35</v>
      </c>
      <c r="I6" s="11">
        <v>21</v>
      </c>
      <c r="J6" s="4" t="s">
        <v>91</v>
      </c>
      <c r="K6" s="4" t="s">
        <v>91</v>
      </c>
      <c r="L6" s="4" t="s">
        <v>91</v>
      </c>
      <c r="M6" s="4" t="s">
        <v>60</v>
      </c>
    </row>
    <row r="7" spans="2:13" s="66" customFormat="1" ht="27.95" customHeight="1" x14ac:dyDescent="0.25">
      <c r="B7" s="66" t="s">
        <v>1144</v>
      </c>
      <c r="C7" s="4" t="s">
        <v>1145</v>
      </c>
      <c r="D7" s="11"/>
      <c r="E7" s="11"/>
      <c r="F7" s="65"/>
      <c r="G7" s="11"/>
      <c r="H7" s="11"/>
      <c r="I7" s="11"/>
      <c r="J7" s="4"/>
      <c r="K7" s="4"/>
      <c r="L7" s="4"/>
      <c r="M7" s="4"/>
    </row>
    <row r="8" spans="2:13" s="2" customFormat="1" ht="27.95" customHeight="1" x14ac:dyDescent="0.25">
      <c r="B8" s="2" t="s">
        <v>721</v>
      </c>
      <c r="C8" s="4" t="s">
        <v>589</v>
      </c>
      <c r="D8" s="65">
        <v>248</v>
      </c>
      <c r="E8" s="11">
        <v>188.9</v>
      </c>
      <c r="F8" s="11">
        <v>101</v>
      </c>
      <c r="G8" s="11">
        <v>395.5</v>
      </c>
      <c r="H8" s="11">
        <v>48</v>
      </c>
      <c r="I8" s="11">
        <v>21</v>
      </c>
      <c r="J8" s="4" t="s">
        <v>91</v>
      </c>
      <c r="K8" s="4" t="s">
        <v>91</v>
      </c>
      <c r="L8" s="4"/>
      <c r="M8" s="4"/>
    </row>
    <row r="9" spans="2:13" s="66" customFormat="1" ht="27.95" customHeight="1" x14ac:dyDescent="0.25">
      <c r="C9" s="4"/>
      <c r="D9" s="11"/>
      <c r="E9" s="11"/>
      <c r="F9" s="11"/>
      <c r="G9" s="11"/>
      <c r="H9" s="11"/>
      <c r="I9" s="11"/>
      <c r="J9" s="4"/>
      <c r="K9" s="4"/>
      <c r="L9" s="4"/>
      <c r="M9" s="4"/>
    </row>
    <row r="10" spans="2:13" s="66" customFormat="1" ht="27.95" customHeight="1" x14ac:dyDescent="0.25">
      <c r="B10" s="45" t="s">
        <v>819</v>
      </c>
      <c r="C10" s="4"/>
      <c r="D10" s="11"/>
      <c r="E10" s="11"/>
      <c r="F10" s="11"/>
      <c r="G10" s="11"/>
      <c r="H10" s="11"/>
      <c r="I10" s="11"/>
      <c r="J10" s="4"/>
      <c r="K10" s="4"/>
      <c r="L10" s="4"/>
      <c r="M10" s="4"/>
    </row>
    <row r="11" spans="2:13" s="66" customFormat="1" ht="27.95" customHeight="1" x14ac:dyDescent="0.25">
      <c r="B11" s="72" t="s">
        <v>582</v>
      </c>
      <c r="C11" s="73" t="s">
        <v>583</v>
      </c>
      <c r="D11" s="73" t="s">
        <v>584</v>
      </c>
      <c r="E11" s="73" t="s">
        <v>585</v>
      </c>
      <c r="F11" s="73" t="s">
        <v>586</v>
      </c>
      <c r="G11" s="73" t="s">
        <v>587</v>
      </c>
      <c r="H11" s="11"/>
      <c r="I11" s="11"/>
      <c r="J11" s="4"/>
      <c r="K11" s="4"/>
      <c r="L11" s="4"/>
      <c r="M11" s="4"/>
    </row>
    <row r="12" spans="2:13" s="66" customFormat="1" ht="27.95" customHeight="1" x14ac:dyDescent="0.25">
      <c r="B12" s="68" t="s">
        <v>804</v>
      </c>
      <c r="C12" s="74" t="s">
        <v>710</v>
      </c>
      <c r="D12" s="11">
        <v>255.4</v>
      </c>
      <c r="E12" s="65">
        <v>354</v>
      </c>
      <c r="F12" s="65">
        <v>1266</v>
      </c>
      <c r="G12" s="11">
        <v>615</v>
      </c>
      <c r="H12" s="11"/>
      <c r="I12" s="11"/>
      <c r="J12" s="4"/>
      <c r="K12" s="4"/>
      <c r="L12" s="4"/>
      <c r="M12" s="4"/>
    </row>
    <row r="13" spans="2:13" s="66" customFormat="1" ht="27.95" customHeight="1" x14ac:dyDescent="0.25">
      <c r="B13" s="36" t="s">
        <v>709</v>
      </c>
      <c r="C13" s="4" t="s">
        <v>710</v>
      </c>
      <c r="D13" s="51">
        <v>233.9</v>
      </c>
      <c r="E13" s="51">
        <v>340.2</v>
      </c>
      <c r="F13" s="51">
        <v>1096.4000000000001</v>
      </c>
      <c r="G13" s="51">
        <v>573.20000000000005</v>
      </c>
      <c r="H13" s="11"/>
      <c r="I13" s="11"/>
      <c r="J13" s="4"/>
      <c r="K13" s="4"/>
      <c r="L13" s="4"/>
      <c r="M13" s="4"/>
    </row>
    <row r="14" spans="2:13" s="66" customFormat="1" ht="27.95" customHeight="1" x14ac:dyDescent="0.25">
      <c r="B14" s="36" t="s">
        <v>721</v>
      </c>
      <c r="C14" s="57" t="s">
        <v>589</v>
      </c>
      <c r="D14" s="65">
        <v>293.60000000000002</v>
      </c>
      <c r="E14" s="11">
        <v>288</v>
      </c>
      <c r="F14" s="11">
        <v>887</v>
      </c>
      <c r="G14" s="65">
        <v>625</v>
      </c>
      <c r="H14" s="11"/>
      <c r="I14" s="11"/>
      <c r="J14" s="4"/>
      <c r="K14" s="4"/>
      <c r="L14" s="4"/>
      <c r="M14" s="4"/>
    </row>
    <row r="15" spans="2:13" s="2" customFormat="1" ht="27.95" customHeight="1" x14ac:dyDescent="0.25">
      <c r="C15" s="4"/>
      <c r="D15" s="11"/>
      <c r="E15" s="11"/>
      <c r="F15" s="11"/>
      <c r="G15" s="11"/>
      <c r="H15" s="11"/>
      <c r="I15" s="11"/>
      <c r="J15" s="4"/>
      <c r="K15" s="4"/>
      <c r="L15" s="4"/>
      <c r="M15" s="4"/>
    </row>
    <row r="16" spans="2:13" s="2" customFormat="1" ht="27.95" customHeight="1" x14ac:dyDescent="0.25">
      <c r="B16" s="45" t="s">
        <v>635</v>
      </c>
      <c r="K16" s="4"/>
      <c r="L16" s="4"/>
    </row>
    <row r="17" spans="2:11" s="2" customFormat="1" ht="27.95" customHeight="1" x14ac:dyDescent="0.25">
      <c r="B17" s="52" t="s">
        <v>625</v>
      </c>
      <c r="C17" s="52" t="s">
        <v>626</v>
      </c>
      <c r="D17" s="39" t="s">
        <v>583</v>
      </c>
      <c r="E17" s="39" t="s">
        <v>627</v>
      </c>
      <c r="F17" s="39" t="s">
        <v>628</v>
      </c>
      <c r="G17" s="39" t="s">
        <v>629</v>
      </c>
      <c r="H17" s="39"/>
      <c r="I17" s="53"/>
      <c r="J17" s="1"/>
      <c r="K17" s="1"/>
    </row>
    <row r="18" spans="2:11" s="2" customFormat="1" ht="27.95" hidden="1" customHeight="1" x14ac:dyDescent="0.25">
      <c r="B18" s="38" t="s">
        <v>624</v>
      </c>
      <c r="C18" s="2" t="s">
        <v>711</v>
      </c>
      <c r="D18" s="37" t="s">
        <v>588</v>
      </c>
      <c r="E18" s="49">
        <v>0.02</v>
      </c>
      <c r="F18" s="49">
        <v>0.03</v>
      </c>
      <c r="G18" s="49">
        <v>0.06</v>
      </c>
      <c r="H18" s="49"/>
      <c r="I18" s="53"/>
      <c r="J18" s="1"/>
      <c r="K18" s="1"/>
    </row>
    <row r="19" spans="2:11" s="2" customFormat="1" ht="27.95" customHeight="1" x14ac:dyDescent="0.25">
      <c r="B19" s="38" t="s">
        <v>820</v>
      </c>
      <c r="C19" s="2" t="s">
        <v>721</v>
      </c>
      <c r="D19" s="37" t="s">
        <v>634</v>
      </c>
      <c r="E19" s="49">
        <v>0.03</v>
      </c>
      <c r="F19" s="49">
        <v>0.03</v>
      </c>
      <c r="G19" s="49">
        <v>0.06</v>
      </c>
      <c r="H19" s="49"/>
      <c r="I19" s="53"/>
      <c r="J19" s="1"/>
      <c r="K19" s="1"/>
    </row>
    <row r="20" spans="2:11" s="2" customFormat="1" ht="27.95" customHeight="1" x14ac:dyDescent="0.25">
      <c r="B20" s="38" t="s">
        <v>793</v>
      </c>
      <c r="C20" s="2" t="s">
        <v>721</v>
      </c>
      <c r="D20" s="37" t="s">
        <v>634</v>
      </c>
      <c r="E20" s="49">
        <v>0.03</v>
      </c>
      <c r="F20" s="49">
        <v>0.03</v>
      </c>
      <c r="G20" s="49">
        <v>7.0000000000000007E-2</v>
      </c>
      <c r="H20" s="49"/>
      <c r="I20" s="53"/>
      <c r="J20" s="1"/>
      <c r="K20" s="1"/>
    </row>
    <row r="21" spans="2:11" s="2" customFormat="1" ht="27.95" customHeight="1" x14ac:dyDescent="0.25">
      <c r="B21" s="38" t="s">
        <v>821</v>
      </c>
      <c r="C21" s="2" t="s">
        <v>721</v>
      </c>
      <c r="D21" s="37" t="s">
        <v>634</v>
      </c>
      <c r="E21" s="49">
        <v>0.03</v>
      </c>
      <c r="F21" s="49">
        <v>0.03</v>
      </c>
      <c r="G21" s="49">
        <v>0.06</v>
      </c>
      <c r="H21" s="49"/>
      <c r="I21" s="53"/>
      <c r="J21" s="1"/>
      <c r="K21" s="1"/>
    </row>
    <row r="22" spans="2:11" s="66" customFormat="1" ht="27.95" customHeight="1" x14ac:dyDescent="0.25">
      <c r="B22" s="38" t="s">
        <v>794</v>
      </c>
      <c r="C22" s="66" t="s">
        <v>721</v>
      </c>
      <c r="D22" s="37" t="s">
        <v>609</v>
      </c>
      <c r="E22" s="49"/>
      <c r="F22" s="49">
        <v>0.21</v>
      </c>
      <c r="G22" s="49"/>
      <c r="H22" s="49"/>
      <c r="I22" s="53"/>
      <c r="J22" s="1"/>
      <c r="K22" s="1"/>
    </row>
    <row r="23" spans="2:11" s="2" customFormat="1" ht="27.95" hidden="1" customHeight="1" x14ac:dyDescent="0.25">
      <c r="B23" s="38" t="s">
        <v>720</v>
      </c>
      <c r="C23" s="2" t="s">
        <v>709</v>
      </c>
      <c r="D23" s="37" t="s">
        <v>639</v>
      </c>
      <c r="E23" s="49"/>
      <c r="F23" s="49"/>
      <c r="G23" s="49">
        <v>0.04</v>
      </c>
      <c r="H23" s="49"/>
      <c r="I23" s="53"/>
      <c r="J23" s="1"/>
      <c r="K23" s="1"/>
    </row>
    <row r="24" spans="2:11" s="2" customFormat="1" ht="27.95" hidden="1" customHeight="1" x14ac:dyDescent="0.25">
      <c r="B24" s="38" t="s">
        <v>722</v>
      </c>
      <c r="C24" s="2" t="s">
        <v>709</v>
      </c>
      <c r="D24" s="37" t="s">
        <v>609</v>
      </c>
      <c r="E24" s="49"/>
      <c r="F24" s="49">
        <v>0.21</v>
      </c>
      <c r="G24" s="49"/>
      <c r="H24" s="49"/>
      <c r="I24" s="53"/>
      <c r="J24" s="1"/>
      <c r="K24" s="1"/>
    </row>
    <row r="25" spans="2:11" s="2" customFormat="1" ht="27.95" hidden="1" customHeight="1" x14ac:dyDescent="0.25">
      <c r="B25" s="38" t="s">
        <v>737</v>
      </c>
      <c r="C25" s="2" t="s">
        <v>709</v>
      </c>
      <c r="D25" s="37" t="s">
        <v>634</v>
      </c>
      <c r="E25" s="49">
        <v>0.03</v>
      </c>
      <c r="F25" s="49">
        <v>0.03</v>
      </c>
      <c r="G25" s="49">
        <v>7.0000000000000007E-2</v>
      </c>
      <c r="H25" s="49"/>
      <c r="I25" s="53"/>
      <c r="J25" s="1"/>
      <c r="K25" s="1"/>
    </row>
    <row r="26" spans="2:11" s="66" customFormat="1" ht="27.95" hidden="1" customHeight="1" x14ac:dyDescent="0.25">
      <c r="B26" s="38" t="s">
        <v>803</v>
      </c>
      <c r="C26" s="66" t="s">
        <v>780</v>
      </c>
      <c r="D26" s="37" t="s">
        <v>639</v>
      </c>
      <c r="E26" s="49">
        <v>0.01</v>
      </c>
      <c r="F26" s="49"/>
      <c r="G26" s="49"/>
      <c r="H26" s="49"/>
      <c r="I26" s="53"/>
      <c r="J26" s="1"/>
      <c r="K26" s="1"/>
    </row>
    <row r="27" spans="2:11" s="66" customFormat="1" ht="27.95" hidden="1" customHeight="1" x14ac:dyDescent="0.25">
      <c r="B27" s="38" t="s">
        <v>794</v>
      </c>
      <c r="C27" s="66" t="s">
        <v>780</v>
      </c>
      <c r="D27" s="37" t="s">
        <v>609</v>
      </c>
      <c r="E27" s="49"/>
      <c r="F27" s="49">
        <v>0.21</v>
      </c>
      <c r="G27" s="49"/>
      <c r="H27" s="49"/>
      <c r="I27" s="53"/>
      <c r="J27" s="1"/>
      <c r="K27" s="1"/>
    </row>
    <row r="28" spans="2:11" s="66" customFormat="1" ht="27.95" customHeight="1" x14ac:dyDescent="0.25">
      <c r="B28" s="38" t="s">
        <v>794</v>
      </c>
      <c r="C28" s="66" t="s">
        <v>804</v>
      </c>
      <c r="D28" s="37" t="s">
        <v>609</v>
      </c>
      <c r="E28" s="49"/>
      <c r="F28" s="49">
        <v>0.21</v>
      </c>
      <c r="G28" s="49"/>
      <c r="H28" s="49"/>
      <c r="I28" s="53"/>
      <c r="J28" s="1"/>
      <c r="K28" s="1"/>
    </row>
    <row r="29" spans="2:11" s="66" customFormat="1" ht="27.95" customHeight="1" x14ac:dyDescent="0.25">
      <c r="B29" s="38" t="s">
        <v>818</v>
      </c>
      <c r="C29" s="66" t="s">
        <v>804</v>
      </c>
      <c r="D29" s="37" t="s">
        <v>634</v>
      </c>
      <c r="E29" s="49">
        <v>0.03</v>
      </c>
      <c r="F29" s="49">
        <v>0.03</v>
      </c>
      <c r="G29" s="49">
        <v>7.0000000000000007E-2</v>
      </c>
      <c r="H29" s="49"/>
      <c r="I29" s="53"/>
      <c r="J29" s="1"/>
      <c r="K29" s="1"/>
    </row>
    <row r="30" spans="2:11" s="66" customFormat="1" ht="27.95" customHeight="1" x14ac:dyDescent="0.25">
      <c r="B30" s="38" t="s">
        <v>822</v>
      </c>
      <c r="C30" s="66" t="s">
        <v>804</v>
      </c>
      <c r="D30" s="37" t="s">
        <v>634</v>
      </c>
      <c r="E30" s="49">
        <v>0.03</v>
      </c>
      <c r="F30" s="49">
        <v>0.03</v>
      </c>
      <c r="G30" s="49">
        <v>0.08</v>
      </c>
      <c r="H30" s="49"/>
      <c r="I30" s="53"/>
      <c r="J30" s="1"/>
      <c r="K30" s="1"/>
    </row>
    <row r="31" spans="2:11" s="66" customFormat="1" ht="27.95" customHeight="1" x14ac:dyDescent="0.25">
      <c r="B31" s="38" t="s">
        <v>820</v>
      </c>
      <c r="C31" s="66" t="s">
        <v>804</v>
      </c>
      <c r="D31" s="37" t="s">
        <v>634</v>
      </c>
      <c r="E31" s="49">
        <v>0.03</v>
      </c>
      <c r="F31" s="49">
        <v>0.03</v>
      </c>
      <c r="G31" s="49">
        <v>0.06</v>
      </c>
      <c r="H31" s="49"/>
      <c r="I31" s="53"/>
      <c r="J31" s="1"/>
      <c r="K31" s="1"/>
    </row>
    <row r="32" spans="2:11" s="2" customFormat="1" ht="27.95" customHeight="1" x14ac:dyDescent="0.25">
      <c r="B32" s="38" t="s">
        <v>630</v>
      </c>
      <c r="C32" s="38"/>
      <c r="D32" s="37"/>
      <c r="E32" s="49">
        <f>SUBTOTAL(109,tbSU_Photon[Fire Rate])</f>
        <v>0.18</v>
      </c>
      <c r="F32" s="49">
        <f>SUBTOTAL(109,tbSU_Photon[Heat Dispersion])</f>
        <v>0.60000000000000009</v>
      </c>
      <c r="G32" s="49">
        <f>SUBTOTAL(109,tbSU_Photon[Damage])</f>
        <v>0.4</v>
      </c>
      <c r="H32" s="49"/>
      <c r="I32" s="53"/>
      <c r="J32" s="1"/>
      <c r="K32" s="1"/>
    </row>
    <row r="33" spans="2:12" s="2" customFormat="1" ht="27.95" customHeight="1" x14ac:dyDescent="0.25">
      <c r="B33" s="38"/>
      <c r="C33" s="38"/>
      <c r="D33" s="38"/>
      <c r="E33" s="38"/>
      <c r="F33" s="38"/>
      <c r="G33" s="38"/>
      <c r="H33" s="38"/>
      <c r="I33" s="38"/>
      <c r="J33" s="38"/>
      <c r="K33" s="4"/>
      <c r="L33" s="4"/>
    </row>
    <row r="34" spans="2:12" s="2" customFormat="1" ht="28.5" customHeight="1" x14ac:dyDescent="0.25">
      <c r="B34" s="50" t="s">
        <v>636</v>
      </c>
      <c r="C34" s="38"/>
      <c r="D34" s="38"/>
      <c r="E34" s="38"/>
      <c r="F34" s="38"/>
      <c r="G34" s="38"/>
      <c r="H34" s="38"/>
      <c r="I34" s="38"/>
      <c r="J34" s="38"/>
      <c r="K34" s="4"/>
      <c r="L34" s="4"/>
    </row>
    <row r="35" spans="2:12" s="2" customFormat="1" ht="27.95" customHeight="1" x14ac:dyDescent="0.25">
      <c r="B35" s="52" t="s">
        <v>625</v>
      </c>
      <c r="C35" s="52" t="s">
        <v>626</v>
      </c>
      <c r="D35" s="39" t="s">
        <v>583</v>
      </c>
      <c r="E35" s="39" t="s">
        <v>631</v>
      </c>
      <c r="F35" s="39" t="s">
        <v>632</v>
      </c>
      <c r="G35" s="5" t="s">
        <v>587</v>
      </c>
      <c r="H35" s="38" t="s">
        <v>795</v>
      </c>
      <c r="I35" s="38"/>
      <c r="J35" s="4"/>
      <c r="K35" s="4"/>
    </row>
    <row r="36" spans="2:12" s="2" customFormat="1" ht="27.95" customHeight="1" x14ac:dyDescent="0.25">
      <c r="B36" s="38" t="s">
        <v>640</v>
      </c>
      <c r="C36" s="2" t="s">
        <v>721</v>
      </c>
      <c r="D36" s="37" t="s">
        <v>634</v>
      </c>
      <c r="E36" s="49">
        <v>0.2</v>
      </c>
      <c r="F36" s="49">
        <v>0.11</v>
      </c>
      <c r="G36" s="49">
        <v>0.12</v>
      </c>
      <c r="H36" s="49"/>
      <c r="I36" s="38"/>
      <c r="J36" s="4"/>
      <c r="K36" s="4"/>
    </row>
    <row r="37" spans="2:12" s="2" customFormat="1" ht="27.95" customHeight="1" x14ac:dyDescent="0.25">
      <c r="B37" s="38" t="s">
        <v>641</v>
      </c>
      <c r="C37" s="2" t="s">
        <v>721</v>
      </c>
      <c r="D37" s="37" t="s">
        <v>634</v>
      </c>
      <c r="E37" s="49">
        <v>0.2</v>
      </c>
      <c r="F37" s="49">
        <v>0.13</v>
      </c>
      <c r="G37" s="49">
        <v>0.1</v>
      </c>
      <c r="H37" s="49"/>
      <c r="I37" s="38"/>
      <c r="J37" s="4"/>
      <c r="K37" s="4"/>
    </row>
    <row r="38" spans="2:12" s="2" customFormat="1" ht="27.95" customHeight="1" x14ac:dyDescent="0.25">
      <c r="B38" s="38" t="s">
        <v>785</v>
      </c>
      <c r="C38" s="2" t="s">
        <v>721</v>
      </c>
      <c r="D38" s="37" t="s">
        <v>634</v>
      </c>
      <c r="E38" s="49">
        <v>0.2</v>
      </c>
      <c r="F38" s="49">
        <v>0.12</v>
      </c>
      <c r="G38" s="49">
        <v>0.09</v>
      </c>
      <c r="H38" s="49"/>
      <c r="I38" s="38"/>
      <c r="J38" s="4"/>
      <c r="K38" s="4"/>
    </row>
    <row r="39" spans="2:12" s="66" customFormat="1" ht="27.95" customHeight="1" x14ac:dyDescent="0.25">
      <c r="B39" s="38" t="s">
        <v>805</v>
      </c>
      <c r="C39" s="66" t="s">
        <v>721</v>
      </c>
      <c r="D39" s="37" t="s">
        <v>634</v>
      </c>
      <c r="E39" s="49"/>
      <c r="F39" s="49"/>
      <c r="G39" s="49"/>
      <c r="H39" s="49">
        <v>0.3</v>
      </c>
      <c r="I39" s="38"/>
      <c r="J39" s="4"/>
      <c r="K39" s="4"/>
    </row>
    <row r="40" spans="2:12" s="2" customFormat="1" ht="27.95" customHeight="1" x14ac:dyDescent="0.25">
      <c r="B40" s="38" t="s">
        <v>714</v>
      </c>
      <c r="C40" s="2" t="s">
        <v>709</v>
      </c>
      <c r="D40" s="37" t="s">
        <v>588</v>
      </c>
      <c r="E40" s="49">
        <v>0.16</v>
      </c>
      <c r="F40" s="49"/>
      <c r="G40" s="49">
        <v>0.12</v>
      </c>
      <c r="H40" s="49"/>
      <c r="I40" s="38"/>
      <c r="J40" s="4"/>
      <c r="K40" s="4"/>
    </row>
    <row r="41" spans="2:12" s="2" customFormat="1" ht="27.95" customHeight="1" x14ac:dyDescent="0.25">
      <c r="B41" s="38" t="s">
        <v>715</v>
      </c>
      <c r="C41" s="2" t="s">
        <v>709</v>
      </c>
      <c r="D41" s="37" t="s">
        <v>588</v>
      </c>
      <c r="E41" s="49">
        <v>0.16</v>
      </c>
      <c r="F41" s="49">
        <v>0.06</v>
      </c>
      <c r="G41" s="49"/>
      <c r="H41" s="49"/>
      <c r="I41" s="38"/>
      <c r="J41" s="4"/>
      <c r="K41" s="4"/>
    </row>
    <row r="42" spans="2:12" s="2" customFormat="1" ht="27.95" customHeight="1" x14ac:dyDescent="0.25">
      <c r="B42" s="38" t="s">
        <v>738</v>
      </c>
      <c r="C42" s="2" t="s">
        <v>709</v>
      </c>
      <c r="D42" s="37" t="s">
        <v>634</v>
      </c>
      <c r="E42" s="49">
        <v>0.2</v>
      </c>
      <c r="F42" s="49">
        <v>0.15</v>
      </c>
      <c r="G42" s="49">
        <v>7.0000000000000007E-2</v>
      </c>
      <c r="H42" s="49"/>
      <c r="I42" s="38"/>
      <c r="J42" s="4"/>
      <c r="K42" s="4"/>
    </row>
    <row r="43" spans="2:12" s="66" customFormat="1" ht="27.95" customHeight="1" x14ac:dyDescent="0.25">
      <c r="B43" s="38" t="s">
        <v>805</v>
      </c>
      <c r="C43" s="66" t="s">
        <v>804</v>
      </c>
      <c r="D43" s="37" t="s">
        <v>634</v>
      </c>
      <c r="E43" s="49"/>
      <c r="F43" s="49"/>
      <c r="G43" s="49"/>
      <c r="H43" s="49">
        <v>0.3</v>
      </c>
      <c r="I43" s="38"/>
      <c r="J43" s="4"/>
      <c r="K43" s="4"/>
    </row>
    <row r="44" spans="2:12" s="66" customFormat="1" ht="27.95" customHeight="1" x14ac:dyDescent="0.25">
      <c r="B44" s="38" t="s">
        <v>806</v>
      </c>
      <c r="C44" s="66" t="s">
        <v>804</v>
      </c>
      <c r="D44" s="37" t="s">
        <v>634</v>
      </c>
      <c r="E44" s="49">
        <v>0.2</v>
      </c>
      <c r="F44" s="49">
        <v>0.11</v>
      </c>
      <c r="G44" s="49">
        <v>0.08</v>
      </c>
      <c r="H44" s="49"/>
      <c r="I44" s="38"/>
      <c r="J44" s="4"/>
      <c r="K44" s="4"/>
    </row>
    <row r="45" spans="2:12" s="66" customFormat="1" ht="27.95" customHeight="1" x14ac:dyDescent="0.25">
      <c r="B45" s="38" t="s">
        <v>640</v>
      </c>
      <c r="C45" s="66" t="s">
        <v>804</v>
      </c>
      <c r="D45" s="37" t="s">
        <v>634</v>
      </c>
      <c r="E45" s="49">
        <v>0.2</v>
      </c>
      <c r="F45" s="49">
        <v>0.13</v>
      </c>
      <c r="G45" s="49">
        <v>0.09</v>
      </c>
      <c r="H45" s="49"/>
      <c r="I45" s="38"/>
      <c r="J45" s="4"/>
      <c r="K45" s="4"/>
    </row>
    <row r="46" spans="2:12" s="66" customFormat="1" ht="27.95" customHeight="1" x14ac:dyDescent="0.25">
      <c r="B46" s="38" t="s">
        <v>809</v>
      </c>
      <c r="C46" s="66" t="s">
        <v>804</v>
      </c>
      <c r="D46" s="37" t="s">
        <v>634</v>
      </c>
      <c r="E46" s="49">
        <v>0.2</v>
      </c>
      <c r="F46" s="49">
        <v>0.14000000000000001</v>
      </c>
      <c r="G46" s="49">
        <v>0.06</v>
      </c>
      <c r="H46" s="49"/>
      <c r="I46" s="38"/>
      <c r="J46" s="4"/>
      <c r="K46" s="4"/>
    </row>
    <row r="47" spans="2:12" s="2" customFormat="1" ht="27.95" customHeight="1" x14ac:dyDescent="0.25">
      <c r="B47" s="38" t="s">
        <v>630</v>
      </c>
      <c r="C47" s="38"/>
      <c r="D47" s="38"/>
      <c r="E47" s="49">
        <f>SUBTOTAL(109,tbSU_Pulse[Pulse Fuel Efficiency])</f>
        <v>1.72</v>
      </c>
      <c r="F47" s="49">
        <f>SUBTOTAL(109,tbSU_Pulse[Pulse Boost])</f>
        <v>0.95</v>
      </c>
      <c r="G47" s="10">
        <f>SUBTOTAL(109,tbSU_Pulse[Maneuverability])</f>
        <v>0.73</v>
      </c>
      <c r="H47" s="69">
        <f>SUBTOTAL(109,tbSU_Pulse[Pulse Drive Power])</f>
        <v>0.6</v>
      </c>
      <c r="I47" s="38"/>
      <c r="J47" s="4"/>
      <c r="K47" s="4"/>
    </row>
    <row r="48" spans="2:12" s="2" customFormat="1" ht="28.5" customHeight="1" x14ac:dyDescent="0.25">
      <c r="B48" s="38"/>
      <c r="C48" s="38"/>
      <c r="D48" s="38"/>
      <c r="E48" s="38"/>
      <c r="F48" s="38"/>
      <c r="G48" s="38"/>
      <c r="H48" s="38"/>
      <c r="I48" s="38"/>
      <c r="J48" s="38"/>
      <c r="K48" s="4"/>
      <c r="L48" s="4"/>
    </row>
    <row r="49" spans="2:12" s="2" customFormat="1" ht="27.75" customHeight="1" x14ac:dyDescent="0.25">
      <c r="B49" s="50" t="s">
        <v>637</v>
      </c>
      <c r="C49" s="38"/>
      <c r="D49" s="38"/>
      <c r="E49" s="38"/>
      <c r="F49" s="38"/>
      <c r="G49" s="38"/>
      <c r="H49" s="38"/>
      <c r="I49" s="38"/>
      <c r="J49" s="38"/>
      <c r="K49" s="4"/>
      <c r="L49" s="4"/>
    </row>
    <row r="50" spans="2:12" s="2" customFormat="1" ht="27.95" customHeight="1" x14ac:dyDescent="0.25">
      <c r="B50" s="52" t="s">
        <v>625</v>
      </c>
      <c r="C50" s="52" t="s">
        <v>626</v>
      </c>
      <c r="D50" s="39" t="s">
        <v>583</v>
      </c>
      <c r="E50" s="52" t="s">
        <v>633</v>
      </c>
      <c r="F50" s="52" t="s">
        <v>586</v>
      </c>
      <c r="G50" s="38"/>
      <c r="H50" s="38"/>
      <c r="I50" s="38"/>
      <c r="J50" s="4"/>
      <c r="K50" s="4"/>
    </row>
    <row r="51" spans="2:12" s="2" customFormat="1" ht="27.95" customHeight="1" x14ac:dyDescent="0.25">
      <c r="B51" s="38" t="s">
        <v>787</v>
      </c>
      <c r="C51" s="2" t="s">
        <v>721</v>
      </c>
      <c r="D51" s="37" t="s">
        <v>634</v>
      </c>
      <c r="E51" s="49">
        <v>1</v>
      </c>
      <c r="F51" s="51">
        <v>209</v>
      </c>
      <c r="G51" s="38"/>
      <c r="H51" s="38"/>
      <c r="I51" s="38"/>
      <c r="J51" s="4"/>
      <c r="K51" s="4"/>
    </row>
    <row r="52" spans="2:12" s="2" customFormat="1" ht="27.95" customHeight="1" x14ac:dyDescent="0.25">
      <c r="B52" s="38" t="s">
        <v>777</v>
      </c>
      <c r="C52" s="2" t="s">
        <v>721</v>
      </c>
      <c r="D52" s="37" t="s">
        <v>634</v>
      </c>
      <c r="E52" s="49">
        <v>1</v>
      </c>
      <c r="F52" s="51" t="s">
        <v>777</v>
      </c>
      <c r="G52" s="38"/>
      <c r="H52" s="38"/>
      <c r="I52" s="38"/>
      <c r="J52" s="4"/>
      <c r="K52" s="4"/>
    </row>
    <row r="53" spans="2:12" s="2" customFormat="1" ht="27.95" customHeight="1" x14ac:dyDescent="0.25">
      <c r="B53" s="38" t="s">
        <v>642</v>
      </c>
      <c r="C53" s="2" t="s">
        <v>721</v>
      </c>
      <c r="D53" s="37" t="s">
        <v>634</v>
      </c>
      <c r="E53" s="49">
        <v>1</v>
      </c>
      <c r="F53" s="51">
        <v>230</v>
      </c>
      <c r="G53" s="38"/>
      <c r="H53" s="38"/>
      <c r="I53" s="38"/>
      <c r="J53" s="4"/>
      <c r="K53" s="4"/>
    </row>
    <row r="54" spans="2:12" s="2" customFormat="1" ht="27.95" customHeight="1" x14ac:dyDescent="0.25">
      <c r="B54" s="38" t="s">
        <v>713</v>
      </c>
      <c r="C54" s="2" t="s">
        <v>709</v>
      </c>
      <c r="D54" s="37" t="s">
        <v>588</v>
      </c>
      <c r="E54" s="49">
        <v>1</v>
      </c>
      <c r="F54" s="51">
        <v>163</v>
      </c>
      <c r="G54" s="38"/>
      <c r="H54" s="38"/>
      <c r="I54" s="38"/>
      <c r="J54" s="4"/>
      <c r="K54" s="4"/>
    </row>
    <row r="55" spans="2:12" s="2" customFormat="1" ht="27.95" customHeight="1" x14ac:dyDescent="0.25">
      <c r="B55" s="38" t="s">
        <v>739</v>
      </c>
      <c r="C55" s="2" t="s">
        <v>709</v>
      </c>
      <c r="D55" s="37" t="s">
        <v>588</v>
      </c>
      <c r="E55" s="49">
        <v>1</v>
      </c>
      <c r="F55" s="51">
        <v>155</v>
      </c>
      <c r="G55" s="38"/>
      <c r="H55" s="38"/>
      <c r="I55" s="38"/>
      <c r="J55" s="4"/>
      <c r="K55" s="4"/>
    </row>
    <row r="56" spans="2:12" s="2" customFormat="1" ht="27.95" customHeight="1" x14ac:dyDescent="0.25">
      <c r="B56" s="38" t="s">
        <v>773</v>
      </c>
      <c r="C56" s="2" t="s">
        <v>709</v>
      </c>
      <c r="D56" s="37" t="s">
        <v>634</v>
      </c>
      <c r="E56" s="49">
        <v>1</v>
      </c>
      <c r="F56" s="51">
        <v>238</v>
      </c>
      <c r="G56" s="38"/>
      <c r="H56" s="38"/>
      <c r="I56" s="38"/>
      <c r="J56" s="4"/>
      <c r="K56" s="4"/>
    </row>
    <row r="57" spans="2:12" s="66" customFormat="1" ht="27.95" customHeight="1" x14ac:dyDescent="0.25">
      <c r="B57" s="38" t="s">
        <v>807</v>
      </c>
      <c r="C57" s="66" t="s">
        <v>804</v>
      </c>
      <c r="D57" s="37" t="s">
        <v>634</v>
      </c>
      <c r="E57" s="49">
        <v>1</v>
      </c>
      <c r="F57" s="51">
        <v>200</v>
      </c>
      <c r="G57" s="38"/>
      <c r="H57" s="38"/>
      <c r="I57" s="38"/>
      <c r="J57" s="4"/>
      <c r="K57" s="4"/>
    </row>
    <row r="58" spans="2:12" s="66" customFormat="1" ht="27.95" customHeight="1" x14ac:dyDescent="0.25">
      <c r="B58" s="38" t="s">
        <v>808</v>
      </c>
      <c r="C58" s="66" t="s">
        <v>804</v>
      </c>
      <c r="D58" s="37" t="s">
        <v>634</v>
      </c>
      <c r="E58" s="49">
        <v>1</v>
      </c>
      <c r="F58" s="51">
        <v>203</v>
      </c>
      <c r="G58" s="38"/>
      <c r="H58" s="38"/>
      <c r="I58" s="38"/>
      <c r="J58" s="4"/>
      <c r="K58" s="4"/>
    </row>
    <row r="59" spans="2:12" s="66" customFormat="1" ht="27.95" customHeight="1" x14ac:dyDescent="0.25">
      <c r="B59" s="38" t="s">
        <v>814</v>
      </c>
      <c r="C59" s="66" t="s">
        <v>804</v>
      </c>
      <c r="D59" s="37" t="s">
        <v>634</v>
      </c>
      <c r="E59" s="49">
        <v>1</v>
      </c>
      <c r="F59" s="51">
        <v>233</v>
      </c>
      <c r="G59" s="38"/>
      <c r="H59" s="38"/>
      <c r="I59" s="38"/>
      <c r="J59" s="4"/>
      <c r="K59" s="4"/>
    </row>
    <row r="60" spans="2:12" s="2" customFormat="1" ht="27.95" customHeight="1" x14ac:dyDescent="0.25">
      <c r="B60" s="1" t="s">
        <v>630</v>
      </c>
      <c r="C60" s="1"/>
      <c r="D60" s="1"/>
      <c r="E60" s="1"/>
      <c r="F60" s="11">
        <f>SUBTOTAL(109,tbSU_Hyperdrive[Hyperdrive Range])</f>
        <v>1631</v>
      </c>
      <c r="G60" s="38"/>
      <c r="H60" s="38"/>
      <c r="I60" s="38"/>
      <c r="J60" s="4"/>
      <c r="K60" s="4"/>
    </row>
    <row r="61" spans="2:12" s="2" customFormat="1" ht="27.95" customHeight="1" x14ac:dyDescent="0.25">
      <c r="B61" s="38"/>
      <c r="C61" s="38"/>
      <c r="D61" s="38"/>
      <c r="E61" s="37"/>
      <c r="F61" s="49"/>
      <c r="G61" s="51"/>
      <c r="H61" s="38"/>
      <c r="I61" s="38"/>
      <c r="J61" s="38"/>
      <c r="K61" s="4"/>
      <c r="L61" s="4"/>
    </row>
    <row r="62" spans="2:12" s="2" customFormat="1" ht="27.75" customHeight="1" x14ac:dyDescent="0.25">
      <c r="B62" s="50" t="s">
        <v>638</v>
      </c>
      <c r="C62" s="38"/>
      <c r="D62" s="38"/>
      <c r="E62" s="38"/>
      <c r="F62" s="38"/>
      <c r="G62" s="38"/>
      <c r="H62" s="38"/>
      <c r="I62" s="38"/>
      <c r="J62" s="38"/>
      <c r="K62" s="4"/>
      <c r="L62" s="4"/>
    </row>
    <row r="63" spans="2:12" s="2" customFormat="1" ht="27.95" customHeight="1" x14ac:dyDescent="0.25">
      <c r="B63" s="52" t="s">
        <v>625</v>
      </c>
      <c r="C63" s="52" t="s">
        <v>626</v>
      </c>
      <c r="D63" s="39" t="s">
        <v>583</v>
      </c>
      <c r="E63" s="52" t="s">
        <v>585</v>
      </c>
      <c r="F63" s="38"/>
      <c r="G63" s="38"/>
      <c r="H63" s="38"/>
      <c r="J63" s="4"/>
      <c r="K63" s="4"/>
    </row>
    <row r="64" spans="2:12" s="2" customFormat="1" ht="27.95" customHeight="1" x14ac:dyDescent="0.25">
      <c r="B64" s="38" t="s">
        <v>786</v>
      </c>
      <c r="C64" s="2" t="s">
        <v>721</v>
      </c>
      <c r="D64" s="37" t="s">
        <v>634</v>
      </c>
      <c r="E64" s="49">
        <v>0.3</v>
      </c>
      <c r="F64" s="38"/>
      <c r="J64" s="4"/>
      <c r="K64" s="4"/>
    </row>
    <row r="65" spans="2:12" s="2" customFormat="1" ht="27.95" customHeight="1" x14ac:dyDescent="0.25">
      <c r="B65" s="38" t="s">
        <v>643</v>
      </c>
      <c r="C65" s="2" t="s">
        <v>721</v>
      </c>
      <c r="D65" s="37" t="s">
        <v>634</v>
      </c>
      <c r="E65" s="49">
        <v>0.3</v>
      </c>
      <c r="F65" s="38"/>
      <c r="J65" s="4"/>
      <c r="K65" s="4"/>
    </row>
    <row r="66" spans="2:12" s="2" customFormat="1" ht="27.95" customHeight="1" x14ac:dyDescent="0.25">
      <c r="B66" s="38" t="s">
        <v>643</v>
      </c>
      <c r="C66" s="2" t="s">
        <v>721</v>
      </c>
      <c r="D66" s="37" t="s">
        <v>634</v>
      </c>
      <c r="E66" s="49">
        <v>0.3</v>
      </c>
      <c r="F66" s="38"/>
      <c r="J66" s="4"/>
      <c r="K66" s="4"/>
    </row>
    <row r="67" spans="2:12" s="66" customFormat="1" ht="27.95" customHeight="1" x14ac:dyDescent="0.25">
      <c r="B67" s="38" t="s">
        <v>382</v>
      </c>
      <c r="C67" s="66" t="s">
        <v>721</v>
      </c>
      <c r="D67" s="37" t="s">
        <v>609</v>
      </c>
      <c r="E67" s="49">
        <v>7.0000000000000007E-2</v>
      </c>
      <c r="F67" s="38"/>
      <c r="J67" s="4"/>
      <c r="K67" s="4"/>
    </row>
    <row r="68" spans="2:12" s="2" customFormat="1" ht="27.95" customHeight="1" x14ac:dyDescent="0.25">
      <c r="B68" s="38" t="s">
        <v>717</v>
      </c>
      <c r="C68" s="2" t="s">
        <v>709</v>
      </c>
      <c r="D68" s="37" t="s">
        <v>588</v>
      </c>
      <c r="E68" s="49">
        <v>0.26</v>
      </c>
      <c r="F68" s="38"/>
      <c r="J68" s="4"/>
      <c r="K68" s="4"/>
    </row>
    <row r="69" spans="2:12" s="2" customFormat="1" ht="27.95" customHeight="1" x14ac:dyDescent="0.25">
      <c r="B69" s="38" t="s">
        <v>718</v>
      </c>
      <c r="C69" s="2" t="s">
        <v>709</v>
      </c>
      <c r="D69" s="37" t="s">
        <v>634</v>
      </c>
      <c r="E69" s="49">
        <v>0.3</v>
      </c>
      <c r="F69" s="38"/>
      <c r="J69" s="4"/>
      <c r="K69" s="4"/>
    </row>
    <row r="70" spans="2:12" s="2" customFormat="1" ht="27.95" customHeight="1" x14ac:dyDescent="0.25">
      <c r="B70" s="38" t="s">
        <v>719</v>
      </c>
      <c r="C70" s="2" t="s">
        <v>709</v>
      </c>
      <c r="D70" s="37" t="s">
        <v>588</v>
      </c>
      <c r="E70" s="49">
        <v>0.24</v>
      </c>
      <c r="F70" s="38"/>
      <c r="J70" s="4"/>
      <c r="K70" s="4"/>
    </row>
    <row r="71" spans="2:12" s="66" customFormat="1" ht="27.95" customHeight="1" x14ac:dyDescent="0.25">
      <c r="B71" s="38" t="s">
        <v>811</v>
      </c>
      <c r="C71" s="66" t="s">
        <v>804</v>
      </c>
      <c r="D71" s="37" t="s">
        <v>609</v>
      </c>
      <c r="E71" s="49">
        <v>7.0000000000000007E-2</v>
      </c>
      <c r="F71" s="38"/>
      <c r="J71" s="4"/>
      <c r="K71" s="4"/>
    </row>
    <row r="72" spans="2:12" s="66" customFormat="1" ht="27.95" customHeight="1" x14ac:dyDescent="0.25">
      <c r="B72" s="38" t="s">
        <v>810</v>
      </c>
      <c r="C72" s="66" t="s">
        <v>804</v>
      </c>
      <c r="D72" s="37" t="s">
        <v>634</v>
      </c>
      <c r="E72" s="49">
        <v>0.3</v>
      </c>
      <c r="F72" s="38"/>
      <c r="J72" s="4"/>
      <c r="K72" s="4"/>
    </row>
    <row r="73" spans="2:12" s="66" customFormat="1" ht="27.95" customHeight="1" x14ac:dyDescent="0.25">
      <c r="B73" s="38" t="s">
        <v>812</v>
      </c>
      <c r="C73" s="66" t="s">
        <v>804</v>
      </c>
      <c r="D73" s="37" t="s">
        <v>634</v>
      </c>
      <c r="E73" s="49">
        <v>0.3</v>
      </c>
      <c r="F73" s="38"/>
      <c r="J73" s="4"/>
      <c r="K73" s="4"/>
    </row>
    <row r="74" spans="2:12" s="66" customFormat="1" ht="27.95" customHeight="1" x14ac:dyDescent="0.25">
      <c r="B74" s="38" t="s">
        <v>813</v>
      </c>
      <c r="C74" s="66" t="s">
        <v>804</v>
      </c>
      <c r="D74" s="37" t="s">
        <v>634</v>
      </c>
      <c r="E74" s="49">
        <v>0.3</v>
      </c>
      <c r="F74" s="38"/>
      <c r="J74" s="4"/>
      <c r="K74" s="4"/>
    </row>
    <row r="75" spans="2:12" s="2" customFormat="1" ht="27.95" customHeight="1" x14ac:dyDescent="0.25">
      <c r="B75" s="1" t="s">
        <v>630</v>
      </c>
      <c r="C75" s="1"/>
      <c r="D75" s="1"/>
      <c r="E75" s="10">
        <f>SUBTOTAL(109,tbSU_Shields[Shield Strength])</f>
        <v>2.7399999999999998</v>
      </c>
      <c r="F75" s="38"/>
      <c r="J75" s="4"/>
      <c r="K75" s="4"/>
    </row>
    <row r="76" spans="2:12" s="2" customFormat="1" ht="27.95" customHeight="1" x14ac:dyDescent="0.25">
      <c r="B76" s="38"/>
      <c r="C76" s="38"/>
      <c r="D76" s="38"/>
      <c r="E76" s="38"/>
      <c r="F76" s="38"/>
      <c r="K76" s="4"/>
      <c r="L76" s="4"/>
    </row>
    <row r="77" spans="2:12" s="2" customFormat="1" ht="27.95" customHeight="1" x14ac:dyDescent="0.25">
      <c r="B77" s="45" t="s">
        <v>778</v>
      </c>
      <c r="K77" s="4"/>
      <c r="L77" s="4"/>
    </row>
    <row r="78" spans="2:12" s="2" customFormat="1" ht="27.95" customHeight="1" x14ac:dyDescent="0.25">
      <c r="B78" s="67" t="s">
        <v>259</v>
      </c>
      <c r="C78" s="67" t="s">
        <v>300</v>
      </c>
      <c r="D78" s="67"/>
      <c r="E78" s="67"/>
      <c r="F78" s="67"/>
      <c r="G78" s="67"/>
      <c r="K78" s="4"/>
      <c r="L78" s="4"/>
    </row>
    <row r="79" spans="2:12" s="2" customFormat="1" ht="27.95" customHeight="1" x14ac:dyDescent="0.25">
      <c r="B79" s="66" t="s">
        <v>74</v>
      </c>
      <c r="C79" s="66" t="s">
        <v>779</v>
      </c>
      <c r="D79" s="66"/>
      <c r="E79" s="66"/>
      <c r="F79" s="66"/>
      <c r="G79" s="66"/>
      <c r="K79" s="4"/>
      <c r="L79" s="4"/>
    </row>
    <row r="80" spans="2:12" s="2" customFormat="1" ht="27.95" customHeight="1" x14ac:dyDescent="0.25">
      <c r="B80" s="68" t="s">
        <v>608</v>
      </c>
      <c r="C80" s="66" t="s">
        <v>779</v>
      </c>
      <c r="D80" s="66"/>
      <c r="E80" s="66"/>
      <c r="F80" s="66"/>
      <c r="G80" s="66"/>
      <c r="K80" s="4"/>
      <c r="L80" s="4"/>
    </row>
    <row r="81" spans="2:12" s="2" customFormat="1" ht="27.95" customHeight="1" x14ac:dyDescent="0.25">
      <c r="B81" s="68" t="s">
        <v>731</v>
      </c>
      <c r="C81" s="66" t="s">
        <v>867</v>
      </c>
      <c r="D81" s="66"/>
      <c r="E81" s="66"/>
      <c r="F81" s="66"/>
      <c r="G81" s="66"/>
      <c r="K81" s="4"/>
      <c r="L81" s="4"/>
    </row>
    <row r="82" spans="2:12" s="2" customFormat="1" ht="27.95" customHeight="1" x14ac:dyDescent="0.25">
      <c r="B82" s="68" t="s">
        <v>52</v>
      </c>
      <c r="C82" s="66" t="s">
        <v>779</v>
      </c>
      <c r="D82" s="66"/>
      <c r="E82" s="66"/>
      <c r="F82" s="66"/>
      <c r="G82" s="66"/>
      <c r="K82" s="4"/>
      <c r="L82" s="4"/>
    </row>
    <row r="83" spans="2:12" s="2" customFormat="1" ht="27.95" customHeight="1" x14ac:dyDescent="0.25">
      <c r="B83" s="36" t="s">
        <v>564</v>
      </c>
      <c r="C83" s="66" t="s">
        <v>781</v>
      </c>
      <c r="K83" s="4"/>
      <c r="L83" s="4"/>
    </row>
    <row r="84" spans="2:12" s="2" customFormat="1" ht="27.95" customHeight="1" x14ac:dyDescent="0.25">
      <c r="B84" s="36" t="s">
        <v>665</v>
      </c>
      <c r="C84" s="66" t="s">
        <v>781</v>
      </c>
      <c r="K84" s="4"/>
      <c r="L84" s="4"/>
    </row>
    <row r="85" spans="2:12" s="2" customFormat="1" ht="27.95" customHeight="1" x14ac:dyDescent="0.25">
      <c r="B85" s="36" t="s">
        <v>771</v>
      </c>
      <c r="C85" s="66" t="s">
        <v>779</v>
      </c>
      <c r="K85" s="4"/>
      <c r="L85" s="4"/>
    </row>
    <row r="86" spans="2:12" s="2" customFormat="1" ht="27.95" customHeight="1" x14ac:dyDescent="0.25">
      <c r="B86" s="36" t="s">
        <v>797</v>
      </c>
      <c r="C86" s="66" t="s">
        <v>779</v>
      </c>
      <c r="K86" s="4"/>
      <c r="L86" s="4"/>
    </row>
    <row r="87" spans="2:12" s="2" customFormat="1" ht="27.95" customHeight="1" x14ac:dyDescent="0.25">
      <c r="B87" s="36" t="s">
        <v>829</v>
      </c>
      <c r="C87" s="66" t="s">
        <v>779</v>
      </c>
      <c r="K87" s="4"/>
      <c r="L87" s="4"/>
    </row>
    <row r="88" spans="2:12" s="2" customFormat="1" ht="27.95" customHeight="1" x14ac:dyDescent="0.25">
      <c r="B88" s="36" t="s">
        <v>856</v>
      </c>
      <c r="C88" s="38" t="s">
        <v>866</v>
      </c>
      <c r="K88" s="4"/>
      <c r="L88" s="4"/>
    </row>
    <row r="89" spans="2:12" s="2" customFormat="1" ht="27.95" customHeight="1" x14ac:dyDescent="0.25">
      <c r="K89" s="4"/>
      <c r="L89" s="4"/>
    </row>
    <row r="90" spans="2:12" s="2" customFormat="1" ht="27.95" customHeight="1" x14ac:dyDescent="0.25">
      <c r="K90" s="4"/>
      <c r="L90" s="4"/>
    </row>
    <row r="91" spans="2:12" s="2" customFormat="1" ht="27.95" customHeight="1" x14ac:dyDescent="0.25">
      <c r="K91" s="4"/>
      <c r="L91" s="4"/>
    </row>
    <row r="92" spans="2:12" s="2" customFormat="1" ht="27.95" customHeight="1" x14ac:dyDescent="0.25">
      <c r="K92" s="4"/>
      <c r="L92" s="4"/>
    </row>
    <row r="93" spans="2:12" s="2" customFormat="1" ht="27.95" customHeight="1" x14ac:dyDescent="0.25">
      <c r="K93" s="4"/>
      <c r="L93" s="4"/>
    </row>
    <row r="94" spans="2:12" s="2" customFormat="1" ht="27.95" customHeight="1" x14ac:dyDescent="0.25">
      <c r="K94" s="4"/>
      <c r="L94" s="4"/>
    </row>
    <row r="95" spans="2:12" s="2" customFormat="1" ht="27.95" customHeight="1" x14ac:dyDescent="0.25">
      <c r="K95" s="4"/>
      <c r="L95" s="4"/>
    </row>
    <row r="96" spans="2:12" s="2" customFormat="1" ht="27.95" customHeight="1" x14ac:dyDescent="0.25">
      <c r="K96" s="4"/>
      <c r="L96" s="4"/>
    </row>
    <row r="97" spans="11:12" s="2" customFormat="1" ht="27.95" customHeight="1" x14ac:dyDescent="0.25">
      <c r="K97" s="4"/>
      <c r="L97" s="4"/>
    </row>
    <row r="98" spans="11:12" s="2" customFormat="1" ht="27.95" customHeight="1" x14ac:dyDescent="0.25">
      <c r="K98" s="4"/>
      <c r="L98" s="4"/>
    </row>
    <row r="99" spans="11:12" s="2" customFormat="1" ht="27.95" customHeight="1" x14ac:dyDescent="0.25">
      <c r="K99" s="4"/>
      <c r="L99" s="4"/>
    </row>
    <row r="100" spans="11:12" s="2" customFormat="1" ht="27.95" customHeight="1" x14ac:dyDescent="0.25">
      <c r="K100" s="4"/>
      <c r="L100" s="4"/>
    </row>
    <row r="101" spans="11:12" s="2" customFormat="1" ht="27.95" customHeight="1" x14ac:dyDescent="0.25">
      <c r="K101" s="4"/>
      <c r="L101" s="4"/>
    </row>
    <row r="102" spans="11:12" s="2" customFormat="1" ht="27.95" customHeight="1" x14ac:dyDescent="0.25">
      <c r="K102" s="4"/>
      <c r="L102" s="4"/>
    </row>
    <row r="103" spans="11:12" s="2" customFormat="1" ht="27.95" customHeight="1" x14ac:dyDescent="0.25">
      <c r="K103" s="4"/>
      <c r="L103" s="4"/>
    </row>
    <row r="104" spans="11:12" s="2" customFormat="1" ht="27.95" customHeight="1" x14ac:dyDescent="0.25">
      <c r="K104" s="4"/>
      <c r="L104" s="4"/>
    </row>
    <row r="105" spans="11:12" s="2" customFormat="1" ht="27.95" customHeight="1" x14ac:dyDescent="0.25">
      <c r="K105" s="4"/>
      <c r="L105" s="4"/>
    </row>
    <row r="106" spans="11:12" s="2" customFormat="1" ht="27.95" customHeight="1" x14ac:dyDescent="0.25">
      <c r="K106" s="4"/>
      <c r="L106" s="4"/>
    </row>
    <row r="107" spans="11:12" s="2" customFormat="1" ht="27.95" customHeight="1" x14ac:dyDescent="0.25">
      <c r="K107" s="4"/>
      <c r="L107" s="4"/>
    </row>
    <row r="108" spans="11:12" s="2" customFormat="1" ht="27.95" customHeight="1" x14ac:dyDescent="0.25">
      <c r="K108" s="4"/>
      <c r="L108" s="4"/>
    </row>
    <row r="109" spans="11:12" s="2" customFormat="1" ht="27.95" customHeight="1" x14ac:dyDescent="0.25">
      <c r="K109" s="4"/>
      <c r="L109" s="4"/>
    </row>
    <row r="110" spans="11:12" s="2" customFormat="1" ht="27.95" customHeight="1" x14ac:dyDescent="0.25">
      <c r="K110" s="4"/>
      <c r="L110" s="4"/>
    </row>
    <row r="111" spans="11:12" s="2" customFormat="1" ht="27.95" customHeight="1" x14ac:dyDescent="0.25">
      <c r="K111" s="4"/>
      <c r="L111" s="4"/>
    </row>
    <row r="112" spans="11:12" s="2" customFormat="1" ht="27.95" customHeight="1" x14ac:dyDescent="0.25">
      <c r="K112" s="4"/>
      <c r="L112" s="4"/>
    </row>
    <row r="113" spans="11:12" s="2" customFormat="1" ht="27.95" customHeight="1" x14ac:dyDescent="0.25">
      <c r="K113" s="4"/>
      <c r="L113" s="4"/>
    </row>
    <row r="114" spans="11:12" s="2" customFormat="1" ht="27.95" customHeight="1" x14ac:dyDescent="0.25">
      <c r="K114" s="4"/>
      <c r="L114" s="4"/>
    </row>
    <row r="115" spans="11:12" s="2" customFormat="1" ht="27.95" customHeight="1" x14ac:dyDescent="0.25">
      <c r="K115" s="4"/>
      <c r="L115" s="4"/>
    </row>
    <row r="116" spans="11:12" s="2" customFormat="1" ht="27.95" customHeight="1" x14ac:dyDescent="0.25">
      <c r="K116" s="4"/>
      <c r="L116" s="4"/>
    </row>
    <row r="117" spans="11:12" s="2" customFormat="1" ht="27.95" customHeight="1" x14ac:dyDescent="0.25">
      <c r="K117" s="4"/>
      <c r="L117" s="4"/>
    </row>
    <row r="118" spans="11:12" s="2" customFormat="1" ht="27.95" customHeight="1" x14ac:dyDescent="0.25">
      <c r="K118" s="4"/>
      <c r="L118" s="4"/>
    </row>
    <row r="119" spans="11:12" s="2" customFormat="1" ht="27.95" customHeight="1" x14ac:dyDescent="0.25">
      <c r="K119" s="4"/>
      <c r="L119" s="4"/>
    </row>
    <row r="120" spans="11:12" s="2" customFormat="1" ht="27.95" customHeight="1" x14ac:dyDescent="0.25">
      <c r="K120" s="4"/>
      <c r="L120" s="4"/>
    </row>
    <row r="121" spans="11:12" s="2" customFormat="1" ht="27.95" customHeight="1" x14ac:dyDescent="0.25">
      <c r="K121" s="4"/>
      <c r="L121" s="4"/>
    </row>
    <row r="122" spans="11:12" s="2" customFormat="1" ht="27.95" customHeight="1" x14ac:dyDescent="0.25">
      <c r="K122" s="4"/>
      <c r="L122" s="4"/>
    </row>
    <row r="123" spans="11:12" s="2" customFormat="1" ht="27.95" customHeight="1" x14ac:dyDescent="0.25">
      <c r="K123" s="4"/>
      <c r="L123" s="4"/>
    </row>
    <row r="124" spans="11:12" s="2" customFormat="1" ht="27.95" customHeight="1" x14ac:dyDescent="0.25">
      <c r="K124" s="4"/>
      <c r="L124" s="4"/>
    </row>
    <row r="125" spans="11:12" s="2" customFormat="1" ht="27.95" customHeight="1" x14ac:dyDescent="0.25">
      <c r="K125" s="4"/>
      <c r="L125" s="4"/>
    </row>
    <row r="126" spans="11:12" s="2" customFormat="1" ht="27.95" customHeight="1" x14ac:dyDescent="0.25">
      <c r="K126" s="4"/>
      <c r="L126" s="4"/>
    </row>
    <row r="127" spans="11:12" s="2" customFormat="1" ht="27.95" customHeight="1" x14ac:dyDescent="0.25">
      <c r="K127" s="4"/>
      <c r="L127" s="4"/>
    </row>
    <row r="128" spans="11:12" s="2" customFormat="1" ht="27.95" customHeight="1" x14ac:dyDescent="0.25">
      <c r="K128" s="4"/>
      <c r="L128" s="4"/>
    </row>
    <row r="129" spans="11:12" s="2" customFormat="1" ht="27.95" customHeight="1" x14ac:dyDescent="0.25">
      <c r="K129" s="4"/>
      <c r="L129" s="4"/>
    </row>
    <row r="130" spans="11:12" s="2" customFormat="1" ht="27.95" customHeight="1" x14ac:dyDescent="0.25">
      <c r="K130" s="4"/>
      <c r="L130" s="4"/>
    </row>
    <row r="131" spans="11:12" s="2" customFormat="1" ht="27.95" customHeight="1" x14ac:dyDescent="0.25">
      <c r="K131" s="4"/>
      <c r="L131" s="4"/>
    </row>
    <row r="132" spans="11:12" s="2" customFormat="1" ht="27.95" customHeight="1" x14ac:dyDescent="0.25">
      <c r="K132" s="4"/>
      <c r="L132" s="4"/>
    </row>
    <row r="133" spans="11:12" s="2" customFormat="1" ht="27.95" customHeight="1" x14ac:dyDescent="0.25">
      <c r="K133" s="4"/>
      <c r="L133" s="4"/>
    </row>
    <row r="134" spans="11:12" s="2" customFormat="1" ht="27.95" customHeight="1" x14ac:dyDescent="0.25">
      <c r="K134" s="4"/>
      <c r="L134" s="4"/>
    </row>
    <row r="135" spans="11:12" s="2" customFormat="1" ht="27.95" customHeight="1" x14ac:dyDescent="0.25">
      <c r="K135" s="4"/>
      <c r="L135" s="4"/>
    </row>
    <row r="136" spans="11:12" s="2" customFormat="1" ht="27.95" customHeight="1" x14ac:dyDescent="0.25">
      <c r="K136" s="4"/>
      <c r="L136" s="4"/>
    </row>
    <row r="137" spans="11:12" s="2" customFormat="1" ht="27.95" customHeight="1" x14ac:dyDescent="0.25">
      <c r="K137" s="4"/>
      <c r="L137" s="4"/>
    </row>
    <row r="138" spans="11:12" s="2" customFormat="1" ht="27.95" customHeight="1" x14ac:dyDescent="0.25">
      <c r="K138" s="4"/>
      <c r="L138" s="4"/>
    </row>
    <row r="139" spans="11:12" s="2" customFormat="1" ht="27.95" customHeight="1" x14ac:dyDescent="0.25">
      <c r="K139" s="4"/>
      <c r="L139" s="4"/>
    </row>
    <row r="140" spans="11:12" s="2" customFormat="1" ht="27.95" customHeight="1" x14ac:dyDescent="0.25">
      <c r="K140" s="4"/>
      <c r="L140" s="4"/>
    </row>
    <row r="141" spans="11:12" s="2" customFormat="1" ht="27.95" customHeight="1" x14ac:dyDescent="0.25">
      <c r="K141" s="4"/>
      <c r="L141" s="4"/>
    </row>
    <row r="142" spans="11:12" s="2" customFormat="1" ht="27.95" customHeight="1" x14ac:dyDescent="0.25">
      <c r="K142" s="4"/>
      <c r="L142" s="4"/>
    </row>
    <row r="143" spans="11:12" s="2" customFormat="1" ht="27.95" customHeight="1" x14ac:dyDescent="0.25">
      <c r="K143" s="4"/>
      <c r="L143" s="4"/>
    </row>
    <row r="144" spans="11:12" s="2" customFormat="1" ht="27.95" customHeight="1" x14ac:dyDescent="0.25">
      <c r="K144" s="4"/>
      <c r="L144" s="4"/>
    </row>
    <row r="145" spans="11:12" s="2" customFormat="1" ht="27.95" customHeight="1" x14ac:dyDescent="0.25">
      <c r="K145" s="4"/>
      <c r="L145" s="4"/>
    </row>
    <row r="146" spans="11:12" s="2" customFormat="1" ht="27.95" customHeight="1" x14ac:dyDescent="0.25">
      <c r="K146" s="4"/>
      <c r="L146" s="4"/>
    </row>
    <row r="147" spans="11:12" s="2" customFormat="1" ht="27.95" customHeight="1" x14ac:dyDescent="0.25">
      <c r="K147" s="4"/>
      <c r="L147" s="4"/>
    </row>
    <row r="148" spans="11:12" s="2" customFormat="1" ht="27.95" customHeight="1" x14ac:dyDescent="0.25">
      <c r="K148" s="4"/>
      <c r="L148" s="4"/>
    </row>
    <row r="149" spans="11:12" s="2" customFormat="1" ht="27.95" customHeight="1" x14ac:dyDescent="0.25">
      <c r="K149" s="4"/>
      <c r="L149" s="4"/>
    </row>
    <row r="150" spans="11:12" s="2" customFormat="1" ht="27.95" customHeight="1" x14ac:dyDescent="0.25">
      <c r="K150" s="4"/>
      <c r="L150" s="4"/>
    </row>
    <row r="151" spans="11:12" s="2" customFormat="1" ht="27.95" customHeight="1" x14ac:dyDescent="0.25">
      <c r="K151" s="4"/>
      <c r="L151" s="4"/>
    </row>
    <row r="152" spans="11:12" s="2" customFormat="1" ht="27.95" customHeight="1" x14ac:dyDescent="0.25">
      <c r="K152" s="4"/>
      <c r="L152" s="4"/>
    </row>
    <row r="153" spans="11:12" s="2" customFormat="1" ht="27.95" customHeight="1" x14ac:dyDescent="0.25">
      <c r="K153" s="4"/>
      <c r="L153" s="4"/>
    </row>
    <row r="154" spans="11:12" s="2" customFormat="1" ht="27.95" customHeight="1" x14ac:dyDescent="0.25">
      <c r="K154" s="4"/>
      <c r="L154" s="4"/>
    </row>
    <row r="155" spans="11:12" s="2" customFormat="1" ht="27.95" customHeight="1" x14ac:dyDescent="0.25">
      <c r="K155" s="4"/>
      <c r="L155" s="4"/>
    </row>
    <row r="156" spans="11:12" s="2" customFormat="1" ht="27.95" customHeight="1" x14ac:dyDescent="0.25">
      <c r="K156" s="4"/>
      <c r="L156" s="4"/>
    </row>
    <row r="157" spans="11:12" s="2" customFormat="1" ht="27.95" customHeight="1" x14ac:dyDescent="0.25">
      <c r="K157" s="4"/>
      <c r="L157" s="4"/>
    </row>
    <row r="158" spans="11:12" s="2" customFormat="1" ht="27.95" customHeight="1" x14ac:dyDescent="0.25">
      <c r="K158" s="4"/>
      <c r="L158" s="4"/>
    </row>
    <row r="159" spans="11:12" s="2" customFormat="1" ht="27.95" customHeight="1" x14ac:dyDescent="0.25">
      <c r="K159" s="4"/>
      <c r="L159" s="4"/>
    </row>
    <row r="160" spans="11:12" s="2" customFormat="1" ht="27.95" customHeight="1" x14ac:dyDescent="0.25">
      <c r="K160" s="4"/>
      <c r="L160" s="4"/>
    </row>
    <row r="161" spans="2:12" s="2" customFormat="1" ht="27.95" customHeight="1" x14ac:dyDescent="0.25">
      <c r="K161" s="4"/>
      <c r="L161" s="4"/>
    </row>
    <row r="162" spans="2:12" x14ac:dyDescent="0.25">
      <c r="B162" s="2"/>
      <c r="C162" s="2"/>
      <c r="D162" s="2"/>
      <c r="E162" s="2"/>
      <c r="F162" s="2"/>
      <c r="G162" s="2"/>
      <c r="H162" s="2"/>
      <c r="I162" s="2"/>
      <c r="J162" s="2"/>
    </row>
    <row r="163" spans="2:12" x14ac:dyDescent="0.25">
      <c r="B163" s="2"/>
      <c r="C163" s="2"/>
      <c r="D163" s="2"/>
      <c r="E163" s="2"/>
      <c r="F163" s="2"/>
      <c r="G163" s="2"/>
      <c r="H163" s="2"/>
      <c r="I163" s="2"/>
    </row>
    <row r="164" spans="2:12" x14ac:dyDescent="0.25">
      <c r="B164" s="2"/>
      <c r="C164" s="2"/>
      <c r="D164" s="2"/>
      <c r="E164" s="2"/>
      <c r="F164" s="2"/>
      <c r="G164" s="2"/>
    </row>
    <row r="165" spans="2:12" x14ac:dyDescent="0.25">
      <c r="B165" s="2"/>
      <c r="C165" s="2"/>
      <c r="D165" s="2"/>
      <c r="E165" s="2"/>
      <c r="F165" s="2"/>
      <c r="G165" s="2"/>
    </row>
    <row r="166" spans="2:12" x14ac:dyDescent="0.25">
      <c r="B166" s="2"/>
      <c r="C166" s="2"/>
      <c r="D166" s="2"/>
      <c r="E166" s="2"/>
      <c r="F166" s="2"/>
    </row>
  </sheetData>
  <phoneticPr fontId="4" type="noConversion"/>
  <dataValidations count="1">
    <dataValidation type="list" allowBlank="1" showInputMessage="1" showErrorMessage="1" sqref="B82" xr:uid="{270AC6CF-C2B4-4423-97B2-C7216D3F7FC6}">
      <formula1>lsSystems</formula1>
    </dataValidation>
  </dataValidations>
  <pageMargins left="0.7" right="0.7" top="0.75" bottom="0.75" header="0.3" footer="0.3"/>
  <pageSetup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A91F-A8A2-49DC-A03E-1582C1840FD5}">
  <sheetPr codeName="Sheet10"/>
  <dimension ref="B1:E220"/>
  <sheetViews>
    <sheetView showGridLines="0" topLeftCell="A34" workbookViewId="0">
      <selection activeCell="C60" sqref="C60"/>
    </sheetView>
  </sheetViews>
  <sheetFormatPr defaultRowHeight="14.25" x14ac:dyDescent="0.25"/>
  <cols>
    <col min="1" max="1" width="1.42578125" style="1" customWidth="1"/>
    <col min="2" max="2" width="21.28515625" style="1" customWidth="1"/>
    <col min="3" max="3" width="17.28515625" style="1" customWidth="1"/>
    <col min="4" max="4" width="15" style="1" customWidth="1"/>
    <col min="5" max="18" width="13.28515625" style="1" customWidth="1"/>
    <col min="19" max="16384" width="9.140625" style="1"/>
  </cols>
  <sheetData>
    <row r="1" spans="2:3" ht="7.5" customHeight="1" x14ac:dyDescent="0.25"/>
    <row r="2" spans="2:3" s="2" customFormat="1" ht="27.95" customHeight="1" x14ac:dyDescent="0.25">
      <c r="B2" s="45" t="s">
        <v>752</v>
      </c>
    </row>
    <row r="3" spans="2:3" s="2" customFormat="1" ht="27.95" customHeight="1" x14ac:dyDescent="0.25">
      <c r="B3" s="2" t="s">
        <v>136</v>
      </c>
      <c r="C3" s="2" t="s">
        <v>137</v>
      </c>
    </row>
    <row r="4" spans="2:3" s="2" customFormat="1" ht="27.95" customHeight="1" x14ac:dyDescent="0.25">
      <c r="B4" s="2" t="s">
        <v>146</v>
      </c>
      <c r="C4" s="2" t="s">
        <v>124</v>
      </c>
    </row>
    <row r="5" spans="2:3" s="2" customFormat="1" ht="27.95" customHeight="1" x14ac:dyDescent="0.25">
      <c r="B5" s="2" t="s">
        <v>154</v>
      </c>
      <c r="C5" s="2" t="s">
        <v>134</v>
      </c>
    </row>
    <row r="6" spans="2:3" s="2" customFormat="1" ht="27.95" customHeight="1" x14ac:dyDescent="0.25">
      <c r="B6" s="2" t="s">
        <v>155</v>
      </c>
      <c r="C6" s="2" t="s">
        <v>134</v>
      </c>
    </row>
    <row r="7" spans="2:3" s="2" customFormat="1" ht="27.95" customHeight="1" x14ac:dyDescent="0.25">
      <c r="B7" s="2" t="s">
        <v>147</v>
      </c>
      <c r="C7" s="2" t="s">
        <v>124</v>
      </c>
    </row>
    <row r="8" spans="2:3" s="2" customFormat="1" ht="27.95" customHeight="1" x14ac:dyDescent="0.25">
      <c r="B8" s="2" t="s">
        <v>156</v>
      </c>
      <c r="C8" s="2" t="s">
        <v>134</v>
      </c>
    </row>
    <row r="9" spans="2:3" s="2" customFormat="1" ht="27.95" customHeight="1" x14ac:dyDescent="0.25">
      <c r="B9" s="2" t="s">
        <v>148</v>
      </c>
      <c r="C9" s="2" t="s">
        <v>124</v>
      </c>
    </row>
    <row r="10" spans="2:3" s="2" customFormat="1" ht="27.95" customHeight="1" x14ac:dyDescent="0.25">
      <c r="B10" s="2" t="s">
        <v>138</v>
      </c>
      <c r="C10" s="2" t="s">
        <v>128</v>
      </c>
    </row>
    <row r="11" spans="2:3" s="2" customFormat="1" ht="27.95" customHeight="1" x14ac:dyDescent="0.25">
      <c r="B11" s="2" t="s">
        <v>139</v>
      </c>
      <c r="C11" s="2" t="s">
        <v>128</v>
      </c>
    </row>
    <row r="12" spans="2:3" s="2" customFormat="1" ht="27.95" customHeight="1" x14ac:dyDescent="0.25">
      <c r="B12" s="2" t="s">
        <v>149</v>
      </c>
      <c r="C12" s="2" t="s">
        <v>124</v>
      </c>
    </row>
    <row r="13" spans="2:3" s="66" customFormat="1" ht="27.95" customHeight="1" x14ac:dyDescent="0.25">
      <c r="B13" s="66" t="s">
        <v>140</v>
      </c>
      <c r="C13" s="66" t="s">
        <v>128</v>
      </c>
    </row>
    <row r="14" spans="2:3" s="2" customFormat="1" ht="27.95" customHeight="1" x14ac:dyDescent="0.25">
      <c r="B14" s="2" t="s">
        <v>141</v>
      </c>
      <c r="C14" s="2" t="s">
        <v>128</v>
      </c>
    </row>
    <row r="15" spans="2:3" s="2" customFormat="1" ht="27.95" customHeight="1" x14ac:dyDescent="0.25">
      <c r="B15" s="2" t="s">
        <v>141</v>
      </c>
      <c r="C15" s="2" t="s">
        <v>128</v>
      </c>
    </row>
    <row r="16" spans="2:3" s="2" customFormat="1" ht="27.95" customHeight="1" x14ac:dyDescent="0.25">
      <c r="B16" s="2" t="s">
        <v>112</v>
      </c>
      <c r="C16" s="2" t="s">
        <v>134</v>
      </c>
    </row>
    <row r="17" spans="2:3" s="2" customFormat="1" ht="27.95" customHeight="1" x14ac:dyDescent="0.25">
      <c r="B17" s="2" t="s">
        <v>157</v>
      </c>
      <c r="C17" s="2" t="s">
        <v>134</v>
      </c>
    </row>
    <row r="18" spans="2:3" s="66" customFormat="1" ht="27.95" customHeight="1" x14ac:dyDescent="0.25">
      <c r="B18" s="66" t="s">
        <v>134</v>
      </c>
      <c r="C18" s="66" t="s">
        <v>134</v>
      </c>
    </row>
    <row r="19" spans="2:3" s="2" customFormat="1" ht="27.95" customHeight="1" x14ac:dyDescent="0.25">
      <c r="B19" s="2" t="s">
        <v>128</v>
      </c>
      <c r="C19" s="2" t="s">
        <v>128</v>
      </c>
    </row>
    <row r="20" spans="2:3" s="66" customFormat="1" ht="27.95" customHeight="1" x14ac:dyDescent="0.25">
      <c r="B20" s="66" t="s">
        <v>142</v>
      </c>
      <c r="C20" s="66" t="s">
        <v>128</v>
      </c>
    </row>
    <row r="21" spans="2:3" s="2" customFormat="1" ht="27.95" customHeight="1" x14ac:dyDescent="0.25">
      <c r="B21" s="2" t="s">
        <v>124</v>
      </c>
      <c r="C21" s="2" t="s">
        <v>124</v>
      </c>
    </row>
    <row r="22" spans="2:3" s="2" customFormat="1" ht="27.95" customHeight="1" x14ac:dyDescent="0.25">
      <c r="B22" s="2" t="s">
        <v>150</v>
      </c>
      <c r="C22" s="2" t="s">
        <v>124</v>
      </c>
    </row>
    <row r="23" spans="2:3" s="2" customFormat="1" ht="27.95" customHeight="1" x14ac:dyDescent="0.25">
      <c r="B23" s="2" t="s">
        <v>158</v>
      </c>
      <c r="C23" s="2" t="s">
        <v>134</v>
      </c>
    </row>
    <row r="24" spans="2:3" s="2" customFormat="1" ht="27.95" customHeight="1" x14ac:dyDescent="0.25">
      <c r="B24" s="2" t="s">
        <v>151</v>
      </c>
      <c r="C24" s="2" t="s">
        <v>124</v>
      </c>
    </row>
    <row r="25" spans="2:3" s="2" customFormat="1" ht="27.95" customHeight="1" x14ac:dyDescent="0.25">
      <c r="B25" s="2" t="s">
        <v>159</v>
      </c>
      <c r="C25" s="2" t="s">
        <v>134</v>
      </c>
    </row>
    <row r="26" spans="2:3" s="2" customFormat="1" ht="27.95" customHeight="1" x14ac:dyDescent="0.25">
      <c r="B26" s="2" t="s">
        <v>152</v>
      </c>
      <c r="C26" s="2" t="s">
        <v>124</v>
      </c>
    </row>
    <row r="27" spans="2:3" s="2" customFormat="1" ht="27.95" customHeight="1" x14ac:dyDescent="0.25">
      <c r="B27" s="2" t="s">
        <v>143</v>
      </c>
      <c r="C27" s="2" t="s">
        <v>128</v>
      </c>
    </row>
    <row r="28" spans="2:3" s="2" customFormat="1" ht="27.95" customHeight="1" x14ac:dyDescent="0.25">
      <c r="B28" s="2" t="s">
        <v>153</v>
      </c>
      <c r="C28" s="2" t="s">
        <v>124</v>
      </c>
    </row>
    <row r="29" spans="2:3" s="2" customFormat="1" ht="27.95" customHeight="1" x14ac:dyDescent="0.25">
      <c r="B29" s="2" t="s">
        <v>553</v>
      </c>
      <c r="C29" s="2" t="s">
        <v>301</v>
      </c>
    </row>
    <row r="30" spans="2:3" s="2" customFormat="1" ht="27.95" customHeight="1" x14ac:dyDescent="0.25">
      <c r="B30" s="2" t="s">
        <v>145</v>
      </c>
      <c r="C30" s="2" t="s">
        <v>128</v>
      </c>
    </row>
    <row r="31" spans="2:3" s="2" customFormat="1" ht="27.95" customHeight="1" x14ac:dyDescent="0.25">
      <c r="B31" s="2" t="s">
        <v>144</v>
      </c>
      <c r="C31" s="2" t="s">
        <v>128</v>
      </c>
    </row>
    <row r="32" spans="2:3" s="2" customFormat="1" ht="27.95" customHeight="1" x14ac:dyDescent="0.25">
      <c r="B32" s="2" t="s">
        <v>160</v>
      </c>
      <c r="C32" s="2" t="s">
        <v>134</v>
      </c>
    </row>
    <row r="33" spans="2:5" s="2" customFormat="1" ht="27.95" customHeight="1" x14ac:dyDescent="0.25"/>
    <row r="34" spans="2:5" s="2" customFormat="1" ht="27.95" customHeight="1" x14ac:dyDescent="0.25">
      <c r="B34" s="45" t="s">
        <v>751</v>
      </c>
    </row>
    <row r="35" spans="2:5" s="2" customFormat="1" ht="27.95" customHeight="1" x14ac:dyDescent="0.25">
      <c r="B35" s="2" t="s">
        <v>162</v>
      </c>
      <c r="C35" s="2" t="s">
        <v>163</v>
      </c>
      <c r="D35" s="2" t="s">
        <v>168</v>
      </c>
      <c r="E35" s="2" t="s">
        <v>170</v>
      </c>
    </row>
    <row r="36" spans="2:5" s="2" customFormat="1" ht="27.95" customHeight="1" x14ac:dyDescent="0.25">
      <c r="B36" s="2" t="s">
        <v>164</v>
      </c>
      <c r="C36" s="2" t="s">
        <v>165</v>
      </c>
      <c r="D36" s="2" t="s">
        <v>169</v>
      </c>
      <c r="E36" s="2" t="s">
        <v>171</v>
      </c>
    </row>
    <row r="37" spans="2:5" s="2" customFormat="1" ht="27.95" customHeight="1" x14ac:dyDescent="0.25">
      <c r="B37" s="2" t="s">
        <v>165</v>
      </c>
      <c r="C37" s="2" t="s">
        <v>165</v>
      </c>
      <c r="D37" s="2" t="s">
        <v>169</v>
      </c>
      <c r="E37" s="2" t="s">
        <v>171</v>
      </c>
    </row>
    <row r="38" spans="2:5" s="2" customFormat="1" ht="27.95" customHeight="1" x14ac:dyDescent="0.25">
      <c r="B38" s="2" t="s">
        <v>166</v>
      </c>
      <c r="C38" s="2" t="s">
        <v>165</v>
      </c>
      <c r="D38" s="2" t="s">
        <v>169</v>
      </c>
      <c r="E38" s="2" t="s">
        <v>171</v>
      </c>
    </row>
    <row r="39" spans="2:5" s="2" customFormat="1" ht="27.95" customHeight="1" x14ac:dyDescent="0.25">
      <c r="B39" s="2" t="s">
        <v>167</v>
      </c>
      <c r="C39" s="2" t="s">
        <v>165</v>
      </c>
      <c r="D39" s="2" t="s">
        <v>169</v>
      </c>
      <c r="E39" s="2" t="s">
        <v>171</v>
      </c>
    </row>
    <row r="40" spans="2:5" s="2" customFormat="1" ht="27.95" customHeight="1" x14ac:dyDescent="0.25">
      <c r="B40" s="2" t="s">
        <v>173</v>
      </c>
      <c r="C40" s="2" t="s">
        <v>171</v>
      </c>
      <c r="D40" s="2" t="s">
        <v>165</v>
      </c>
      <c r="E40" s="2" t="s">
        <v>169</v>
      </c>
    </row>
    <row r="41" spans="2:5" s="2" customFormat="1" ht="27.95" customHeight="1" x14ac:dyDescent="0.25">
      <c r="B41" s="2" t="s">
        <v>172</v>
      </c>
      <c r="C41" s="2" t="s">
        <v>171</v>
      </c>
      <c r="D41" s="2" t="s">
        <v>165</v>
      </c>
      <c r="E41" s="2" t="s">
        <v>169</v>
      </c>
    </row>
    <row r="42" spans="2:5" s="2" customFormat="1" ht="27.95" customHeight="1" x14ac:dyDescent="0.25">
      <c r="B42" s="2" t="s">
        <v>174</v>
      </c>
      <c r="C42" s="2" t="s">
        <v>171</v>
      </c>
      <c r="D42" s="2" t="s">
        <v>165</v>
      </c>
      <c r="E42" s="2" t="s">
        <v>169</v>
      </c>
    </row>
    <row r="43" spans="2:5" s="2" customFormat="1" ht="27.95" customHeight="1" x14ac:dyDescent="0.25">
      <c r="B43" s="2" t="s">
        <v>175</v>
      </c>
      <c r="C43" s="2" t="s">
        <v>171</v>
      </c>
      <c r="D43" s="2" t="s">
        <v>165</v>
      </c>
      <c r="E43" s="2" t="s">
        <v>169</v>
      </c>
    </row>
    <row r="44" spans="2:5" s="2" customFormat="1" ht="27.95" customHeight="1" x14ac:dyDescent="0.25">
      <c r="B44" s="2" t="s">
        <v>171</v>
      </c>
      <c r="C44" s="2" t="s">
        <v>171</v>
      </c>
      <c r="D44" s="2" t="s">
        <v>165</v>
      </c>
      <c r="E44" s="2" t="s">
        <v>169</v>
      </c>
    </row>
    <row r="45" spans="2:5" s="2" customFormat="1" ht="27.95" customHeight="1" x14ac:dyDescent="0.25">
      <c r="B45" s="2" t="s">
        <v>176</v>
      </c>
      <c r="C45" s="2" t="s">
        <v>169</v>
      </c>
      <c r="D45" s="2" t="s">
        <v>171</v>
      </c>
      <c r="E45" s="2" t="s">
        <v>165</v>
      </c>
    </row>
    <row r="46" spans="2:5" s="2" customFormat="1" ht="27.95" customHeight="1" x14ac:dyDescent="0.25">
      <c r="B46" s="2" t="s">
        <v>169</v>
      </c>
      <c r="C46" s="2" t="s">
        <v>169</v>
      </c>
      <c r="D46" s="2" t="s">
        <v>171</v>
      </c>
      <c r="E46" s="2" t="s">
        <v>165</v>
      </c>
    </row>
    <row r="47" spans="2:5" s="2" customFormat="1" ht="27.95" customHeight="1" x14ac:dyDescent="0.25">
      <c r="B47" s="2" t="s">
        <v>177</v>
      </c>
      <c r="C47" s="2" t="s">
        <v>169</v>
      </c>
      <c r="D47" s="2" t="s">
        <v>171</v>
      </c>
      <c r="E47" s="2" t="s">
        <v>165</v>
      </c>
    </row>
    <row r="48" spans="2:5" s="2" customFormat="1" ht="27.95" customHeight="1" x14ac:dyDescent="0.25">
      <c r="B48" s="2" t="s">
        <v>178</v>
      </c>
      <c r="C48" s="2" t="s">
        <v>169</v>
      </c>
      <c r="D48" s="2" t="s">
        <v>171</v>
      </c>
      <c r="E48" s="2" t="s">
        <v>165</v>
      </c>
    </row>
    <row r="49" spans="2:5" s="2" customFormat="1" ht="27.95" customHeight="1" x14ac:dyDescent="0.25">
      <c r="B49" s="2" t="s">
        <v>179</v>
      </c>
      <c r="C49" s="2" t="s">
        <v>179</v>
      </c>
      <c r="D49" s="2" t="s">
        <v>183</v>
      </c>
      <c r="E49" s="2" t="s">
        <v>182</v>
      </c>
    </row>
    <row r="50" spans="2:5" s="2" customFormat="1" ht="27.95" customHeight="1" x14ac:dyDescent="0.25">
      <c r="B50" s="2" t="s">
        <v>51</v>
      </c>
      <c r="C50" s="2" t="s">
        <v>179</v>
      </c>
      <c r="D50" s="2" t="s">
        <v>183</v>
      </c>
      <c r="E50" s="2" t="s">
        <v>182</v>
      </c>
    </row>
    <row r="51" spans="2:5" s="2" customFormat="1" ht="27.95" customHeight="1" x14ac:dyDescent="0.25">
      <c r="B51" s="2" t="s">
        <v>180</v>
      </c>
      <c r="C51" s="2" t="s">
        <v>179</v>
      </c>
      <c r="D51" s="2" t="s">
        <v>183</v>
      </c>
      <c r="E51" s="2" t="s">
        <v>182</v>
      </c>
    </row>
    <row r="52" spans="2:5" s="2" customFormat="1" ht="27.95" customHeight="1" x14ac:dyDescent="0.25">
      <c r="B52" s="2" t="s">
        <v>181</v>
      </c>
      <c r="C52" s="2" t="s">
        <v>179</v>
      </c>
      <c r="D52" s="2" t="s">
        <v>183</v>
      </c>
      <c r="E52" s="2" t="s">
        <v>182</v>
      </c>
    </row>
    <row r="53" spans="2:5" s="66" customFormat="1" ht="27.95" customHeight="1" x14ac:dyDescent="0.25">
      <c r="B53" s="66" t="s">
        <v>1170</v>
      </c>
      <c r="C53" s="66" t="s">
        <v>165</v>
      </c>
    </row>
    <row r="54" spans="2:5" s="66" customFormat="1" ht="27.95" customHeight="1" x14ac:dyDescent="0.25">
      <c r="B54" s="66" t="s">
        <v>1171</v>
      </c>
      <c r="C54" s="66" t="s">
        <v>171</v>
      </c>
    </row>
    <row r="55" spans="2:5" s="66" customFormat="1" ht="27.95" customHeight="1" x14ac:dyDescent="0.25">
      <c r="B55" s="66" t="s">
        <v>1172</v>
      </c>
      <c r="C55" s="66" t="s">
        <v>169</v>
      </c>
    </row>
    <row r="56" spans="2:5" s="66" customFormat="1" ht="27.95" customHeight="1" x14ac:dyDescent="0.25">
      <c r="B56" s="66" t="s">
        <v>1173</v>
      </c>
      <c r="C56" s="66" t="s">
        <v>179</v>
      </c>
    </row>
    <row r="57" spans="2:5" s="66" customFormat="1" ht="27.95" customHeight="1" x14ac:dyDescent="0.25">
      <c r="B57" s="66" t="s">
        <v>1169</v>
      </c>
      <c r="C57" s="66" t="s">
        <v>182</v>
      </c>
    </row>
    <row r="58" spans="2:5" s="66" customFormat="1" ht="27.95" customHeight="1" x14ac:dyDescent="0.25">
      <c r="B58" s="66" t="s">
        <v>1174</v>
      </c>
      <c r="C58" s="66" t="s">
        <v>210</v>
      </c>
    </row>
    <row r="59" spans="2:5" s="66" customFormat="1" ht="27.95" customHeight="1" x14ac:dyDescent="0.25">
      <c r="B59" s="66" t="s">
        <v>1175</v>
      </c>
      <c r="C59" s="66" t="s">
        <v>216</v>
      </c>
    </row>
    <row r="60" spans="2:5" s="2" customFormat="1" ht="27.95" customHeight="1" x14ac:dyDescent="0.25">
      <c r="B60" s="2" t="s">
        <v>207</v>
      </c>
      <c r="C60" s="2" t="s">
        <v>182</v>
      </c>
      <c r="D60" s="2" t="s">
        <v>179</v>
      </c>
      <c r="E60" s="2" t="s">
        <v>210</v>
      </c>
    </row>
    <row r="61" spans="2:5" s="2" customFormat="1" ht="27.95" customHeight="1" x14ac:dyDescent="0.25">
      <c r="B61" s="2" t="s">
        <v>182</v>
      </c>
      <c r="C61" s="2" t="s">
        <v>182</v>
      </c>
      <c r="D61" s="2" t="s">
        <v>179</v>
      </c>
      <c r="E61" s="2" t="s">
        <v>210</v>
      </c>
    </row>
    <row r="62" spans="2:5" s="2" customFormat="1" ht="27.95" customHeight="1" x14ac:dyDescent="0.25">
      <c r="B62" s="2" t="s">
        <v>208</v>
      </c>
      <c r="C62" s="2" t="s">
        <v>182</v>
      </c>
      <c r="D62" s="2" t="s">
        <v>179</v>
      </c>
      <c r="E62" s="2" t="s">
        <v>210</v>
      </c>
    </row>
    <row r="63" spans="2:5" s="2" customFormat="1" ht="27.95" customHeight="1" x14ac:dyDescent="0.25">
      <c r="B63" s="2" t="s">
        <v>209</v>
      </c>
      <c r="C63" s="2" t="s">
        <v>182</v>
      </c>
      <c r="D63" s="2" t="s">
        <v>179</v>
      </c>
      <c r="E63" s="2" t="s">
        <v>210</v>
      </c>
    </row>
    <row r="64" spans="2:5" s="2" customFormat="1" ht="27.95" customHeight="1" x14ac:dyDescent="0.25">
      <c r="B64" s="2" t="s">
        <v>217</v>
      </c>
      <c r="C64" s="2" t="s">
        <v>216</v>
      </c>
      <c r="D64" s="2" t="s">
        <v>210</v>
      </c>
      <c r="E64" s="2" t="s">
        <v>179</v>
      </c>
    </row>
    <row r="65" spans="2:5" s="2" customFormat="1" ht="27.95" customHeight="1" x14ac:dyDescent="0.25">
      <c r="B65" s="2" t="s">
        <v>218</v>
      </c>
      <c r="C65" s="2" t="s">
        <v>216</v>
      </c>
      <c r="D65" s="2" t="s">
        <v>210</v>
      </c>
      <c r="E65" s="2" t="s">
        <v>179</v>
      </c>
    </row>
    <row r="66" spans="2:5" s="2" customFormat="1" ht="27.95" customHeight="1" x14ac:dyDescent="0.25">
      <c r="B66" s="2" t="s">
        <v>219</v>
      </c>
      <c r="C66" s="2" t="s">
        <v>216</v>
      </c>
      <c r="D66" s="2" t="s">
        <v>210</v>
      </c>
      <c r="E66" s="2" t="s">
        <v>179</v>
      </c>
    </row>
    <row r="67" spans="2:5" s="2" customFormat="1" ht="27.95" customHeight="1" x14ac:dyDescent="0.25">
      <c r="B67" s="2" t="s">
        <v>216</v>
      </c>
      <c r="C67" s="2" t="s">
        <v>216</v>
      </c>
      <c r="D67" s="2" t="s">
        <v>210</v>
      </c>
      <c r="E67" s="2" t="s">
        <v>179</v>
      </c>
    </row>
    <row r="68" spans="2:5" s="2" customFormat="1" ht="27.95" customHeight="1" x14ac:dyDescent="0.25">
      <c r="B68" s="2" t="s">
        <v>228</v>
      </c>
      <c r="C68" s="2" t="s">
        <v>210</v>
      </c>
      <c r="D68" s="2" t="s">
        <v>182</v>
      </c>
      <c r="E68" s="2" t="s">
        <v>216</v>
      </c>
    </row>
    <row r="69" spans="2:5" s="2" customFormat="1" ht="27.95" customHeight="1" x14ac:dyDescent="0.25">
      <c r="B69" s="2" t="s">
        <v>210</v>
      </c>
      <c r="C69" s="2" t="s">
        <v>210</v>
      </c>
      <c r="D69" s="2" t="s">
        <v>182</v>
      </c>
      <c r="E69" s="2" t="s">
        <v>216</v>
      </c>
    </row>
    <row r="70" spans="2:5" s="2" customFormat="1" ht="27.95" customHeight="1" x14ac:dyDescent="0.25">
      <c r="B70" s="2" t="s">
        <v>229</v>
      </c>
      <c r="C70" s="2" t="s">
        <v>210</v>
      </c>
      <c r="D70" s="2" t="s">
        <v>182</v>
      </c>
      <c r="E70" s="2" t="s">
        <v>216</v>
      </c>
    </row>
    <row r="71" spans="2:5" s="2" customFormat="1" ht="27.95" customHeight="1" x14ac:dyDescent="0.25">
      <c r="B71" s="2" t="s">
        <v>225</v>
      </c>
      <c r="C71" s="2" t="s">
        <v>210</v>
      </c>
      <c r="D71" s="2" t="s">
        <v>182</v>
      </c>
      <c r="E71" s="2" t="s">
        <v>216</v>
      </c>
    </row>
    <row r="72" spans="2:5" s="2" customFormat="1" ht="27.95" customHeight="1" x14ac:dyDescent="0.25">
      <c r="B72" s="2" t="s">
        <v>553</v>
      </c>
      <c r="C72" s="2" t="s">
        <v>301</v>
      </c>
      <c r="D72" s="2" t="s">
        <v>301</v>
      </c>
      <c r="E72" s="2" t="s">
        <v>301</v>
      </c>
    </row>
    <row r="73" spans="2:5" s="2" customFormat="1" ht="27.95" customHeight="1" x14ac:dyDescent="0.25"/>
    <row r="74" spans="2:5" s="2" customFormat="1" ht="27.95" customHeight="1" x14ac:dyDescent="0.25">
      <c r="B74" s="45" t="s">
        <v>750</v>
      </c>
    </row>
    <row r="75" spans="2:5" s="2" customFormat="1" ht="27.95" customHeight="1" x14ac:dyDescent="0.25">
      <c r="B75" s="2" t="s">
        <v>163</v>
      </c>
      <c r="C75" s="2" t="s">
        <v>0</v>
      </c>
      <c r="D75" s="2" t="s">
        <v>184</v>
      </c>
    </row>
    <row r="76" spans="2:5" s="2" customFormat="1" ht="27.95" customHeight="1" x14ac:dyDescent="0.25">
      <c r="B76" s="2" t="s">
        <v>179</v>
      </c>
      <c r="C76" s="2" t="s">
        <v>185</v>
      </c>
      <c r="D76" s="4">
        <v>1</v>
      </c>
    </row>
    <row r="77" spans="2:5" s="2" customFormat="1" ht="27.95" customHeight="1" x14ac:dyDescent="0.25">
      <c r="B77" s="2" t="s">
        <v>179</v>
      </c>
      <c r="C77" s="2" t="s">
        <v>186</v>
      </c>
      <c r="D77" s="4">
        <v>2</v>
      </c>
    </row>
    <row r="78" spans="2:5" s="2" customFormat="1" ht="27.95" customHeight="1" x14ac:dyDescent="0.25">
      <c r="B78" s="2" t="s">
        <v>179</v>
      </c>
      <c r="C78" s="2" t="s">
        <v>187</v>
      </c>
      <c r="D78" s="4">
        <v>3</v>
      </c>
    </row>
    <row r="79" spans="2:5" s="2" customFormat="1" ht="27.95" customHeight="1" x14ac:dyDescent="0.25">
      <c r="B79" s="2" t="s">
        <v>179</v>
      </c>
      <c r="C79" s="2" t="s">
        <v>188</v>
      </c>
      <c r="D79" s="4">
        <v>4</v>
      </c>
    </row>
    <row r="80" spans="2:5" s="2" customFormat="1" ht="27.95" customHeight="1" x14ac:dyDescent="0.25">
      <c r="B80" s="2" t="s">
        <v>179</v>
      </c>
      <c r="C80" s="2" t="s">
        <v>189</v>
      </c>
      <c r="D80" s="4">
        <v>5</v>
      </c>
    </row>
    <row r="81" spans="2:4" s="2" customFormat="1" ht="27.95" customHeight="1" x14ac:dyDescent="0.25">
      <c r="B81" s="2" t="s">
        <v>165</v>
      </c>
      <c r="C81" s="2" t="s">
        <v>66</v>
      </c>
      <c r="D81" s="4">
        <v>1</v>
      </c>
    </row>
    <row r="82" spans="2:4" s="2" customFormat="1" ht="27.95" customHeight="1" x14ac:dyDescent="0.25">
      <c r="B82" s="2" t="s">
        <v>165</v>
      </c>
      <c r="C82" s="2" t="s">
        <v>67</v>
      </c>
      <c r="D82" s="4">
        <v>2</v>
      </c>
    </row>
    <row r="83" spans="2:4" s="2" customFormat="1" ht="27.95" customHeight="1" x14ac:dyDescent="0.25">
      <c r="B83" s="2" t="s">
        <v>165</v>
      </c>
      <c r="C83" s="2" t="s">
        <v>196</v>
      </c>
      <c r="D83" s="4">
        <v>3</v>
      </c>
    </row>
    <row r="84" spans="2:4" s="2" customFormat="1" ht="27.95" customHeight="1" x14ac:dyDescent="0.25">
      <c r="B84" s="2" t="s">
        <v>165</v>
      </c>
      <c r="C84" s="2" t="s">
        <v>197</v>
      </c>
      <c r="D84" s="4">
        <v>4</v>
      </c>
    </row>
    <row r="85" spans="2:4" s="2" customFormat="1" ht="27.95" customHeight="1" x14ac:dyDescent="0.25">
      <c r="B85" s="2" t="s">
        <v>165</v>
      </c>
      <c r="C85" s="2" t="s">
        <v>198</v>
      </c>
      <c r="D85" s="4">
        <v>5</v>
      </c>
    </row>
    <row r="86" spans="2:4" s="2" customFormat="1" ht="27.95" customHeight="1" x14ac:dyDescent="0.25">
      <c r="B86" s="2" t="s">
        <v>171</v>
      </c>
      <c r="C86" s="2" t="s">
        <v>27</v>
      </c>
      <c r="D86" s="4">
        <v>1</v>
      </c>
    </row>
    <row r="87" spans="2:4" s="2" customFormat="1" ht="27.95" customHeight="1" x14ac:dyDescent="0.25">
      <c r="B87" s="2" t="s">
        <v>171</v>
      </c>
      <c r="C87" s="2" t="s">
        <v>69</v>
      </c>
      <c r="D87" s="4">
        <v>2</v>
      </c>
    </row>
    <row r="88" spans="2:4" s="2" customFormat="1" ht="27.95" customHeight="1" x14ac:dyDescent="0.25">
      <c r="B88" s="2" t="s">
        <v>171</v>
      </c>
      <c r="C88" s="2" t="s">
        <v>199</v>
      </c>
      <c r="D88" s="4">
        <v>3</v>
      </c>
    </row>
    <row r="89" spans="2:4" s="2" customFormat="1" ht="27.95" customHeight="1" x14ac:dyDescent="0.25">
      <c r="B89" s="2" t="s">
        <v>171</v>
      </c>
      <c r="C89" s="2" t="s">
        <v>200</v>
      </c>
      <c r="D89" s="4">
        <v>4</v>
      </c>
    </row>
    <row r="90" spans="2:4" s="2" customFormat="1" ht="27.95" customHeight="1" x14ac:dyDescent="0.25">
      <c r="B90" s="2" t="s">
        <v>171</v>
      </c>
      <c r="C90" s="2" t="s">
        <v>201</v>
      </c>
      <c r="D90" s="4">
        <v>5</v>
      </c>
    </row>
    <row r="91" spans="2:4" s="2" customFormat="1" ht="27.95" customHeight="1" x14ac:dyDescent="0.25">
      <c r="B91" s="2" t="s">
        <v>169</v>
      </c>
      <c r="C91" s="2" t="s">
        <v>202</v>
      </c>
      <c r="D91" s="4">
        <v>1</v>
      </c>
    </row>
    <row r="92" spans="2:4" s="2" customFormat="1" ht="27.95" customHeight="1" x14ac:dyDescent="0.25">
      <c r="B92" s="2" t="s">
        <v>169</v>
      </c>
      <c r="C92" s="2" t="s">
        <v>203</v>
      </c>
      <c r="D92" s="4">
        <v>2</v>
      </c>
    </row>
    <row r="93" spans="2:4" s="2" customFormat="1" ht="27.95" customHeight="1" x14ac:dyDescent="0.25">
      <c r="B93" s="2" t="s">
        <v>169</v>
      </c>
      <c r="C93" s="2" t="s">
        <v>204</v>
      </c>
      <c r="D93" s="4">
        <v>3</v>
      </c>
    </row>
    <row r="94" spans="2:4" s="2" customFormat="1" ht="27.95" customHeight="1" x14ac:dyDescent="0.25">
      <c r="B94" s="2" t="s">
        <v>169</v>
      </c>
      <c r="C94" s="2" t="s">
        <v>205</v>
      </c>
      <c r="D94" s="4">
        <v>4</v>
      </c>
    </row>
    <row r="95" spans="2:4" s="2" customFormat="1" ht="27.95" customHeight="1" x14ac:dyDescent="0.25">
      <c r="B95" s="2" t="s">
        <v>169</v>
      </c>
      <c r="C95" s="2" t="s">
        <v>206</v>
      </c>
      <c r="D95" s="4">
        <v>5</v>
      </c>
    </row>
    <row r="96" spans="2:4" s="2" customFormat="1" ht="27.95" customHeight="1" x14ac:dyDescent="0.25">
      <c r="B96" s="2" t="s">
        <v>182</v>
      </c>
      <c r="C96" s="2" t="s">
        <v>191</v>
      </c>
      <c r="D96" s="4">
        <v>1</v>
      </c>
    </row>
    <row r="97" spans="2:4" s="2" customFormat="1" ht="27.95" customHeight="1" x14ac:dyDescent="0.25">
      <c r="B97" s="2" t="s">
        <v>182</v>
      </c>
      <c r="C97" s="2" t="s">
        <v>192</v>
      </c>
      <c r="D97" s="4">
        <v>2</v>
      </c>
    </row>
    <row r="98" spans="2:4" s="2" customFormat="1" ht="27.95" customHeight="1" x14ac:dyDescent="0.25">
      <c r="B98" s="2" t="s">
        <v>182</v>
      </c>
      <c r="C98" s="2" t="s">
        <v>193</v>
      </c>
      <c r="D98" s="4">
        <v>3</v>
      </c>
    </row>
    <row r="99" spans="2:4" s="2" customFormat="1" ht="27.95" customHeight="1" x14ac:dyDescent="0.25">
      <c r="B99" s="2" t="s">
        <v>182</v>
      </c>
      <c r="C99" s="2" t="s">
        <v>194</v>
      </c>
      <c r="D99" s="4">
        <v>4</v>
      </c>
    </row>
    <row r="100" spans="2:4" s="2" customFormat="1" ht="27.95" customHeight="1" x14ac:dyDescent="0.25">
      <c r="B100" s="2" t="s">
        <v>182</v>
      </c>
      <c r="C100" s="2" t="s">
        <v>195</v>
      </c>
      <c r="D100" s="4">
        <v>5</v>
      </c>
    </row>
    <row r="101" spans="2:4" s="2" customFormat="1" ht="27.95" customHeight="1" x14ac:dyDescent="0.25">
      <c r="B101" s="2" t="s">
        <v>216</v>
      </c>
      <c r="C101" s="2" t="s">
        <v>220</v>
      </c>
      <c r="D101" s="4">
        <v>1</v>
      </c>
    </row>
    <row r="102" spans="2:4" s="2" customFormat="1" ht="27.95" customHeight="1" x14ac:dyDescent="0.25">
      <c r="B102" s="2" t="s">
        <v>216</v>
      </c>
      <c r="C102" s="2" t="s">
        <v>221</v>
      </c>
      <c r="D102" s="4">
        <v>2</v>
      </c>
    </row>
    <row r="103" spans="2:4" s="2" customFormat="1" ht="27.95" customHeight="1" x14ac:dyDescent="0.25">
      <c r="B103" s="2" t="s">
        <v>216</v>
      </c>
      <c r="C103" s="2" t="s">
        <v>222</v>
      </c>
      <c r="D103" s="4">
        <v>3</v>
      </c>
    </row>
    <row r="104" spans="2:4" s="2" customFormat="1" ht="27.95" customHeight="1" x14ac:dyDescent="0.25">
      <c r="B104" s="2" t="s">
        <v>216</v>
      </c>
      <c r="C104" s="2" t="s">
        <v>223</v>
      </c>
      <c r="D104" s="4">
        <v>4</v>
      </c>
    </row>
    <row r="105" spans="2:4" s="2" customFormat="1" ht="27.95" customHeight="1" x14ac:dyDescent="0.25">
      <c r="B105" s="2" t="s">
        <v>216</v>
      </c>
      <c r="C105" s="2" t="s">
        <v>224</v>
      </c>
      <c r="D105" s="4">
        <v>5</v>
      </c>
    </row>
    <row r="106" spans="2:4" s="2" customFormat="1" ht="27.95" customHeight="1" x14ac:dyDescent="0.25">
      <c r="B106" s="2" t="s">
        <v>210</v>
      </c>
      <c r="C106" s="2" t="s">
        <v>211</v>
      </c>
      <c r="D106" s="4">
        <v>1</v>
      </c>
    </row>
    <row r="107" spans="2:4" s="2" customFormat="1" ht="27.95" customHeight="1" x14ac:dyDescent="0.25">
      <c r="B107" s="2" t="s">
        <v>210</v>
      </c>
      <c r="C107" s="2" t="s">
        <v>212</v>
      </c>
      <c r="D107" s="4">
        <v>2</v>
      </c>
    </row>
    <row r="108" spans="2:4" s="2" customFormat="1" ht="27.95" customHeight="1" x14ac:dyDescent="0.25">
      <c r="B108" s="2" t="s">
        <v>210</v>
      </c>
      <c r="C108" s="2" t="s">
        <v>213</v>
      </c>
      <c r="D108" s="4">
        <v>3</v>
      </c>
    </row>
    <row r="109" spans="2:4" s="2" customFormat="1" ht="27.95" customHeight="1" x14ac:dyDescent="0.25">
      <c r="B109" s="2" t="s">
        <v>210</v>
      </c>
      <c r="C109" s="2" t="s">
        <v>214</v>
      </c>
      <c r="D109" s="4">
        <v>4</v>
      </c>
    </row>
    <row r="110" spans="2:4" s="2" customFormat="1" ht="27.95" customHeight="1" x14ac:dyDescent="0.25">
      <c r="B110" s="2" t="s">
        <v>210</v>
      </c>
      <c r="C110" s="2" t="s">
        <v>215</v>
      </c>
      <c r="D110" s="4">
        <v>5</v>
      </c>
    </row>
    <row r="111" spans="2:4" s="2" customFormat="1" ht="27.95" customHeight="1" x14ac:dyDescent="0.25"/>
    <row r="112" spans="2:4" s="2" customFormat="1" ht="27.95" customHeight="1" x14ac:dyDescent="0.25">
      <c r="B112" s="45" t="s">
        <v>749</v>
      </c>
    </row>
    <row r="113" spans="2:4" s="2" customFormat="1" ht="27.95" customHeight="1" x14ac:dyDescent="0.25">
      <c r="B113" s="2" t="s">
        <v>163</v>
      </c>
      <c r="C113" s="2" t="s">
        <v>0</v>
      </c>
      <c r="D113" s="2" t="s">
        <v>190</v>
      </c>
    </row>
    <row r="114" spans="2:4" s="2" customFormat="1" ht="27.95" customHeight="1" x14ac:dyDescent="0.25">
      <c r="B114" s="2" t="s">
        <v>179</v>
      </c>
      <c r="C114" s="2" t="s">
        <v>191</v>
      </c>
      <c r="D114" s="4">
        <v>1</v>
      </c>
    </row>
    <row r="115" spans="2:4" s="2" customFormat="1" ht="27.95" customHeight="1" x14ac:dyDescent="0.25">
      <c r="B115" s="2" t="s">
        <v>179</v>
      </c>
      <c r="C115" s="2" t="s">
        <v>192</v>
      </c>
      <c r="D115" s="4">
        <v>2</v>
      </c>
    </row>
    <row r="116" spans="2:4" s="2" customFormat="1" ht="27.95" customHeight="1" x14ac:dyDescent="0.25">
      <c r="B116" s="2" t="s">
        <v>179</v>
      </c>
      <c r="C116" s="2" t="s">
        <v>193</v>
      </c>
      <c r="D116" s="4">
        <v>3</v>
      </c>
    </row>
    <row r="117" spans="2:4" s="2" customFormat="1" ht="27.95" customHeight="1" x14ac:dyDescent="0.25">
      <c r="B117" s="2" t="s">
        <v>179</v>
      </c>
      <c r="C117" s="2" t="s">
        <v>194</v>
      </c>
      <c r="D117" s="4">
        <v>4</v>
      </c>
    </row>
    <row r="118" spans="2:4" s="2" customFormat="1" ht="27.95" customHeight="1" x14ac:dyDescent="0.25">
      <c r="B118" s="2" t="s">
        <v>179</v>
      </c>
      <c r="C118" s="2" t="s">
        <v>195</v>
      </c>
      <c r="D118" s="4">
        <v>5</v>
      </c>
    </row>
    <row r="119" spans="2:4" s="2" customFormat="1" ht="27.95" customHeight="1" x14ac:dyDescent="0.25">
      <c r="B119" s="2" t="s">
        <v>165</v>
      </c>
      <c r="C119" s="2" t="s">
        <v>27</v>
      </c>
      <c r="D119" s="4">
        <v>1</v>
      </c>
    </row>
    <row r="120" spans="2:4" s="2" customFormat="1" ht="27.95" customHeight="1" x14ac:dyDescent="0.25">
      <c r="B120" s="2" t="s">
        <v>165</v>
      </c>
      <c r="C120" s="2" t="s">
        <v>69</v>
      </c>
      <c r="D120" s="4">
        <v>2</v>
      </c>
    </row>
    <row r="121" spans="2:4" s="2" customFormat="1" ht="27.95" customHeight="1" x14ac:dyDescent="0.25">
      <c r="B121" s="2" t="s">
        <v>165</v>
      </c>
      <c r="C121" s="2" t="s">
        <v>199</v>
      </c>
      <c r="D121" s="4">
        <v>3</v>
      </c>
    </row>
    <row r="122" spans="2:4" s="2" customFormat="1" ht="27.95" customHeight="1" x14ac:dyDescent="0.25">
      <c r="B122" s="2" t="s">
        <v>165</v>
      </c>
      <c r="C122" s="2" t="s">
        <v>200</v>
      </c>
      <c r="D122" s="4">
        <v>4</v>
      </c>
    </row>
    <row r="123" spans="2:4" s="2" customFormat="1" ht="27.95" customHeight="1" x14ac:dyDescent="0.25">
      <c r="B123" s="2" t="s">
        <v>165</v>
      </c>
      <c r="C123" s="2" t="s">
        <v>201</v>
      </c>
      <c r="D123" s="4">
        <v>5</v>
      </c>
    </row>
    <row r="124" spans="2:4" s="2" customFormat="1" ht="27.95" customHeight="1" x14ac:dyDescent="0.25">
      <c r="B124" s="2" t="s">
        <v>171</v>
      </c>
      <c r="C124" s="2" t="s">
        <v>202</v>
      </c>
      <c r="D124" s="4">
        <v>1</v>
      </c>
    </row>
    <row r="125" spans="2:4" s="2" customFormat="1" ht="27.95" customHeight="1" x14ac:dyDescent="0.25">
      <c r="B125" s="2" t="s">
        <v>171</v>
      </c>
      <c r="C125" s="2" t="s">
        <v>203</v>
      </c>
      <c r="D125" s="4">
        <v>2</v>
      </c>
    </row>
    <row r="126" spans="2:4" s="2" customFormat="1" ht="27.95" customHeight="1" x14ac:dyDescent="0.25">
      <c r="B126" s="2" t="s">
        <v>171</v>
      </c>
      <c r="C126" s="2" t="s">
        <v>204</v>
      </c>
      <c r="D126" s="4">
        <v>3</v>
      </c>
    </row>
    <row r="127" spans="2:4" s="2" customFormat="1" ht="27.95" customHeight="1" x14ac:dyDescent="0.25">
      <c r="B127" s="2" t="s">
        <v>171</v>
      </c>
      <c r="C127" s="2" t="s">
        <v>205</v>
      </c>
      <c r="D127" s="4">
        <v>4</v>
      </c>
    </row>
    <row r="128" spans="2:4" s="2" customFormat="1" ht="27.95" customHeight="1" x14ac:dyDescent="0.25">
      <c r="B128" s="2" t="s">
        <v>171</v>
      </c>
      <c r="C128" s="2" t="s">
        <v>206</v>
      </c>
      <c r="D128" s="4">
        <v>5</v>
      </c>
    </row>
    <row r="129" spans="2:4" s="2" customFormat="1" ht="27.95" customHeight="1" x14ac:dyDescent="0.25">
      <c r="B129" s="2" t="s">
        <v>169</v>
      </c>
      <c r="C129" s="2" t="s">
        <v>66</v>
      </c>
      <c r="D129" s="4">
        <v>1</v>
      </c>
    </row>
    <row r="130" spans="2:4" s="2" customFormat="1" ht="27.95" customHeight="1" x14ac:dyDescent="0.25">
      <c r="B130" s="2" t="s">
        <v>169</v>
      </c>
      <c r="C130" s="2" t="s">
        <v>67</v>
      </c>
      <c r="D130" s="4">
        <v>2</v>
      </c>
    </row>
    <row r="131" spans="2:4" s="2" customFormat="1" ht="27.95" customHeight="1" x14ac:dyDescent="0.25">
      <c r="B131" s="2" t="s">
        <v>169</v>
      </c>
      <c r="C131" s="2" t="s">
        <v>196</v>
      </c>
      <c r="D131" s="4">
        <v>3</v>
      </c>
    </row>
    <row r="132" spans="2:4" s="2" customFormat="1" ht="27.95" customHeight="1" x14ac:dyDescent="0.25">
      <c r="B132" s="2" t="s">
        <v>169</v>
      </c>
      <c r="C132" s="2" t="s">
        <v>197</v>
      </c>
      <c r="D132" s="4">
        <v>4</v>
      </c>
    </row>
    <row r="133" spans="2:4" s="2" customFormat="1" ht="27.95" customHeight="1" x14ac:dyDescent="0.25">
      <c r="B133" s="2" t="s">
        <v>169</v>
      </c>
      <c r="C133" s="2" t="s">
        <v>198</v>
      </c>
      <c r="D133" s="4">
        <v>5</v>
      </c>
    </row>
    <row r="134" spans="2:4" s="2" customFormat="1" ht="27.95" customHeight="1" x14ac:dyDescent="0.25">
      <c r="B134" s="2" t="s">
        <v>182</v>
      </c>
      <c r="C134" s="2" t="s">
        <v>211</v>
      </c>
      <c r="D134" s="4">
        <v>1</v>
      </c>
    </row>
    <row r="135" spans="2:4" s="2" customFormat="1" ht="27.95" customHeight="1" x14ac:dyDescent="0.25">
      <c r="B135" s="2" t="s">
        <v>182</v>
      </c>
      <c r="C135" s="2" t="s">
        <v>212</v>
      </c>
      <c r="D135" s="4">
        <v>2</v>
      </c>
    </row>
    <row r="136" spans="2:4" s="2" customFormat="1" ht="27.95" customHeight="1" x14ac:dyDescent="0.25">
      <c r="B136" s="2" t="s">
        <v>182</v>
      </c>
      <c r="C136" s="2" t="s">
        <v>213</v>
      </c>
      <c r="D136" s="4">
        <v>3</v>
      </c>
    </row>
    <row r="137" spans="2:4" s="2" customFormat="1" ht="27.95" customHeight="1" x14ac:dyDescent="0.25">
      <c r="B137" s="2" t="s">
        <v>182</v>
      </c>
      <c r="C137" s="2" t="s">
        <v>214</v>
      </c>
      <c r="D137" s="4">
        <v>4</v>
      </c>
    </row>
    <row r="138" spans="2:4" s="2" customFormat="1" ht="27.95" customHeight="1" x14ac:dyDescent="0.25">
      <c r="B138" s="2" t="s">
        <v>182</v>
      </c>
      <c r="C138" s="2" t="s">
        <v>215</v>
      </c>
      <c r="D138" s="4">
        <v>5</v>
      </c>
    </row>
    <row r="139" spans="2:4" s="2" customFormat="1" ht="27.95" customHeight="1" x14ac:dyDescent="0.25">
      <c r="B139" s="2" t="s">
        <v>216</v>
      </c>
      <c r="C139" s="2" t="s">
        <v>185</v>
      </c>
      <c r="D139" s="4">
        <v>1</v>
      </c>
    </row>
    <row r="140" spans="2:4" s="2" customFormat="1" ht="27.95" customHeight="1" x14ac:dyDescent="0.25">
      <c r="B140" s="2" t="s">
        <v>216</v>
      </c>
      <c r="C140" s="2" t="s">
        <v>186</v>
      </c>
      <c r="D140" s="4">
        <v>2</v>
      </c>
    </row>
    <row r="141" spans="2:4" s="2" customFormat="1" ht="27.95" customHeight="1" x14ac:dyDescent="0.25">
      <c r="B141" s="2" t="s">
        <v>216</v>
      </c>
      <c r="C141" s="2" t="s">
        <v>187</v>
      </c>
      <c r="D141" s="4">
        <v>3</v>
      </c>
    </row>
    <row r="142" spans="2:4" s="2" customFormat="1" ht="27.95" customHeight="1" x14ac:dyDescent="0.25">
      <c r="B142" s="2" t="s">
        <v>216</v>
      </c>
      <c r="C142" s="2" t="s">
        <v>188</v>
      </c>
      <c r="D142" s="4">
        <v>4</v>
      </c>
    </row>
    <row r="143" spans="2:4" s="2" customFormat="1" ht="27.95" customHeight="1" x14ac:dyDescent="0.25">
      <c r="B143" s="2" t="s">
        <v>216</v>
      </c>
      <c r="C143" s="2" t="s">
        <v>189</v>
      </c>
      <c r="D143" s="4">
        <v>5</v>
      </c>
    </row>
    <row r="144" spans="2:4" s="2" customFormat="1" ht="27.95" customHeight="1" x14ac:dyDescent="0.25">
      <c r="B144" s="2" t="s">
        <v>210</v>
      </c>
      <c r="C144" s="2" t="s">
        <v>220</v>
      </c>
      <c r="D144" s="4">
        <v>1</v>
      </c>
    </row>
    <row r="145" spans="2:4" s="2" customFormat="1" ht="27.95" customHeight="1" x14ac:dyDescent="0.25">
      <c r="B145" s="2" t="s">
        <v>210</v>
      </c>
      <c r="C145" s="2" t="s">
        <v>221</v>
      </c>
      <c r="D145" s="4">
        <v>2</v>
      </c>
    </row>
    <row r="146" spans="2:4" s="2" customFormat="1" ht="27.95" customHeight="1" x14ac:dyDescent="0.25">
      <c r="B146" s="2" t="s">
        <v>210</v>
      </c>
      <c r="C146" s="2" t="s">
        <v>222</v>
      </c>
      <c r="D146" s="4">
        <v>3</v>
      </c>
    </row>
    <row r="147" spans="2:4" s="2" customFormat="1" ht="27.95" customHeight="1" x14ac:dyDescent="0.25">
      <c r="B147" s="2" t="s">
        <v>210</v>
      </c>
      <c r="C147" s="2" t="s">
        <v>223</v>
      </c>
      <c r="D147" s="4">
        <v>4</v>
      </c>
    </row>
    <row r="148" spans="2:4" s="2" customFormat="1" ht="27.95" customHeight="1" x14ac:dyDescent="0.25">
      <c r="B148" s="2" t="s">
        <v>210</v>
      </c>
      <c r="C148" s="2" t="s">
        <v>224</v>
      </c>
      <c r="D148" s="4">
        <v>5</v>
      </c>
    </row>
    <row r="149" spans="2:4" s="2" customFormat="1" ht="27.95" customHeight="1" x14ac:dyDescent="0.25"/>
    <row r="150" spans="2:4" s="2" customFormat="1" ht="27.95" customHeight="1" x14ac:dyDescent="0.25">
      <c r="B150" s="45" t="s">
        <v>747</v>
      </c>
    </row>
    <row r="151" spans="2:4" s="2" customFormat="1" ht="27.95" customHeight="1" x14ac:dyDescent="0.25">
      <c r="B151" s="2" t="s">
        <v>230</v>
      </c>
      <c r="C151" s="2" t="s">
        <v>231</v>
      </c>
    </row>
    <row r="152" spans="2:4" s="2" customFormat="1" ht="27.95" customHeight="1" x14ac:dyDescent="0.25">
      <c r="B152" s="2" t="s">
        <v>132</v>
      </c>
      <c r="C152" s="2" t="s">
        <v>128</v>
      </c>
    </row>
    <row r="153" spans="2:4" s="2" customFormat="1" ht="27.95" customHeight="1" x14ac:dyDescent="0.25">
      <c r="B153" s="2" t="s">
        <v>128</v>
      </c>
      <c r="C153" s="2" t="s">
        <v>128</v>
      </c>
    </row>
    <row r="154" spans="2:4" s="2" customFormat="1" ht="27.95" customHeight="1" x14ac:dyDescent="0.25">
      <c r="B154" s="2" t="s">
        <v>232</v>
      </c>
      <c r="C154" s="2" t="s">
        <v>128</v>
      </c>
    </row>
    <row r="155" spans="2:4" s="2" customFormat="1" ht="27.95" customHeight="1" x14ac:dyDescent="0.25">
      <c r="B155" s="2" t="s">
        <v>122</v>
      </c>
      <c r="C155" s="2" t="s">
        <v>128</v>
      </c>
    </row>
    <row r="156" spans="2:4" s="2" customFormat="1" ht="27.95" customHeight="1" x14ac:dyDescent="0.25">
      <c r="B156" s="2" t="s">
        <v>131</v>
      </c>
      <c r="C156" s="2" t="s">
        <v>128</v>
      </c>
    </row>
    <row r="157" spans="2:4" s="2" customFormat="1" ht="27.95" customHeight="1" x14ac:dyDescent="0.25">
      <c r="B157" s="2" t="s">
        <v>121</v>
      </c>
      <c r="C157" s="2" t="s">
        <v>128</v>
      </c>
    </row>
    <row r="158" spans="2:4" s="2" customFormat="1" ht="27.95" customHeight="1" x14ac:dyDescent="0.25">
      <c r="B158" s="2" t="s">
        <v>240</v>
      </c>
      <c r="C158" s="2" t="s">
        <v>128</v>
      </c>
    </row>
    <row r="159" spans="2:4" s="2" customFormat="1" ht="27.95" customHeight="1" x14ac:dyDescent="0.25">
      <c r="B159" s="2" t="s">
        <v>249</v>
      </c>
      <c r="C159" s="2" t="s">
        <v>128</v>
      </c>
    </row>
    <row r="160" spans="2:4" s="2" customFormat="1" ht="27.95" customHeight="1" x14ac:dyDescent="0.25">
      <c r="B160" s="2" t="s">
        <v>273</v>
      </c>
      <c r="C160" s="2" t="s">
        <v>128</v>
      </c>
    </row>
    <row r="161" spans="2:3" s="2" customFormat="1" ht="27.95" customHeight="1" x14ac:dyDescent="0.25">
      <c r="B161" s="2" t="s">
        <v>233</v>
      </c>
      <c r="C161" s="2" t="s">
        <v>124</v>
      </c>
    </row>
    <row r="162" spans="2:3" s="2" customFormat="1" ht="27.95" customHeight="1" x14ac:dyDescent="0.25">
      <c r="B162" s="2" t="s">
        <v>234</v>
      </c>
      <c r="C162" s="2" t="s">
        <v>124</v>
      </c>
    </row>
    <row r="163" spans="2:3" s="2" customFormat="1" ht="27.95" customHeight="1" x14ac:dyDescent="0.25">
      <c r="B163" s="2" t="s">
        <v>238</v>
      </c>
      <c r="C163" s="2" t="s">
        <v>124</v>
      </c>
    </row>
    <row r="164" spans="2:3" s="2" customFormat="1" ht="27.95" customHeight="1" x14ac:dyDescent="0.25">
      <c r="B164" s="2" t="s">
        <v>125</v>
      </c>
      <c r="C164" s="2" t="s">
        <v>124</v>
      </c>
    </row>
    <row r="165" spans="2:3" s="2" customFormat="1" ht="27.95" customHeight="1" x14ac:dyDescent="0.25">
      <c r="B165" s="2" t="s">
        <v>124</v>
      </c>
      <c r="C165" s="2" t="s">
        <v>124</v>
      </c>
    </row>
    <row r="166" spans="2:3" s="2" customFormat="1" ht="27.95" customHeight="1" x14ac:dyDescent="0.25">
      <c r="B166" s="2" t="s">
        <v>129</v>
      </c>
      <c r="C166" s="2" t="s">
        <v>124</v>
      </c>
    </row>
    <row r="167" spans="2:3" s="2" customFormat="1" ht="27.95" customHeight="1" x14ac:dyDescent="0.25">
      <c r="B167" s="2" t="s">
        <v>657</v>
      </c>
      <c r="C167" s="2" t="s">
        <v>124</v>
      </c>
    </row>
    <row r="168" spans="2:3" s="2" customFormat="1" ht="27.95" customHeight="1" x14ac:dyDescent="0.25">
      <c r="B168" s="2" t="s">
        <v>123</v>
      </c>
      <c r="C168" s="2" t="s">
        <v>134</v>
      </c>
    </row>
    <row r="169" spans="2:3" s="2" customFormat="1" ht="27.95" customHeight="1" x14ac:dyDescent="0.25">
      <c r="B169" s="2" t="s">
        <v>235</v>
      </c>
      <c r="C169" s="2" t="s">
        <v>134</v>
      </c>
    </row>
    <row r="170" spans="2:3" s="2" customFormat="1" ht="27.95" customHeight="1" x14ac:dyDescent="0.25">
      <c r="B170" s="2" t="s">
        <v>236</v>
      </c>
      <c r="C170" s="2" t="s">
        <v>134</v>
      </c>
    </row>
    <row r="171" spans="2:3" s="2" customFormat="1" ht="27.95" customHeight="1" x14ac:dyDescent="0.25">
      <c r="B171" s="2" t="s">
        <v>237</v>
      </c>
      <c r="C171" s="2" t="s">
        <v>134</v>
      </c>
    </row>
    <row r="172" spans="2:3" s="2" customFormat="1" ht="27.95" customHeight="1" x14ac:dyDescent="0.25">
      <c r="B172" s="2" t="s">
        <v>130</v>
      </c>
      <c r="C172" s="2" t="s">
        <v>134</v>
      </c>
    </row>
    <row r="173" spans="2:3" s="2" customFormat="1" ht="27.95" customHeight="1" x14ac:dyDescent="0.25">
      <c r="B173" s="2" t="s">
        <v>133</v>
      </c>
      <c r="C173" s="2" t="s">
        <v>134</v>
      </c>
    </row>
    <row r="174" spans="2:3" s="2" customFormat="1" ht="27.95" customHeight="1" x14ac:dyDescent="0.25">
      <c r="B174" s="2" t="s">
        <v>134</v>
      </c>
      <c r="C174" s="2" t="s">
        <v>134</v>
      </c>
    </row>
    <row r="175" spans="2:3" s="2" customFormat="1" ht="27.95" customHeight="1" x14ac:dyDescent="0.25">
      <c r="B175" s="2" t="s">
        <v>576</v>
      </c>
      <c r="C175" s="2" t="s">
        <v>134</v>
      </c>
    </row>
    <row r="176" spans="2:3" s="2" customFormat="1" ht="27.95" customHeight="1" x14ac:dyDescent="0.25">
      <c r="B176" s="2" t="s">
        <v>553</v>
      </c>
      <c r="C176" s="2" t="s">
        <v>301</v>
      </c>
    </row>
    <row r="177" spans="2:3" s="2" customFormat="1" ht="27.95" customHeight="1" x14ac:dyDescent="0.25"/>
    <row r="178" spans="2:3" s="2" customFormat="1" ht="27.95" customHeight="1" x14ac:dyDescent="0.25">
      <c r="B178" s="45" t="s">
        <v>748</v>
      </c>
    </row>
    <row r="179" spans="2:3" s="2" customFormat="1" ht="27.95" customHeight="1" x14ac:dyDescent="0.25">
      <c r="B179" s="2" t="s">
        <v>276</v>
      </c>
      <c r="C179" s="4" t="s">
        <v>320</v>
      </c>
    </row>
    <row r="180" spans="2:3" s="2" customFormat="1" ht="27.95" customHeight="1" x14ac:dyDescent="0.25">
      <c r="B180" s="2" t="s">
        <v>599</v>
      </c>
      <c r="C180" s="33">
        <v>5</v>
      </c>
    </row>
    <row r="181" spans="2:3" s="2" customFormat="1" ht="27.95" customHeight="1" x14ac:dyDescent="0.25">
      <c r="B181" s="2" t="s">
        <v>458</v>
      </c>
      <c r="C181" s="33">
        <v>20</v>
      </c>
    </row>
    <row r="182" spans="2:3" s="2" customFormat="1" ht="27.95" customHeight="1" x14ac:dyDescent="0.25">
      <c r="B182" s="2" t="s">
        <v>461</v>
      </c>
      <c r="C182" s="33">
        <v>10</v>
      </c>
    </row>
    <row r="183" spans="2:3" s="2" customFormat="1" ht="27.95" customHeight="1" x14ac:dyDescent="0.25">
      <c r="B183" s="2" t="s">
        <v>291</v>
      </c>
      <c r="C183" s="33">
        <v>20</v>
      </c>
    </row>
    <row r="184" spans="2:3" s="2" customFormat="1" ht="27.95" customHeight="1" x14ac:dyDescent="0.25">
      <c r="B184" s="2" t="s">
        <v>284</v>
      </c>
      <c r="C184" s="33">
        <v>5</v>
      </c>
    </row>
    <row r="185" spans="2:3" s="2" customFormat="1" ht="27.95" customHeight="1" x14ac:dyDescent="0.25">
      <c r="B185" s="2" t="s">
        <v>278</v>
      </c>
      <c r="C185" s="33">
        <v>9999</v>
      </c>
    </row>
    <row r="186" spans="2:3" s="2" customFormat="1" ht="27.95" customHeight="1" x14ac:dyDescent="0.25">
      <c r="B186" s="2" t="s">
        <v>277</v>
      </c>
      <c r="C186" s="33">
        <v>20</v>
      </c>
    </row>
    <row r="187" spans="2:3" s="2" customFormat="1" ht="27.95" customHeight="1" x14ac:dyDescent="0.25"/>
    <row r="188" spans="2:3" s="2" customFormat="1" ht="27.95" customHeight="1" x14ac:dyDescent="0.25">
      <c r="B188" s="45" t="s">
        <v>744</v>
      </c>
    </row>
    <row r="189" spans="2:3" s="2" customFormat="1" ht="27.95" customHeight="1" x14ac:dyDescent="0.25">
      <c r="B189" s="2" t="s">
        <v>536</v>
      </c>
      <c r="C189" s="2" t="s">
        <v>537</v>
      </c>
    </row>
    <row r="190" spans="2:3" s="2" customFormat="1" ht="27.95" customHeight="1" x14ac:dyDescent="0.25">
      <c r="B190" s="2" t="s">
        <v>8</v>
      </c>
      <c r="C190" s="2" t="s">
        <v>745</v>
      </c>
    </row>
    <row r="191" spans="2:3" s="2" customFormat="1" ht="27.95" customHeight="1" x14ac:dyDescent="0.25">
      <c r="B191" s="2" t="s">
        <v>25</v>
      </c>
      <c r="C191" s="2" t="s">
        <v>746</v>
      </c>
    </row>
    <row r="192" spans="2:3" s="2" customFormat="1" ht="27.95" customHeight="1" x14ac:dyDescent="0.25"/>
    <row r="193" spans="2:3" s="2" customFormat="1" ht="27.95" customHeight="1" x14ac:dyDescent="0.25">
      <c r="B193" s="45" t="s">
        <v>743</v>
      </c>
    </row>
    <row r="194" spans="2:3" s="2" customFormat="1" ht="27.95" customHeight="1" x14ac:dyDescent="0.25">
      <c r="B194" s="2" t="s">
        <v>753</v>
      </c>
      <c r="C194" s="2" t="s">
        <v>754</v>
      </c>
    </row>
    <row r="195" spans="2:3" s="2" customFormat="1" ht="27.95" customHeight="1" x14ac:dyDescent="0.25">
      <c r="B195" s="63" t="s">
        <v>762</v>
      </c>
      <c r="C195" s="2" t="s">
        <v>755</v>
      </c>
    </row>
    <row r="196" spans="2:3" s="2" customFormat="1" ht="27.95" customHeight="1" x14ac:dyDescent="0.25">
      <c r="B196" s="2" t="s">
        <v>756</v>
      </c>
      <c r="C196" s="2" t="s">
        <v>104</v>
      </c>
    </row>
    <row r="197" spans="2:3" s="2" customFormat="1" ht="27.95" customHeight="1" x14ac:dyDescent="0.25">
      <c r="B197" s="64" t="s">
        <v>757</v>
      </c>
      <c r="C197" s="2" t="s">
        <v>758</v>
      </c>
    </row>
    <row r="198" spans="2:3" s="2" customFormat="1" ht="27.95" customHeight="1" x14ac:dyDescent="0.25">
      <c r="B198" s="58" t="s">
        <v>765</v>
      </c>
      <c r="C198" s="2" t="s">
        <v>768</v>
      </c>
    </row>
    <row r="199" spans="2:3" s="2" customFormat="1" ht="27.95" customHeight="1" x14ac:dyDescent="0.25">
      <c r="B199" s="59" t="s">
        <v>764</v>
      </c>
      <c r="C199" s="2" t="s">
        <v>759</v>
      </c>
    </row>
    <row r="200" spans="2:3" s="2" customFormat="1" ht="27.95" customHeight="1" x14ac:dyDescent="0.25">
      <c r="B200" s="60" t="s">
        <v>760</v>
      </c>
      <c r="C200" s="2" t="s">
        <v>761</v>
      </c>
    </row>
    <row r="201" spans="2:3" s="2" customFormat="1" ht="27.95" customHeight="1" x14ac:dyDescent="0.25">
      <c r="B201" s="61" t="s">
        <v>763</v>
      </c>
      <c r="C201" s="2" t="s">
        <v>769</v>
      </c>
    </row>
    <row r="202" spans="2:3" s="2" customFormat="1" ht="27.95" customHeight="1" x14ac:dyDescent="0.25">
      <c r="B202" s="62" t="s">
        <v>766</v>
      </c>
      <c r="C202" s="2" t="s">
        <v>767</v>
      </c>
    </row>
    <row r="203" spans="2:3" s="2" customFormat="1" ht="27.95" customHeight="1" x14ac:dyDescent="0.25"/>
    <row r="204" spans="2:3" s="2" customFormat="1" ht="27.95" customHeight="1" x14ac:dyDescent="0.25">
      <c r="B204"/>
    </row>
    <row r="205" spans="2:3" s="2" customFormat="1" ht="27.95" customHeight="1" x14ac:dyDescent="0.25">
      <c r="B205"/>
    </row>
    <row r="206" spans="2:3" s="2" customFormat="1" ht="27.95" customHeight="1" x14ac:dyDescent="0.25">
      <c r="B206"/>
    </row>
    <row r="207" spans="2:3" s="2" customFormat="1" ht="27.95" customHeight="1" x14ac:dyDescent="0.25">
      <c r="B207"/>
    </row>
    <row r="208" spans="2:3" s="2" customFormat="1" ht="27.95" customHeight="1" x14ac:dyDescent="0.25">
      <c r="B208"/>
    </row>
    <row r="209" spans="2:3" s="66" customFormat="1" ht="27.95" customHeight="1" x14ac:dyDescent="0.25">
      <c r="B209" s="45" t="s">
        <v>967</v>
      </c>
    </row>
    <row r="210" spans="2:3" s="2" customFormat="1" ht="27.95" customHeight="1" x14ac:dyDescent="0.25">
      <c r="B210" s="97" t="s">
        <v>968</v>
      </c>
      <c r="C210" s="66" t="s">
        <v>969</v>
      </c>
    </row>
    <row r="211" spans="2:3" s="2" customFormat="1" ht="27.95" customHeight="1" x14ac:dyDescent="0.25">
      <c r="B211" s="68" t="s">
        <v>919</v>
      </c>
      <c r="C211" s="66" t="s">
        <v>970</v>
      </c>
    </row>
    <row r="212" spans="2:3" s="2" customFormat="1" ht="27.95" customHeight="1" x14ac:dyDescent="0.25">
      <c r="B212" s="68" t="s">
        <v>919</v>
      </c>
      <c r="C212" s="66" t="s">
        <v>959</v>
      </c>
    </row>
    <row r="213" spans="2:3" s="2" customFormat="1" ht="27.95" customHeight="1" x14ac:dyDescent="0.25">
      <c r="B213" s="66" t="s">
        <v>938</v>
      </c>
      <c r="C213" s="66" t="s">
        <v>970</v>
      </c>
    </row>
    <row r="214" spans="2:3" s="2" customFormat="1" ht="27.95" customHeight="1" x14ac:dyDescent="0.25">
      <c r="B214" s="66" t="s">
        <v>938</v>
      </c>
      <c r="C214" s="66" t="s">
        <v>959</v>
      </c>
    </row>
    <row r="215" spans="2:3" s="2" customFormat="1" ht="27.95" customHeight="1" x14ac:dyDescent="0.25">
      <c r="B215" s="66" t="s">
        <v>971</v>
      </c>
      <c r="C215" s="66" t="s">
        <v>970</v>
      </c>
    </row>
    <row r="216" spans="2:3" s="2" customFormat="1" ht="27.95" customHeight="1" x14ac:dyDescent="0.25">
      <c r="B216" s="66" t="s">
        <v>933</v>
      </c>
      <c r="C216" s="66" t="s">
        <v>960</v>
      </c>
    </row>
    <row r="217" spans="2:3" s="2" customFormat="1" ht="27.95" customHeight="1" x14ac:dyDescent="0.25">
      <c r="B217" s="66"/>
    </row>
    <row r="218" spans="2:3" s="2" customFormat="1" ht="27.95" customHeight="1" x14ac:dyDescent="0.25">
      <c r="B218" s="66"/>
    </row>
    <row r="219" spans="2:3" s="2" customFormat="1" ht="27.95" customHeight="1" x14ac:dyDescent="0.25">
      <c r="B219" s="66"/>
    </row>
    <row r="220" spans="2:3" s="2" customFormat="1" ht="27.95" customHeight="1" x14ac:dyDescent="0.25">
      <c r="B220" s="66"/>
    </row>
  </sheetData>
  <phoneticPr fontId="4" type="noConversion"/>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AB11223-2125-45D8-A391-2C5D1340D2E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Contents</vt:lpstr>
      <vt:lpstr>To-do</vt:lpstr>
      <vt:lpstr>Blueprints</vt:lpstr>
      <vt:lpstr>Commodities</vt:lpstr>
      <vt:lpstr>Shopping</vt:lpstr>
      <vt:lpstr>Exploration</vt:lpstr>
      <vt:lpstr>Materials</vt:lpstr>
      <vt:lpstr>Multi-Tools</vt:lpstr>
      <vt:lpstr>Refiner</vt:lpstr>
      <vt:lpstr>Cooking</vt:lpstr>
      <vt:lpstr>Ships</vt:lpstr>
      <vt:lpstr>Lookups</vt:lpstr>
      <vt:lpstr>iDesiredQty</vt:lpstr>
      <vt:lpstr>lsMaterials</vt:lpstr>
      <vt:lpstr>lsSystems</vt:lpstr>
      <vt:lpstr>tbMaterialsWanted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Chase</dc:creator>
  <cp:lastModifiedBy>David Chase</cp:lastModifiedBy>
  <dcterms:created xsi:type="dcterms:W3CDTF">2020-06-17T15:42:45Z</dcterms:created>
  <dcterms:modified xsi:type="dcterms:W3CDTF">2020-07-30T00:48:19Z</dcterms:modified>
</cp:coreProperties>
</file>