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9.xml" ContentType="application/vnd.openxmlformats-officedocument.spreadsheetml.table+xml"/>
  <Override PartName="/xl/queryTables/queryTable1.xml" ContentType="application/vnd.openxmlformats-officedocument.spreadsheetml.queryTable+xml"/>
  <Override PartName="/xl/tables/table10.xml" ContentType="application/vnd.openxmlformats-officedocument.spreadsheetml.table+xml"/>
  <Override PartName="/xl/queryTables/queryTable2.xml" ContentType="application/vnd.openxmlformats-officedocument.spreadsheetml.queryTable+xml"/>
  <Override PartName="/xl/tables/table11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Shared\Finances\"/>
    </mc:Choice>
  </mc:AlternateContent>
  <xr:revisionPtr revIDLastSave="0" documentId="13_ncr:1_{5664C4E3-3DAD-4124-9D4C-5D3AFC5137CF}" xr6:coauthVersionLast="47" xr6:coauthVersionMax="47" xr10:uidLastSave="{00000000-0000-0000-0000-000000000000}"/>
  <bookViews>
    <workbookView xWindow="5025" yWindow="0" windowWidth="19380" windowHeight="15585" activeTab="1" xr2:uid="{00000000-000D-0000-FFFF-FFFF00000000}"/>
  </bookViews>
  <sheets>
    <sheet name="Index" sheetId="23" r:id="rId1"/>
    <sheet name="Holdings" sheetId="2" r:id="rId2"/>
    <sheet name="USD Companies" sheetId="7" state="hidden" r:id="rId3"/>
    <sheet name="CAD Companies" sheetId="18" state="hidden" r:id="rId4"/>
    <sheet name="Journal" sheetId="6" state="hidden" r:id="rId5"/>
    <sheet name="Scratch pad" sheetId="3" r:id="rId6"/>
    <sheet name="Reports" sheetId="21" state="hidden" r:id="rId7"/>
    <sheet name="Morningstar" sheetId="9" r:id="rId8"/>
    <sheet name="Morningstar_CAD" sheetId="17" state="hidden" r:id="rId9"/>
    <sheet name="Queries" sheetId="20" state="hidden" r:id="rId10"/>
  </sheets>
  <definedNames>
    <definedName name="Canada_All__1_Export" localSheetId="8">Morningstar_CAD!$B$2:$K$336</definedName>
    <definedName name="CARESP_GainLossPct">#REF!</definedName>
    <definedName name="ColEnd">Morningstar!$L$334</definedName>
    <definedName name="ColEnd_CAD">Morningstar_CAD!$M$350</definedName>
    <definedName name="ColStart">Morningstar!$B$3</definedName>
    <definedName name="ColStart_CAD">Morningstar_CAD!$B$4</definedName>
    <definedName name="Companies_Cols">'USD Companies'!$B$4:$X$4</definedName>
    <definedName name="Companies_Cols_CAD">Companies_CAD[#Headers]</definedName>
    <definedName name="Daily_Cols">#REF!</definedName>
    <definedName name="Day_Lookup">#REF!</definedName>
    <definedName name="EFUND_AnnualApp">'Scratch pad'!#REF!</definedName>
    <definedName name="EFUND_EmergLoss">'Scratch pad'!#REF!</definedName>
    <definedName name="EFUND_EmergYear">'Scratch pad'!#REF!</definedName>
    <definedName name="EFUND_Size">'Scratch pad'!#REF!</definedName>
    <definedName name="EXACT_MATCH">'Scratch pad'!$D$22</definedName>
    <definedName name="ExternalData_1" localSheetId="9" hidden="1">Queries!$A$1:$D$205</definedName>
    <definedName name="ExternalData_2" localSheetId="9" hidden="1">Queries!$F$1:$I$7</definedName>
    <definedName name="Holdings_Cols_CAD">#REF!</definedName>
    <definedName name="Morningstar">Table4[]</definedName>
    <definedName name="Morningstar_Cols">Morningstar!$B$2:$L$2</definedName>
    <definedName name="Morningstar_Cols_CAD">Morningstar_CAD!$B$3:$AC$3</definedName>
    <definedName name="PFV_Green">'Scratch pad'!$D$18</definedName>
    <definedName name="PFV_Grn">'Scratch pad'!$D$18</definedName>
    <definedName name="PFV_Red">'Scratch pad'!$D$17</definedName>
    <definedName name="PhoneTradeFee">'Scratch pad'!$D$12</definedName>
    <definedName name="PSR_Green">'Scratch pad'!$D$20</definedName>
    <definedName name="PSR_Red">'Scratch pad'!$D$19</definedName>
    <definedName name="RatingDefault">'Scratch pad'!$D$21</definedName>
    <definedName name="Return12Mo_Grn">'Scratch pad'!$D$16</definedName>
    <definedName name="Return12Mo_Red">'Scratch pad'!$D$15</definedName>
    <definedName name="Return3Mo_Grn">'Scratch pad'!$D$14</definedName>
    <definedName name="Return3Mo_Red">'Scratch pad'!$D$13</definedName>
    <definedName name="RRSP_Principal_CAD">#REF!</definedName>
    <definedName name="SI_Interest">'Scratch pad'!#REF!</definedName>
    <definedName name="Spousal_Pmts_Remain">'Scratch pad'!#REF!</definedName>
    <definedName name="TF_AI">'Scratch pad'!#REF!</definedName>
    <definedName name="TF_AR">'Scratch pad'!#REF!</definedName>
    <definedName name="TF_POSTR">'Scratch pad'!#REF!</definedName>
    <definedName name="TF_PRETR">'Scratch pad'!#REF!</definedName>
    <definedName name="TF_TAXAPPREC">'Scratch pad'!#REF!</definedName>
    <definedName name="USD_ExRate">#REF!</definedName>
    <definedName name="USRRSP_AnnualPct">#REF!</definedName>
    <definedName name="USRRSP_GainLoss">#REF!</definedName>
    <definedName name="USRRSP_GainLossPct">#REF!</definedName>
    <definedName name="USRRSP_Principal">#REF!</definedName>
    <definedName name="USRRSP_TotalVal">#REF!</definedName>
  </definedNames>
  <calcPr calcId="191029"/>
  <pivotCaches>
    <pivotCache cacheId="0" r:id="rId11"/>
  </pivotCaches>
  <fileRecoveryPr autoRecover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GrowthCurves_b50020cc-030f-4b33-aba3-e47259728e5e" name="GrowthCurves" connection="Query - GrowthCurve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3" l="1"/>
  <c r="C38" i="2"/>
  <c r="J38" i="2"/>
  <c r="M38" i="2" s="1"/>
  <c r="N38" i="2" s="1"/>
  <c r="O38" i="2" s="1"/>
  <c r="L38" i="2"/>
  <c r="Q38" i="2"/>
  <c r="J29" i="2" l="1"/>
  <c r="C29" i="2" l="1"/>
  <c r="M29" i="2"/>
  <c r="L29" i="2"/>
  <c r="Q29" i="2"/>
  <c r="N29" i="2" l="1"/>
  <c r="O29" i="2" s="1"/>
  <c r="C32" i="2" l="1"/>
  <c r="M32" i="2"/>
  <c r="L32" i="2"/>
  <c r="Q32" i="2"/>
  <c r="C28" i="2"/>
  <c r="J28" i="2"/>
  <c r="M28" i="2" s="1"/>
  <c r="L28" i="2"/>
  <c r="Q28" i="2"/>
  <c r="N32" i="2" l="1"/>
  <c r="O32" i="2" s="1"/>
  <c r="N28" i="2"/>
  <c r="O28" i="2" s="1"/>
  <c r="C31" i="2"/>
  <c r="M31" i="2"/>
  <c r="L31" i="2"/>
  <c r="Q31" i="2"/>
  <c r="N31" i="2" l="1"/>
  <c r="O31" i="2" s="1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30" i="2"/>
  <c r="Q33" i="2"/>
  <c r="Q34" i="2"/>
  <c r="Q35" i="2"/>
  <c r="Q36" i="2"/>
  <c r="Q37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C33" i="2"/>
  <c r="M33" i="2"/>
  <c r="L33" i="2"/>
  <c r="N33" i="2" l="1"/>
  <c r="O33" i="2" s="1"/>
  <c r="C30" i="2"/>
  <c r="M30" i="2"/>
  <c r="L30" i="2"/>
  <c r="N30" i="2" l="1"/>
  <c r="O30" i="2" s="1"/>
  <c r="C26" i="2"/>
  <c r="J26" i="2"/>
  <c r="M26" i="2" s="1"/>
  <c r="L26" i="2"/>
  <c r="C34" i="2"/>
  <c r="J34" i="2"/>
  <c r="M34" i="2" s="1"/>
  <c r="L34" i="2"/>
  <c r="N26" i="2" l="1"/>
  <c r="O26" i="2" s="1"/>
  <c r="N34" i="2"/>
  <c r="O34" i="2" s="1"/>
  <c r="C35" i="2"/>
  <c r="M35" i="2"/>
  <c r="L35" i="2"/>
  <c r="N35" i="2" l="1"/>
  <c r="O35" i="2" s="1"/>
  <c r="C36" i="2"/>
  <c r="J36" i="2"/>
  <c r="M36" i="2" s="1"/>
  <c r="L36" i="2"/>
  <c r="N36" i="2" l="1"/>
  <c r="O36" i="2" s="1"/>
  <c r="C37" i="2"/>
  <c r="J37" i="2"/>
  <c r="M37" i="2" s="1"/>
  <c r="L37" i="2"/>
  <c r="N37" i="2" l="1"/>
  <c r="O37" i="2" s="1"/>
  <c r="C27" i="2"/>
  <c r="J27" i="2"/>
  <c r="M27" i="2" s="1"/>
  <c r="L27" i="2"/>
  <c r="N27" i="2" l="1"/>
  <c r="O27" i="2" s="1"/>
  <c r="C40" i="2"/>
  <c r="M40" i="2"/>
  <c r="L40" i="2"/>
  <c r="E8" i="3"/>
  <c r="N40" i="2" l="1"/>
  <c r="O40" i="2" s="1"/>
  <c r="C41" i="2"/>
  <c r="J41" i="2"/>
  <c r="M41" i="2" s="1"/>
  <c r="L41" i="2"/>
  <c r="N41" i="2" l="1"/>
  <c r="O41" i="2" s="1"/>
  <c r="C39" i="2"/>
  <c r="J39" i="2"/>
  <c r="M39" i="2" s="1"/>
  <c r="L39" i="2"/>
  <c r="N39" i="2" l="1"/>
  <c r="O39" i="2" s="1"/>
  <c r="C25" i="2"/>
  <c r="M25" i="2"/>
  <c r="L25" i="2"/>
  <c r="N25" i="2" l="1"/>
  <c r="O25" i="2" s="1"/>
  <c r="C42" i="2"/>
  <c r="J42" i="2"/>
  <c r="M42" i="2" s="1"/>
  <c r="L42" i="2"/>
  <c r="N42" i="2" l="1"/>
  <c r="O42" i="2" s="1"/>
  <c r="C45" i="2"/>
  <c r="J45" i="2"/>
  <c r="M45" i="2" s="1"/>
  <c r="L45" i="2"/>
  <c r="N45" i="2" l="1"/>
  <c r="O45" i="2" s="1"/>
  <c r="C44" i="2" l="1"/>
  <c r="J44" i="2"/>
  <c r="M44" i="2" s="1"/>
  <c r="L44" i="2"/>
  <c r="C43" i="2"/>
  <c r="J43" i="2"/>
  <c r="M43" i="2" s="1"/>
  <c r="L43" i="2"/>
  <c r="N44" i="2" l="1"/>
  <c r="O44" i="2" s="1"/>
  <c r="N43" i="2"/>
  <c r="O43" i="2" s="1"/>
  <c r="C46" i="2"/>
  <c r="M46" i="2"/>
  <c r="L46" i="2"/>
  <c r="N46" i="2" l="1"/>
  <c r="O46" i="2" s="1"/>
  <c r="C47" i="2"/>
  <c r="M47" i="2"/>
  <c r="L47" i="2"/>
  <c r="N47" i="2" l="1"/>
  <c r="O47" i="2" s="1"/>
  <c r="C24" i="2"/>
  <c r="J24" i="2"/>
  <c r="M24" i="2" s="1"/>
  <c r="L24" i="2"/>
  <c r="N24" i="2" l="1"/>
  <c r="O24" i="2" s="1"/>
  <c r="C23" i="2"/>
  <c r="J23" i="2"/>
  <c r="M23" i="2" s="1"/>
  <c r="L23" i="2"/>
  <c r="N23" i="2" l="1"/>
  <c r="O23" i="2" s="1"/>
  <c r="C22" i="2"/>
  <c r="M22" i="2"/>
  <c r="L22" i="2"/>
  <c r="N22" i="2" l="1"/>
  <c r="O22" i="2" s="1"/>
  <c r="C11" i="2" l="1"/>
  <c r="J11" i="2"/>
  <c r="M11" i="2" s="1"/>
  <c r="L11" i="2"/>
  <c r="N11" i="2" l="1"/>
  <c r="O11" i="2" s="1"/>
  <c r="C10" i="2" l="1"/>
  <c r="J10" i="2"/>
  <c r="M10" i="2" s="1"/>
  <c r="L10" i="2"/>
  <c r="N10" i="2" l="1"/>
  <c r="O10" i="2" s="1"/>
  <c r="C320" i="7"/>
  <c r="D320" i="7"/>
  <c r="E320" i="7"/>
  <c r="F320" i="7"/>
  <c r="G320" i="7"/>
  <c r="O320" i="7" s="1"/>
  <c r="H320" i="7"/>
  <c r="Q320" i="7" s="1"/>
  <c r="I320" i="7"/>
  <c r="P320" i="7" s="1"/>
  <c r="J320" i="7"/>
  <c r="K320" i="7"/>
  <c r="N320" i="7" s="1"/>
  <c r="C199" i="7"/>
  <c r="D199" i="7"/>
  <c r="E199" i="7"/>
  <c r="F199" i="7"/>
  <c r="G199" i="7"/>
  <c r="O199" i="7" s="1"/>
  <c r="H199" i="7"/>
  <c r="Q199" i="7" s="1"/>
  <c r="I199" i="7"/>
  <c r="P199" i="7" s="1"/>
  <c r="J199" i="7"/>
  <c r="K199" i="7"/>
  <c r="N199" i="7" s="1"/>
  <c r="C105" i="7"/>
  <c r="D105" i="7"/>
  <c r="E105" i="7"/>
  <c r="F105" i="7"/>
  <c r="G105" i="7"/>
  <c r="O105" i="7" s="1"/>
  <c r="H105" i="7"/>
  <c r="Q105" i="7" s="1"/>
  <c r="I105" i="7"/>
  <c r="P105" i="7" s="1"/>
  <c r="J105" i="7"/>
  <c r="K105" i="7"/>
  <c r="N105" i="7" s="1"/>
  <c r="L320" i="7" l="1"/>
  <c r="L105" i="7"/>
  <c r="L199" i="7"/>
  <c r="G48" i="2"/>
  <c r="I5" i="7" l="1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P41" i="7" s="1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P61" i="7" s="1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P95" i="7" s="1"/>
  <c r="I96" i="7"/>
  <c r="I97" i="7"/>
  <c r="I98" i="7"/>
  <c r="I99" i="7"/>
  <c r="I100" i="7"/>
  <c r="I101" i="7"/>
  <c r="I102" i="7"/>
  <c r="I103" i="7"/>
  <c r="I104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P188" i="7" s="1"/>
  <c r="I189" i="7"/>
  <c r="I190" i="7"/>
  <c r="I191" i="7"/>
  <c r="I192" i="7"/>
  <c r="I193" i="7"/>
  <c r="I194" i="7"/>
  <c r="I195" i="7"/>
  <c r="I196" i="7"/>
  <c r="I197" i="7"/>
  <c r="I198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P247" i="7" s="1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1" i="7"/>
  <c r="I322" i="7"/>
  <c r="I323" i="7"/>
  <c r="I324" i="7"/>
  <c r="I325" i="7"/>
  <c r="I326" i="7"/>
  <c r="I327" i="7"/>
  <c r="I328" i="7"/>
  <c r="P328" i="7" s="1"/>
  <c r="I329" i="7"/>
  <c r="I330" i="7"/>
  <c r="C324" i="7"/>
  <c r="C323" i="7"/>
  <c r="C322" i="7"/>
  <c r="C321" i="7"/>
  <c r="C319" i="7"/>
  <c r="C318" i="7"/>
  <c r="C317" i="7"/>
  <c r="C316" i="7"/>
  <c r="C315" i="7"/>
  <c r="C314" i="7"/>
  <c r="C313" i="7"/>
  <c r="C312" i="7"/>
  <c r="C311" i="7"/>
  <c r="C310" i="7"/>
  <c r="C309" i="7"/>
  <c r="C308" i="7"/>
  <c r="C307" i="7"/>
  <c r="C306" i="7"/>
  <c r="C305" i="7"/>
  <c r="C304" i="7"/>
  <c r="C303" i="7"/>
  <c r="C302" i="7"/>
  <c r="C301" i="7"/>
  <c r="C300" i="7"/>
  <c r="C299" i="7"/>
  <c r="C298" i="7"/>
  <c r="C297" i="7"/>
  <c r="C296" i="7"/>
  <c r="C295" i="7"/>
  <c r="C294" i="7"/>
  <c r="C293" i="7"/>
  <c r="C292" i="7"/>
  <c r="C291" i="7"/>
  <c r="C290" i="7"/>
  <c r="C289" i="7"/>
  <c r="C288" i="7"/>
  <c r="C287" i="7"/>
  <c r="C286" i="7"/>
  <c r="C285" i="7"/>
  <c r="C284" i="7"/>
  <c r="C283" i="7"/>
  <c r="C282" i="7"/>
  <c r="C281" i="7"/>
  <c r="C280" i="7"/>
  <c r="C279" i="7"/>
  <c r="C278" i="7"/>
  <c r="C277" i="7"/>
  <c r="C276" i="7"/>
  <c r="C275" i="7"/>
  <c r="C274" i="7"/>
  <c r="C273" i="7"/>
  <c r="C272" i="7"/>
  <c r="C271" i="7"/>
  <c r="C270" i="7"/>
  <c r="C269" i="7"/>
  <c r="C268" i="7"/>
  <c r="C267" i="7"/>
  <c r="C266" i="7"/>
  <c r="C265" i="7"/>
  <c r="C264" i="7"/>
  <c r="C263" i="7"/>
  <c r="C262" i="7"/>
  <c r="C261" i="7"/>
  <c r="C260" i="7"/>
  <c r="C259" i="7"/>
  <c r="C258" i="7"/>
  <c r="C257" i="7"/>
  <c r="C256" i="7"/>
  <c r="C255" i="7"/>
  <c r="C254" i="7"/>
  <c r="C253" i="7"/>
  <c r="C252" i="7"/>
  <c r="C251" i="7"/>
  <c r="C250" i="7"/>
  <c r="C249" i="7"/>
  <c r="C248" i="7"/>
  <c r="C247" i="7"/>
  <c r="C246" i="7"/>
  <c r="C245" i="7"/>
  <c r="C244" i="7"/>
  <c r="C243" i="7"/>
  <c r="C242" i="7"/>
  <c r="C241" i="7"/>
  <c r="C240" i="7"/>
  <c r="C239" i="7"/>
  <c r="C238" i="7"/>
  <c r="C237" i="7"/>
  <c r="C236" i="7"/>
  <c r="C235" i="7"/>
  <c r="C234" i="7"/>
  <c r="C233" i="7"/>
  <c r="C232" i="7"/>
  <c r="C231" i="7"/>
  <c r="C230" i="7"/>
  <c r="C229" i="7"/>
  <c r="C228" i="7"/>
  <c r="C227" i="7"/>
  <c r="C226" i="7"/>
  <c r="C225" i="7"/>
  <c r="C224" i="7"/>
  <c r="C223" i="7"/>
  <c r="C222" i="7"/>
  <c r="C221" i="7"/>
  <c r="C220" i="7"/>
  <c r="C219" i="7"/>
  <c r="C218" i="7"/>
  <c r="C217" i="7"/>
  <c r="C216" i="7"/>
  <c r="C215" i="7"/>
  <c r="C214" i="7"/>
  <c r="C213" i="7"/>
  <c r="C212" i="7"/>
  <c r="C211" i="7"/>
  <c r="C210" i="7"/>
  <c r="C209" i="7"/>
  <c r="C208" i="7"/>
  <c r="C207" i="7"/>
  <c r="C206" i="7"/>
  <c r="C205" i="7"/>
  <c r="C204" i="7"/>
  <c r="C203" i="7"/>
  <c r="C202" i="7"/>
  <c r="C201" i="7"/>
  <c r="C200" i="7"/>
  <c r="C198" i="7"/>
  <c r="C197" i="7"/>
  <c r="C196" i="7"/>
  <c r="C195" i="7"/>
  <c r="C194" i="7"/>
  <c r="C193" i="7"/>
  <c r="C192" i="7"/>
  <c r="C191" i="7"/>
  <c r="C190" i="7"/>
  <c r="C189" i="7"/>
  <c r="C188" i="7"/>
  <c r="C187" i="7"/>
  <c r="C186" i="7"/>
  <c r="C185" i="7"/>
  <c r="C184" i="7"/>
  <c r="C183" i="7"/>
  <c r="C182" i="7"/>
  <c r="C181" i="7"/>
  <c r="C180" i="7"/>
  <c r="C179" i="7"/>
  <c r="C178" i="7"/>
  <c r="C177" i="7"/>
  <c r="C176" i="7"/>
  <c r="C175" i="7"/>
  <c r="C174" i="7"/>
  <c r="C173" i="7"/>
  <c r="C172" i="7"/>
  <c r="C171" i="7"/>
  <c r="C170" i="7"/>
  <c r="C169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330" i="7"/>
  <c r="C329" i="7"/>
  <c r="C328" i="7"/>
  <c r="C327" i="7"/>
  <c r="C326" i="7"/>
  <c r="C325" i="7"/>
  <c r="D328" i="7"/>
  <c r="E328" i="7"/>
  <c r="F328" i="7"/>
  <c r="G328" i="7"/>
  <c r="O328" i="7" s="1"/>
  <c r="H328" i="7"/>
  <c r="Q328" i="7" s="1"/>
  <c r="J328" i="7"/>
  <c r="K328" i="7"/>
  <c r="N328" i="7" s="1"/>
  <c r="D41" i="7"/>
  <c r="E41" i="7"/>
  <c r="F41" i="7"/>
  <c r="G41" i="7"/>
  <c r="O41" i="7" s="1"/>
  <c r="H41" i="7"/>
  <c r="Q41" i="7" s="1"/>
  <c r="J41" i="7"/>
  <c r="K41" i="7"/>
  <c r="N41" i="7" s="1"/>
  <c r="D61" i="7"/>
  <c r="E61" i="7"/>
  <c r="F61" i="7"/>
  <c r="G61" i="7"/>
  <c r="O61" i="7" s="1"/>
  <c r="H61" i="7"/>
  <c r="Q61" i="7" s="1"/>
  <c r="J61" i="7"/>
  <c r="K61" i="7"/>
  <c r="N61" i="7" s="1"/>
  <c r="D95" i="7"/>
  <c r="E95" i="7"/>
  <c r="F95" i="7"/>
  <c r="G95" i="7"/>
  <c r="O95" i="7" s="1"/>
  <c r="H95" i="7"/>
  <c r="Q95" i="7" s="1"/>
  <c r="J95" i="7"/>
  <c r="K95" i="7"/>
  <c r="N95" i="7" s="1"/>
  <c r="D188" i="7"/>
  <c r="E188" i="7"/>
  <c r="F188" i="7"/>
  <c r="G188" i="7"/>
  <c r="O188" i="7" s="1"/>
  <c r="H188" i="7"/>
  <c r="Q188" i="7" s="1"/>
  <c r="J188" i="7"/>
  <c r="K188" i="7"/>
  <c r="N188" i="7" s="1"/>
  <c r="D215" i="7"/>
  <c r="E215" i="7"/>
  <c r="F215" i="7"/>
  <c r="G215" i="7"/>
  <c r="O215" i="7" s="1"/>
  <c r="H215" i="7"/>
  <c r="Q215" i="7" s="1"/>
  <c r="P215" i="7"/>
  <c r="J215" i="7"/>
  <c r="K215" i="7"/>
  <c r="N215" i="7" s="1"/>
  <c r="D247" i="7"/>
  <c r="E247" i="7"/>
  <c r="F247" i="7"/>
  <c r="G247" i="7"/>
  <c r="O247" i="7" s="1"/>
  <c r="H247" i="7"/>
  <c r="Q247" i="7" s="1"/>
  <c r="J247" i="7"/>
  <c r="K247" i="7"/>
  <c r="N247" i="7" s="1"/>
  <c r="L328" i="7" l="1"/>
  <c r="L247" i="7"/>
  <c r="L188" i="7"/>
  <c r="L95" i="7"/>
  <c r="L41" i="7"/>
  <c r="L61" i="7"/>
  <c r="L215" i="7"/>
  <c r="K165" i="7"/>
  <c r="N165" i="7" s="1"/>
  <c r="D165" i="7"/>
  <c r="E165" i="7"/>
  <c r="F165" i="7"/>
  <c r="G165" i="7"/>
  <c r="O165" i="7" s="1"/>
  <c r="H165" i="7"/>
  <c r="Q165" i="7" s="1"/>
  <c r="P165" i="7"/>
  <c r="J165" i="7"/>
  <c r="L165" i="7" l="1"/>
  <c r="C14" i="2"/>
  <c r="J14" i="2"/>
  <c r="M14" i="2" s="1"/>
  <c r="L14" i="2"/>
  <c r="N14" i="2" l="1"/>
  <c r="O14" i="2" s="1"/>
  <c r="C13" i="2"/>
  <c r="J13" i="2"/>
  <c r="M13" i="2" s="1"/>
  <c r="N13" i="2" s="1"/>
  <c r="O13" i="2" s="1"/>
  <c r="L13" i="2"/>
  <c r="C12" i="2" l="1"/>
  <c r="J12" i="2"/>
  <c r="M12" i="2" s="1"/>
  <c r="L12" i="2"/>
  <c r="C9" i="2"/>
  <c r="J9" i="2"/>
  <c r="M9" i="2" s="1"/>
  <c r="L9" i="2"/>
  <c r="N12" i="2" l="1"/>
  <c r="O12" i="2" s="1"/>
  <c r="N9" i="2"/>
  <c r="O9" i="2" s="1"/>
  <c r="M5" i="2"/>
  <c r="M7" i="2"/>
  <c r="M17" i="2"/>
  <c r="M18" i="2"/>
  <c r="M19" i="2"/>
  <c r="M20" i="2"/>
  <c r="M21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3" i="2"/>
  <c r="M84" i="2"/>
  <c r="M85" i="2"/>
  <c r="M86" i="2"/>
  <c r="M87" i="2"/>
  <c r="M88" i="2"/>
  <c r="M89" i="2"/>
  <c r="M90" i="2"/>
  <c r="M91" i="2"/>
  <c r="M93" i="2"/>
  <c r="M94" i="2"/>
  <c r="M95" i="2"/>
  <c r="M96" i="2"/>
  <c r="M97" i="2"/>
  <c r="M98" i="2"/>
  <c r="M99" i="2"/>
  <c r="K171" i="7" l="1"/>
  <c r="N171" i="7" s="1"/>
  <c r="J171" i="7"/>
  <c r="P171" i="7"/>
  <c r="H171" i="7"/>
  <c r="Q171" i="7" s="1"/>
  <c r="G171" i="7"/>
  <c r="O171" i="7" s="1"/>
  <c r="F171" i="7"/>
  <c r="E171" i="7"/>
  <c r="D171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6" i="7"/>
  <c r="D97" i="7"/>
  <c r="D98" i="7"/>
  <c r="D99" i="7"/>
  <c r="D100" i="7"/>
  <c r="D101" i="7"/>
  <c r="D102" i="7"/>
  <c r="D103" i="7"/>
  <c r="D104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6" i="7"/>
  <c r="D167" i="7"/>
  <c r="D168" i="7"/>
  <c r="D169" i="7"/>
  <c r="D170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9" i="7"/>
  <c r="D190" i="7"/>
  <c r="D191" i="7"/>
  <c r="D192" i="7"/>
  <c r="D193" i="7"/>
  <c r="D194" i="7"/>
  <c r="D195" i="7"/>
  <c r="D196" i="7"/>
  <c r="D197" i="7"/>
  <c r="D198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1" i="7"/>
  <c r="D322" i="7"/>
  <c r="D323" i="7"/>
  <c r="D324" i="7"/>
  <c r="D325" i="7"/>
  <c r="D326" i="7"/>
  <c r="D327" i="7"/>
  <c r="D329" i="7"/>
  <c r="D330" i="7"/>
  <c r="D6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6" i="7"/>
  <c r="H97" i="7"/>
  <c r="H98" i="7"/>
  <c r="H99" i="7"/>
  <c r="H100" i="7"/>
  <c r="H101" i="7"/>
  <c r="H102" i="7"/>
  <c r="H103" i="7"/>
  <c r="H104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6" i="7"/>
  <c r="H167" i="7"/>
  <c r="H168" i="7"/>
  <c r="H169" i="7"/>
  <c r="H170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9" i="7"/>
  <c r="H190" i="7"/>
  <c r="H191" i="7"/>
  <c r="H192" i="7"/>
  <c r="H193" i="7"/>
  <c r="H194" i="7"/>
  <c r="H195" i="7"/>
  <c r="H196" i="7"/>
  <c r="H197" i="7"/>
  <c r="H198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38" i="7"/>
  <c r="H239" i="7"/>
  <c r="H240" i="7"/>
  <c r="H241" i="7"/>
  <c r="H242" i="7"/>
  <c r="H243" i="7"/>
  <c r="H244" i="7"/>
  <c r="H245" i="7"/>
  <c r="H246" i="7"/>
  <c r="H248" i="7"/>
  <c r="H249" i="7"/>
  <c r="H250" i="7"/>
  <c r="H251" i="7"/>
  <c r="H252" i="7"/>
  <c r="H253" i="7"/>
  <c r="H254" i="7"/>
  <c r="H255" i="7"/>
  <c r="H256" i="7"/>
  <c r="H257" i="7"/>
  <c r="H258" i="7"/>
  <c r="H259" i="7"/>
  <c r="H260" i="7"/>
  <c r="H261" i="7"/>
  <c r="H262" i="7"/>
  <c r="H263" i="7"/>
  <c r="H264" i="7"/>
  <c r="H265" i="7"/>
  <c r="H266" i="7"/>
  <c r="H267" i="7"/>
  <c r="H268" i="7"/>
  <c r="H269" i="7"/>
  <c r="H270" i="7"/>
  <c r="H271" i="7"/>
  <c r="H272" i="7"/>
  <c r="H273" i="7"/>
  <c r="H274" i="7"/>
  <c r="H275" i="7"/>
  <c r="H276" i="7"/>
  <c r="H277" i="7"/>
  <c r="H278" i="7"/>
  <c r="H279" i="7"/>
  <c r="H280" i="7"/>
  <c r="H281" i="7"/>
  <c r="H282" i="7"/>
  <c r="H283" i="7"/>
  <c r="H284" i="7"/>
  <c r="H285" i="7"/>
  <c r="H286" i="7"/>
  <c r="H287" i="7"/>
  <c r="H288" i="7"/>
  <c r="H289" i="7"/>
  <c r="H290" i="7"/>
  <c r="H291" i="7"/>
  <c r="H292" i="7"/>
  <c r="H293" i="7"/>
  <c r="H294" i="7"/>
  <c r="H295" i="7"/>
  <c r="H296" i="7"/>
  <c r="H297" i="7"/>
  <c r="H298" i="7"/>
  <c r="H299" i="7"/>
  <c r="H300" i="7"/>
  <c r="H301" i="7"/>
  <c r="H302" i="7"/>
  <c r="H303" i="7"/>
  <c r="H304" i="7"/>
  <c r="H305" i="7"/>
  <c r="H306" i="7"/>
  <c r="H307" i="7"/>
  <c r="H308" i="7"/>
  <c r="H309" i="7"/>
  <c r="H310" i="7"/>
  <c r="H311" i="7"/>
  <c r="H312" i="7"/>
  <c r="H313" i="7"/>
  <c r="H314" i="7"/>
  <c r="H315" i="7"/>
  <c r="H316" i="7"/>
  <c r="H317" i="7"/>
  <c r="H318" i="7"/>
  <c r="H319" i="7"/>
  <c r="H321" i="7"/>
  <c r="H322" i="7"/>
  <c r="H323" i="7"/>
  <c r="H324" i="7"/>
  <c r="H325" i="7"/>
  <c r="H326" i="7"/>
  <c r="H327" i="7"/>
  <c r="H329" i="7"/>
  <c r="H330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6" i="7"/>
  <c r="G97" i="7"/>
  <c r="G98" i="7"/>
  <c r="G99" i="7"/>
  <c r="G100" i="7"/>
  <c r="G101" i="7"/>
  <c r="G102" i="7"/>
  <c r="G103" i="7"/>
  <c r="G104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6" i="7"/>
  <c r="G167" i="7"/>
  <c r="G168" i="7"/>
  <c r="G169" i="7"/>
  <c r="G170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9" i="7"/>
  <c r="G190" i="7"/>
  <c r="G191" i="7"/>
  <c r="G192" i="7"/>
  <c r="G193" i="7"/>
  <c r="G194" i="7"/>
  <c r="G195" i="7"/>
  <c r="G196" i="7"/>
  <c r="G197" i="7"/>
  <c r="G198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1" i="7"/>
  <c r="G322" i="7"/>
  <c r="G323" i="7"/>
  <c r="G324" i="7"/>
  <c r="G325" i="7"/>
  <c r="G326" i="7"/>
  <c r="G327" i="7"/>
  <c r="G329" i="7"/>
  <c r="G330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6" i="7"/>
  <c r="J97" i="7"/>
  <c r="J98" i="7"/>
  <c r="J99" i="7"/>
  <c r="J100" i="7"/>
  <c r="J101" i="7"/>
  <c r="J102" i="7"/>
  <c r="J103" i="7"/>
  <c r="J104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6" i="7"/>
  <c r="J167" i="7"/>
  <c r="J168" i="7"/>
  <c r="J169" i="7"/>
  <c r="J170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9" i="7"/>
  <c r="J190" i="7"/>
  <c r="J191" i="7"/>
  <c r="J192" i="7"/>
  <c r="J193" i="7"/>
  <c r="J194" i="7"/>
  <c r="J195" i="7"/>
  <c r="J196" i="7"/>
  <c r="J197" i="7"/>
  <c r="J198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8" i="7"/>
  <c r="J249" i="7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1" i="7"/>
  <c r="J322" i="7"/>
  <c r="J323" i="7"/>
  <c r="J324" i="7"/>
  <c r="J325" i="7"/>
  <c r="J326" i="7"/>
  <c r="J327" i="7"/>
  <c r="J329" i="7"/>
  <c r="J330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6" i="7"/>
  <c r="F97" i="7"/>
  <c r="F98" i="7"/>
  <c r="F99" i="7"/>
  <c r="F100" i="7"/>
  <c r="F101" i="7"/>
  <c r="F102" i="7"/>
  <c r="F103" i="7"/>
  <c r="F104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6" i="7"/>
  <c r="F167" i="7"/>
  <c r="F168" i="7"/>
  <c r="F169" i="7"/>
  <c r="F170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9" i="7"/>
  <c r="F190" i="7"/>
  <c r="F191" i="7"/>
  <c r="F192" i="7"/>
  <c r="F193" i="7"/>
  <c r="F194" i="7"/>
  <c r="F195" i="7"/>
  <c r="F196" i="7"/>
  <c r="F197" i="7"/>
  <c r="F198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1" i="7"/>
  <c r="F322" i="7"/>
  <c r="F323" i="7"/>
  <c r="F324" i="7"/>
  <c r="F325" i="7"/>
  <c r="F326" i="7"/>
  <c r="F327" i="7"/>
  <c r="F329" i="7"/>
  <c r="F330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6" i="7"/>
  <c r="E97" i="7"/>
  <c r="E98" i="7"/>
  <c r="E99" i="7"/>
  <c r="E100" i="7"/>
  <c r="E101" i="7"/>
  <c r="E102" i="7"/>
  <c r="E103" i="7"/>
  <c r="E104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6" i="7"/>
  <c r="E167" i="7"/>
  <c r="E168" i="7"/>
  <c r="E169" i="7"/>
  <c r="E170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9" i="7"/>
  <c r="E190" i="7"/>
  <c r="E191" i="7"/>
  <c r="E192" i="7"/>
  <c r="E193" i="7"/>
  <c r="E194" i="7"/>
  <c r="E195" i="7"/>
  <c r="E196" i="7"/>
  <c r="E197" i="7"/>
  <c r="E198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1" i="7"/>
  <c r="E322" i="7"/>
  <c r="E323" i="7"/>
  <c r="E324" i="7"/>
  <c r="E325" i="7"/>
  <c r="E326" i="7"/>
  <c r="E327" i="7"/>
  <c r="E329" i="7"/>
  <c r="E330" i="7"/>
  <c r="D5" i="7"/>
  <c r="L18" i="2"/>
  <c r="N18" i="2" s="1"/>
  <c r="O18" i="2" s="1"/>
  <c r="J18" i="2"/>
  <c r="C18" i="2"/>
  <c r="C16" i="2"/>
  <c r="J16" i="2"/>
  <c r="M16" i="2" s="1"/>
  <c r="L16" i="2"/>
  <c r="C15" i="2"/>
  <c r="J15" i="2"/>
  <c r="M15" i="2" s="1"/>
  <c r="L15" i="2"/>
  <c r="C17" i="2"/>
  <c r="J17" i="2"/>
  <c r="L17" i="2"/>
  <c r="L171" i="7" l="1"/>
  <c r="N16" i="2"/>
  <c r="O16" i="2" s="1"/>
  <c r="N15" i="2"/>
  <c r="O15" i="2" s="1"/>
  <c r="N17" i="2"/>
  <c r="O17" i="2" s="1"/>
  <c r="C8" i="2"/>
  <c r="J8" i="2"/>
  <c r="M8" i="2" s="1"/>
  <c r="L8" i="2"/>
  <c r="C7" i="2"/>
  <c r="J7" i="2"/>
  <c r="L7" i="2"/>
  <c r="N8" i="2" l="1"/>
  <c r="O8" i="2" s="1"/>
  <c r="N7" i="2"/>
  <c r="O7" i="2" s="1"/>
  <c r="C50" i="2"/>
  <c r="J50" i="2"/>
  <c r="L50" i="2"/>
  <c r="N50" i="2" l="1"/>
  <c r="O50" i="2" s="1"/>
  <c r="C5" i="2"/>
  <c r="J5" i="2"/>
  <c r="L5" i="2"/>
  <c r="C6" i="2"/>
  <c r="J6" i="2"/>
  <c r="M6" i="2" s="1"/>
  <c r="L6" i="2"/>
  <c r="N5" i="2" l="1"/>
  <c r="O5" i="2" s="1"/>
  <c r="N6" i="2"/>
  <c r="O6" i="2" s="1"/>
  <c r="C19" i="2"/>
  <c r="J19" i="2"/>
  <c r="L19" i="2"/>
  <c r="N19" i="2" l="1"/>
  <c r="O19" i="2" s="1"/>
  <c r="C48" i="2"/>
  <c r="J48" i="2"/>
  <c r="M48" i="2" s="1"/>
  <c r="L48" i="2"/>
  <c r="C21" i="2"/>
  <c r="J21" i="2"/>
  <c r="L21" i="2"/>
  <c r="C20" i="2"/>
  <c r="J20" i="2"/>
  <c r="L20" i="2"/>
  <c r="N20" i="2" l="1"/>
  <c r="O20" i="2" s="1"/>
  <c r="N48" i="2"/>
  <c r="O48" i="2" s="1"/>
  <c r="N21" i="2"/>
  <c r="O21" i="2" s="1"/>
  <c r="C49" i="2"/>
  <c r="J49" i="2"/>
  <c r="L49" i="2"/>
  <c r="N49" i="2" l="1"/>
  <c r="O49" i="2" s="1"/>
  <c r="C51" i="2"/>
  <c r="J51" i="2"/>
  <c r="L51" i="2"/>
  <c r="N51" i="2" l="1"/>
  <c r="O51" i="2" s="1"/>
  <c r="C52" i="2"/>
  <c r="J52" i="2"/>
  <c r="L52" i="2"/>
  <c r="N52" i="2" l="1"/>
  <c r="O52" i="2" s="1"/>
  <c r="C53" i="2" l="1"/>
  <c r="J53" i="2"/>
  <c r="L53" i="2"/>
  <c r="N53" i="2" l="1"/>
  <c r="O53" i="2" s="1"/>
  <c r="C54" i="2"/>
  <c r="J54" i="2"/>
  <c r="L54" i="2"/>
  <c r="N54" i="2" l="1"/>
  <c r="O54" i="2" s="1"/>
  <c r="C56" i="2"/>
  <c r="J56" i="2"/>
  <c r="L56" i="2"/>
  <c r="C55" i="2"/>
  <c r="J55" i="2"/>
  <c r="L55" i="2"/>
  <c r="N56" i="2" l="1"/>
  <c r="O56" i="2" s="1"/>
  <c r="N55" i="2"/>
  <c r="O55" i="2" s="1"/>
  <c r="C57" i="2" l="1"/>
  <c r="J57" i="2"/>
  <c r="L57" i="2"/>
  <c r="N57" i="2" l="1"/>
  <c r="O57" i="2" s="1"/>
  <c r="C58" i="2"/>
  <c r="J58" i="2"/>
  <c r="L58" i="2"/>
  <c r="N58" i="2" l="1"/>
  <c r="O58" i="2" s="1"/>
  <c r="C59" i="2" l="1"/>
  <c r="J59" i="2"/>
  <c r="L59" i="2"/>
  <c r="N59" i="2" l="1"/>
  <c r="O59" i="2" s="1"/>
  <c r="C60" i="2"/>
  <c r="J60" i="2"/>
  <c r="L60" i="2"/>
  <c r="N60" i="2" l="1"/>
  <c r="O60" i="2" s="1"/>
  <c r="C61" i="2" l="1"/>
  <c r="J61" i="2"/>
  <c r="L61" i="2"/>
  <c r="N61" i="2" l="1"/>
  <c r="O61" i="2" s="1"/>
  <c r="C62" i="2"/>
  <c r="J62" i="2"/>
  <c r="L62" i="2"/>
  <c r="N62" i="2" l="1"/>
  <c r="O62" i="2" s="1"/>
  <c r="H5" i="3"/>
  <c r="C63" i="2" l="1"/>
  <c r="J63" i="2"/>
  <c r="L63" i="2"/>
  <c r="N63" i="2" l="1"/>
  <c r="O63" i="2" s="1"/>
  <c r="C64" i="2"/>
  <c r="J64" i="2"/>
  <c r="L64" i="2"/>
  <c r="C65" i="2"/>
  <c r="J65" i="2"/>
  <c r="L65" i="2"/>
  <c r="N64" i="2" l="1"/>
  <c r="O64" i="2" s="1"/>
  <c r="N65" i="2"/>
  <c r="O65" i="2" s="1"/>
  <c r="C66" i="2"/>
  <c r="J66" i="2"/>
  <c r="L66" i="2"/>
  <c r="N66" i="2" l="1"/>
  <c r="O66" i="2" s="1"/>
  <c r="C67" i="2"/>
  <c r="J67" i="2"/>
  <c r="L67" i="2"/>
  <c r="N67" i="2" l="1"/>
  <c r="O67" i="2" s="1"/>
  <c r="C68" i="2" l="1"/>
  <c r="J68" i="2"/>
  <c r="L68" i="2"/>
  <c r="N68" i="2" l="1"/>
  <c r="O68" i="2" s="1"/>
  <c r="C70" i="2"/>
  <c r="J70" i="2"/>
  <c r="L70" i="2"/>
  <c r="C69" i="2"/>
  <c r="J69" i="2"/>
  <c r="L69" i="2"/>
  <c r="N70" i="2" l="1"/>
  <c r="O70" i="2" s="1"/>
  <c r="N69" i="2"/>
  <c r="O69" i="2" s="1"/>
  <c r="J72" i="2"/>
  <c r="L72" i="2"/>
  <c r="J71" i="2"/>
  <c r="L71" i="2"/>
  <c r="N72" i="2" l="1"/>
  <c r="O72" i="2" s="1"/>
  <c r="N71" i="2"/>
  <c r="O71" i="2" s="1"/>
  <c r="C73" i="2"/>
  <c r="J73" i="2"/>
  <c r="L73" i="2"/>
  <c r="N73" i="2" l="1"/>
  <c r="O73" i="2" s="1"/>
  <c r="C75" i="2"/>
  <c r="J75" i="2"/>
  <c r="L75" i="2"/>
  <c r="N75" i="2" l="1"/>
  <c r="O75" i="2" s="1"/>
  <c r="C77" i="2"/>
  <c r="J77" i="2"/>
  <c r="L77" i="2"/>
  <c r="C74" i="2"/>
  <c r="C76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L74" i="2"/>
  <c r="L76" i="2"/>
  <c r="L78" i="2"/>
  <c r="L79" i="2"/>
  <c r="L80" i="2"/>
  <c r="L81" i="2"/>
  <c r="L83" i="2"/>
  <c r="L84" i="2"/>
  <c r="L85" i="2"/>
  <c r="L86" i="2"/>
  <c r="L87" i="2"/>
  <c r="L88" i="2"/>
  <c r="L89" i="2"/>
  <c r="L90" i="2"/>
  <c r="L91" i="2"/>
  <c r="L93" i="2"/>
  <c r="L94" i="2"/>
  <c r="L95" i="2"/>
  <c r="L96" i="2"/>
  <c r="L97" i="2"/>
  <c r="L98" i="2"/>
  <c r="L99" i="2"/>
  <c r="J74" i="2"/>
  <c r="J76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N91" i="2" l="1"/>
  <c r="O91" i="2" s="1"/>
  <c r="N83" i="2"/>
  <c r="O83" i="2" s="1"/>
  <c r="N99" i="2"/>
  <c r="O99" i="2" s="1"/>
  <c r="N90" i="2"/>
  <c r="O90" i="2" s="1"/>
  <c r="N81" i="2"/>
  <c r="O81" i="2" s="1"/>
  <c r="N98" i="2"/>
  <c r="O98" i="2" s="1"/>
  <c r="N89" i="2"/>
  <c r="O89" i="2" s="1"/>
  <c r="N80" i="2"/>
  <c r="O80" i="2" s="1"/>
  <c r="N77" i="2"/>
  <c r="O77" i="2" s="1"/>
  <c r="N97" i="2"/>
  <c r="O97" i="2" s="1"/>
  <c r="N88" i="2"/>
  <c r="O88" i="2" s="1"/>
  <c r="N79" i="2"/>
  <c r="O79" i="2" s="1"/>
  <c r="N76" i="2"/>
  <c r="O76" i="2" s="1"/>
  <c r="N96" i="2"/>
  <c r="O96" i="2" s="1"/>
  <c r="N87" i="2"/>
  <c r="O87" i="2" s="1"/>
  <c r="N74" i="2"/>
  <c r="O74" i="2" s="1"/>
  <c r="N95" i="2"/>
  <c r="O95" i="2" s="1"/>
  <c r="N85" i="2"/>
  <c r="O85" i="2" s="1"/>
  <c r="N93" i="2"/>
  <c r="O93" i="2" s="1"/>
  <c r="N84" i="2"/>
  <c r="O84" i="2" s="1"/>
  <c r="N94" i="2"/>
  <c r="O94" i="2" s="1"/>
  <c r="N86" i="2"/>
  <c r="O86" i="2" s="1"/>
  <c r="N78" i="2"/>
  <c r="O78" i="2" s="1"/>
  <c r="G82" i="2" l="1"/>
  <c r="M82" i="2" s="1"/>
  <c r="L82" i="2" l="1"/>
  <c r="N82" i="2" l="1"/>
  <c r="O82" i="2" s="1"/>
  <c r="G92" i="2" l="1"/>
  <c r="M92" i="2" s="1"/>
  <c r="C46" i="3"/>
  <c r="L92" i="2" l="1"/>
  <c r="N92" i="2" l="1"/>
  <c r="O92" i="2" s="1"/>
  <c r="K153" i="7" l="1"/>
  <c r="O153" i="7" l="1"/>
  <c r="Q153" i="7"/>
  <c r="N153" i="7"/>
  <c r="P153" i="7"/>
  <c r="L153" i="7" l="1"/>
  <c r="H8" i="3" l="1"/>
  <c r="I8" i="3" s="1"/>
  <c r="M129" i="18" l="1"/>
  <c r="M124" i="18"/>
  <c r="L129" i="18"/>
  <c r="L124" i="18"/>
  <c r="D129" i="18"/>
  <c r="D124" i="18"/>
  <c r="C129" i="18"/>
  <c r="E129" i="18"/>
  <c r="G129" i="18"/>
  <c r="H129" i="18"/>
  <c r="I129" i="18"/>
  <c r="J129" i="18"/>
  <c r="K129" i="18"/>
  <c r="N129" i="18"/>
  <c r="C124" i="18"/>
  <c r="E124" i="18"/>
  <c r="G124" i="18"/>
  <c r="H124" i="18"/>
  <c r="I124" i="18"/>
  <c r="J124" i="18"/>
  <c r="K124" i="18"/>
  <c r="N124" i="18"/>
  <c r="R124" i="18" l="1"/>
  <c r="S124" i="18"/>
  <c r="U124" i="18"/>
  <c r="T124" i="18"/>
  <c r="Q124" i="18"/>
  <c r="U129" i="18"/>
  <c r="T129" i="18"/>
  <c r="R129" i="18"/>
  <c r="Q129" i="18"/>
  <c r="S129" i="18"/>
  <c r="F129" i="18"/>
  <c r="F124" i="18"/>
  <c r="O124" i="18" l="1"/>
  <c r="P124" i="18" s="1"/>
  <c r="O129" i="18"/>
  <c r="K42" i="7"/>
  <c r="N42" i="7" l="1"/>
  <c r="P42" i="7"/>
  <c r="Q42" i="7"/>
  <c r="O42" i="7"/>
  <c r="P129" i="18"/>
  <c r="L42" i="7" l="1"/>
  <c r="E289" i="6" l="1"/>
  <c r="E288" i="6"/>
  <c r="E287" i="6"/>
  <c r="E286" i="6"/>
  <c r="E285" i="6"/>
  <c r="E284" i="6"/>
  <c r="E283" i="6"/>
  <c r="O114" i="7" l="1"/>
  <c r="Q114" i="7"/>
  <c r="P114" i="7"/>
  <c r="K114" i="7"/>
  <c r="N114" i="7" l="1"/>
  <c r="L114" i="7" s="1"/>
  <c r="O264" i="7" l="1"/>
  <c r="Q264" i="7"/>
  <c r="P264" i="7"/>
  <c r="K264" i="7"/>
  <c r="N264" i="7" s="1"/>
  <c r="K276" i="7"/>
  <c r="K260" i="7"/>
  <c r="K133" i="7"/>
  <c r="O133" i="7" l="1"/>
  <c r="N133" i="7"/>
  <c r="P276" i="7"/>
  <c r="O276" i="7"/>
  <c r="Q260" i="7"/>
  <c r="O260" i="7"/>
  <c r="N276" i="7"/>
  <c r="Q276" i="7"/>
  <c r="P260" i="7"/>
  <c r="N260" i="7"/>
  <c r="L264" i="7"/>
  <c r="P133" i="7"/>
  <c r="Q133" i="7"/>
  <c r="L276" i="7" l="1"/>
  <c r="L260" i="7"/>
  <c r="L133" i="7"/>
  <c r="K300" i="7" l="1"/>
  <c r="Q300" i="7" l="1"/>
  <c r="N300" i="7"/>
  <c r="O300" i="7"/>
  <c r="P300" i="7"/>
  <c r="O226" i="7"/>
  <c r="Q226" i="7"/>
  <c r="P226" i="7"/>
  <c r="K226" i="7"/>
  <c r="N226" i="7" s="1"/>
  <c r="O268" i="7"/>
  <c r="Q268" i="7"/>
  <c r="P268" i="7"/>
  <c r="K268" i="7"/>
  <c r="N268" i="7" s="1"/>
  <c r="O210" i="7"/>
  <c r="Q210" i="7"/>
  <c r="P210" i="7"/>
  <c r="K210" i="7"/>
  <c r="N210" i="7" s="1"/>
  <c r="O24" i="7"/>
  <c r="Q24" i="7"/>
  <c r="P24" i="7"/>
  <c r="K24" i="7"/>
  <c r="N24" i="7" s="1"/>
  <c r="O175" i="7"/>
  <c r="Q175" i="7"/>
  <c r="P175" i="7"/>
  <c r="K175" i="7"/>
  <c r="N175" i="7" s="1"/>
  <c r="O157" i="7"/>
  <c r="Q157" i="7"/>
  <c r="P157" i="7"/>
  <c r="K157" i="7"/>
  <c r="N157" i="7" s="1"/>
  <c r="O77" i="7"/>
  <c r="Q77" i="7"/>
  <c r="P77" i="7"/>
  <c r="K77" i="7"/>
  <c r="N77" i="7" s="1"/>
  <c r="L300" i="7" l="1"/>
  <c r="L226" i="7"/>
  <c r="L268" i="7"/>
  <c r="L210" i="7"/>
  <c r="L24" i="7"/>
  <c r="L175" i="7"/>
  <c r="L77" i="7"/>
  <c r="L157" i="7"/>
  <c r="K284" i="7" l="1"/>
  <c r="K205" i="7"/>
  <c r="O156" i="7"/>
  <c r="Q156" i="7"/>
  <c r="P156" i="7"/>
  <c r="K156" i="7"/>
  <c r="N156" i="7" s="1"/>
  <c r="O205" i="7" l="1"/>
  <c r="P284" i="7"/>
  <c r="N205" i="7"/>
  <c r="P205" i="7"/>
  <c r="Q284" i="7"/>
  <c r="O284" i="7"/>
  <c r="Q205" i="7"/>
  <c r="N284" i="7"/>
  <c r="L156" i="7"/>
  <c r="L284" i="7" l="1"/>
  <c r="L205" i="7"/>
  <c r="M43" i="18" l="1"/>
  <c r="L43" i="18"/>
  <c r="U43" i="18" s="1"/>
  <c r="J43" i="18"/>
  <c r="R43" i="18" s="1"/>
  <c r="I43" i="18"/>
  <c r="Q43" i="18" s="1"/>
  <c r="D43" i="18"/>
  <c r="C42" i="18"/>
  <c r="C43" i="18"/>
  <c r="E43" i="18"/>
  <c r="G43" i="18"/>
  <c r="H43" i="18"/>
  <c r="K43" i="18"/>
  <c r="S43" i="18" s="1"/>
  <c r="N43" i="18"/>
  <c r="F43" i="18" l="1"/>
  <c r="T43" i="18"/>
  <c r="O43" i="18" s="1"/>
  <c r="P43" i="18" l="1"/>
  <c r="N65" i="18" l="1"/>
  <c r="M65" i="18"/>
  <c r="T65" i="18" s="1"/>
  <c r="L65" i="18"/>
  <c r="U65" i="18" s="1"/>
  <c r="K65" i="18"/>
  <c r="S65" i="18" s="1"/>
  <c r="J65" i="18"/>
  <c r="R65" i="18" s="1"/>
  <c r="I65" i="18"/>
  <c r="Q65" i="18" s="1"/>
  <c r="H65" i="18"/>
  <c r="G65" i="18"/>
  <c r="E65" i="18"/>
  <c r="D65" i="18"/>
  <c r="C65" i="18"/>
  <c r="C17" i="18"/>
  <c r="F65" i="18" l="1"/>
  <c r="O65" i="18"/>
  <c r="P65" i="18" s="1"/>
  <c r="K283" i="7"/>
  <c r="O275" i="7"/>
  <c r="Q275" i="7"/>
  <c r="P275" i="7"/>
  <c r="K275" i="7"/>
  <c r="N275" i="7" s="1"/>
  <c r="O265" i="7"/>
  <c r="Q265" i="7"/>
  <c r="P265" i="7"/>
  <c r="K265" i="7"/>
  <c r="N265" i="7" s="1"/>
  <c r="O79" i="7"/>
  <c r="Q79" i="7"/>
  <c r="P79" i="7"/>
  <c r="K79" i="7"/>
  <c r="N79" i="7" s="1"/>
  <c r="O232" i="7"/>
  <c r="Q232" i="7"/>
  <c r="P232" i="7"/>
  <c r="K232" i="7"/>
  <c r="N232" i="7" s="1"/>
  <c r="O255" i="7"/>
  <c r="Q255" i="7"/>
  <c r="P255" i="7"/>
  <c r="K255" i="7"/>
  <c r="N255" i="7" s="1"/>
  <c r="O241" i="7"/>
  <c r="Q241" i="7"/>
  <c r="P241" i="7"/>
  <c r="K241" i="7"/>
  <c r="N241" i="7" s="1"/>
  <c r="O137" i="7"/>
  <c r="Q137" i="7"/>
  <c r="P137" i="7"/>
  <c r="K137" i="7"/>
  <c r="N137" i="7" s="1"/>
  <c r="O14" i="7"/>
  <c r="Q14" i="7"/>
  <c r="P14" i="7"/>
  <c r="K14" i="7"/>
  <c r="N14" i="7" s="1"/>
  <c r="N283" i="7" l="1"/>
  <c r="P283" i="7"/>
  <c r="Q283" i="7"/>
  <c r="O283" i="7"/>
  <c r="L275" i="7"/>
  <c r="L265" i="7"/>
  <c r="L79" i="7"/>
  <c r="L232" i="7"/>
  <c r="L255" i="7"/>
  <c r="L14" i="7"/>
  <c r="L241" i="7"/>
  <c r="L137" i="7"/>
  <c r="L283" i="7" l="1"/>
  <c r="O55" i="7" l="1"/>
  <c r="Q55" i="7"/>
  <c r="P55" i="7"/>
  <c r="K55" i="7"/>
  <c r="N55" i="7" s="1"/>
  <c r="O27" i="7"/>
  <c r="Q27" i="7"/>
  <c r="P27" i="7"/>
  <c r="K27" i="7"/>
  <c r="N27" i="7" s="1"/>
  <c r="K246" i="7"/>
  <c r="K298" i="7"/>
  <c r="Q246" i="7" l="1"/>
  <c r="N246" i="7"/>
  <c r="O246" i="7"/>
  <c r="O298" i="7"/>
  <c r="N298" i="7"/>
  <c r="P298" i="7"/>
  <c r="Q298" i="7"/>
  <c r="L55" i="7"/>
  <c r="L27" i="7"/>
  <c r="P246" i="7"/>
  <c r="L246" i="7" l="1"/>
  <c r="L298" i="7"/>
  <c r="K190" i="7" l="1"/>
  <c r="N190" i="7" l="1"/>
  <c r="O190" i="7"/>
  <c r="P190" i="7"/>
  <c r="Q190" i="7"/>
  <c r="L190" i="7" l="1"/>
  <c r="K312" i="7" l="1"/>
  <c r="O312" i="7" l="1"/>
  <c r="N312" i="7"/>
  <c r="P312" i="7"/>
  <c r="Q312" i="7"/>
  <c r="L312" i="7" l="1"/>
  <c r="O138" i="7" l="1"/>
  <c r="Q138" i="7"/>
  <c r="P138" i="7"/>
  <c r="K138" i="7"/>
  <c r="N138" i="7" s="1"/>
  <c r="O121" i="7"/>
  <c r="Q121" i="7"/>
  <c r="P121" i="7"/>
  <c r="K121" i="7"/>
  <c r="N121" i="7" s="1"/>
  <c r="O213" i="7"/>
  <c r="Q213" i="7"/>
  <c r="P213" i="7"/>
  <c r="K213" i="7"/>
  <c r="N213" i="7" s="1"/>
  <c r="L138" i="7" l="1"/>
  <c r="L121" i="7"/>
  <c r="L213" i="7"/>
  <c r="O303" i="7" l="1"/>
  <c r="Q303" i="7"/>
  <c r="P303" i="7"/>
  <c r="K303" i="7"/>
  <c r="N303" i="7" s="1"/>
  <c r="O242" i="7"/>
  <c r="Q242" i="7"/>
  <c r="P242" i="7"/>
  <c r="K242" i="7"/>
  <c r="N242" i="7" s="1"/>
  <c r="K155" i="7"/>
  <c r="N155" i="7" s="1"/>
  <c r="K218" i="7"/>
  <c r="N218" i="7" s="1"/>
  <c r="P218" i="7"/>
  <c r="Q218" i="7"/>
  <c r="O218" i="7"/>
  <c r="K230" i="7"/>
  <c r="N230" i="7" s="1"/>
  <c r="K203" i="7"/>
  <c r="K48" i="7"/>
  <c r="K46" i="7"/>
  <c r="N46" i="7" s="1"/>
  <c r="P46" i="7"/>
  <c r="Q46" i="7"/>
  <c r="O46" i="7"/>
  <c r="K235" i="7"/>
  <c r="O231" i="7"/>
  <c r="Q231" i="7"/>
  <c r="P231" i="7"/>
  <c r="K231" i="7"/>
  <c r="N231" i="7" s="1"/>
  <c r="K262" i="7"/>
  <c r="O204" i="7"/>
  <c r="Q204" i="7"/>
  <c r="P204" i="7"/>
  <c r="N204" i="7"/>
  <c r="O139" i="7"/>
  <c r="Q139" i="7"/>
  <c r="P139" i="7"/>
  <c r="K139" i="7"/>
  <c r="N139" i="7" s="1"/>
  <c r="O230" i="7" l="1"/>
  <c r="O155" i="7"/>
  <c r="P230" i="7"/>
  <c r="P155" i="7"/>
  <c r="Q230" i="7"/>
  <c r="Q155" i="7"/>
  <c r="O48" i="7"/>
  <c r="Q48" i="7"/>
  <c r="N48" i="7"/>
  <c r="P48" i="7"/>
  <c r="O262" i="7"/>
  <c r="P262" i="7"/>
  <c r="N262" i="7"/>
  <c r="Q262" i="7"/>
  <c r="N235" i="7"/>
  <c r="Q235" i="7"/>
  <c r="P235" i="7"/>
  <c r="O235" i="7"/>
  <c r="L303" i="7"/>
  <c r="O203" i="7"/>
  <c r="P203" i="7"/>
  <c r="N203" i="7"/>
  <c r="Q203" i="7"/>
  <c r="L218" i="7"/>
  <c r="L242" i="7"/>
  <c r="L46" i="7"/>
  <c r="L231" i="7"/>
  <c r="L204" i="7"/>
  <c r="L139" i="7"/>
  <c r="L230" i="7" l="1"/>
  <c r="L155" i="7"/>
  <c r="L48" i="7"/>
  <c r="L262" i="7"/>
  <c r="L235" i="7"/>
  <c r="L203" i="7"/>
  <c r="K154" i="7" l="1"/>
  <c r="K5" i="7"/>
  <c r="O142" i="7"/>
  <c r="Q142" i="7"/>
  <c r="P142" i="7"/>
  <c r="K142" i="7"/>
  <c r="N142" i="7" s="1"/>
  <c r="O154" i="7" l="1"/>
  <c r="N154" i="7"/>
  <c r="Q154" i="7"/>
  <c r="P154" i="7"/>
  <c r="N5" i="7"/>
  <c r="O5" i="7"/>
  <c r="Q5" i="7"/>
  <c r="P5" i="7"/>
  <c r="L142" i="7"/>
  <c r="L5" i="7" l="1"/>
  <c r="L154" i="7"/>
  <c r="K319" i="7" l="1"/>
  <c r="N319" i="7" s="1"/>
  <c r="P319" i="7"/>
  <c r="Q319" i="7"/>
  <c r="O319" i="7"/>
  <c r="K317" i="7"/>
  <c r="N317" i="7" s="1"/>
  <c r="P317" i="7"/>
  <c r="Q317" i="7"/>
  <c r="O317" i="7"/>
  <c r="K307" i="7"/>
  <c r="N307" i="7" s="1"/>
  <c r="P307" i="7"/>
  <c r="Q307" i="7"/>
  <c r="O307" i="7"/>
  <c r="K305" i="7"/>
  <c r="N305" i="7" s="1"/>
  <c r="P305" i="7"/>
  <c r="Q305" i="7"/>
  <c r="O305" i="7"/>
  <c r="K299" i="7"/>
  <c r="N299" i="7" s="1"/>
  <c r="P299" i="7"/>
  <c r="Q299" i="7"/>
  <c r="O299" i="7"/>
  <c r="K297" i="7"/>
  <c r="N297" i="7" s="1"/>
  <c r="P297" i="7"/>
  <c r="Q297" i="7"/>
  <c r="O297" i="7"/>
  <c r="K291" i="7"/>
  <c r="N291" i="7" s="1"/>
  <c r="P291" i="7"/>
  <c r="Q291" i="7"/>
  <c r="O291" i="7"/>
  <c r="K288" i="7"/>
  <c r="K274" i="7"/>
  <c r="N274" i="7" s="1"/>
  <c r="P274" i="7"/>
  <c r="Q274" i="7"/>
  <c r="O274" i="7"/>
  <c r="K271" i="7"/>
  <c r="N271" i="7" s="1"/>
  <c r="P271" i="7"/>
  <c r="Q271" i="7"/>
  <c r="O271" i="7"/>
  <c r="K269" i="7"/>
  <c r="N269" i="7" s="1"/>
  <c r="P269" i="7"/>
  <c r="Q269" i="7"/>
  <c r="O269" i="7"/>
  <c r="K258" i="7"/>
  <c r="K257" i="7"/>
  <c r="K251" i="7"/>
  <c r="K248" i="7"/>
  <c r="N248" i="7" s="1"/>
  <c r="P248" i="7"/>
  <c r="Q248" i="7"/>
  <c r="O248" i="7"/>
  <c r="K243" i="7"/>
  <c r="N243" i="7" s="1"/>
  <c r="P243" i="7"/>
  <c r="Q243" i="7"/>
  <c r="O243" i="7"/>
  <c r="K238" i="7"/>
  <c r="K229" i="7"/>
  <c r="N229" i="7" s="1"/>
  <c r="P229" i="7"/>
  <c r="Q229" i="7"/>
  <c r="O229" i="7"/>
  <c r="K227" i="7"/>
  <c r="N227" i="7" s="1"/>
  <c r="P227" i="7"/>
  <c r="Q227" i="7"/>
  <c r="O227" i="7"/>
  <c r="K225" i="7"/>
  <c r="N225" i="7" s="1"/>
  <c r="P225" i="7"/>
  <c r="Q225" i="7"/>
  <c r="O225" i="7"/>
  <c r="K224" i="7"/>
  <c r="K221" i="7"/>
  <c r="N221" i="7" s="1"/>
  <c r="P221" i="7"/>
  <c r="Q221" i="7"/>
  <c r="O221" i="7"/>
  <c r="K198" i="7"/>
  <c r="N198" i="7" s="1"/>
  <c r="P198" i="7"/>
  <c r="Q198" i="7"/>
  <c r="O198" i="7"/>
  <c r="K194" i="7"/>
  <c r="N194" i="7" s="1"/>
  <c r="P194" i="7"/>
  <c r="Q194" i="7"/>
  <c r="O194" i="7"/>
  <c r="K192" i="7"/>
  <c r="N192" i="7" s="1"/>
  <c r="P192" i="7"/>
  <c r="Q192" i="7"/>
  <c r="O192" i="7"/>
  <c r="K191" i="7"/>
  <c r="N191" i="7" s="1"/>
  <c r="P191" i="7"/>
  <c r="Q191" i="7"/>
  <c r="O191" i="7"/>
  <c r="K189" i="7"/>
  <c r="N189" i="7" s="1"/>
  <c r="P189" i="7"/>
  <c r="Q189" i="7"/>
  <c r="O189" i="7"/>
  <c r="K184" i="7"/>
  <c r="N184" i="7" s="1"/>
  <c r="P184" i="7"/>
  <c r="Q184" i="7"/>
  <c r="O184" i="7"/>
  <c r="K183" i="7"/>
  <c r="N183" i="7" s="1"/>
  <c r="P183" i="7"/>
  <c r="Q183" i="7"/>
  <c r="O183" i="7"/>
  <c r="K179" i="7"/>
  <c r="N179" i="7" s="1"/>
  <c r="P179" i="7"/>
  <c r="Q179" i="7"/>
  <c r="O179" i="7"/>
  <c r="K173" i="7"/>
  <c r="N173" i="7" s="1"/>
  <c r="P173" i="7"/>
  <c r="Q173" i="7"/>
  <c r="O173" i="7"/>
  <c r="K161" i="7"/>
  <c r="N161" i="7" s="1"/>
  <c r="P161" i="7"/>
  <c r="Q161" i="7"/>
  <c r="O161" i="7"/>
  <c r="K158" i="7"/>
  <c r="N158" i="7" s="1"/>
  <c r="P158" i="7"/>
  <c r="Q158" i="7"/>
  <c r="O158" i="7"/>
  <c r="K141" i="7"/>
  <c r="N141" i="7" s="1"/>
  <c r="P141" i="7"/>
  <c r="Q141" i="7"/>
  <c r="O141" i="7"/>
  <c r="K140" i="7"/>
  <c r="N140" i="7" s="1"/>
  <c r="P140" i="7"/>
  <c r="Q140" i="7"/>
  <c r="O140" i="7"/>
  <c r="K134" i="7"/>
  <c r="N134" i="7" s="1"/>
  <c r="K132" i="7"/>
  <c r="K131" i="7"/>
  <c r="N131" i="7" s="1"/>
  <c r="P131" i="7"/>
  <c r="Q131" i="7"/>
  <c r="O131" i="7"/>
  <c r="K127" i="7"/>
  <c r="N127" i="7" s="1"/>
  <c r="P127" i="7"/>
  <c r="Q127" i="7"/>
  <c r="O127" i="7"/>
  <c r="K123" i="7"/>
  <c r="N123" i="7" s="1"/>
  <c r="P123" i="7"/>
  <c r="Q123" i="7"/>
  <c r="O123" i="7"/>
  <c r="K117" i="7"/>
  <c r="K115" i="7"/>
  <c r="N115" i="7" s="1"/>
  <c r="P115" i="7"/>
  <c r="Q115" i="7"/>
  <c r="O115" i="7"/>
  <c r="K256" i="7"/>
  <c r="K113" i="7"/>
  <c r="N113" i="7" s="1"/>
  <c r="P113" i="7"/>
  <c r="Q113" i="7"/>
  <c r="O113" i="7"/>
  <c r="K110" i="7"/>
  <c r="N110" i="7" s="1"/>
  <c r="P110" i="7"/>
  <c r="Q110" i="7"/>
  <c r="O110" i="7"/>
  <c r="K104" i="7"/>
  <c r="N104" i="7" s="1"/>
  <c r="P104" i="7"/>
  <c r="Q104" i="7"/>
  <c r="O104" i="7"/>
  <c r="K103" i="7"/>
  <c r="N103" i="7" s="1"/>
  <c r="P103" i="7"/>
  <c r="Q103" i="7"/>
  <c r="O103" i="7"/>
  <c r="K93" i="7"/>
  <c r="N93" i="7" s="1"/>
  <c r="P93" i="7"/>
  <c r="Q93" i="7"/>
  <c r="O93" i="7"/>
  <c r="K85" i="7"/>
  <c r="N85" i="7" s="1"/>
  <c r="P85" i="7"/>
  <c r="Q85" i="7"/>
  <c r="O85" i="7"/>
  <c r="K81" i="7"/>
  <c r="K76" i="7"/>
  <c r="K74" i="7"/>
  <c r="K73" i="7"/>
  <c r="N73" i="7" s="1"/>
  <c r="P73" i="7"/>
  <c r="Q73" i="7"/>
  <c r="O73" i="7"/>
  <c r="K72" i="7"/>
  <c r="K67" i="7"/>
  <c r="N67" i="7" s="1"/>
  <c r="P67" i="7"/>
  <c r="Q67" i="7"/>
  <c r="O67" i="7"/>
  <c r="K66" i="7"/>
  <c r="N66" i="7" s="1"/>
  <c r="P66" i="7"/>
  <c r="Q66" i="7"/>
  <c r="O66" i="7"/>
  <c r="K64" i="7"/>
  <c r="N64" i="7" s="1"/>
  <c r="P64" i="7"/>
  <c r="Q64" i="7"/>
  <c r="O64" i="7"/>
  <c r="K63" i="7"/>
  <c r="N63" i="7" s="1"/>
  <c r="P63" i="7"/>
  <c r="Q63" i="7"/>
  <c r="O63" i="7"/>
  <c r="K60" i="7"/>
  <c r="N60" i="7" s="1"/>
  <c r="P60" i="7"/>
  <c r="Q60" i="7"/>
  <c r="O60" i="7"/>
  <c r="K59" i="7"/>
  <c r="N59" i="7" s="1"/>
  <c r="P59" i="7"/>
  <c r="Q59" i="7"/>
  <c r="O59" i="7"/>
  <c r="K54" i="7"/>
  <c r="K49" i="7"/>
  <c r="N49" i="7" s="1"/>
  <c r="K45" i="7"/>
  <c r="N45" i="7" s="1"/>
  <c r="P45" i="7"/>
  <c r="Q45" i="7"/>
  <c r="O45" i="7"/>
  <c r="O7" i="7"/>
  <c r="Q7" i="7"/>
  <c r="P7" i="7"/>
  <c r="K7" i="7"/>
  <c r="N7" i="7" s="1"/>
  <c r="O12" i="7"/>
  <c r="Q12" i="7"/>
  <c r="P12" i="7"/>
  <c r="K12" i="7"/>
  <c r="N12" i="7" s="1"/>
  <c r="O19" i="7"/>
  <c r="Q19" i="7"/>
  <c r="P19" i="7"/>
  <c r="K19" i="7"/>
  <c r="N19" i="7" s="1"/>
  <c r="K21" i="7"/>
  <c r="O26" i="7"/>
  <c r="Q26" i="7"/>
  <c r="P26" i="7"/>
  <c r="K26" i="7"/>
  <c r="N26" i="7" s="1"/>
  <c r="O37" i="7"/>
  <c r="Q37" i="7"/>
  <c r="P37" i="7"/>
  <c r="K37" i="7"/>
  <c r="N37" i="7" s="1"/>
  <c r="O40" i="7"/>
  <c r="Q40" i="7"/>
  <c r="P40" i="7"/>
  <c r="K40" i="7"/>
  <c r="N40" i="7" s="1"/>
  <c r="O44" i="7"/>
  <c r="Q44" i="7"/>
  <c r="P44" i="7"/>
  <c r="K44" i="7"/>
  <c r="N44" i="7" s="1"/>
  <c r="O6" i="7"/>
  <c r="Q6" i="7"/>
  <c r="P6" i="7"/>
  <c r="K6" i="7"/>
  <c r="N6" i="7" s="1"/>
  <c r="O120" i="7"/>
  <c r="Q120" i="7"/>
  <c r="P120" i="7"/>
  <c r="K120" i="7"/>
  <c r="N120" i="7" s="1"/>
  <c r="O136" i="7"/>
  <c r="Q136" i="7"/>
  <c r="P136" i="7"/>
  <c r="K136" i="7"/>
  <c r="N136" i="7" s="1"/>
  <c r="O181" i="7"/>
  <c r="Q181" i="7"/>
  <c r="P181" i="7"/>
  <c r="K181" i="7"/>
  <c r="N181" i="7" s="1"/>
  <c r="O180" i="7"/>
  <c r="Q180" i="7"/>
  <c r="P180" i="7"/>
  <c r="K180" i="7"/>
  <c r="N180" i="7" s="1"/>
  <c r="O197" i="7"/>
  <c r="Q197" i="7"/>
  <c r="P197" i="7"/>
  <c r="K197" i="7"/>
  <c r="N197" i="7" s="1"/>
  <c r="O253" i="7"/>
  <c r="Q253" i="7"/>
  <c r="P253" i="7"/>
  <c r="K253" i="7"/>
  <c r="N253" i="7" s="1"/>
  <c r="O273" i="7"/>
  <c r="Q273" i="7"/>
  <c r="P273" i="7"/>
  <c r="K273" i="7"/>
  <c r="N273" i="7" s="1"/>
  <c r="O278" i="7"/>
  <c r="Q278" i="7"/>
  <c r="P278" i="7"/>
  <c r="K278" i="7"/>
  <c r="N278" i="7" s="1"/>
  <c r="O287" i="7"/>
  <c r="Q287" i="7"/>
  <c r="P287" i="7"/>
  <c r="K287" i="7"/>
  <c r="N287" i="7" s="1"/>
  <c r="K281" i="7"/>
  <c r="O35" i="7"/>
  <c r="Q35" i="7"/>
  <c r="P35" i="7"/>
  <c r="K35" i="7"/>
  <c r="N35" i="7" s="1"/>
  <c r="K83" i="7"/>
  <c r="O52" i="7"/>
  <c r="Q52" i="7"/>
  <c r="P52" i="7"/>
  <c r="K52" i="7"/>
  <c r="N52" i="7" s="1"/>
  <c r="O282" i="7"/>
  <c r="Q282" i="7"/>
  <c r="P282" i="7"/>
  <c r="K282" i="7"/>
  <c r="N282" i="7" s="1"/>
  <c r="O128" i="7"/>
  <c r="Q128" i="7"/>
  <c r="P128" i="7"/>
  <c r="K128" i="7"/>
  <c r="N128" i="7" s="1"/>
  <c r="O219" i="7"/>
  <c r="Q219" i="7"/>
  <c r="P219" i="7"/>
  <c r="K219" i="7"/>
  <c r="N219" i="7" s="1"/>
  <c r="O223" i="7"/>
  <c r="Q223" i="7"/>
  <c r="P223" i="7"/>
  <c r="K223" i="7"/>
  <c r="N223" i="7" s="1"/>
  <c r="K106" i="7"/>
  <c r="Q288" i="7" l="1"/>
  <c r="P288" i="7"/>
  <c r="N54" i="7"/>
  <c r="O224" i="7"/>
  <c r="N288" i="7"/>
  <c r="N83" i="7"/>
  <c r="N72" i="7"/>
  <c r="P224" i="7"/>
  <c r="O288" i="7"/>
  <c r="Q224" i="7"/>
  <c r="N224" i="7"/>
  <c r="P134" i="7"/>
  <c r="O134" i="7"/>
  <c r="Q134" i="7"/>
  <c r="Q49" i="7"/>
  <c r="O83" i="7"/>
  <c r="P49" i="7"/>
  <c r="Q83" i="7"/>
  <c r="O49" i="7"/>
  <c r="P83" i="7"/>
  <c r="Q72" i="7"/>
  <c r="O72" i="7"/>
  <c r="P72" i="7"/>
  <c r="Q54" i="7"/>
  <c r="P54" i="7"/>
  <c r="O54" i="7"/>
  <c r="N238" i="7"/>
  <c r="O238" i="7"/>
  <c r="Q238" i="7"/>
  <c r="P238" i="7"/>
  <c r="N106" i="7"/>
  <c r="O257" i="7"/>
  <c r="Q257" i="7"/>
  <c r="P257" i="7"/>
  <c r="N257" i="7"/>
  <c r="Q281" i="7"/>
  <c r="N281" i="7"/>
  <c r="O281" i="7"/>
  <c r="P281" i="7"/>
  <c r="N132" i="7"/>
  <c r="O132" i="7"/>
  <c r="Q132" i="7"/>
  <c r="P132" i="7"/>
  <c r="N21" i="7"/>
  <c r="Q21" i="7"/>
  <c r="O21" i="7"/>
  <c r="P21" i="7"/>
  <c r="N74" i="7"/>
  <c r="O74" i="7"/>
  <c r="Q74" i="7"/>
  <c r="P74" i="7"/>
  <c r="N251" i="7"/>
  <c r="O251" i="7"/>
  <c r="Q251" i="7"/>
  <c r="P251" i="7"/>
  <c r="P117" i="7"/>
  <c r="N117" i="7"/>
  <c r="Q117" i="7"/>
  <c r="O117" i="7"/>
  <c r="Q81" i="7"/>
  <c r="Q256" i="7"/>
  <c r="O258" i="7"/>
  <c r="O81" i="7"/>
  <c r="O76" i="7"/>
  <c r="P258" i="7"/>
  <c r="O256" i="7"/>
  <c r="P256" i="7"/>
  <c r="Q258" i="7"/>
  <c r="Q76" i="7"/>
  <c r="N81" i="7"/>
  <c r="N256" i="7"/>
  <c r="N76" i="7"/>
  <c r="P81" i="7"/>
  <c r="P76" i="7"/>
  <c r="N258" i="7"/>
  <c r="L317" i="7"/>
  <c r="L299" i="7"/>
  <c r="L271" i="7"/>
  <c r="L307" i="7"/>
  <c r="L305" i="7"/>
  <c r="L319" i="7"/>
  <c r="L291" i="7"/>
  <c r="L297" i="7"/>
  <c r="L269" i="7"/>
  <c r="L274" i="7"/>
  <c r="L225" i="7"/>
  <c r="L248" i="7"/>
  <c r="L229" i="7"/>
  <c r="L198" i="7"/>
  <c r="L243" i="7"/>
  <c r="L227" i="7"/>
  <c r="L221" i="7"/>
  <c r="L192" i="7"/>
  <c r="L191" i="7"/>
  <c r="L194" i="7"/>
  <c r="L189" i="7"/>
  <c r="L184" i="7"/>
  <c r="L183" i="7"/>
  <c r="L179" i="7"/>
  <c r="L173" i="7"/>
  <c r="L161" i="7"/>
  <c r="L158" i="7"/>
  <c r="L127" i="7"/>
  <c r="L104" i="7"/>
  <c r="L141" i="7"/>
  <c r="L113" i="7"/>
  <c r="L93" i="7"/>
  <c r="L110" i="7"/>
  <c r="L123" i="7"/>
  <c r="L85" i="7"/>
  <c r="L115" i="7"/>
  <c r="L140" i="7"/>
  <c r="L131" i="7"/>
  <c r="L103" i="7"/>
  <c r="L73" i="7"/>
  <c r="L59" i="7"/>
  <c r="L67" i="7"/>
  <c r="L66" i="7"/>
  <c r="L64" i="7"/>
  <c r="L63" i="7"/>
  <c r="L60" i="7"/>
  <c r="L45" i="7"/>
  <c r="L26" i="7"/>
  <c r="L12" i="7"/>
  <c r="L37" i="7"/>
  <c r="L7" i="7"/>
  <c r="L19" i="7"/>
  <c r="L40" i="7"/>
  <c r="L44" i="7"/>
  <c r="L6" i="7"/>
  <c r="L136" i="7"/>
  <c r="L52" i="7"/>
  <c r="L223" i="7"/>
  <c r="L180" i="7"/>
  <c r="L181" i="7"/>
  <c r="L253" i="7"/>
  <c r="L219" i="7"/>
  <c r="L278" i="7"/>
  <c r="L287" i="7"/>
  <c r="L197" i="7"/>
  <c r="L282" i="7"/>
  <c r="L120" i="7"/>
  <c r="L273" i="7"/>
  <c r="L128" i="7"/>
  <c r="L35" i="7"/>
  <c r="P182" i="7"/>
  <c r="P211" i="7"/>
  <c r="P11" i="7"/>
  <c r="P28" i="7"/>
  <c r="P86" i="7"/>
  <c r="P147" i="7"/>
  <c r="P206" i="7"/>
  <c r="P233" i="7"/>
  <c r="P290" i="7"/>
  <c r="P8" i="7"/>
  <c r="P13" i="7"/>
  <c r="P34" i="7"/>
  <c r="P50" i="7"/>
  <c r="P71" i="7"/>
  <c r="P92" i="7"/>
  <c r="P94" i="7"/>
  <c r="P97" i="7"/>
  <c r="P122" i="7"/>
  <c r="P166" i="7"/>
  <c r="P200" i="7"/>
  <c r="P209" i="7"/>
  <c r="P302" i="7"/>
  <c r="P308" i="7"/>
  <c r="P310" i="7"/>
  <c r="P311" i="7"/>
  <c r="P316" i="7"/>
  <c r="P9" i="7"/>
  <c r="P16" i="7"/>
  <c r="P17" i="7"/>
  <c r="P25" i="7"/>
  <c r="P36" i="7"/>
  <c r="P39" i="7"/>
  <c r="P43" i="7"/>
  <c r="P56" i="7"/>
  <c r="P87" i="7"/>
  <c r="P88" i="7"/>
  <c r="P90" i="7"/>
  <c r="P91" i="7"/>
  <c r="P96" i="7"/>
  <c r="P99" i="7"/>
  <c r="P102" i="7"/>
  <c r="P116" i="7"/>
  <c r="P118" i="7"/>
  <c r="P119" i="7"/>
  <c r="P124" i="7"/>
  <c r="P125" i="7"/>
  <c r="P129" i="7"/>
  <c r="P130" i="7"/>
  <c r="P151" i="7"/>
  <c r="P160" i="7"/>
  <c r="P163" i="7"/>
  <c r="P164" i="7"/>
  <c r="P174" i="7"/>
  <c r="P185" i="7"/>
  <c r="P193" i="7"/>
  <c r="P195" i="7"/>
  <c r="P196" i="7"/>
  <c r="P201" i="7"/>
  <c r="P207" i="7"/>
  <c r="P220" i="7"/>
  <c r="P222" i="7"/>
  <c r="P228" i="7"/>
  <c r="P234" i="7"/>
  <c r="P245" i="7"/>
  <c r="P254" i="7"/>
  <c r="P261" i="7"/>
  <c r="P267" i="7"/>
  <c r="P270" i="7"/>
  <c r="P272" i="7"/>
  <c r="P279" i="7"/>
  <c r="P292" i="7"/>
  <c r="P294" i="7"/>
  <c r="P314" i="7"/>
  <c r="P315" i="7"/>
  <c r="P321" i="7"/>
  <c r="P322" i="7"/>
  <c r="P324" i="7"/>
  <c r="P330" i="7"/>
  <c r="P10" i="7"/>
  <c r="P20" i="7"/>
  <c r="P22" i="7"/>
  <c r="P29" i="7"/>
  <c r="P30" i="7"/>
  <c r="P47" i="7"/>
  <c r="P58" i="7"/>
  <c r="P62" i="7"/>
  <c r="P68" i="7"/>
  <c r="P69" i="7"/>
  <c r="P70" i="7"/>
  <c r="P75" i="7"/>
  <c r="P82" i="7"/>
  <c r="P84" i="7"/>
  <c r="P101" i="7"/>
  <c r="P112" i="7"/>
  <c r="P145" i="7"/>
  <c r="P146" i="7"/>
  <c r="P150" i="7"/>
  <c r="P159" i="7"/>
  <c r="P169" i="7"/>
  <c r="P172" i="7"/>
  <c r="P176" i="7"/>
  <c r="P178" i="7"/>
  <c r="P187" i="7"/>
  <c r="P202" i="7"/>
  <c r="P212" i="7"/>
  <c r="P217" i="7"/>
  <c r="P239" i="7"/>
  <c r="P249" i="7"/>
  <c r="P263" i="7"/>
  <c r="P309" i="7"/>
  <c r="P313" i="7"/>
  <c r="P318" i="7"/>
  <c r="P323" i="7"/>
  <c r="P31" i="7"/>
  <c r="P32" i="7"/>
  <c r="P33" i="7"/>
  <c r="P38" i="7"/>
  <c r="P57" i="7"/>
  <c r="P80" i="7"/>
  <c r="P98" i="7"/>
  <c r="P126" i="7"/>
  <c r="P144" i="7"/>
  <c r="P152" i="7"/>
  <c r="P216" i="7"/>
  <c r="P240" i="7"/>
  <c r="P244" i="7"/>
  <c r="P252" i="7"/>
  <c r="P259" i="7"/>
  <c r="P277" i="7"/>
  <c r="P289" i="7"/>
  <c r="P293" i="7"/>
  <c r="P306" i="7"/>
  <c r="P326" i="7"/>
  <c r="P327" i="7"/>
  <c r="P329" i="7"/>
  <c r="P23" i="7"/>
  <c r="P65" i="7"/>
  <c r="P78" i="7"/>
  <c r="P100" i="7"/>
  <c r="P109" i="7"/>
  <c r="P111" i="7"/>
  <c r="P148" i="7"/>
  <c r="P170" i="7"/>
  <c r="P250" i="7"/>
  <c r="P266" i="7"/>
  <c r="P280" i="7"/>
  <c r="P296" i="7"/>
  <c r="P301" i="7"/>
  <c r="P135" i="7"/>
  <c r="P168" i="7"/>
  <c r="P325" i="7"/>
  <c r="P107" i="7"/>
  <c r="Q36" i="7"/>
  <c r="K8" i="7"/>
  <c r="N8" i="7" s="1"/>
  <c r="K9" i="7"/>
  <c r="N9" i="7" s="1"/>
  <c r="K10" i="7"/>
  <c r="N10" i="7" s="1"/>
  <c r="K11" i="7"/>
  <c r="N11" i="7" s="1"/>
  <c r="K13" i="7"/>
  <c r="N13" i="7" s="1"/>
  <c r="K15" i="7"/>
  <c r="K16" i="7"/>
  <c r="N16" i="7" s="1"/>
  <c r="K17" i="7"/>
  <c r="N17" i="7" s="1"/>
  <c r="K18" i="7"/>
  <c r="N18" i="7" s="1"/>
  <c r="K20" i="7"/>
  <c r="N20" i="7" s="1"/>
  <c r="K22" i="7"/>
  <c r="N22" i="7" s="1"/>
  <c r="K23" i="7"/>
  <c r="N23" i="7" s="1"/>
  <c r="K25" i="7"/>
  <c r="N25" i="7" s="1"/>
  <c r="K28" i="7"/>
  <c r="N28" i="7" s="1"/>
  <c r="K29" i="7"/>
  <c r="N29" i="7" s="1"/>
  <c r="K30" i="7"/>
  <c r="N30" i="7" s="1"/>
  <c r="K31" i="7"/>
  <c r="N31" i="7" s="1"/>
  <c r="K32" i="7"/>
  <c r="N32" i="7" s="1"/>
  <c r="K33" i="7"/>
  <c r="N33" i="7" s="1"/>
  <c r="K34" i="7"/>
  <c r="N34" i="7" s="1"/>
  <c r="K36" i="7"/>
  <c r="N36" i="7" s="1"/>
  <c r="K38" i="7"/>
  <c r="N38" i="7" s="1"/>
  <c r="K39" i="7"/>
  <c r="N39" i="7" s="1"/>
  <c r="K43" i="7"/>
  <c r="N43" i="7" s="1"/>
  <c r="K47" i="7"/>
  <c r="N47" i="7" s="1"/>
  <c r="K50" i="7"/>
  <c r="N50" i="7" s="1"/>
  <c r="K51" i="7"/>
  <c r="N51" i="7" s="1"/>
  <c r="K53" i="7"/>
  <c r="K56" i="7"/>
  <c r="N56" i="7" s="1"/>
  <c r="K57" i="7"/>
  <c r="N57" i="7" s="1"/>
  <c r="K58" i="7"/>
  <c r="N58" i="7" s="1"/>
  <c r="K62" i="7"/>
  <c r="N62" i="7" s="1"/>
  <c r="K65" i="7"/>
  <c r="N65" i="7" s="1"/>
  <c r="K68" i="7"/>
  <c r="N68" i="7" s="1"/>
  <c r="K69" i="7"/>
  <c r="N69" i="7" s="1"/>
  <c r="K70" i="7"/>
  <c r="N70" i="7" s="1"/>
  <c r="K71" i="7"/>
  <c r="N71" i="7" s="1"/>
  <c r="K75" i="7"/>
  <c r="N75" i="7" s="1"/>
  <c r="K78" i="7"/>
  <c r="N78" i="7" s="1"/>
  <c r="K80" i="7"/>
  <c r="N80" i="7" s="1"/>
  <c r="K82" i="7"/>
  <c r="N82" i="7" s="1"/>
  <c r="K84" i="7"/>
  <c r="N84" i="7" s="1"/>
  <c r="K86" i="7"/>
  <c r="N86" i="7" s="1"/>
  <c r="K87" i="7"/>
  <c r="N87" i="7" s="1"/>
  <c r="K88" i="7"/>
  <c r="N88" i="7" s="1"/>
  <c r="K89" i="7"/>
  <c r="N89" i="7" s="1"/>
  <c r="K90" i="7"/>
  <c r="N90" i="7" s="1"/>
  <c r="K91" i="7"/>
  <c r="N91" i="7" s="1"/>
  <c r="K92" i="7"/>
  <c r="N92" i="7" s="1"/>
  <c r="K94" i="7"/>
  <c r="N94" i="7" s="1"/>
  <c r="K96" i="7"/>
  <c r="N96" i="7" s="1"/>
  <c r="K97" i="7"/>
  <c r="N97" i="7" s="1"/>
  <c r="K98" i="7"/>
  <c r="N98" i="7" s="1"/>
  <c r="K99" i="7"/>
  <c r="N99" i="7" s="1"/>
  <c r="K100" i="7"/>
  <c r="N100" i="7" s="1"/>
  <c r="K101" i="7"/>
  <c r="N101" i="7" s="1"/>
  <c r="K102" i="7"/>
  <c r="N102" i="7" s="1"/>
  <c r="K107" i="7"/>
  <c r="N107" i="7" s="1"/>
  <c r="K108" i="7"/>
  <c r="N108" i="7" s="1"/>
  <c r="K109" i="7"/>
  <c r="N109" i="7" s="1"/>
  <c r="K111" i="7"/>
  <c r="N111" i="7" s="1"/>
  <c r="K112" i="7"/>
  <c r="N112" i="7" s="1"/>
  <c r="K116" i="7"/>
  <c r="N116" i="7" s="1"/>
  <c r="K118" i="7"/>
  <c r="N118" i="7" s="1"/>
  <c r="K119" i="7"/>
  <c r="N119" i="7" s="1"/>
  <c r="K122" i="7"/>
  <c r="N122" i="7" s="1"/>
  <c r="K124" i="7"/>
  <c r="N124" i="7" s="1"/>
  <c r="K125" i="7"/>
  <c r="N125" i="7" s="1"/>
  <c r="K126" i="7"/>
  <c r="N126" i="7" s="1"/>
  <c r="K129" i="7"/>
  <c r="N129" i="7" s="1"/>
  <c r="K130" i="7"/>
  <c r="N130" i="7" s="1"/>
  <c r="K135" i="7"/>
  <c r="N135" i="7" s="1"/>
  <c r="K143" i="7"/>
  <c r="K144" i="7"/>
  <c r="N144" i="7" s="1"/>
  <c r="K145" i="7"/>
  <c r="N145" i="7" s="1"/>
  <c r="K146" i="7"/>
  <c r="N146" i="7" s="1"/>
  <c r="K147" i="7"/>
  <c r="N147" i="7" s="1"/>
  <c r="K148" i="7"/>
  <c r="N148" i="7" s="1"/>
  <c r="K149" i="7"/>
  <c r="K150" i="7"/>
  <c r="N150" i="7" s="1"/>
  <c r="K151" i="7"/>
  <c r="N151" i="7" s="1"/>
  <c r="K152" i="7"/>
  <c r="N152" i="7" s="1"/>
  <c r="K159" i="7"/>
  <c r="N159" i="7" s="1"/>
  <c r="K160" i="7"/>
  <c r="N160" i="7" s="1"/>
  <c r="K162" i="7"/>
  <c r="K163" i="7"/>
  <c r="N163" i="7" s="1"/>
  <c r="K164" i="7"/>
  <c r="N164" i="7" s="1"/>
  <c r="K166" i="7"/>
  <c r="N166" i="7" s="1"/>
  <c r="K167" i="7"/>
  <c r="K168" i="7"/>
  <c r="N168" i="7" s="1"/>
  <c r="K169" i="7"/>
  <c r="N169" i="7" s="1"/>
  <c r="K170" i="7"/>
  <c r="N170" i="7" s="1"/>
  <c r="K172" i="7"/>
  <c r="N172" i="7" s="1"/>
  <c r="K174" i="7"/>
  <c r="N174" i="7" s="1"/>
  <c r="K176" i="7"/>
  <c r="N176" i="7" s="1"/>
  <c r="K177" i="7"/>
  <c r="K178" i="7"/>
  <c r="N178" i="7" s="1"/>
  <c r="K182" i="7"/>
  <c r="N182" i="7" s="1"/>
  <c r="K185" i="7"/>
  <c r="N185" i="7" s="1"/>
  <c r="K186" i="7"/>
  <c r="K187" i="7"/>
  <c r="N187" i="7" s="1"/>
  <c r="K193" i="7"/>
  <c r="N193" i="7" s="1"/>
  <c r="K195" i="7"/>
  <c r="N195" i="7" s="1"/>
  <c r="K196" i="7"/>
  <c r="N196" i="7" s="1"/>
  <c r="K200" i="7"/>
  <c r="N200" i="7" s="1"/>
  <c r="K201" i="7"/>
  <c r="N201" i="7" s="1"/>
  <c r="K202" i="7"/>
  <c r="N202" i="7" s="1"/>
  <c r="K206" i="7"/>
  <c r="N206" i="7" s="1"/>
  <c r="K207" i="7"/>
  <c r="N207" i="7" s="1"/>
  <c r="K208" i="7"/>
  <c r="K209" i="7"/>
  <c r="N209" i="7" s="1"/>
  <c r="K211" i="7"/>
  <c r="N211" i="7" s="1"/>
  <c r="K212" i="7"/>
  <c r="N212" i="7" s="1"/>
  <c r="K214" i="7"/>
  <c r="N214" i="7" s="1"/>
  <c r="K216" i="7"/>
  <c r="N216" i="7" s="1"/>
  <c r="K217" i="7"/>
  <c r="N217" i="7" s="1"/>
  <c r="K220" i="7"/>
  <c r="N220" i="7" s="1"/>
  <c r="K222" i="7"/>
  <c r="N222" i="7" s="1"/>
  <c r="K228" i="7"/>
  <c r="N228" i="7" s="1"/>
  <c r="K233" i="7"/>
  <c r="N233" i="7" s="1"/>
  <c r="K234" i="7"/>
  <c r="N234" i="7" s="1"/>
  <c r="K236" i="7"/>
  <c r="K237" i="7"/>
  <c r="N237" i="7" s="1"/>
  <c r="K239" i="7"/>
  <c r="N239" i="7" s="1"/>
  <c r="K240" i="7"/>
  <c r="N240" i="7" s="1"/>
  <c r="K244" i="7"/>
  <c r="N244" i="7" s="1"/>
  <c r="K245" i="7"/>
  <c r="N245" i="7" s="1"/>
  <c r="K249" i="7"/>
  <c r="N249" i="7" s="1"/>
  <c r="K250" i="7"/>
  <c r="N250" i="7" s="1"/>
  <c r="K252" i="7"/>
  <c r="N252" i="7" s="1"/>
  <c r="K254" i="7"/>
  <c r="N254" i="7" s="1"/>
  <c r="K259" i="7"/>
  <c r="N259" i="7" s="1"/>
  <c r="K261" i="7"/>
  <c r="N261" i="7" s="1"/>
  <c r="K263" i="7"/>
  <c r="N263" i="7" s="1"/>
  <c r="K266" i="7"/>
  <c r="N266" i="7" s="1"/>
  <c r="K267" i="7"/>
  <c r="N267" i="7" s="1"/>
  <c r="K270" i="7"/>
  <c r="N270" i="7" s="1"/>
  <c r="K272" i="7"/>
  <c r="N272" i="7" s="1"/>
  <c r="K277" i="7"/>
  <c r="N277" i="7" s="1"/>
  <c r="K279" i="7"/>
  <c r="N279" i="7" s="1"/>
  <c r="K280" i="7"/>
  <c r="N280" i="7" s="1"/>
  <c r="K285" i="7"/>
  <c r="K286" i="7"/>
  <c r="K289" i="7"/>
  <c r="N289" i="7" s="1"/>
  <c r="K290" i="7"/>
  <c r="N290" i="7" s="1"/>
  <c r="K292" i="7"/>
  <c r="N292" i="7" s="1"/>
  <c r="K293" i="7"/>
  <c r="N293" i="7" s="1"/>
  <c r="K294" i="7"/>
  <c r="N294" i="7" s="1"/>
  <c r="K295" i="7"/>
  <c r="K296" i="7"/>
  <c r="N296" i="7" s="1"/>
  <c r="K301" i="7"/>
  <c r="N301" i="7" s="1"/>
  <c r="K302" i="7"/>
  <c r="N302" i="7" s="1"/>
  <c r="K304" i="7"/>
  <c r="K306" i="7"/>
  <c r="N306" i="7" s="1"/>
  <c r="K308" i="7"/>
  <c r="N308" i="7" s="1"/>
  <c r="K309" i="7"/>
  <c r="N309" i="7" s="1"/>
  <c r="K310" i="7"/>
  <c r="N310" i="7" s="1"/>
  <c r="K311" i="7"/>
  <c r="N311" i="7" s="1"/>
  <c r="K313" i="7"/>
  <c r="N313" i="7" s="1"/>
  <c r="K314" i="7"/>
  <c r="N314" i="7" s="1"/>
  <c r="K315" i="7"/>
  <c r="N315" i="7" s="1"/>
  <c r="K316" i="7"/>
  <c r="N316" i="7" s="1"/>
  <c r="K318" i="7"/>
  <c r="N318" i="7" s="1"/>
  <c r="K321" i="7"/>
  <c r="N321" i="7" s="1"/>
  <c r="K322" i="7"/>
  <c r="N322" i="7" s="1"/>
  <c r="K323" i="7"/>
  <c r="N323" i="7" s="1"/>
  <c r="K324" i="7"/>
  <c r="N324" i="7" s="1"/>
  <c r="K325" i="7"/>
  <c r="N325" i="7" s="1"/>
  <c r="K326" i="7"/>
  <c r="N326" i="7" s="1"/>
  <c r="K327" i="7"/>
  <c r="N327" i="7" s="1"/>
  <c r="K329" i="7"/>
  <c r="N329" i="7" s="1"/>
  <c r="K330" i="7"/>
  <c r="N330" i="7" s="1"/>
  <c r="O36" i="7"/>
  <c r="L49" i="7" l="1"/>
  <c r="L224" i="7"/>
  <c r="L288" i="7"/>
  <c r="L83" i="7"/>
  <c r="L134" i="7"/>
  <c r="P285" i="7"/>
  <c r="P177" i="7"/>
  <c r="N177" i="7"/>
  <c r="N285" i="7"/>
  <c r="N15" i="7"/>
  <c r="N53" i="7"/>
  <c r="P237" i="7"/>
  <c r="P214" i="7"/>
  <c r="P108" i="7"/>
  <c r="L72" i="7"/>
  <c r="P89" i="7"/>
  <c r="P51" i="7"/>
  <c r="L54" i="7"/>
  <c r="P53" i="7"/>
  <c r="P15" i="7"/>
  <c r="P18" i="7"/>
  <c r="L238" i="7"/>
  <c r="P106" i="7"/>
  <c r="L257" i="7"/>
  <c r="L281" i="7"/>
  <c r="L132" i="7"/>
  <c r="L21" i="7"/>
  <c r="P149" i="7"/>
  <c r="N149" i="7"/>
  <c r="N162" i="7"/>
  <c r="P162" i="7"/>
  <c r="L74" i="7"/>
  <c r="L251" i="7"/>
  <c r="N286" i="7"/>
  <c r="P286" i="7"/>
  <c r="N167" i="7"/>
  <c r="N208" i="7"/>
  <c r="P208" i="7"/>
  <c r="P167" i="7"/>
  <c r="N295" i="7"/>
  <c r="N143" i="7"/>
  <c r="P295" i="7"/>
  <c r="P143" i="7"/>
  <c r="N236" i="7"/>
  <c r="P236" i="7"/>
  <c r="L117" i="7"/>
  <c r="N186" i="7"/>
  <c r="P186" i="7"/>
  <c r="L258" i="7"/>
  <c r="L256" i="7"/>
  <c r="L81" i="7"/>
  <c r="L76" i="7"/>
  <c r="N304" i="7"/>
  <c r="P304" i="7"/>
  <c r="L36" i="7"/>
  <c r="N5" i="18" l="1"/>
  <c r="N6" i="18"/>
  <c r="N7" i="18"/>
  <c r="N8" i="18"/>
  <c r="N9" i="18"/>
  <c r="N10" i="18"/>
  <c r="N11" i="18"/>
  <c r="N12" i="18"/>
  <c r="N13" i="18"/>
  <c r="N14" i="18"/>
  <c r="N15" i="18"/>
  <c r="N16" i="18"/>
  <c r="N17" i="18"/>
  <c r="N18" i="18"/>
  <c r="N19" i="18"/>
  <c r="N20" i="18"/>
  <c r="N21" i="18"/>
  <c r="N22" i="18"/>
  <c r="N23" i="18"/>
  <c r="N24" i="18"/>
  <c r="N25" i="18"/>
  <c r="N26" i="18"/>
  <c r="N27" i="18"/>
  <c r="N28" i="18"/>
  <c r="N29" i="18"/>
  <c r="N30" i="18"/>
  <c r="N31" i="18"/>
  <c r="N32" i="18"/>
  <c r="N33" i="18"/>
  <c r="N34" i="18"/>
  <c r="N35" i="18"/>
  <c r="N36" i="18"/>
  <c r="N37" i="18"/>
  <c r="N38" i="18"/>
  <c r="N39" i="18"/>
  <c r="N40" i="18"/>
  <c r="N41" i="18"/>
  <c r="N42" i="18"/>
  <c r="N44" i="18"/>
  <c r="N45" i="18"/>
  <c r="N46" i="18"/>
  <c r="N47" i="18"/>
  <c r="N48" i="18"/>
  <c r="N49" i="18"/>
  <c r="N50" i="18"/>
  <c r="N51" i="18"/>
  <c r="N52" i="18"/>
  <c r="N53" i="18"/>
  <c r="N54" i="18"/>
  <c r="N55" i="18"/>
  <c r="N56" i="18"/>
  <c r="N57" i="18"/>
  <c r="N58" i="18"/>
  <c r="N59" i="18"/>
  <c r="N60" i="18"/>
  <c r="N61" i="18"/>
  <c r="N62" i="18"/>
  <c r="N63" i="18"/>
  <c r="N64" i="18"/>
  <c r="N66" i="18"/>
  <c r="N67" i="18"/>
  <c r="N68" i="18"/>
  <c r="N69" i="18"/>
  <c r="N70" i="18"/>
  <c r="N71" i="18"/>
  <c r="N72" i="18"/>
  <c r="N73" i="18"/>
  <c r="N74" i="18"/>
  <c r="N75" i="18"/>
  <c r="N76" i="18"/>
  <c r="N77" i="18"/>
  <c r="N78" i="18"/>
  <c r="N79" i="18"/>
  <c r="N80" i="18"/>
  <c r="N81" i="18"/>
  <c r="N82" i="18"/>
  <c r="N83" i="18"/>
  <c r="N84" i="18"/>
  <c r="N85" i="18"/>
  <c r="N86" i="18"/>
  <c r="N87" i="18"/>
  <c r="N88" i="18"/>
  <c r="N89" i="18"/>
  <c r="N90" i="18"/>
  <c r="N91" i="18"/>
  <c r="N92" i="18"/>
  <c r="N93" i="18"/>
  <c r="N94" i="18"/>
  <c r="N95" i="18"/>
  <c r="N96" i="18"/>
  <c r="N97" i="18"/>
  <c r="N98" i="18"/>
  <c r="N99" i="18"/>
  <c r="N100" i="18"/>
  <c r="N101" i="18"/>
  <c r="N102" i="18"/>
  <c r="N103" i="18"/>
  <c r="N104" i="18"/>
  <c r="N105" i="18"/>
  <c r="N106" i="18"/>
  <c r="N107" i="18"/>
  <c r="N108" i="18"/>
  <c r="N109" i="18"/>
  <c r="N110" i="18"/>
  <c r="N111" i="18"/>
  <c r="N112" i="18"/>
  <c r="N113" i="18"/>
  <c r="N114" i="18"/>
  <c r="N115" i="18"/>
  <c r="N116" i="18"/>
  <c r="N117" i="18"/>
  <c r="N118" i="18"/>
  <c r="N119" i="18"/>
  <c r="N120" i="18"/>
  <c r="N121" i="18"/>
  <c r="N122" i="18"/>
  <c r="N123" i="18"/>
  <c r="N125" i="18"/>
  <c r="N126" i="18"/>
  <c r="N127" i="18"/>
  <c r="N128" i="18"/>
  <c r="K5" i="18"/>
  <c r="S5" i="18" s="1"/>
  <c r="K6" i="18"/>
  <c r="S6" i="18" s="1"/>
  <c r="K7" i="18"/>
  <c r="S7" i="18" s="1"/>
  <c r="K8" i="18"/>
  <c r="S8" i="18" s="1"/>
  <c r="K9" i="18"/>
  <c r="S9" i="18" s="1"/>
  <c r="K10" i="18"/>
  <c r="S10" i="18" s="1"/>
  <c r="K11" i="18"/>
  <c r="S11" i="18" s="1"/>
  <c r="K12" i="18"/>
  <c r="S12" i="18" s="1"/>
  <c r="K13" i="18"/>
  <c r="S13" i="18" s="1"/>
  <c r="K14" i="18"/>
  <c r="S14" i="18" s="1"/>
  <c r="K15" i="18"/>
  <c r="S15" i="18" s="1"/>
  <c r="K16" i="18"/>
  <c r="S16" i="18" s="1"/>
  <c r="K17" i="18"/>
  <c r="S17" i="18" s="1"/>
  <c r="K18" i="18"/>
  <c r="K19" i="18"/>
  <c r="S19" i="18" s="1"/>
  <c r="K20" i="18"/>
  <c r="S20" i="18" s="1"/>
  <c r="K21" i="18"/>
  <c r="S21" i="18" s="1"/>
  <c r="K22" i="18"/>
  <c r="S22" i="18" s="1"/>
  <c r="K23" i="18"/>
  <c r="S23" i="18" s="1"/>
  <c r="K24" i="18"/>
  <c r="S24" i="18" s="1"/>
  <c r="K25" i="18"/>
  <c r="K26" i="18"/>
  <c r="S26" i="18" s="1"/>
  <c r="K27" i="18"/>
  <c r="S27" i="18" s="1"/>
  <c r="K28" i="18"/>
  <c r="S28" i="18" s="1"/>
  <c r="K29" i="18"/>
  <c r="S29" i="18" s="1"/>
  <c r="K30" i="18"/>
  <c r="S30" i="18" s="1"/>
  <c r="K31" i="18"/>
  <c r="S31" i="18" s="1"/>
  <c r="K32" i="18"/>
  <c r="S32" i="18" s="1"/>
  <c r="K33" i="18"/>
  <c r="S33" i="18" s="1"/>
  <c r="K34" i="18"/>
  <c r="S34" i="18" s="1"/>
  <c r="K35" i="18"/>
  <c r="S35" i="18" s="1"/>
  <c r="K36" i="18"/>
  <c r="S36" i="18" s="1"/>
  <c r="K37" i="18"/>
  <c r="S37" i="18" s="1"/>
  <c r="K38" i="18"/>
  <c r="S38" i="18" s="1"/>
  <c r="K39" i="18"/>
  <c r="S39" i="18" s="1"/>
  <c r="K40" i="18"/>
  <c r="S40" i="18" s="1"/>
  <c r="K41" i="18"/>
  <c r="S41" i="18" s="1"/>
  <c r="K42" i="18"/>
  <c r="K44" i="18"/>
  <c r="S44" i="18" s="1"/>
  <c r="K45" i="18"/>
  <c r="S45" i="18" s="1"/>
  <c r="K46" i="18"/>
  <c r="S46" i="18" s="1"/>
  <c r="K47" i="18"/>
  <c r="K48" i="18"/>
  <c r="S48" i="18" s="1"/>
  <c r="K49" i="18"/>
  <c r="S49" i="18" s="1"/>
  <c r="K50" i="18"/>
  <c r="S50" i="18" s="1"/>
  <c r="K51" i="18"/>
  <c r="S51" i="18" s="1"/>
  <c r="K52" i="18"/>
  <c r="S52" i="18" s="1"/>
  <c r="K53" i="18"/>
  <c r="S53" i="18" s="1"/>
  <c r="K54" i="18"/>
  <c r="S54" i="18" s="1"/>
  <c r="K55" i="18"/>
  <c r="S55" i="18" s="1"/>
  <c r="K56" i="18"/>
  <c r="S56" i="18" s="1"/>
  <c r="K57" i="18"/>
  <c r="S57" i="18" s="1"/>
  <c r="K58" i="18"/>
  <c r="S58" i="18" s="1"/>
  <c r="K59" i="18"/>
  <c r="S59" i="18" s="1"/>
  <c r="K60" i="18"/>
  <c r="S60" i="18" s="1"/>
  <c r="K61" i="18"/>
  <c r="S61" i="18" s="1"/>
  <c r="K62" i="18"/>
  <c r="S62" i="18" s="1"/>
  <c r="K63" i="18"/>
  <c r="S63" i="18" s="1"/>
  <c r="K64" i="18"/>
  <c r="S64" i="18" s="1"/>
  <c r="K66" i="18"/>
  <c r="S66" i="18" s="1"/>
  <c r="K67" i="18"/>
  <c r="S67" i="18" s="1"/>
  <c r="K68" i="18"/>
  <c r="S68" i="18" s="1"/>
  <c r="K69" i="18"/>
  <c r="S69" i="18" s="1"/>
  <c r="K70" i="18"/>
  <c r="S70" i="18" s="1"/>
  <c r="K71" i="18"/>
  <c r="S71" i="18" s="1"/>
  <c r="K72" i="18"/>
  <c r="S72" i="18" s="1"/>
  <c r="K73" i="18"/>
  <c r="S73" i="18" s="1"/>
  <c r="K74" i="18"/>
  <c r="S74" i="18" s="1"/>
  <c r="K75" i="18"/>
  <c r="S75" i="18" s="1"/>
  <c r="K76" i="18"/>
  <c r="S76" i="18" s="1"/>
  <c r="K77" i="18"/>
  <c r="S77" i="18" s="1"/>
  <c r="K78" i="18"/>
  <c r="S78" i="18" s="1"/>
  <c r="K79" i="18"/>
  <c r="S79" i="18" s="1"/>
  <c r="K80" i="18"/>
  <c r="S80" i="18" s="1"/>
  <c r="K81" i="18"/>
  <c r="S81" i="18" s="1"/>
  <c r="K82" i="18"/>
  <c r="S82" i="18" s="1"/>
  <c r="K83" i="18"/>
  <c r="S83" i="18" s="1"/>
  <c r="K84" i="18"/>
  <c r="S84" i="18" s="1"/>
  <c r="K85" i="18"/>
  <c r="S85" i="18" s="1"/>
  <c r="K86" i="18"/>
  <c r="S86" i="18" s="1"/>
  <c r="K87" i="18"/>
  <c r="S87" i="18" s="1"/>
  <c r="K88" i="18"/>
  <c r="S88" i="18" s="1"/>
  <c r="K89" i="18"/>
  <c r="S89" i="18" s="1"/>
  <c r="K90" i="18"/>
  <c r="S90" i="18" s="1"/>
  <c r="K91" i="18"/>
  <c r="S91" i="18" s="1"/>
  <c r="K92" i="18"/>
  <c r="S92" i="18" s="1"/>
  <c r="K93" i="18"/>
  <c r="S93" i="18" s="1"/>
  <c r="K94" i="18"/>
  <c r="S94" i="18" s="1"/>
  <c r="K95" i="18"/>
  <c r="S95" i="18" s="1"/>
  <c r="K96" i="18"/>
  <c r="S96" i="18" s="1"/>
  <c r="K97" i="18"/>
  <c r="S97" i="18" s="1"/>
  <c r="K98" i="18"/>
  <c r="S98" i="18" s="1"/>
  <c r="K99" i="18"/>
  <c r="S99" i="18" s="1"/>
  <c r="K100" i="18"/>
  <c r="S100" i="18" s="1"/>
  <c r="K101" i="18"/>
  <c r="S101" i="18" s="1"/>
  <c r="K102" i="18"/>
  <c r="S102" i="18" s="1"/>
  <c r="K103" i="18"/>
  <c r="S103" i="18" s="1"/>
  <c r="K104" i="18"/>
  <c r="S104" i="18" s="1"/>
  <c r="K105" i="18"/>
  <c r="S105" i="18" s="1"/>
  <c r="K106" i="18"/>
  <c r="S106" i="18" s="1"/>
  <c r="K107" i="18"/>
  <c r="S107" i="18" s="1"/>
  <c r="K108" i="18"/>
  <c r="S108" i="18" s="1"/>
  <c r="K109" i="18"/>
  <c r="S109" i="18" s="1"/>
  <c r="K110" i="18"/>
  <c r="S110" i="18" s="1"/>
  <c r="K111" i="18"/>
  <c r="S111" i="18" s="1"/>
  <c r="K112" i="18"/>
  <c r="S112" i="18" s="1"/>
  <c r="K113" i="18"/>
  <c r="S113" i="18" s="1"/>
  <c r="K114" i="18"/>
  <c r="K115" i="18"/>
  <c r="S115" i="18" s="1"/>
  <c r="K116" i="18"/>
  <c r="S116" i="18" s="1"/>
  <c r="K117" i="18"/>
  <c r="S117" i="18" s="1"/>
  <c r="K118" i="18"/>
  <c r="S118" i="18" s="1"/>
  <c r="K119" i="18"/>
  <c r="S119" i="18" s="1"/>
  <c r="K120" i="18"/>
  <c r="K121" i="18"/>
  <c r="S121" i="18" s="1"/>
  <c r="K122" i="18"/>
  <c r="S122" i="18" s="1"/>
  <c r="K123" i="18"/>
  <c r="S123" i="18" s="1"/>
  <c r="K125" i="18"/>
  <c r="S125" i="18" s="1"/>
  <c r="K126" i="18"/>
  <c r="S126" i="18" s="1"/>
  <c r="K127" i="18"/>
  <c r="S127" i="18" s="1"/>
  <c r="K128" i="18"/>
  <c r="S128" i="18" s="1"/>
  <c r="O50" i="7"/>
  <c r="O327" i="7"/>
  <c r="O280" i="7"/>
  <c r="O135" i="7"/>
  <c r="O109" i="7"/>
  <c r="O80" i="7"/>
  <c r="O91" i="7"/>
  <c r="O116" i="7"/>
  <c r="O69" i="7"/>
  <c r="O111" i="7"/>
  <c r="O228" i="7"/>
  <c r="O322" i="7"/>
  <c r="O168" i="7"/>
  <c r="O119" i="7"/>
  <c r="O195" i="7"/>
  <c r="O201" i="7"/>
  <c r="O308" i="7"/>
  <c r="O16" i="7"/>
  <c r="O147" i="7"/>
  <c r="O244" i="7"/>
  <c r="O70" i="7"/>
  <c r="O178" i="7"/>
  <c r="O270" i="7"/>
  <c r="O34" i="7"/>
  <c r="O315" i="7"/>
  <c r="O62" i="7"/>
  <c r="O272" i="7"/>
  <c r="O239" i="7"/>
  <c r="O193" i="7"/>
  <c r="O217" i="7"/>
  <c r="O240" i="7"/>
  <c r="O169" i="7"/>
  <c r="O159" i="7"/>
  <c r="O102" i="7"/>
  <c r="O261" i="7"/>
  <c r="O31" i="7"/>
  <c r="O84" i="7"/>
  <c r="O318" i="7"/>
  <c r="O233" i="7"/>
  <c r="O75" i="7"/>
  <c r="O170" i="7"/>
  <c r="O118" i="7"/>
  <c r="O196" i="7"/>
  <c r="O249" i="7"/>
  <c r="O185" i="7"/>
  <c r="O263" i="7"/>
  <c r="O25" i="7"/>
  <c r="O96" i="7"/>
  <c r="O30" i="7"/>
  <c r="O65" i="7"/>
  <c r="O245" i="7"/>
  <c r="O326" i="7"/>
  <c r="O32" i="7"/>
  <c r="O187" i="7"/>
  <c r="O38" i="7"/>
  <c r="O57" i="7"/>
  <c r="O220" i="7"/>
  <c r="O22" i="7"/>
  <c r="O11" i="7"/>
  <c r="O97" i="7"/>
  <c r="O17" i="7"/>
  <c r="O296" i="7"/>
  <c r="O306" i="7"/>
  <c r="O58" i="7"/>
  <c r="O166" i="7"/>
  <c r="O313" i="7"/>
  <c r="O216" i="7"/>
  <c r="O294" i="7"/>
  <c r="O172" i="7"/>
  <c r="O316" i="7"/>
  <c r="O310" i="7"/>
  <c r="O267" i="7"/>
  <c r="O200" i="7"/>
  <c r="O207" i="7"/>
  <c r="O176" i="7"/>
  <c r="O8" i="7"/>
  <c r="O330" i="7"/>
  <c r="O43" i="7"/>
  <c r="O234" i="7"/>
  <c r="O39" i="7"/>
  <c r="O129" i="7"/>
  <c r="O130" i="7"/>
  <c r="O13" i="7"/>
  <c r="O290" i="7"/>
  <c r="O124" i="7"/>
  <c r="O33" i="7"/>
  <c r="O29" i="7"/>
  <c r="O28" i="7"/>
  <c r="O314" i="7"/>
  <c r="O266" i="7"/>
  <c r="O311" i="7"/>
  <c r="O211" i="7"/>
  <c r="O209" i="7"/>
  <c r="O206" i="7"/>
  <c r="O252" i="7"/>
  <c r="O88" i="7"/>
  <c r="O160" i="7"/>
  <c r="O92" i="7"/>
  <c r="O163" i="7"/>
  <c r="O277" i="7"/>
  <c r="O321" i="7"/>
  <c r="O101" i="7"/>
  <c r="O289" i="7"/>
  <c r="O259" i="7"/>
  <c r="O146" i="7"/>
  <c r="O56" i="7"/>
  <c r="O9" i="7"/>
  <c r="O87" i="7"/>
  <c r="O125" i="7"/>
  <c r="O68" i="7"/>
  <c r="O164" i="7"/>
  <c r="O98" i="7"/>
  <c r="O279" i="7"/>
  <c r="O151" i="7"/>
  <c r="O174" i="7"/>
  <c r="O324" i="7"/>
  <c r="O94" i="7"/>
  <c r="O10" i="7"/>
  <c r="O112" i="7"/>
  <c r="O145" i="7"/>
  <c r="O222" i="7"/>
  <c r="O292" i="7"/>
  <c r="O47" i="7"/>
  <c r="O254" i="7"/>
  <c r="O325" i="7"/>
  <c r="O82" i="7"/>
  <c r="O86" i="7"/>
  <c r="O99" i="7"/>
  <c r="O144" i="7"/>
  <c r="O20" i="7"/>
  <c r="O323" i="7"/>
  <c r="O202" i="7"/>
  <c r="O329" i="7"/>
  <c r="O250" i="7"/>
  <c r="O100" i="7"/>
  <c r="O152" i="7"/>
  <c r="O122" i="7"/>
  <c r="O182" i="7"/>
  <c r="O150" i="7"/>
  <c r="O301" i="7"/>
  <c r="O23" i="7"/>
  <c r="O71" i="7"/>
  <c r="O90" i="7"/>
  <c r="O293" i="7"/>
  <c r="O107" i="7"/>
  <c r="O148" i="7"/>
  <c r="O302" i="7"/>
  <c r="O212" i="7"/>
  <c r="O309" i="7"/>
  <c r="O126" i="7"/>
  <c r="O78" i="7"/>
  <c r="O285" i="7" l="1"/>
  <c r="O177" i="7"/>
  <c r="O237" i="7"/>
  <c r="O214" i="7"/>
  <c r="O108" i="7"/>
  <c r="O89" i="7"/>
  <c r="O51" i="7"/>
  <c r="O53" i="7"/>
  <c r="O18" i="7"/>
  <c r="O15" i="7"/>
  <c r="O106" i="7"/>
  <c r="S120" i="18"/>
  <c r="S42" i="18"/>
  <c r="S18" i="18"/>
  <c r="S47" i="18"/>
  <c r="S25" i="18"/>
  <c r="S114" i="18"/>
  <c r="O149" i="7"/>
  <c r="O162" i="7"/>
  <c r="O286" i="7"/>
  <c r="O167" i="7"/>
  <c r="O208" i="7"/>
  <c r="O295" i="7"/>
  <c r="O143" i="7"/>
  <c r="O236" i="7"/>
  <c r="O186" i="7"/>
  <c r="O304" i="7"/>
  <c r="Q51" i="7" l="1"/>
  <c r="Q162" i="7"/>
  <c r="L51" i="7" l="1"/>
  <c r="L162" i="7"/>
  <c r="Q177" i="7"/>
  <c r="Q13" i="7"/>
  <c r="L13" i="7" s="1"/>
  <c r="L177" i="7" l="1"/>
  <c r="E23" i="6" l="1"/>
  <c r="Q68" i="7" l="1"/>
  <c r="L68" i="7" l="1"/>
  <c r="L5" i="3" l="1"/>
  <c r="D5" i="3"/>
  <c r="M128" i="18"/>
  <c r="T128" i="18" s="1"/>
  <c r="L128" i="18"/>
  <c r="U128" i="18" s="1"/>
  <c r="J128" i="18"/>
  <c r="R128" i="18" s="1"/>
  <c r="I128" i="18"/>
  <c r="Q128" i="18" s="1"/>
  <c r="H128" i="18"/>
  <c r="G128" i="18"/>
  <c r="E128" i="18"/>
  <c r="D128" i="18"/>
  <c r="C128" i="18"/>
  <c r="M127" i="18"/>
  <c r="T127" i="18" s="1"/>
  <c r="L127" i="18"/>
  <c r="U127" i="18" s="1"/>
  <c r="J127" i="18"/>
  <c r="R127" i="18" s="1"/>
  <c r="I127" i="18"/>
  <c r="Q127" i="18" s="1"/>
  <c r="H127" i="18"/>
  <c r="G127" i="18"/>
  <c r="E127" i="18"/>
  <c r="D127" i="18"/>
  <c r="C127" i="18"/>
  <c r="M126" i="18"/>
  <c r="T126" i="18" s="1"/>
  <c r="L126" i="18"/>
  <c r="U126" i="18" s="1"/>
  <c r="J126" i="18"/>
  <c r="R126" i="18" s="1"/>
  <c r="I126" i="18"/>
  <c r="Q126" i="18" s="1"/>
  <c r="H126" i="18"/>
  <c r="G126" i="18"/>
  <c r="E126" i="18"/>
  <c r="D126" i="18"/>
  <c r="C126" i="18"/>
  <c r="M125" i="18"/>
  <c r="T125" i="18" s="1"/>
  <c r="L125" i="18"/>
  <c r="U125" i="18" s="1"/>
  <c r="J125" i="18"/>
  <c r="R125" i="18" s="1"/>
  <c r="I125" i="18"/>
  <c r="Q125" i="18" s="1"/>
  <c r="H125" i="18"/>
  <c r="G125" i="18"/>
  <c r="E125" i="18"/>
  <c r="D125" i="18"/>
  <c r="C125" i="18"/>
  <c r="M122" i="18"/>
  <c r="T122" i="18" s="1"/>
  <c r="L122" i="18"/>
  <c r="U122" i="18" s="1"/>
  <c r="J122" i="18"/>
  <c r="R122" i="18" s="1"/>
  <c r="I122" i="18"/>
  <c r="Q122" i="18" s="1"/>
  <c r="H122" i="18"/>
  <c r="G122" i="18"/>
  <c r="E122" i="18"/>
  <c r="D122" i="18"/>
  <c r="C122" i="18"/>
  <c r="M113" i="18"/>
  <c r="T113" i="18" s="1"/>
  <c r="L113" i="18"/>
  <c r="U113" i="18" s="1"/>
  <c r="J113" i="18"/>
  <c r="R113" i="18" s="1"/>
  <c r="I113" i="18"/>
  <c r="Q113" i="18" s="1"/>
  <c r="H113" i="18"/>
  <c r="G113" i="18"/>
  <c r="E113" i="18"/>
  <c r="D113" i="18"/>
  <c r="C113" i="18"/>
  <c r="M121" i="18"/>
  <c r="T121" i="18" s="1"/>
  <c r="L121" i="18"/>
  <c r="U121" i="18" s="1"/>
  <c r="J121" i="18"/>
  <c r="R121" i="18" s="1"/>
  <c r="I121" i="18"/>
  <c r="Q121" i="18" s="1"/>
  <c r="H121" i="18"/>
  <c r="G121" i="18"/>
  <c r="E121" i="18"/>
  <c r="D121" i="18"/>
  <c r="C121" i="18"/>
  <c r="M118" i="18"/>
  <c r="T118" i="18" s="1"/>
  <c r="L118" i="18"/>
  <c r="U118" i="18" s="1"/>
  <c r="J118" i="18"/>
  <c r="R118" i="18" s="1"/>
  <c r="I118" i="18"/>
  <c r="Q118" i="18" s="1"/>
  <c r="H118" i="18"/>
  <c r="G118" i="18"/>
  <c r="E118" i="18"/>
  <c r="D118" i="18"/>
  <c r="C118" i="18"/>
  <c r="M102" i="18"/>
  <c r="T102" i="18" s="1"/>
  <c r="L102" i="18"/>
  <c r="U102" i="18" s="1"/>
  <c r="J102" i="18"/>
  <c r="R102" i="18" s="1"/>
  <c r="I102" i="18"/>
  <c r="Q102" i="18" s="1"/>
  <c r="H102" i="18"/>
  <c r="G102" i="18"/>
  <c r="E102" i="18"/>
  <c r="D102" i="18"/>
  <c r="C102" i="18"/>
  <c r="M114" i="18"/>
  <c r="L114" i="18"/>
  <c r="J114" i="18"/>
  <c r="I114" i="18"/>
  <c r="H114" i="18"/>
  <c r="G114" i="18"/>
  <c r="E114" i="18"/>
  <c r="D114" i="18"/>
  <c r="C114" i="18"/>
  <c r="M115" i="18"/>
  <c r="T115" i="18" s="1"/>
  <c r="L115" i="18"/>
  <c r="U115" i="18" s="1"/>
  <c r="J115" i="18"/>
  <c r="R115" i="18" s="1"/>
  <c r="I115" i="18"/>
  <c r="Q115" i="18" s="1"/>
  <c r="H115" i="18"/>
  <c r="G115" i="18"/>
  <c r="E115" i="18"/>
  <c r="D115" i="18"/>
  <c r="C115" i="18"/>
  <c r="M117" i="18"/>
  <c r="T117" i="18" s="1"/>
  <c r="L117" i="18"/>
  <c r="U117" i="18" s="1"/>
  <c r="J117" i="18"/>
  <c r="R117" i="18" s="1"/>
  <c r="I117" i="18"/>
  <c r="Q117" i="18" s="1"/>
  <c r="H117" i="18"/>
  <c r="G117" i="18"/>
  <c r="E117" i="18"/>
  <c r="D117" i="18"/>
  <c r="C117" i="18"/>
  <c r="M116" i="18"/>
  <c r="T116" i="18" s="1"/>
  <c r="L116" i="18"/>
  <c r="U116" i="18" s="1"/>
  <c r="J116" i="18"/>
  <c r="R116" i="18" s="1"/>
  <c r="I116" i="18"/>
  <c r="Q116" i="18" s="1"/>
  <c r="H116" i="18"/>
  <c r="G116" i="18"/>
  <c r="E116" i="18"/>
  <c r="D116" i="18"/>
  <c r="C116" i="18"/>
  <c r="M111" i="18"/>
  <c r="T111" i="18" s="1"/>
  <c r="L111" i="18"/>
  <c r="U111" i="18" s="1"/>
  <c r="J111" i="18"/>
  <c r="R111" i="18" s="1"/>
  <c r="I111" i="18"/>
  <c r="Q111" i="18" s="1"/>
  <c r="H111" i="18"/>
  <c r="G111" i="18"/>
  <c r="E111" i="18"/>
  <c r="D111" i="18"/>
  <c r="C111" i="18"/>
  <c r="M123" i="18"/>
  <c r="T123" i="18" s="1"/>
  <c r="L123" i="18"/>
  <c r="U123" i="18" s="1"/>
  <c r="J123" i="18"/>
  <c r="R123" i="18" s="1"/>
  <c r="I123" i="18"/>
  <c r="Q123" i="18" s="1"/>
  <c r="H123" i="18"/>
  <c r="G123" i="18"/>
  <c r="E123" i="18"/>
  <c r="D123" i="18"/>
  <c r="C123" i="18"/>
  <c r="M112" i="18"/>
  <c r="T112" i="18" s="1"/>
  <c r="L112" i="18"/>
  <c r="U112" i="18" s="1"/>
  <c r="J112" i="18"/>
  <c r="R112" i="18" s="1"/>
  <c r="I112" i="18"/>
  <c r="Q112" i="18" s="1"/>
  <c r="H112" i="18"/>
  <c r="G112" i="18"/>
  <c r="E112" i="18"/>
  <c r="D112" i="18"/>
  <c r="C112" i="18"/>
  <c r="M110" i="18"/>
  <c r="T110" i="18" s="1"/>
  <c r="L110" i="18"/>
  <c r="U110" i="18" s="1"/>
  <c r="J110" i="18"/>
  <c r="R110" i="18" s="1"/>
  <c r="I110" i="18"/>
  <c r="Q110" i="18" s="1"/>
  <c r="H110" i="18"/>
  <c r="G110" i="18"/>
  <c r="E110" i="18"/>
  <c r="D110" i="18"/>
  <c r="C110" i="18"/>
  <c r="M103" i="18"/>
  <c r="T103" i="18" s="1"/>
  <c r="L103" i="18"/>
  <c r="U103" i="18" s="1"/>
  <c r="J103" i="18"/>
  <c r="R103" i="18" s="1"/>
  <c r="I103" i="18"/>
  <c r="Q103" i="18" s="1"/>
  <c r="H103" i="18"/>
  <c r="G103" i="18"/>
  <c r="E103" i="18"/>
  <c r="D103" i="18"/>
  <c r="C103" i="18"/>
  <c r="M109" i="18"/>
  <c r="T109" i="18" s="1"/>
  <c r="L109" i="18"/>
  <c r="U109" i="18" s="1"/>
  <c r="J109" i="18"/>
  <c r="R109" i="18" s="1"/>
  <c r="I109" i="18"/>
  <c r="Q109" i="18" s="1"/>
  <c r="H109" i="18"/>
  <c r="G109" i="18"/>
  <c r="E109" i="18"/>
  <c r="D109" i="18"/>
  <c r="C109" i="18"/>
  <c r="M104" i="18"/>
  <c r="T104" i="18" s="1"/>
  <c r="L104" i="18"/>
  <c r="U104" i="18" s="1"/>
  <c r="J104" i="18"/>
  <c r="R104" i="18" s="1"/>
  <c r="I104" i="18"/>
  <c r="Q104" i="18" s="1"/>
  <c r="H104" i="18"/>
  <c r="G104" i="18"/>
  <c r="E104" i="18"/>
  <c r="D104" i="18"/>
  <c r="C104" i="18"/>
  <c r="M106" i="18"/>
  <c r="T106" i="18" s="1"/>
  <c r="L106" i="18"/>
  <c r="U106" i="18" s="1"/>
  <c r="J106" i="18"/>
  <c r="R106" i="18" s="1"/>
  <c r="I106" i="18"/>
  <c r="Q106" i="18" s="1"/>
  <c r="H106" i="18"/>
  <c r="G106" i="18"/>
  <c r="E106" i="18"/>
  <c r="D106" i="18"/>
  <c r="C106" i="18"/>
  <c r="M108" i="18"/>
  <c r="T108" i="18" s="1"/>
  <c r="L108" i="18"/>
  <c r="U108" i="18" s="1"/>
  <c r="J108" i="18"/>
  <c r="R108" i="18" s="1"/>
  <c r="I108" i="18"/>
  <c r="Q108" i="18" s="1"/>
  <c r="H108" i="18"/>
  <c r="G108" i="18"/>
  <c r="E108" i="18"/>
  <c r="D108" i="18"/>
  <c r="C108" i="18"/>
  <c r="M119" i="18"/>
  <c r="T119" i="18" s="1"/>
  <c r="L119" i="18"/>
  <c r="U119" i="18" s="1"/>
  <c r="J119" i="18"/>
  <c r="R119" i="18" s="1"/>
  <c r="I119" i="18"/>
  <c r="Q119" i="18" s="1"/>
  <c r="H119" i="18"/>
  <c r="G119" i="18"/>
  <c r="E119" i="18"/>
  <c r="D119" i="18"/>
  <c r="C119" i="18"/>
  <c r="M107" i="18"/>
  <c r="T107" i="18" s="1"/>
  <c r="L107" i="18"/>
  <c r="U107" i="18" s="1"/>
  <c r="J107" i="18"/>
  <c r="R107" i="18" s="1"/>
  <c r="I107" i="18"/>
  <c r="Q107" i="18" s="1"/>
  <c r="H107" i="18"/>
  <c r="G107" i="18"/>
  <c r="E107" i="18"/>
  <c r="D107" i="18"/>
  <c r="C107" i="18"/>
  <c r="M101" i="18"/>
  <c r="T101" i="18" s="1"/>
  <c r="L101" i="18"/>
  <c r="U101" i="18" s="1"/>
  <c r="J101" i="18"/>
  <c r="R101" i="18" s="1"/>
  <c r="I101" i="18"/>
  <c r="Q101" i="18" s="1"/>
  <c r="H101" i="18"/>
  <c r="G101" i="18"/>
  <c r="E101" i="18"/>
  <c r="D101" i="18"/>
  <c r="C101" i="18"/>
  <c r="M105" i="18"/>
  <c r="T105" i="18" s="1"/>
  <c r="L105" i="18"/>
  <c r="U105" i="18" s="1"/>
  <c r="J105" i="18"/>
  <c r="R105" i="18" s="1"/>
  <c r="I105" i="18"/>
  <c r="Q105" i="18" s="1"/>
  <c r="H105" i="18"/>
  <c r="G105" i="18"/>
  <c r="E105" i="18"/>
  <c r="D105" i="18"/>
  <c r="C105" i="18"/>
  <c r="M96" i="18"/>
  <c r="T96" i="18" s="1"/>
  <c r="L96" i="18"/>
  <c r="U96" i="18" s="1"/>
  <c r="J96" i="18"/>
  <c r="R96" i="18" s="1"/>
  <c r="I96" i="18"/>
  <c r="Q96" i="18" s="1"/>
  <c r="H96" i="18"/>
  <c r="G96" i="18"/>
  <c r="E96" i="18"/>
  <c r="D96" i="18"/>
  <c r="C96" i="18"/>
  <c r="M98" i="18"/>
  <c r="T98" i="18" s="1"/>
  <c r="L98" i="18"/>
  <c r="U98" i="18" s="1"/>
  <c r="J98" i="18"/>
  <c r="R98" i="18" s="1"/>
  <c r="I98" i="18"/>
  <c r="Q98" i="18" s="1"/>
  <c r="H98" i="18"/>
  <c r="G98" i="18"/>
  <c r="E98" i="18"/>
  <c r="D98" i="18"/>
  <c r="C98" i="18"/>
  <c r="M99" i="18"/>
  <c r="T99" i="18" s="1"/>
  <c r="L99" i="18"/>
  <c r="U99" i="18" s="1"/>
  <c r="J99" i="18"/>
  <c r="R99" i="18" s="1"/>
  <c r="I99" i="18"/>
  <c r="Q99" i="18" s="1"/>
  <c r="H99" i="18"/>
  <c r="G99" i="18"/>
  <c r="E99" i="18"/>
  <c r="D99" i="18"/>
  <c r="C99" i="18"/>
  <c r="M97" i="18"/>
  <c r="T97" i="18" s="1"/>
  <c r="L97" i="18"/>
  <c r="U97" i="18" s="1"/>
  <c r="J97" i="18"/>
  <c r="R97" i="18" s="1"/>
  <c r="I97" i="18"/>
  <c r="Q97" i="18" s="1"/>
  <c r="H97" i="18"/>
  <c r="G97" i="18"/>
  <c r="E97" i="18"/>
  <c r="D97" i="18"/>
  <c r="C97" i="18"/>
  <c r="M88" i="18"/>
  <c r="T88" i="18" s="1"/>
  <c r="L88" i="18"/>
  <c r="U88" i="18" s="1"/>
  <c r="J88" i="18"/>
  <c r="R88" i="18" s="1"/>
  <c r="I88" i="18"/>
  <c r="Q88" i="18" s="1"/>
  <c r="H88" i="18"/>
  <c r="G88" i="18"/>
  <c r="E88" i="18"/>
  <c r="D88" i="18"/>
  <c r="C88" i="18"/>
  <c r="M89" i="18"/>
  <c r="T89" i="18" s="1"/>
  <c r="L89" i="18"/>
  <c r="U89" i="18" s="1"/>
  <c r="J89" i="18"/>
  <c r="R89" i="18" s="1"/>
  <c r="I89" i="18"/>
  <c r="Q89" i="18" s="1"/>
  <c r="H89" i="18"/>
  <c r="G89" i="18"/>
  <c r="E89" i="18"/>
  <c r="D89" i="18"/>
  <c r="C89" i="18"/>
  <c r="M93" i="18"/>
  <c r="T93" i="18" s="1"/>
  <c r="L93" i="18"/>
  <c r="U93" i="18" s="1"/>
  <c r="J93" i="18"/>
  <c r="R93" i="18" s="1"/>
  <c r="I93" i="18"/>
  <c r="Q93" i="18" s="1"/>
  <c r="H93" i="18"/>
  <c r="G93" i="18"/>
  <c r="E93" i="18"/>
  <c r="D93" i="18"/>
  <c r="C93" i="18"/>
  <c r="M91" i="18"/>
  <c r="T91" i="18" s="1"/>
  <c r="L91" i="18"/>
  <c r="U91" i="18" s="1"/>
  <c r="J91" i="18"/>
  <c r="R91" i="18" s="1"/>
  <c r="I91" i="18"/>
  <c r="Q91" i="18" s="1"/>
  <c r="H91" i="18"/>
  <c r="G91" i="18"/>
  <c r="E91" i="18"/>
  <c r="D91" i="18"/>
  <c r="C91" i="18"/>
  <c r="M92" i="18"/>
  <c r="T92" i="18" s="1"/>
  <c r="L92" i="18"/>
  <c r="U92" i="18" s="1"/>
  <c r="J92" i="18"/>
  <c r="R92" i="18" s="1"/>
  <c r="I92" i="18"/>
  <c r="Q92" i="18" s="1"/>
  <c r="H92" i="18"/>
  <c r="G92" i="18"/>
  <c r="E92" i="18"/>
  <c r="D92" i="18"/>
  <c r="C92" i="18"/>
  <c r="M94" i="18"/>
  <c r="T94" i="18" s="1"/>
  <c r="L94" i="18"/>
  <c r="U94" i="18" s="1"/>
  <c r="J94" i="18"/>
  <c r="R94" i="18" s="1"/>
  <c r="I94" i="18"/>
  <c r="Q94" i="18" s="1"/>
  <c r="H94" i="18"/>
  <c r="G94" i="18"/>
  <c r="E94" i="18"/>
  <c r="D94" i="18"/>
  <c r="C94" i="18"/>
  <c r="M86" i="18"/>
  <c r="T86" i="18" s="1"/>
  <c r="L86" i="18"/>
  <c r="U86" i="18" s="1"/>
  <c r="J86" i="18"/>
  <c r="R86" i="18" s="1"/>
  <c r="I86" i="18"/>
  <c r="Q86" i="18" s="1"/>
  <c r="H86" i="18"/>
  <c r="G86" i="18"/>
  <c r="E86" i="18"/>
  <c r="D86" i="18"/>
  <c r="C86" i="18"/>
  <c r="M84" i="18"/>
  <c r="T84" i="18" s="1"/>
  <c r="L84" i="18"/>
  <c r="U84" i="18" s="1"/>
  <c r="J84" i="18"/>
  <c r="R84" i="18" s="1"/>
  <c r="I84" i="18"/>
  <c r="Q84" i="18" s="1"/>
  <c r="H84" i="18"/>
  <c r="G84" i="18"/>
  <c r="E84" i="18"/>
  <c r="D84" i="18"/>
  <c r="C84" i="18"/>
  <c r="M85" i="18"/>
  <c r="T85" i="18" s="1"/>
  <c r="L85" i="18"/>
  <c r="U85" i="18" s="1"/>
  <c r="J85" i="18"/>
  <c r="R85" i="18" s="1"/>
  <c r="I85" i="18"/>
  <c r="Q85" i="18" s="1"/>
  <c r="H85" i="18"/>
  <c r="G85" i="18"/>
  <c r="E85" i="18"/>
  <c r="D85" i="18"/>
  <c r="C85" i="18"/>
  <c r="M90" i="18"/>
  <c r="T90" i="18" s="1"/>
  <c r="L90" i="18"/>
  <c r="U90" i="18" s="1"/>
  <c r="J90" i="18"/>
  <c r="R90" i="18" s="1"/>
  <c r="I90" i="18"/>
  <c r="Q90" i="18" s="1"/>
  <c r="H90" i="18"/>
  <c r="G90" i="18"/>
  <c r="E90" i="18"/>
  <c r="D90" i="18"/>
  <c r="C90" i="18"/>
  <c r="M82" i="18"/>
  <c r="T82" i="18" s="1"/>
  <c r="L82" i="18"/>
  <c r="U82" i="18" s="1"/>
  <c r="J82" i="18"/>
  <c r="R82" i="18" s="1"/>
  <c r="I82" i="18"/>
  <c r="Q82" i="18" s="1"/>
  <c r="H82" i="18"/>
  <c r="G82" i="18"/>
  <c r="E82" i="18"/>
  <c r="D82" i="18"/>
  <c r="C82" i="18"/>
  <c r="M87" i="18"/>
  <c r="T87" i="18" s="1"/>
  <c r="L87" i="18"/>
  <c r="U87" i="18" s="1"/>
  <c r="J87" i="18"/>
  <c r="R87" i="18" s="1"/>
  <c r="I87" i="18"/>
  <c r="Q87" i="18" s="1"/>
  <c r="H87" i="18"/>
  <c r="G87" i="18"/>
  <c r="E87" i="18"/>
  <c r="D87" i="18"/>
  <c r="C87" i="18"/>
  <c r="M81" i="18"/>
  <c r="T81" i="18" s="1"/>
  <c r="L81" i="18"/>
  <c r="U81" i="18" s="1"/>
  <c r="J81" i="18"/>
  <c r="R81" i="18" s="1"/>
  <c r="I81" i="18"/>
  <c r="Q81" i="18" s="1"/>
  <c r="H81" i="18"/>
  <c r="G81" i="18"/>
  <c r="E81" i="18"/>
  <c r="D81" i="18"/>
  <c r="C81" i="18"/>
  <c r="M83" i="18"/>
  <c r="T83" i="18" s="1"/>
  <c r="L83" i="18"/>
  <c r="U83" i="18" s="1"/>
  <c r="J83" i="18"/>
  <c r="R83" i="18" s="1"/>
  <c r="I83" i="18"/>
  <c r="Q83" i="18" s="1"/>
  <c r="H83" i="18"/>
  <c r="G83" i="18"/>
  <c r="E83" i="18"/>
  <c r="D83" i="18"/>
  <c r="C83" i="18"/>
  <c r="M78" i="18"/>
  <c r="T78" i="18" s="1"/>
  <c r="L78" i="18"/>
  <c r="U78" i="18" s="1"/>
  <c r="J78" i="18"/>
  <c r="R78" i="18" s="1"/>
  <c r="I78" i="18"/>
  <c r="Q78" i="18" s="1"/>
  <c r="H78" i="18"/>
  <c r="G78" i="18"/>
  <c r="E78" i="18"/>
  <c r="D78" i="18"/>
  <c r="C78" i="18"/>
  <c r="M77" i="18"/>
  <c r="T77" i="18" s="1"/>
  <c r="L77" i="18"/>
  <c r="U77" i="18" s="1"/>
  <c r="J77" i="18"/>
  <c r="R77" i="18" s="1"/>
  <c r="I77" i="18"/>
  <c r="Q77" i="18" s="1"/>
  <c r="H77" i="18"/>
  <c r="G77" i="18"/>
  <c r="E77" i="18"/>
  <c r="D77" i="18"/>
  <c r="C77" i="18"/>
  <c r="M74" i="18"/>
  <c r="T74" i="18" s="1"/>
  <c r="L74" i="18"/>
  <c r="U74" i="18" s="1"/>
  <c r="J74" i="18"/>
  <c r="R74" i="18" s="1"/>
  <c r="I74" i="18"/>
  <c r="Q74" i="18" s="1"/>
  <c r="H74" i="18"/>
  <c r="G74" i="18"/>
  <c r="E74" i="18"/>
  <c r="D74" i="18"/>
  <c r="C74" i="18"/>
  <c r="M80" i="18"/>
  <c r="T80" i="18" s="1"/>
  <c r="L80" i="18"/>
  <c r="U80" i="18" s="1"/>
  <c r="J80" i="18"/>
  <c r="R80" i="18" s="1"/>
  <c r="I80" i="18"/>
  <c r="Q80" i="18" s="1"/>
  <c r="H80" i="18"/>
  <c r="G80" i="18"/>
  <c r="E80" i="18"/>
  <c r="D80" i="18"/>
  <c r="C80" i="18"/>
  <c r="M75" i="18"/>
  <c r="T75" i="18" s="1"/>
  <c r="L75" i="18"/>
  <c r="U75" i="18" s="1"/>
  <c r="J75" i="18"/>
  <c r="R75" i="18" s="1"/>
  <c r="I75" i="18"/>
  <c r="Q75" i="18" s="1"/>
  <c r="H75" i="18"/>
  <c r="G75" i="18"/>
  <c r="E75" i="18"/>
  <c r="D75" i="18"/>
  <c r="C75" i="18"/>
  <c r="M69" i="18"/>
  <c r="T69" i="18" s="1"/>
  <c r="L69" i="18"/>
  <c r="U69" i="18" s="1"/>
  <c r="J69" i="18"/>
  <c r="R69" i="18" s="1"/>
  <c r="I69" i="18"/>
  <c r="Q69" i="18" s="1"/>
  <c r="H69" i="18"/>
  <c r="G69" i="18"/>
  <c r="E69" i="18"/>
  <c r="D69" i="18"/>
  <c r="C69" i="18"/>
  <c r="M73" i="18"/>
  <c r="T73" i="18" s="1"/>
  <c r="L73" i="18"/>
  <c r="U73" i="18" s="1"/>
  <c r="J73" i="18"/>
  <c r="R73" i="18" s="1"/>
  <c r="I73" i="18"/>
  <c r="Q73" i="18" s="1"/>
  <c r="H73" i="18"/>
  <c r="G73" i="18"/>
  <c r="E73" i="18"/>
  <c r="D73" i="18"/>
  <c r="C73" i="18"/>
  <c r="M76" i="18"/>
  <c r="T76" i="18" s="1"/>
  <c r="L76" i="18"/>
  <c r="U76" i="18" s="1"/>
  <c r="J76" i="18"/>
  <c r="R76" i="18" s="1"/>
  <c r="I76" i="18"/>
  <c r="Q76" i="18" s="1"/>
  <c r="H76" i="18"/>
  <c r="G76" i="18"/>
  <c r="E76" i="18"/>
  <c r="D76" i="18"/>
  <c r="C76" i="18"/>
  <c r="M71" i="18"/>
  <c r="T71" i="18" s="1"/>
  <c r="L71" i="18"/>
  <c r="U71" i="18" s="1"/>
  <c r="J71" i="18"/>
  <c r="R71" i="18" s="1"/>
  <c r="I71" i="18"/>
  <c r="Q71" i="18" s="1"/>
  <c r="H71" i="18"/>
  <c r="G71" i="18"/>
  <c r="E71" i="18"/>
  <c r="D71" i="18"/>
  <c r="C71" i="18"/>
  <c r="M70" i="18"/>
  <c r="T70" i="18" s="1"/>
  <c r="L70" i="18"/>
  <c r="U70" i="18" s="1"/>
  <c r="J70" i="18"/>
  <c r="R70" i="18" s="1"/>
  <c r="I70" i="18"/>
  <c r="Q70" i="18" s="1"/>
  <c r="H70" i="18"/>
  <c r="G70" i="18"/>
  <c r="E70" i="18"/>
  <c r="D70" i="18"/>
  <c r="C70" i="18"/>
  <c r="M79" i="18"/>
  <c r="T79" i="18" s="1"/>
  <c r="L79" i="18"/>
  <c r="U79" i="18" s="1"/>
  <c r="J79" i="18"/>
  <c r="R79" i="18" s="1"/>
  <c r="I79" i="18"/>
  <c r="Q79" i="18" s="1"/>
  <c r="H79" i="18"/>
  <c r="G79" i="18"/>
  <c r="E79" i="18"/>
  <c r="D79" i="18"/>
  <c r="C79" i="18"/>
  <c r="M68" i="18"/>
  <c r="T68" i="18" s="1"/>
  <c r="L68" i="18"/>
  <c r="U68" i="18" s="1"/>
  <c r="J68" i="18"/>
  <c r="R68" i="18" s="1"/>
  <c r="I68" i="18"/>
  <c r="Q68" i="18" s="1"/>
  <c r="H68" i="18"/>
  <c r="G68" i="18"/>
  <c r="E68" i="18"/>
  <c r="D68" i="18"/>
  <c r="C68" i="18"/>
  <c r="M67" i="18"/>
  <c r="T67" i="18" s="1"/>
  <c r="L67" i="18"/>
  <c r="U67" i="18" s="1"/>
  <c r="J67" i="18"/>
  <c r="R67" i="18" s="1"/>
  <c r="I67" i="18"/>
  <c r="Q67" i="18" s="1"/>
  <c r="H67" i="18"/>
  <c r="G67" i="18"/>
  <c r="E67" i="18"/>
  <c r="D67" i="18"/>
  <c r="C67" i="18"/>
  <c r="M66" i="18"/>
  <c r="T66" i="18" s="1"/>
  <c r="L66" i="18"/>
  <c r="U66" i="18" s="1"/>
  <c r="J66" i="18"/>
  <c r="R66" i="18" s="1"/>
  <c r="I66" i="18"/>
  <c r="Q66" i="18" s="1"/>
  <c r="H66" i="18"/>
  <c r="G66" i="18"/>
  <c r="E66" i="18"/>
  <c r="D66" i="18"/>
  <c r="C66" i="18"/>
  <c r="M64" i="18"/>
  <c r="T64" i="18" s="1"/>
  <c r="L64" i="18"/>
  <c r="U64" i="18" s="1"/>
  <c r="J64" i="18"/>
  <c r="R64" i="18" s="1"/>
  <c r="I64" i="18"/>
  <c r="Q64" i="18" s="1"/>
  <c r="H64" i="18"/>
  <c r="G64" i="18"/>
  <c r="E64" i="18"/>
  <c r="D64" i="18"/>
  <c r="C64" i="18"/>
  <c r="M63" i="18"/>
  <c r="T63" i="18" s="1"/>
  <c r="L63" i="18"/>
  <c r="U63" i="18" s="1"/>
  <c r="J63" i="18"/>
  <c r="R63" i="18" s="1"/>
  <c r="I63" i="18"/>
  <c r="Q63" i="18" s="1"/>
  <c r="H63" i="18"/>
  <c r="G63" i="18"/>
  <c r="E63" i="18"/>
  <c r="D63" i="18"/>
  <c r="C63" i="18"/>
  <c r="M61" i="18"/>
  <c r="T61" i="18" s="1"/>
  <c r="L61" i="18"/>
  <c r="U61" i="18" s="1"/>
  <c r="J61" i="18"/>
  <c r="R61" i="18" s="1"/>
  <c r="I61" i="18"/>
  <c r="Q61" i="18" s="1"/>
  <c r="H61" i="18"/>
  <c r="G61" i="18"/>
  <c r="E61" i="18"/>
  <c r="D61" i="18"/>
  <c r="C61" i="18"/>
  <c r="M62" i="18"/>
  <c r="L62" i="18"/>
  <c r="J62" i="18"/>
  <c r="I62" i="18"/>
  <c r="H62" i="18"/>
  <c r="G62" i="18"/>
  <c r="E62" i="18"/>
  <c r="D62" i="18"/>
  <c r="C62" i="18"/>
  <c r="M60" i="18"/>
  <c r="T60" i="18" s="1"/>
  <c r="L60" i="18"/>
  <c r="U60" i="18" s="1"/>
  <c r="J60" i="18"/>
  <c r="R60" i="18" s="1"/>
  <c r="I60" i="18"/>
  <c r="Q60" i="18" s="1"/>
  <c r="H60" i="18"/>
  <c r="G60" i="18"/>
  <c r="E60" i="18"/>
  <c r="D60" i="18"/>
  <c r="C60" i="18"/>
  <c r="M55" i="18"/>
  <c r="T55" i="18" s="1"/>
  <c r="L55" i="18"/>
  <c r="U55" i="18" s="1"/>
  <c r="J55" i="18"/>
  <c r="R55" i="18" s="1"/>
  <c r="I55" i="18"/>
  <c r="Q55" i="18" s="1"/>
  <c r="H55" i="18"/>
  <c r="G55" i="18"/>
  <c r="E55" i="18"/>
  <c r="D55" i="18"/>
  <c r="C55" i="18"/>
  <c r="M58" i="18"/>
  <c r="T58" i="18" s="1"/>
  <c r="L58" i="18"/>
  <c r="U58" i="18" s="1"/>
  <c r="J58" i="18"/>
  <c r="R58" i="18" s="1"/>
  <c r="I58" i="18"/>
  <c r="Q58" i="18" s="1"/>
  <c r="H58" i="18"/>
  <c r="G58" i="18"/>
  <c r="E58" i="18"/>
  <c r="D58" i="18"/>
  <c r="C58" i="18"/>
  <c r="M72" i="18"/>
  <c r="T72" i="18" s="1"/>
  <c r="L72" i="18"/>
  <c r="U72" i="18" s="1"/>
  <c r="J72" i="18"/>
  <c r="R72" i="18" s="1"/>
  <c r="I72" i="18"/>
  <c r="Q72" i="18" s="1"/>
  <c r="H72" i="18"/>
  <c r="G72" i="18"/>
  <c r="E72" i="18"/>
  <c r="D72" i="18"/>
  <c r="C72" i="18"/>
  <c r="M56" i="18"/>
  <c r="T56" i="18" s="1"/>
  <c r="L56" i="18"/>
  <c r="U56" i="18" s="1"/>
  <c r="J56" i="18"/>
  <c r="R56" i="18" s="1"/>
  <c r="I56" i="18"/>
  <c r="Q56" i="18" s="1"/>
  <c r="H56" i="18"/>
  <c r="G56" i="18"/>
  <c r="E56" i="18"/>
  <c r="D56" i="18"/>
  <c r="C56" i="18"/>
  <c r="M59" i="18"/>
  <c r="T59" i="18" s="1"/>
  <c r="L59" i="18"/>
  <c r="U59" i="18" s="1"/>
  <c r="J59" i="18"/>
  <c r="R59" i="18" s="1"/>
  <c r="I59" i="18"/>
  <c r="Q59" i="18" s="1"/>
  <c r="H59" i="18"/>
  <c r="G59" i="18"/>
  <c r="E59" i="18"/>
  <c r="D59" i="18"/>
  <c r="C59" i="18"/>
  <c r="M57" i="18"/>
  <c r="T57" i="18" s="1"/>
  <c r="L57" i="18"/>
  <c r="U57" i="18" s="1"/>
  <c r="J57" i="18"/>
  <c r="R57" i="18" s="1"/>
  <c r="I57" i="18"/>
  <c r="Q57" i="18" s="1"/>
  <c r="H57" i="18"/>
  <c r="G57" i="18"/>
  <c r="E57" i="18"/>
  <c r="D57" i="18"/>
  <c r="C57" i="18"/>
  <c r="M51" i="18"/>
  <c r="T51" i="18" s="1"/>
  <c r="L51" i="18"/>
  <c r="U51" i="18" s="1"/>
  <c r="J51" i="18"/>
  <c r="R51" i="18" s="1"/>
  <c r="I51" i="18"/>
  <c r="Q51" i="18" s="1"/>
  <c r="H51" i="18"/>
  <c r="G51" i="18"/>
  <c r="E51" i="18"/>
  <c r="D51" i="18"/>
  <c r="C51" i="18"/>
  <c r="M53" i="18"/>
  <c r="T53" i="18" s="1"/>
  <c r="L53" i="18"/>
  <c r="U53" i="18" s="1"/>
  <c r="J53" i="18"/>
  <c r="R53" i="18" s="1"/>
  <c r="I53" i="18"/>
  <c r="Q53" i="18" s="1"/>
  <c r="H53" i="18"/>
  <c r="G53" i="18"/>
  <c r="E53" i="18"/>
  <c r="D53" i="18"/>
  <c r="C53" i="18"/>
  <c r="M50" i="18"/>
  <c r="T50" i="18" s="1"/>
  <c r="L50" i="18"/>
  <c r="U50" i="18" s="1"/>
  <c r="J50" i="18"/>
  <c r="R50" i="18" s="1"/>
  <c r="I50" i="18"/>
  <c r="Q50" i="18" s="1"/>
  <c r="H50" i="18"/>
  <c r="G50" i="18"/>
  <c r="E50" i="18"/>
  <c r="D50" i="18"/>
  <c r="C50" i="18"/>
  <c r="M49" i="18"/>
  <c r="T49" i="18" s="1"/>
  <c r="L49" i="18"/>
  <c r="U49" i="18" s="1"/>
  <c r="J49" i="18"/>
  <c r="R49" i="18" s="1"/>
  <c r="I49" i="18"/>
  <c r="Q49" i="18" s="1"/>
  <c r="H49" i="18"/>
  <c r="G49" i="18"/>
  <c r="E49" i="18"/>
  <c r="D49" i="18"/>
  <c r="C49" i="18"/>
  <c r="M48" i="18"/>
  <c r="T48" i="18" s="1"/>
  <c r="L48" i="18"/>
  <c r="U48" i="18" s="1"/>
  <c r="J48" i="18"/>
  <c r="R48" i="18" s="1"/>
  <c r="I48" i="18"/>
  <c r="Q48" i="18" s="1"/>
  <c r="H48" i="18"/>
  <c r="G48" i="18"/>
  <c r="E48" i="18"/>
  <c r="D48" i="18"/>
  <c r="C48" i="18"/>
  <c r="M47" i="18"/>
  <c r="L47" i="18"/>
  <c r="J47" i="18"/>
  <c r="I47" i="18"/>
  <c r="H47" i="18"/>
  <c r="G47" i="18"/>
  <c r="E47" i="18"/>
  <c r="D47" i="18"/>
  <c r="C47" i="18"/>
  <c r="M45" i="18"/>
  <c r="T45" i="18" s="1"/>
  <c r="L45" i="18"/>
  <c r="U45" i="18" s="1"/>
  <c r="J45" i="18"/>
  <c r="R45" i="18" s="1"/>
  <c r="I45" i="18"/>
  <c r="Q45" i="18" s="1"/>
  <c r="H45" i="18"/>
  <c r="G45" i="18"/>
  <c r="E45" i="18"/>
  <c r="D45" i="18"/>
  <c r="C45" i="18"/>
  <c r="M46" i="18"/>
  <c r="T46" i="18" s="1"/>
  <c r="L46" i="18"/>
  <c r="U46" i="18" s="1"/>
  <c r="J46" i="18"/>
  <c r="R46" i="18" s="1"/>
  <c r="I46" i="18"/>
  <c r="Q46" i="18" s="1"/>
  <c r="H46" i="18"/>
  <c r="G46" i="18"/>
  <c r="E46" i="18"/>
  <c r="D46" i="18"/>
  <c r="C46" i="18"/>
  <c r="M41" i="18"/>
  <c r="T41" i="18" s="1"/>
  <c r="L41" i="18"/>
  <c r="U41" i="18" s="1"/>
  <c r="J41" i="18"/>
  <c r="R41" i="18" s="1"/>
  <c r="I41" i="18"/>
  <c r="Q41" i="18" s="1"/>
  <c r="H41" i="18"/>
  <c r="G41" i="18"/>
  <c r="E41" i="18"/>
  <c r="D41" i="18"/>
  <c r="C41" i="18"/>
  <c r="M42" i="18"/>
  <c r="L42" i="18"/>
  <c r="J42" i="18"/>
  <c r="I42" i="18"/>
  <c r="H42" i="18"/>
  <c r="G42" i="18"/>
  <c r="E42" i="18"/>
  <c r="D42" i="18"/>
  <c r="M37" i="18"/>
  <c r="T37" i="18" s="1"/>
  <c r="L37" i="18"/>
  <c r="U37" i="18" s="1"/>
  <c r="J37" i="18"/>
  <c r="R37" i="18" s="1"/>
  <c r="I37" i="18"/>
  <c r="Q37" i="18" s="1"/>
  <c r="H37" i="18"/>
  <c r="G37" i="18"/>
  <c r="E37" i="18"/>
  <c r="D37" i="18"/>
  <c r="C37" i="18"/>
  <c r="M28" i="18"/>
  <c r="T28" i="18" s="1"/>
  <c r="L28" i="18"/>
  <c r="U28" i="18" s="1"/>
  <c r="J28" i="18"/>
  <c r="R28" i="18" s="1"/>
  <c r="I28" i="18"/>
  <c r="Q28" i="18" s="1"/>
  <c r="H28" i="18"/>
  <c r="G28" i="18"/>
  <c r="E28" i="18"/>
  <c r="D28" i="18"/>
  <c r="C28" i="18"/>
  <c r="M33" i="18"/>
  <c r="T33" i="18" s="1"/>
  <c r="L33" i="18"/>
  <c r="U33" i="18" s="1"/>
  <c r="J33" i="18"/>
  <c r="R33" i="18" s="1"/>
  <c r="I33" i="18"/>
  <c r="Q33" i="18" s="1"/>
  <c r="H33" i="18"/>
  <c r="G33" i="18"/>
  <c r="E33" i="18"/>
  <c r="D33" i="18"/>
  <c r="C33" i="18"/>
  <c r="M39" i="18"/>
  <c r="T39" i="18" s="1"/>
  <c r="L39" i="18"/>
  <c r="U39" i="18" s="1"/>
  <c r="J39" i="18"/>
  <c r="R39" i="18" s="1"/>
  <c r="I39" i="18"/>
  <c r="Q39" i="18" s="1"/>
  <c r="H39" i="18"/>
  <c r="G39" i="18"/>
  <c r="E39" i="18"/>
  <c r="D39" i="18"/>
  <c r="C39" i="18"/>
  <c r="M32" i="18"/>
  <c r="T32" i="18" s="1"/>
  <c r="L32" i="18"/>
  <c r="U32" i="18" s="1"/>
  <c r="J32" i="18"/>
  <c r="R32" i="18" s="1"/>
  <c r="I32" i="18"/>
  <c r="Q32" i="18" s="1"/>
  <c r="H32" i="18"/>
  <c r="G32" i="18"/>
  <c r="E32" i="18"/>
  <c r="D32" i="18"/>
  <c r="C32" i="18"/>
  <c r="M26" i="18"/>
  <c r="T26" i="18" s="1"/>
  <c r="L26" i="18"/>
  <c r="U26" i="18" s="1"/>
  <c r="J26" i="18"/>
  <c r="R26" i="18" s="1"/>
  <c r="I26" i="18"/>
  <c r="Q26" i="18" s="1"/>
  <c r="H26" i="18"/>
  <c r="G26" i="18"/>
  <c r="E26" i="18"/>
  <c r="D26" i="18"/>
  <c r="C26" i="18"/>
  <c r="M35" i="18"/>
  <c r="T35" i="18" s="1"/>
  <c r="L35" i="18"/>
  <c r="U35" i="18" s="1"/>
  <c r="J35" i="18"/>
  <c r="R35" i="18" s="1"/>
  <c r="I35" i="18"/>
  <c r="Q35" i="18" s="1"/>
  <c r="H35" i="18"/>
  <c r="G35" i="18"/>
  <c r="E35" i="18"/>
  <c r="D35" i="18"/>
  <c r="C35" i="18"/>
  <c r="M34" i="18"/>
  <c r="T34" i="18" s="1"/>
  <c r="L34" i="18"/>
  <c r="U34" i="18" s="1"/>
  <c r="J34" i="18"/>
  <c r="R34" i="18" s="1"/>
  <c r="I34" i="18"/>
  <c r="Q34" i="18" s="1"/>
  <c r="H34" i="18"/>
  <c r="G34" i="18"/>
  <c r="E34" i="18"/>
  <c r="D34" i="18"/>
  <c r="C34" i="18"/>
  <c r="M31" i="18"/>
  <c r="T31" i="18" s="1"/>
  <c r="L31" i="18"/>
  <c r="U31" i="18" s="1"/>
  <c r="J31" i="18"/>
  <c r="R31" i="18" s="1"/>
  <c r="I31" i="18"/>
  <c r="Q31" i="18" s="1"/>
  <c r="H31" i="18"/>
  <c r="G31" i="18"/>
  <c r="E31" i="18"/>
  <c r="D31" i="18"/>
  <c r="C31" i="18"/>
  <c r="M29" i="18"/>
  <c r="T29" i="18" s="1"/>
  <c r="L29" i="18"/>
  <c r="U29" i="18" s="1"/>
  <c r="J29" i="18"/>
  <c r="R29" i="18" s="1"/>
  <c r="I29" i="18"/>
  <c r="Q29" i="18" s="1"/>
  <c r="H29" i="18"/>
  <c r="G29" i="18"/>
  <c r="E29" i="18"/>
  <c r="D29" i="18"/>
  <c r="C29" i="18"/>
  <c r="M40" i="18"/>
  <c r="T40" i="18" s="1"/>
  <c r="L40" i="18"/>
  <c r="U40" i="18" s="1"/>
  <c r="J40" i="18"/>
  <c r="R40" i="18" s="1"/>
  <c r="I40" i="18"/>
  <c r="Q40" i="18" s="1"/>
  <c r="H40" i="18"/>
  <c r="G40" i="18"/>
  <c r="E40" i="18"/>
  <c r="D40" i="18"/>
  <c r="C40" i="18"/>
  <c r="M38" i="18"/>
  <c r="T38" i="18" s="1"/>
  <c r="L38" i="18"/>
  <c r="U38" i="18" s="1"/>
  <c r="J38" i="18"/>
  <c r="R38" i="18" s="1"/>
  <c r="I38" i="18"/>
  <c r="Q38" i="18" s="1"/>
  <c r="H38" i="18"/>
  <c r="G38" i="18"/>
  <c r="E38" i="18"/>
  <c r="D38" i="18"/>
  <c r="C38" i="18"/>
  <c r="M36" i="18"/>
  <c r="T36" i="18" s="1"/>
  <c r="L36" i="18"/>
  <c r="U36" i="18" s="1"/>
  <c r="J36" i="18"/>
  <c r="R36" i="18" s="1"/>
  <c r="I36" i="18"/>
  <c r="Q36" i="18" s="1"/>
  <c r="H36" i="18"/>
  <c r="G36" i="18"/>
  <c r="E36" i="18"/>
  <c r="D36" i="18"/>
  <c r="C36" i="18"/>
  <c r="M25" i="18"/>
  <c r="L25" i="18"/>
  <c r="J25" i="18"/>
  <c r="I25" i="18"/>
  <c r="H25" i="18"/>
  <c r="G25" i="18"/>
  <c r="E25" i="18"/>
  <c r="D25" i="18"/>
  <c r="C25" i="18"/>
  <c r="M27" i="18"/>
  <c r="T27" i="18" s="1"/>
  <c r="L27" i="18"/>
  <c r="U27" i="18" s="1"/>
  <c r="J27" i="18"/>
  <c r="R27" i="18" s="1"/>
  <c r="I27" i="18"/>
  <c r="Q27" i="18" s="1"/>
  <c r="H27" i="18"/>
  <c r="G27" i="18"/>
  <c r="E27" i="18"/>
  <c r="D27" i="18"/>
  <c r="C27" i="18"/>
  <c r="M30" i="18"/>
  <c r="T30" i="18" s="1"/>
  <c r="L30" i="18"/>
  <c r="U30" i="18" s="1"/>
  <c r="J30" i="18"/>
  <c r="R30" i="18" s="1"/>
  <c r="I30" i="18"/>
  <c r="Q30" i="18" s="1"/>
  <c r="H30" i="18"/>
  <c r="G30" i="18"/>
  <c r="E30" i="18"/>
  <c r="D30" i="18"/>
  <c r="C30" i="18"/>
  <c r="M24" i="18"/>
  <c r="T24" i="18" s="1"/>
  <c r="L24" i="18"/>
  <c r="U24" i="18" s="1"/>
  <c r="J24" i="18"/>
  <c r="R24" i="18" s="1"/>
  <c r="I24" i="18"/>
  <c r="Q24" i="18" s="1"/>
  <c r="H24" i="18"/>
  <c r="G24" i="18"/>
  <c r="E24" i="18"/>
  <c r="D24" i="18"/>
  <c r="C24" i="18"/>
  <c r="M44" i="18"/>
  <c r="T44" i="18" s="1"/>
  <c r="L44" i="18"/>
  <c r="U44" i="18" s="1"/>
  <c r="J44" i="18"/>
  <c r="R44" i="18" s="1"/>
  <c r="I44" i="18"/>
  <c r="Q44" i="18" s="1"/>
  <c r="H44" i="18"/>
  <c r="G44" i="18"/>
  <c r="E44" i="18"/>
  <c r="D44" i="18"/>
  <c r="C44" i="18"/>
  <c r="M22" i="18"/>
  <c r="T22" i="18" s="1"/>
  <c r="L22" i="18"/>
  <c r="U22" i="18" s="1"/>
  <c r="J22" i="18"/>
  <c r="R22" i="18" s="1"/>
  <c r="I22" i="18"/>
  <c r="Q22" i="18" s="1"/>
  <c r="H22" i="18"/>
  <c r="G22" i="18"/>
  <c r="E22" i="18"/>
  <c r="D22" i="18"/>
  <c r="C22" i="18"/>
  <c r="M16" i="18"/>
  <c r="T16" i="18" s="1"/>
  <c r="L16" i="18"/>
  <c r="U16" i="18" s="1"/>
  <c r="J16" i="18"/>
  <c r="R16" i="18" s="1"/>
  <c r="I16" i="18"/>
  <c r="Q16" i="18" s="1"/>
  <c r="H16" i="18"/>
  <c r="G16" i="18"/>
  <c r="E16" i="18"/>
  <c r="D16" i="18"/>
  <c r="C16" i="18"/>
  <c r="M17" i="18"/>
  <c r="T17" i="18" s="1"/>
  <c r="L17" i="18"/>
  <c r="U17" i="18" s="1"/>
  <c r="J17" i="18"/>
  <c r="R17" i="18" s="1"/>
  <c r="I17" i="18"/>
  <c r="Q17" i="18" s="1"/>
  <c r="H17" i="18"/>
  <c r="G17" i="18"/>
  <c r="E17" i="18"/>
  <c r="D17" i="18"/>
  <c r="M54" i="18"/>
  <c r="T54" i="18" s="1"/>
  <c r="L54" i="18"/>
  <c r="U54" i="18" s="1"/>
  <c r="J54" i="18"/>
  <c r="R54" i="18" s="1"/>
  <c r="I54" i="18"/>
  <c r="Q54" i="18" s="1"/>
  <c r="H54" i="18"/>
  <c r="G54" i="18"/>
  <c r="E54" i="18"/>
  <c r="D54" i="18"/>
  <c r="C54" i="18"/>
  <c r="M95" i="18"/>
  <c r="T95" i="18" s="1"/>
  <c r="L95" i="18"/>
  <c r="U95" i="18" s="1"/>
  <c r="J95" i="18"/>
  <c r="R95" i="18" s="1"/>
  <c r="I95" i="18"/>
  <c r="Q95" i="18" s="1"/>
  <c r="H95" i="18"/>
  <c r="G95" i="18"/>
  <c r="E95" i="18"/>
  <c r="D95" i="18"/>
  <c r="C95" i="18"/>
  <c r="M18" i="18"/>
  <c r="L18" i="18"/>
  <c r="J18" i="18"/>
  <c r="I18" i="18"/>
  <c r="H18" i="18"/>
  <c r="G18" i="18"/>
  <c r="E18" i="18"/>
  <c r="D18" i="18"/>
  <c r="C18" i="18"/>
  <c r="M21" i="18"/>
  <c r="T21" i="18" s="1"/>
  <c r="L21" i="18"/>
  <c r="U21" i="18" s="1"/>
  <c r="J21" i="18"/>
  <c r="R21" i="18" s="1"/>
  <c r="I21" i="18"/>
  <c r="Q21" i="18" s="1"/>
  <c r="H21" i="18"/>
  <c r="G21" i="18"/>
  <c r="E21" i="18"/>
  <c r="D21" i="18"/>
  <c r="C21" i="18"/>
  <c r="M23" i="18"/>
  <c r="T23" i="18" s="1"/>
  <c r="L23" i="18"/>
  <c r="U23" i="18" s="1"/>
  <c r="J23" i="18"/>
  <c r="R23" i="18" s="1"/>
  <c r="I23" i="18"/>
  <c r="Q23" i="18" s="1"/>
  <c r="H23" i="18"/>
  <c r="G23" i="18"/>
  <c r="E23" i="18"/>
  <c r="D23" i="18"/>
  <c r="C23" i="18"/>
  <c r="M20" i="18"/>
  <c r="T20" i="18" s="1"/>
  <c r="L20" i="18"/>
  <c r="U20" i="18" s="1"/>
  <c r="J20" i="18"/>
  <c r="R20" i="18" s="1"/>
  <c r="I20" i="18"/>
  <c r="Q20" i="18" s="1"/>
  <c r="H20" i="18"/>
  <c r="G20" i="18"/>
  <c r="E20" i="18"/>
  <c r="D20" i="18"/>
  <c r="C20" i="18"/>
  <c r="M19" i="18"/>
  <c r="T19" i="18" s="1"/>
  <c r="L19" i="18"/>
  <c r="U19" i="18" s="1"/>
  <c r="J19" i="18"/>
  <c r="R19" i="18" s="1"/>
  <c r="I19" i="18"/>
  <c r="Q19" i="18" s="1"/>
  <c r="H19" i="18"/>
  <c r="G19" i="18"/>
  <c r="E19" i="18"/>
  <c r="D19" i="18"/>
  <c r="C19" i="18"/>
  <c r="M14" i="18"/>
  <c r="T14" i="18" s="1"/>
  <c r="L14" i="18"/>
  <c r="U14" i="18" s="1"/>
  <c r="J14" i="18"/>
  <c r="R14" i="18" s="1"/>
  <c r="I14" i="18"/>
  <c r="Q14" i="18" s="1"/>
  <c r="H14" i="18"/>
  <c r="G14" i="18"/>
  <c r="E14" i="18"/>
  <c r="D14" i="18"/>
  <c r="C14" i="18"/>
  <c r="M15" i="18"/>
  <c r="T15" i="18" s="1"/>
  <c r="L15" i="18"/>
  <c r="U15" i="18" s="1"/>
  <c r="J15" i="18"/>
  <c r="R15" i="18" s="1"/>
  <c r="I15" i="18"/>
  <c r="Q15" i="18" s="1"/>
  <c r="H15" i="18"/>
  <c r="G15" i="18"/>
  <c r="E15" i="18"/>
  <c r="D15" i="18"/>
  <c r="C15" i="18"/>
  <c r="M8" i="18"/>
  <c r="T8" i="18" s="1"/>
  <c r="L8" i="18"/>
  <c r="U8" i="18" s="1"/>
  <c r="J8" i="18"/>
  <c r="R8" i="18" s="1"/>
  <c r="I8" i="18"/>
  <c r="Q8" i="18" s="1"/>
  <c r="H8" i="18"/>
  <c r="G8" i="18"/>
  <c r="E8" i="18"/>
  <c r="D8" i="18"/>
  <c r="C8" i="18"/>
  <c r="M7" i="18"/>
  <c r="T7" i="18" s="1"/>
  <c r="L7" i="18"/>
  <c r="U7" i="18" s="1"/>
  <c r="J7" i="18"/>
  <c r="R7" i="18" s="1"/>
  <c r="I7" i="18"/>
  <c r="Q7" i="18" s="1"/>
  <c r="H7" i="18"/>
  <c r="G7" i="18"/>
  <c r="E7" i="18"/>
  <c r="D7" i="18"/>
  <c r="C7" i="18"/>
  <c r="M13" i="18"/>
  <c r="T13" i="18" s="1"/>
  <c r="L13" i="18"/>
  <c r="U13" i="18" s="1"/>
  <c r="J13" i="18"/>
  <c r="R13" i="18" s="1"/>
  <c r="I13" i="18"/>
  <c r="Q13" i="18" s="1"/>
  <c r="H13" i="18"/>
  <c r="G13" i="18"/>
  <c r="E13" i="18"/>
  <c r="D13" i="18"/>
  <c r="C13" i="18"/>
  <c r="M9" i="18"/>
  <c r="T9" i="18" s="1"/>
  <c r="L9" i="18"/>
  <c r="U9" i="18" s="1"/>
  <c r="J9" i="18"/>
  <c r="R9" i="18" s="1"/>
  <c r="I9" i="18"/>
  <c r="Q9" i="18" s="1"/>
  <c r="H9" i="18"/>
  <c r="G9" i="18"/>
  <c r="E9" i="18"/>
  <c r="D9" i="18"/>
  <c r="C9" i="18"/>
  <c r="M12" i="18"/>
  <c r="T12" i="18" s="1"/>
  <c r="L12" i="18"/>
  <c r="U12" i="18" s="1"/>
  <c r="J12" i="18"/>
  <c r="R12" i="18" s="1"/>
  <c r="I12" i="18"/>
  <c r="Q12" i="18" s="1"/>
  <c r="H12" i="18"/>
  <c r="G12" i="18"/>
  <c r="E12" i="18"/>
  <c r="D12" i="18"/>
  <c r="C12" i="18"/>
  <c r="M5" i="18"/>
  <c r="T5" i="18" s="1"/>
  <c r="L5" i="18"/>
  <c r="U5" i="18" s="1"/>
  <c r="J5" i="18"/>
  <c r="R5" i="18" s="1"/>
  <c r="I5" i="18"/>
  <c r="Q5" i="18" s="1"/>
  <c r="H5" i="18"/>
  <c r="G5" i="18"/>
  <c r="E5" i="18"/>
  <c r="D5" i="18"/>
  <c r="C5" i="18"/>
  <c r="M10" i="18"/>
  <c r="T10" i="18" s="1"/>
  <c r="L10" i="18"/>
  <c r="U10" i="18" s="1"/>
  <c r="J10" i="18"/>
  <c r="R10" i="18" s="1"/>
  <c r="I10" i="18"/>
  <c r="Q10" i="18" s="1"/>
  <c r="H10" i="18"/>
  <c r="G10" i="18"/>
  <c r="E10" i="18"/>
  <c r="D10" i="18"/>
  <c r="C10" i="18"/>
  <c r="M11" i="18"/>
  <c r="T11" i="18" s="1"/>
  <c r="L11" i="18"/>
  <c r="U11" i="18" s="1"/>
  <c r="J11" i="18"/>
  <c r="R11" i="18" s="1"/>
  <c r="I11" i="18"/>
  <c r="Q11" i="18" s="1"/>
  <c r="H11" i="18"/>
  <c r="G11" i="18"/>
  <c r="E11" i="18"/>
  <c r="D11" i="18"/>
  <c r="C11" i="18"/>
  <c r="M6" i="18"/>
  <c r="T6" i="18" s="1"/>
  <c r="L6" i="18"/>
  <c r="U6" i="18" s="1"/>
  <c r="J6" i="18"/>
  <c r="R6" i="18" s="1"/>
  <c r="I6" i="18"/>
  <c r="Q6" i="18" s="1"/>
  <c r="H6" i="18"/>
  <c r="G6" i="18"/>
  <c r="E6" i="18"/>
  <c r="D6" i="18"/>
  <c r="C6" i="18"/>
  <c r="Q18" i="18" l="1"/>
  <c r="U42" i="18"/>
  <c r="U18" i="18"/>
  <c r="T42" i="18"/>
  <c r="R42" i="18"/>
  <c r="T18" i="18"/>
  <c r="Q42" i="18"/>
  <c r="R18" i="18"/>
  <c r="U47" i="18"/>
  <c r="T47" i="18"/>
  <c r="Q47" i="18"/>
  <c r="R47" i="18"/>
  <c r="R25" i="18"/>
  <c r="U25" i="18"/>
  <c r="T25" i="18"/>
  <c r="Q25" i="18"/>
  <c r="Q114" i="18"/>
  <c r="R114" i="18"/>
  <c r="U114" i="18"/>
  <c r="T114" i="18"/>
  <c r="F13" i="18"/>
  <c r="F117" i="18"/>
  <c r="F79" i="18"/>
  <c r="F91" i="18"/>
  <c r="T62" i="18"/>
  <c r="Q62" i="18"/>
  <c r="R62" i="18"/>
  <c r="U62" i="18"/>
  <c r="F128" i="18"/>
  <c r="F60" i="18"/>
  <c r="F19" i="18"/>
  <c r="F16" i="18"/>
  <c r="F38" i="18"/>
  <c r="F41" i="18"/>
  <c r="F33" i="18"/>
  <c r="F83" i="18"/>
  <c r="F94" i="18"/>
  <c r="F15" i="18"/>
  <c r="O6" i="18"/>
  <c r="P6" i="18" s="1"/>
  <c r="F32" i="18"/>
  <c r="O45" i="18"/>
  <c r="P45" i="18" s="1"/>
  <c r="F57" i="18"/>
  <c r="F61" i="18"/>
  <c r="F78" i="18"/>
  <c r="O83" i="18"/>
  <c r="P83" i="18" s="1"/>
  <c r="F99" i="18"/>
  <c r="O98" i="18"/>
  <c r="P98" i="18" s="1"/>
  <c r="F123" i="18"/>
  <c r="F25" i="18"/>
  <c r="F11" i="18"/>
  <c r="F54" i="18"/>
  <c r="F89" i="18"/>
  <c r="F98" i="18"/>
  <c r="F108" i="18"/>
  <c r="F97" i="18"/>
  <c r="O8" i="18"/>
  <c r="P8" i="18" s="1"/>
  <c r="F27" i="18"/>
  <c r="F47" i="18"/>
  <c r="F59" i="18"/>
  <c r="F63" i="18"/>
  <c r="F76" i="18"/>
  <c r="F90" i="18"/>
  <c r="O111" i="18"/>
  <c r="P111" i="18" s="1"/>
  <c r="F121" i="18"/>
  <c r="O119" i="18"/>
  <c r="P119" i="18" s="1"/>
  <c r="O14" i="18"/>
  <c r="P14" i="18" s="1"/>
  <c r="O102" i="18"/>
  <c r="P102" i="18" s="1"/>
  <c r="F39" i="18"/>
  <c r="O7" i="18"/>
  <c r="P7" i="18" s="1"/>
  <c r="O16" i="18"/>
  <c r="P16" i="18" s="1"/>
  <c r="F64" i="18"/>
  <c r="F74" i="18"/>
  <c r="F103" i="18"/>
  <c r="F45" i="18"/>
  <c r="O99" i="18"/>
  <c r="P99" i="18" s="1"/>
  <c r="F17" i="18"/>
  <c r="F26" i="18"/>
  <c r="O61" i="18"/>
  <c r="P61" i="18" s="1"/>
  <c r="F111" i="18"/>
  <c r="F82" i="18"/>
  <c r="F10" i="18"/>
  <c r="F21" i="18"/>
  <c r="O95" i="18"/>
  <c r="P95" i="18" s="1"/>
  <c r="F36" i="18"/>
  <c r="F31" i="18"/>
  <c r="F37" i="18"/>
  <c r="F110" i="18"/>
  <c r="O78" i="18"/>
  <c r="P78" i="18" s="1"/>
  <c r="O63" i="18"/>
  <c r="P63" i="18" s="1"/>
  <c r="F70" i="18"/>
  <c r="F115" i="18"/>
  <c r="F125" i="18"/>
  <c r="O70" i="18"/>
  <c r="P70" i="18" s="1"/>
  <c r="O74" i="18"/>
  <c r="P74" i="18" s="1"/>
  <c r="O19" i="18"/>
  <c r="P19" i="18" s="1"/>
  <c r="O31" i="18"/>
  <c r="P31" i="18" s="1"/>
  <c r="F35" i="18"/>
  <c r="O32" i="18"/>
  <c r="P32" i="18" s="1"/>
  <c r="F50" i="18"/>
  <c r="F58" i="18"/>
  <c r="F71" i="18"/>
  <c r="F106" i="18"/>
  <c r="O109" i="18"/>
  <c r="P109" i="18" s="1"/>
  <c r="O85" i="18"/>
  <c r="P85" i="18" s="1"/>
  <c r="O60" i="18"/>
  <c r="P60" i="18" s="1"/>
  <c r="O127" i="18"/>
  <c r="P127" i="18" s="1"/>
  <c r="O110" i="18"/>
  <c r="P110" i="18" s="1"/>
  <c r="O51" i="18"/>
  <c r="P51" i="18" s="1"/>
  <c r="F14" i="18"/>
  <c r="O37" i="18"/>
  <c r="P37" i="18" s="1"/>
  <c r="F86" i="18"/>
  <c r="F107" i="18"/>
  <c r="F114" i="18"/>
  <c r="F49" i="18"/>
  <c r="F62" i="18"/>
  <c r="O5" i="18"/>
  <c r="P5" i="18" s="1"/>
  <c r="F42" i="18"/>
  <c r="O87" i="18"/>
  <c r="P87" i="18" s="1"/>
  <c r="O57" i="18"/>
  <c r="P57" i="18" s="1"/>
  <c r="O123" i="18"/>
  <c r="P123" i="18" s="1"/>
  <c r="O15" i="18"/>
  <c r="P15" i="18" s="1"/>
  <c r="O91" i="18"/>
  <c r="P91" i="18" s="1"/>
  <c r="O17" i="18"/>
  <c r="P17" i="18" s="1"/>
  <c r="F85" i="18"/>
  <c r="O88" i="18"/>
  <c r="P88" i="18" s="1"/>
  <c r="O76" i="18"/>
  <c r="P76" i="18" s="1"/>
  <c r="O54" i="18"/>
  <c r="P54" i="18" s="1"/>
  <c r="O121" i="18"/>
  <c r="P121" i="18" s="1"/>
  <c r="O108" i="18"/>
  <c r="P108" i="18" s="1"/>
  <c r="O81" i="18"/>
  <c r="P81" i="18" s="1"/>
  <c r="O41" i="18"/>
  <c r="P41" i="18" s="1"/>
  <c r="O101" i="18"/>
  <c r="P101" i="18" s="1"/>
  <c r="O11" i="18"/>
  <c r="P11" i="18" s="1"/>
  <c r="F5" i="18"/>
  <c r="F7" i="18"/>
  <c r="F24" i="18"/>
  <c r="F80" i="18"/>
  <c r="F93" i="18"/>
  <c r="O96" i="18"/>
  <c r="P96" i="18" s="1"/>
  <c r="F119" i="18"/>
  <c r="O38" i="18"/>
  <c r="P38" i="18" s="1"/>
  <c r="O34" i="18"/>
  <c r="P34" i="18" s="1"/>
  <c r="O39" i="18"/>
  <c r="P39" i="18" s="1"/>
  <c r="O94" i="18"/>
  <c r="P94" i="18" s="1"/>
  <c r="O71" i="18"/>
  <c r="P71" i="18" s="1"/>
  <c r="O79" i="18"/>
  <c r="P79" i="18" s="1"/>
  <c r="O27" i="18"/>
  <c r="P27" i="18" s="1"/>
  <c r="O67" i="18"/>
  <c r="P67" i="18" s="1"/>
  <c r="F126" i="18"/>
  <c r="F18" i="18"/>
  <c r="F53" i="18"/>
  <c r="F67" i="18"/>
  <c r="F77" i="18"/>
  <c r="F105" i="18"/>
  <c r="F112" i="18"/>
  <c r="F102" i="18"/>
  <c r="F6" i="18"/>
  <c r="F12" i="18"/>
  <c r="O13" i="18"/>
  <c r="P13" i="18" s="1"/>
  <c r="F8" i="18"/>
  <c r="O44" i="18"/>
  <c r="P44" i="18" s="1"/>
  <c r="F30" i="18"/>
  <c r="F46" i="18"/>
  <c r="F55" i="18"/>
  <c r="F87" i="18"/>
  <c r="O90" i="18"/>
  <c r="P90" i="18" s="1"/>
  <c r="O86" i="18"/>
  <c r="P86" i="18" s="1"/>
  <c r="F88" i="18"/>
  <c r="F109" i="18"/>
  <c r="O125" i="18"/>
  <c r="P125" i="18" s="1"/>
  <c r="F127" i="18"/>
  <c r="O21" i="18"/>
  <c r="P21" i="18" s="1"/>
  <c r="F95" i="18"/>
  <c r="F34" i="18"/>
  <c r="F51" i="18"/>
  <c r="F68" i="18"/>
  <c r="F75" i="18"/>
  <c r="F84" i="18"/>
  <c r="F96" i="18"/>
  <c r="F101" i="18"/>
  <c r="F118" i="18"/>
  <c r="O59" i="18"/>
  <c r="P59" i="18" s="1"/>
  <c r="O36" i="18"/>
  <c r="P36" i="18" s="1"/>
  <c r="O35" i="18"/>
  <c r="P35" i="18" s="1"/>
  <c r="O112" i="18"/>
  <c r="P112" i="18" s="1"/>
  <c r="O46" i="18"/>
  <c r="P46" i="18" s="1"/>
  <c r="O66" i="18"/>
  <c r="P66" i="18" s="1"/>
  <c r="O122" i="18"/>
  <c r="P122" i="18" s="1"/>
  <c r="O115" i="18"/>
  <c r="P115" i="18" s="1"/>
  <c r="O104" i="18"/>
  <c r="P104" i="18" s="1"/>
  <c r="O107" i="18"/>
  <c r="P107" i="18" s="1"/>
  <c r="F9" i="18"/>
  <c r="O20" i="18"/>
  <c r="P20" i="18" s="1"/>
  <c r="F22" i="18"/>
  <c r="O40" i="18"/>
  <c r="P40" i="18" s="1"/>
  <c r="F28" i="18"/>
  <c r="F56" i="18"/>
  <c r="F104" i="18"/>
  <c r="F113" i="18"/>
  <c r="O24" i="18"/>
  <c r="P24" i="18" s="1"/>
  <c r="F48" i="18"/>
  <c r="O93" i="18"/>
  <c r="P93" i="18" s="1"/>
  <c r="O69" i="18"/>
  <c r="P69" i="18" s="1"/>
  <c r="O106" i="18"/>
  <c r="P106" i="18" s="1"/>
  <c r="O128" i="18"/>
  <c r="P128" i="18" s="1"/>
  <c r="O103" i="18"/>
  <c r="P103" i="18" s="1"/>
  <c r="F116" i="18"/>
  <c r="O105" i="18"/>
  <c r="P105" i="18" s="1"/>
  <c r="O84" i="18"/>
  <c r="P84" i="18" s="1"/>
  <c r="O26" i="18"/>
  <c r="P26" i="18" s="1"/>
  <c r="O77" i="18"/>
  <c r="P77" i="18" s="1"/>
  <c r="F72" i="18"/>
  <c r="F122" i="18"/>
  <c r="O23" i="18"/>
  <c r="P23" i="18" s="1"/>
  <c r="F44" i="18"/>
  <c r="O29" i="18"/>
  <c r="P29" i="18" s="1"/>
  <c r="O48" i="18"/>
  <c r="P48" i="18" s="1"/>
  <c r="F66" i="18"/>
  <c r="O75" i="18"/>
  <c r="P75" i="18" s="1"/>
  <c r="F81" i="18"/>
  <c r="O116" i="18"/>
  <c r="P116" i="18" s="1"/>
  <c r="O73" i="18"/>
  <c r="P73" i="18" s="1"/>
  <c r="O58" i="18"/>
  <c r="P58" i="18" s="1"/>
  <c r="O126" i="18"/>
  <c r="P126" i="18" s="1"/>
  <c r="O82" i="18"/>
  <c r="P82" i="18" s="1"/>
  <c r="O28" i="18"/>
  <c r="P28" i="18" s="1"/>
  <c r="O50" i="18"/>
  <c r="P50" i="18" s="1"/>
  <c r="O92" i="18"/>
  <c r="P92" i="18" s="1"/>
  <c r="O72" i="18"/>
  <c r="P72" i="18" s="1"/>
  <c r="O30" i="18"/>
  <c r="P30" i="18" s="1"/>
  <c r="O89" i="18"/>
  <c r="P89" i="18" s="1"/>
  <c r="O117" i="18"/>
  <c r="P117" i="18" s="1"/>
  <c r="O9" i="18"/>
  <c r="P9" i="18" s="1"/>
  <c r="F20" i="18"/>
  <c r="O22" i="18"/>
  <c r="P22" i="18" s="1"/>
  <c r="F40" i="18"/>
  <c r="O56" i="18"/>
  <c r="P56" i="18" s="1"/>
  <c r="F69" i="18"/>
  <c r="F92" i="18"/>
  <c r="O113" i="18"/>
  <c r="P113" i="18" s="1"/>
  <c r="O49" i="18"/>
  <c r="P49" i="18" s="1"/>
  <c r="O80" i="18"/>
  <c r="P80" i="18" s="1"/>
  <c r="O68" i="18"/>
  <c r="P68" i="18" s="1"/>
  <c r="F23" i="18"/>
  <c r="F29" i="18"/>
  <c r="O12" i="18"/>
  <c r="P12" i="18" s="1"/>
  <c r="O55" i="18"/>
  <c r="P55" i="18" s="1"/>
  <c r="O118" i="18"/>
  <c r="P118" i="18" s="1"/>
  <c r="O97" i="18"/>
  <c r="P97" i="18" s="1"/>
  <c r="O33" i="18"/>
  <c r="P33" i="18" s="1"/>
  <c r="F73" i="18"/>
  <c r="O53" i="18"/>
  <c r="P53" i="18" s="1"/>
  <c r="O64" i="18"/>
  <c r="P64" i="18" s="1"/>
  <c r="O10" i="18"/>
  <c r="P10" i="18" s="1"/>
  <c r="M120" i="18"/>
  <c r="L120" i="18"/>
  <c r="J120" i="18"/>
  <c r="I120" i="18"/>
  <c r="H120" i="18"/>
  <c r="G120" i="18"/>
  <c r="E120" i="18"/>
  <c r="D120" i="18"/>
  <c r="C120" i="18"/>
  <c r="M100" i="18"/>
  <c r="T100" i="18" s="1"/>
  <c r="L100" i="18"/>
  <c r="U100" i="18" s="1"/>
  <c r="J100" i="18"/>
  <c r="R100" i="18" s="1"/>
  <c r="I100" i="18"/>
  <c r="Q100" i="18" s="1"/>
  <c r="H100" i="18"/>
  <c r="G100" i="18"/>
  <c r="E100" i="18"/>
  <c r="D100" i="18"/>
  <c r="C100" i="18"/>
  <c r="M52" i="18"/>
  <c r="T52" i="18" s="1"/>
  <c r="L52" i="18"/>
  <c r="U52" i="18" s="1"/>
  <c r="J52" i="18"/>
  <c r="R52" i="18" s="1"/>
  <c r="I52" i="18"/>
  <c r="Q52" i="18" s="1"/>
  <c r="H52" i="18"/>
  <c r="G52" i="18"/>
  <c r="E52" i="18"/>
  <c r="D52" i="18"/>
  <c r="C52" i="18"/>
  <c r="Q329" i="7"/>
  <c r="L329" i="7" s="1"/>
  <c r="Q327" i="7"/>
  <c r="Q326" i="7"/>
  <c r="L326" i="7" s="1"/>
  <c r="Q325" i="7"/>
  <c r="Q324" i="7"/>
  <c r="Q323" i="7"/>
  <c r="Q322" i="7"/>
  <c r="Q321" i="7"/>
  <c r="Q318" i="7"/>
  <c r="L318" i="7" s="1"/>
  <c r="Q314" i="7"/>
  <c r="Q313" i="7"/>
  <c r="Q311" i="7"/>
  <c r="Q309" i="7"/>
  <c r="Q308" i="7"/>
  <c r="L308" i="7" s="1"/>
  <c r="Q306" i="7"/>
  <c r="L306" i="7" s="1"/>
  <c r="Q302" i="7"/>
  <c r="L302" i="7" s="1"/>
  <c r="Q301" i="7"/>
  <c r="Q296" i="7"/>
  <c r="Q294" i="7"/>
  <c r="Q292" i="7"/>
  <c r="L292" i="7" s="1"/>
  <c r="Q280" i="7"/>
  <c r="Q277" i="7"/>
  <c r="Q272" i="7"/>
  <c r="Q267" i="7"/>
  <c r="L267" i="7" s="1"/>
  <c r="Q266" i="7"/>
  <c r="Q263" i="7"/>
  <c r="Q261" i="7"/>
  <c r="L261" i="7" s="1"/>
  <c r="Q259" i="7"/>
  <c r="Q254" i="7"/>
  <c r="L254" i="7" s="1"/>
  <c r="Q250" i="7"/>
  <c r="L250" i="7" s="1"/>
  <c r="Q249" i="7"/>
  <c r="L249" i="7" s="1"/>
  <c r="Q245" i="7"/>
  <c r="L245" i="7" s="1"/>
  <c r="Q244" i="7"/>
  <c r="Q240" i="7"/>
  <c r="Q239" i="7"/>
  <c r="Q237" i="7"/>
  <c r="Q236" i="7"/>
  <c r="Q228" i="7"/>
  <c r="L228" i="7" s="1"/>
  <c r="Q222" i="7"/>
  <c r="L222" i="7" s="1"/>
  <c r="Q217" i="7"/>
  <c r="Q212" i="7"/>
  <c r="Q207" i="7"/>
  <c r="L207" i="7" s="1"/>
  <c r="Q206" i="7"/>
  <c r="Q202" i="7"/>
  <c r="Q201" i="7"/>
  <c r="L201" i="7" s="1"/>
  <c r="Q200" i="7"/>
  <c r="Q196" i="7"/>
  <c r="Q185" i="7"/>
  <c r="Q178" i="7"/>
  <c r="Q176" i="7"/>
  <c r="Q170" i="7"/>
  <c r="Q169" i="7"/>
  <c r="L169" i="7" s="1"/>
  <c r="Q164" i="7"/>
  <c r="Q163" i="7"/>
  <c r="Q160" i="7"/>
  <c r="Q159" i="7"/>
  <c r="L159" i="7" s="1"/>
  <c r="Q150" i="7"/>
  <c r="Q149" i="7"/>
  <c r="Q148" i="7"/>
  <c r="Q145" i="7"/>
  <c r="Q144" i="7"/>
  <c r="Q135" i="7"/>
  <c r="L135" i="7" s="1"/>
  <c r="Q126" i="7"/>
  <c r="Q125" i="7"/>
  <c r="Q122" i="7"/>
  <c r="L122" i="7" s="1"/>
  <c r="Q119" i="7"/>
  <c r="L119" i="7" s="1"/>
  <c r="Q112" i="7"/>
  <c r="Q111" i="7"/>
  <c r="Q107" i="7"/>
  <c r="Q101" i="7"/>
  <c r="L101" i="7" s="1"/>
  <c r="Q100" i="7"/>
  <c r="L100" i="7" s="1"/>
  <c r="Q99" i="7"/>
  <c r="Q98" i="7"/>
  <c r="L98" i="7" s="1"/>
  <c r="Q96" i="7"/>
  <c r="Q90" i="7"/>
  <c r="Q87" i="7"/>
  <c r="Q82" i="7"/>
  <c r="Q80" i="7"/>
  <c r="L80" i="7" s="1"/>
  <c r="Q78" i="7"/>
  <c r="Q71" i="7"/>
  <c r="Q70" i="7"/>
  <c r="Q69" i="7"/>
  <c r="L69" i="7" s="1"/>
  <c r="Q62" i="7"/>
  <c r="L62" i="7" s="1"/>
  <c r="Q58" i="7"/>
  <c r="Q57" i="7"/>
  <c r="L57" i="7" s="1"/>
  <c r="Q56" i="7"/>
  <c r="Q47" i="7"/>
  <c r="Q38" i="7"/>
  <c r="Q33" i="7"/>
  <c r="Q32" i="7"/>
  <c r="L32" i="7" s="1"/>
  <c r="Q31" i="7"/>
  <c r="Q30" i="7"/>
  <c r="L30" i="7" s="1"/>
  <c r="Q29" i="7"/>
  <c r="L29" i="7" s="1"/>
  <c r="Q28" i="7"/>
  <c r="Q18" i="7"/>
  <c r="Q17" i="7"/>
  <c r="L17" i="7" s="1"/>
  <c r="Q16" i="7"/>
  <c r="O42" i="18" l="1"/>
  <c r="P42" i="18" s="1"/>
  <c r="O18" i="18"/>
  <c r="P18" i="18" s="1"/>
  <c r="O47" i="18"/>
  <c r="T120" i="18"/>
  <c r="Q120" i="18"/>
  <c r="R120" i="18"/>
  <c r="U120" i="18"/>
  <c r="U130" i="18" s="1"/>
  <c r="O114" i="18"/>
  <c r="P114" i="18" s="1"/>
  <c r="O25" i="18"/>
  <c r="P25" i="18" s="1"/>
  <c r="L28" i="7"/>
  <c r="L38" i="7"/>
  <c r="L56" i="7"/>
  <c r="L185" i="7"/>
  <c r="L70" i="7"/>
  <c r="L112" i="7"/>
  <c r="L144" i="7"/>
  <c r="L239" i="7"/>
  <c r="L325" i="7"/>
  <c r="L125" i="7"/>
  <c r="L150" i="7"/>
  <c r="L16" i="7"/>
  <c r="L33" i="7"/>
  <c r="L47" i="7"/>
  <c r="L82" i="7"/>
  <c r="L163" i="7"/>
  <c r="L170" i="7"/>
  <c r="L202" i="7"/>
  <c r="L206" i="7"/>
  <c r="L236" i="7"/>
  <c r="L314" i="7"/>
  <c r="L58" i="7"/>
  <c r="L78" i="7"/>
  <c r="L90" i="7"/>
  <c r="L99" i="7"/>
  <c r="L111" i="7"/>
  <c r="L149" i="7"/>
  <c r="L178" i="7"/>
  <c r="L196" i="7"/>
  <c r="L244" i="7"/>
  <c r="L266" i="7"/>
  <c r="L301" i="7"/>
  <c r="L313" i="7"/>
  <c r="L324" i="7"/>
  <c r="L126" i="7"/>
  <c r="L148" i="7"/>
  <c r="L164" i="7"/>
  <c r="L176" i="7"/>
  <c r="L217" i="7"/>
  <c r="L240" i="7"/>
  <c r="L263" i="7"/>
  <c r="L296" i="7"/>
  <c r="L311" i="7"/>
  <c r="L323" i="7"/>
  <c r="L322" i="7"/>
  <c r="L18" i="7"/>
  <c r="L31" i="7"/>
  <c r="L71" i="7"/>
  <c r="L87" i="7"/>
  <c r="L96" i="7"/>
  <c r="L107" i="7"/>
  <c r="L145" i="7"/>
  <c r="L160" i="7"/>
  <c r="L212" i="7"/>
  <c r="L237" i="7"/>
  <c r="L259" i="7"/>
  <c r="L277" i="7"/>
  <c r="L294" i="7"/>
  <c r="L309" i="7"/>
  <c r="L321" i="7"/>
  <c r="Q211" i="7"/>
  <c r="L211" i="7" s="1"/>
  <c r="Q39" i="7"/>
  <c r="Q92" i="7"/>
  <c r="Q109" i="7"/>
  <c r="Q172" i="7"/>
  <c r="L172" i="7" s="1"/>
  <c r="Q220" i="7"/>
  <c r="Q304" i="7"/>
  <c r="Q89" i="7"/>
  <c r="Q106" i="7"/>
  <c r="L106" i="7" s="1"/>
  <c r="Q147" i="7"/>
  <c r="Q316" i="7"/>
  <c r="L272" i="7"/>
  <c r="L327" i="7"/>
  <c r="Q9" i="7"/>
  <c r="Q53" i="7"/>
  <c r="L53" i="7" s="1"/>
  <c r="Q88" i="7"/>
  <c r="Q118" i="7"/>
  <c r="Q146" i="7"/>
  <c r="Q187" i="7"/>
  <c r="Q270" i="7"/>
  <c r="L270" i="7" s="1"/>
  <c r="Q290" i="7"/>
  <c r="Q315" i="7"/>
  <c r="Q43" i="7"/>
  <c r="L43" i="7" s="1"/>
  <c r="Q84" i="7"/>
  <c r="Q143" i="7"/>
  <c r="Q168" i="7"/>
  <c r="L168" i="7" s="1"/>
  <c r="Q174" i="7"/>
  <c r="L174" i="7" s="1"/>
  <c r="Q182" i="7"/>
  <c r="Q193" i="7"/>
  <c r="L193" i="7" s="1"/>
  <c r="Q208" i="7"/>
  <c r="L208" i="7" s="1"/>
  <c r="Q214" i="7"/>
  <c r="L214" i="7" s="1"/>
  <c r="Q285" i="7"/>
  <c r="L285" i="7" s="1"/>
  <c r="Q11" i="7"/>
  <c r="L11" i="7" s="1"/>
  <c r="Q23" i="7"/>
  <c r="Q34" i="7"/>
  <c r="Q86" i="7"/>
  <c r="Q129" i="7"/>
  <c r="Q152" i="7"/>
  <c r="Q195" i="7"/>
  <c r="L195" i="7" s="1"/>
  <c r="Q209" i="7"/>
  <c r="L209" i="7" s="1"/>
  <c r="Q216" i="7"/>
  <c r="Q286" i="7"/>
  <c r="L286" i="7" s="1"/>
  <c r="Q293" i="7"/>
  <c r="Q15" i="7"/>
  <c r="L15" i="7" s="1"/>
  <c r="Q295" i="7"/>
  <c r="L295" i="7" s="1"/>
  <c r="Q310" i="7"/>
  <c r="L200" i="7"/>
  <c r="Q10" i="7"/>
  <c r="L10" i="7" s="1"/>
  <c r="Q22" i="7"/>
  <c r="Q75" i="7"/>
  <c r="L75" i="7" s="1"/>
  <c r="Q151" i="7"/>
  <c r="L151" i="7" s="1"/>
  <c r="Q20" i="7"/>
  <c r="L20" i="7" s="1"/>
  <c r="Q102" i="7"/>
  <c r="Q167" i="7"/>
  <c r="Q234" i="7"/>
  <c r="L280" i="7"/>
  <c r="Q65" i="7"/>
  <c r="L65" i="7" s="1"/>
  <c r="Q94" i="7"/>
  <c r="L94" i="7" s="1"/>
  <c r="Q252" i="7"/>
  <c r="Q8" i="7"/>
  <c r="Q25" i="7"/>
  <c r="Q50" i="7"/>
  <c r="L50" i="7" s="1"/>
  <c r="Q91" i="7"/>
  <c r="L91" i="7" s="1"/>
  <c r="Q97" i="7"/>
  <c r="Q108" i="7"/>
  <c r="Q116" i="7"/>
  <c r="L116" i="7" s="1"/>
  <c r="Q124" i="7"/>
  <c r="Q130" i="7"/>
  <c r="L130" i="7" s="1"/>
  <c r="Q166" i="7"/>
  <c r="L166" i="7" s="1"/>
  <c r="Q186" i="7"/>
  <c r="L186" i="7" s="1"/>
  <c r="Q233" i="7"/>
  <c r="L233" i="7" s="1"/>
  <c r="Q279" i="7"/>
  <c r="Q289" i="7"/>
  <c r="L289" i="7" s="1"/>
  <c r="Q330" i="7"/>
  <c r="O62" i="18"/>
  <c r="P62" i="18" s="1"/>
  <c r="F120" i="18"/>
  <c r="F100" i="18"/>
  <c r="O100" i="18"/>
  <c r="P100" i="18" s="1"/>
  <c r="F52" i="18"/>
  <c r="O52" i="18"/>
  <c r="P52" i="18" s="1"/>
  <c r="C130" i="18"/>
  <c r="P47" i="18" l="1"/>
  <c r="O120" i="18"/>
  <c r="P120" i="18" s="1"/>
  <c r="L108" i="7"/>
  <c r="L97" i="7"/>
  <c r="L8" i="7"/>
  <c r="L234" i="7"/>
  <c r="L86" i="7"/>
  <c r="L88" i="7"/>
  <c r="L147" i="7"/>
  <c r="L315" i="7"/>
  <c r="L290" i="7"/>
  <c r="L316" i="7"/>
  <c r="L330" i="7"/>
  <c r="L22" i="7"/>
  <c r="L34" i="7"/>
  <c r="L146" i="7"/>
  <c r="L304" i="7"/>
  <c r="L102" i="7"/>
  <c r="L143" i="7"/>
  <c r="L89" i="7"/>
  <c r="L39" i="7"/>
  <c r="L92" i="7"/>
  <c r="L167" i="7"/>
  <c r="L279" i="7"/>
  <c r="L252" i="7"/>
  <c r="L118" i="7"/>
  <c r="L220" i="7"/>
  <c r="L310" i="7"/>
  <c r="L25" i="7"/>
  <c r="L129" i="7"/>
  <c r="L124" i="7"/>
  <c r="L293" i="7"/>
  <c r="L216" i="7"/>
  <c r="L152" i="7"/>
  <c r="L23" i="7"/>
  <c r="L182" i="7"/>
  <c r="L84" i="7"/>
  <c r="L187" i="7"/>
  <c r="L9" i="7"/>
  <c r="L109" i="7"/>
  <c r="C100" i="2" l="1"/>
  <c r="Q331" i="7" l="1"/>
  <c r="C331" i="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1000000}" name="Canada All #1" type="6" refreshedVersion="6" deleted="1" background="1" saveData="1">
    <textPr prompt="0" codePage="65001" sourceFile="F:\OneDrive\Shared\Finances\Canada All #1_Export.csv" tab="0" comma="1">
      <textFields count="11">
        <textField type="text"/>
        <textField type="text"/>
        <textField/>
        <textField/>
        <textField/>
        <textField/>
        <textField type="text"/>
        <textField/>
        <textField/>
        <textField/>
        <textField/>
      </textFields>
    </textPr>
  </connection>
  <connection id="2" xr16:uid="{00000000-0015-0000-FFFF-FFFF02000000}" keepAlive="1" name="ModelConnection_ExternalData_1" description="Data Model" type="5" refreshedVersion="6" minRefreshableVersion="5" saveData="1">
    <dbPr connection="Data Model Connection" command="GrowthCurves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00000000-0015-0000-FFFF-FFFF03000000}" keepAlive="1" name="Query - CurrentHoldings" description="Connection to the 'CurrentHoldings' query in the workbook." type="5" refreshedVersion="6" background="1" saveData="1">
    <dbPr connection="Provider=Microsoft.Mashup.OleDb.1;Data Source=$Workbook$;Location=CurrentHoldings;Extended Properties=&quot;&quot;" command="SELECT * FROM [CurrentHoldings]"/>
  </connection>
  <connection id="4" xr16:uid="{00000000-0015-0000-FFFF-FFFF04000000}" name="Query - GrowthCurves" description="Connection to the 'GrowthCurves' query in the workbook." type="100" refreshedVersion="6" minRefreshableVersion="5">
    <extLst>
      <ext xmlns:x15="http://schemas.microsoft.com/office/spreadsheetml/2010/11/main" uri="{DE250136-89BD-433C-8126-D09CA5730AF9}">
        <x15:connection id="2dd40f28-4a40-49d3-814d-82b8f8c3c5a2"/>
      </ext>
    </extLst>
  </connection>
  <connection id="5" xr16:uid="{00000000-0015-0000-FFFF-FFFF05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<sst xmlns="http://schemas.openxmlformats.org/spreadsheetml/2006/main" count="5382" uniqueCount="1348">
  <si>
    <t>Ticker</t>
  </si>
  <si>
    <t>Name</t>
  </si>
  <si>
    <t>Industry</t>
  </si>
  <si>
    <t>Link</t>
  </si>
  <si>
    <t>Shares Held</t>
  </si>
  <si>
    <t>Purchase Price</t>
  </si>
  <si>
    <t>Book value</t>
  </si>
  <si>
    <t>Last Close</t>
  </si>
  <si>
    <t>Gain/Loss $</t>
  </si>
  <si>
    <t>Gain/Loss %</t>
  </si>
  <si>
    <t>Rating</t>
  </si>
  <si>
    <t>PSR</t>
  </si>
  <si>
    <t>Notes</t>
  </si>
  <si>
    <t>ACH</t>
  </si>
  <si>
    <t>ASIX</t>
  </si>
  <si>
    <t>CENX</t>
  </si>
  <si>
    <t>CLMT</t>
  </si>
  <si>
    <t>CMTL</t>
  </si>
  <si>
    <t>CYD</t>
  </si>
  <si>
    <t>CSTM</t>
  </si>
  <si>
    <t>CVTI</t>
  </si>
  <si>
    <t>CONN</t>
  </si>
  <si>
    <t>PLUS</t>
  </si>
  <si>
    <t>FCAU</t>
  </si>
  <si>
    <t>CVI</t>
  </si>
  <si>
    <t>DAN</t>
  </si>
  <si>
    <t>EVRI</t>
  </si>
  <si>
    <t>HOFT</t>
  </si>
  <si>
    <t>HUN</t>
  </si>
  <si>
    <t>Huntsman Corp</t>
  </si>
  <si>
    <t>MGI</t>
  </si>
  <si>
    <t>KRA</t>
  </si>
  <si>
    <t>Kraton Corp</t>
  </si>
  <si>
    <t>BZH</t>
  </si>
  <si>
    <t>MOD</t>
  </si>
  <si>
    <t>MTOR</t>
  </si>
  <si>
    <t>MTW</t>
  </si>
  <si>
    <t>RUSHA</t>
  </si>
  <si>
    <t>NRG</t>
  </si>
  <si>
    <t>OSTK</t>
  </si>
  <si>
    <t>ULH</t>
  </si>
  <si>
    <t>PNK</t>
  </si>
  <si>
    <t>VSEC</t>
  </si>
  <si>
    <t>SYX</t>
  </si>
  <si>
    <t>THO</t>
  </si>
  <si>
    <t>VHI</t>
  </si>
  <si>
    <t>VVI</t>
  </si>
  <si>
    <t>WNC</t>
  </si>
  <si>
    <t>XPO</t>
  </si>
  <si>
    <t>Count:</t>
  </si>
  <si>
    <t>Amount</t>
  </si>
  <si>
    <t>Shares</t>
  </si>
  <si>
    <t>My Accounts</t>
  </si>
  <si>
    <t>Account</t>
  </si>
  <si>
    <t>Short name</t>
  </si>
  <si>
    <t>152174937 MorganStanley</t>
  </si>
  <si>
    <t>MS Stock Plan</t>
  </si>
  <si>
    <t>45513494 BMO Individual</t>
  </si>
  <si>
    <t>BMO Unregistered</t>
  </si>
  <si>
    <t>45750200 BMO RESP</t>
  </si>
  <si>
    <t>BMO Registered</t>
  </si>
  <si>
    <t>59262127 CIBC Registered (CAD)</t>
  </si>
  <si>
    <t>59262127 CIBC Registered (USD)</t>
  </si>
  <si>
    <t>Date</t>
  </si>
  <si>
    <t>Total</t>
  </si>
  <si>
    <t>Description</t>
  </si>
  <si>
    <t>Comments</t>
  </si>
  <si>
    <t>MSFT</t>
  </si>
  <si>
    <t>Sell</t>
  </si>
  <si>
    <t>Date Position Closed</t>
  </si>
  <si>
    <t>Date Position Opened</t>
  </si>
  <si>
    <t>Start</t>
  </si>
  <si>
    <t>Finish</t>
  </si>
  <si>
    <t>Spread</t>
  </si>
  <si>
    <t>EXTN</t>
  </si>
  <si>
    <t>LL</t>
  </si>
  <si>
    <t>NAV</t>
  </si>
  <si>
    <t>ADNT</t>
  </si>
  <si>
    <t>MDC</t>
  </si>
  <si>
    <t>LYV</t>
  </si>
  <si>
    <t>I</t>
  </si>
  <si>
    <t>WGO</t>
  </si>
  <si>
    <t>Desired Spread</t>
  </si>
  <si>
    <t>Days</t>
  </si>
  <si>
    <t>Annualized</t>
  </si>
  <si>
    <t>News</t>
  </si>
  <si>
    <t>KBH</t>
  </si>
  <si>
    <t>BAK</t>
  </si>
  <si>
    <t>BCC</t>
  </si>
  <si>
    <t>Boise Cascade Co</t>
  </si>
  <si>
    <t>TNET</t>
  </si>
  <si>
    <t>Trinet Group Inc</t>
  </si>
  <si>
    <t>Type</t>
  </si>
  <si>
    <t>Buy</t>
  </si>
  <si>
    <t>AEL</t>
  </si>
  <si>
    <t>KEN</t>
  </si>
  <si>
    <t>PENN</t>
  </si>
  <si>
    <t>CZR</t>
  </si>
  <si>
    <t>SPAR</t>
  </si>
  <si>
    <t>RFP</t>
  </si>
  <si>
    <t>$ Current Price</t>
  </si>
  <si>
    <t>$ Change</t>
  </si>
  <si>
    <t>%  Total Return 3 Month</t>
  </si>
  <si>
    <t>%  Total Return 12 Month</t>
  </si>
  <si>
    <t>Price/ Sales</t>
  </si>
  <si>
    <t>mil$ Market Cap</t>
  </si>
  <si>
    <t>AdvanSix Inc</t>
  </si>
  <si>
    <t>Caesars Entertainment Corp</t>
  </si>
  <si>
    <t>Calumet Specialty Products Partners LP</t>
  </si>
  <si>
    <t>Conn's Inc</t>
  </si>
  <si>
    <t>CVR Energy Inc</t>
  </si>
  <si>
    <t>Dana Inc</t>
  </si>
  <si>
    <t>Everi Holdings Inc</t>
  </si>
  <si>
    <t>Live Nation Entertainment Inc</t>
  </si>
  <si>
    <t>Manitowoc Co Inc</t>
  </si>
  <si>
    <t>Meritor Inc</t>
  </si>
  <si>
    <t>Modine Manufacturing Co</t>
  </si>
  <si>
    <t>Penn National Gaming Inc</t>
  </si>
  <si>
    <t>Rush Enterprises Inc A</t>
  </si>
  <si>
    <t>Spartan Motors Inc</t>
  </si>
  <si>
    <t>Systemax Inc</t>
  </si>
  <si>
    <t>Winnebago Industries Inc</t>
  </si>
  <si>
    <t>ANTM</t>
  </si>
  <si>
    <t>Anthem Inc</t>
  </si>
  <si>
    <t>Beazer Homes USA Inc</t>
  </si>
  <si>
    <t>Braskem SA ADR repr Class A</t>
  </si>
  <si>
    <t>China Yuchai International Ltd</t>
  </si>
  <si>
    <t>CNHI</t>
  </si>
  <si>
    <t>CNH Industrial NV</t>
  </si>
  <si>
    <t>CVRR</t>
  </si>
  <si>
    <t>CVR Refining LP</t>
  </si>
  <si>
    <t>DK</t>
  </si>
  <si>
    <t>Delek US Holdings Inc</t>
  </si>
  <si>
    <t>Fiat Chrysler Automobiles NV</t>
  </si>
  <si>
    <t>IVC</t>
  </si>
  <si>
    <t>Invacare Corp</t>
  </si>
  <si>
    <t>JKS</t>
  </si>
  <si>
    <t>JinkoSolar Holding Co Ltd ADR</t>
  </si>
  <si>
    <t>JLL</t>
  </si>
  <si>
    <t>Jones Lang LaSalle Inc</t>
  </si>
  <si>
    <t>KB Home</t>
  </si>
  <si>
    <t>Kenon Holdings Ltd</t>
  </si>
  <si>
    <t>Lumber Liquidators Holdings Inc</t>
  </si>
  <si>
    <t>Navistar International Corp</t>
  </si>
  <si>
    <t>NRG Energy Inc</t>
  </si>
  <si>
    <t>Resolute Forest Products Inc</t>
  </si>
  <si>
    <t>FLOW</t>
  </si>
  <si>
    <t>SPX FLOW Inc</t>
  </si>
  <si>
    <t>Valhi Inc</t>
  </si>
  <si>
    <t>Wabash National Corp</t>
  </si>
  <si>
    <t>XPO Logistics Inc</t>
  </si>
  <si>
    <t>ATI</t>
  </si>
  <si>
    <t>Allegheny Technologies Inc</t>
  </si>
  <si>
    <t>BGC</t>
  </si>
  <si>
    <t>General Cable Corp</t>
  </si>
  <si>
    <t>HPQ</t>
  </si>
  <si>
    <t>HP Inc</t>
  </si>
  <si>
    <t>TMST</t>
  </si>
  <si>
    <t>TimkenSteel Corp</t>
  </si>
  <si>
    <t>WCG</t>
  </si>
  <si>
    <t>WellCare Health Plans Inc</t>
  </si>
  <si>
    <t>Century Aluminum Co</t>
  </si>
  <si>
    <t>Comtech Telecommunications Corp</t>
  </si>
  <si>
    <t>Covenant Transportation Group Inc Class A</t>
  </si>
  <si>
    <t>Hooker Furniture Corp</t>
  </si>
  <si>
    <t>Overstock.com Inc</t>
  </si>
  <si>
    <t>Pinnacle Entertainment Inc</t>
  </si>
  <si>
    <t>Universal Logistics Holdings Inc</t>
  </si>
  <si>
    <t>Market Cap (Mil)</t>
  </si>
  <si>
    <t>3 Mo. Ret.</t>
  </si>
  <si>
    <t>12 Mo. Ret.</t>
  </si>
  <si>
    <t>AXE</t>
  </si>
  <si>
    <t>Anixter International Inc</t>
  </si>
  <si>
    <t>CVS</t>
  </si>
  <si>
    <t>DISCA</t>
  </si>
  <si>
    <t>Constants</t>
  </si>
  <si>
    <t>12-Month Return Red</t>
  </si>
  <si>
    <t>3-Month Return Red</t>
  </si>
  <si>
    <t>3-Month Return Green</t>
  </si>
  <si>
    <t>12-Month Return Green</t>
  </si>
  <si>
    <t>3MoPoints</t>
  </si>
  <si>
    <t>Default Rating</t>
  </si>
  <si>
    <t>12MoPoints</t>
  </si>
  <si>
    <t>KEM</t>
  </si>
  <si>
    <t>CNC</t>
  </si>
  <si>
    <t>Centene Corp</t>
  </si>
  <si>
    <t>GM/WS/B</t>
  </si>
  <si>
    <t>General Motors Co Warrents Class B</t>
  </si>
  <si>
    <t>HFC</t>
  </si>
  <si>
    <t>HollyFrontier Corp</t>
  </si>
  <si>
    <t>Kemet Corp</t>
  </si>
  <si>
    <t>SNE</t>
  </si>
  <si>
    <t>Sony Corp ADR</t>
  </si>
  <si>
    <t>VIAB</t>
  </si>
  <si>
    <t>SYNA</t>
  </si>
  <si>
    <t>M</t>
  </si>
  <si>
    <t>Macy's Inc</t>
  </si>
  <si>
    <t>Synaptics Inc</t>
  </si>
  <si>
    <t>Buy price</t>
  </si>
  <si>
    <t>Calculators</t>
  </si>
  <si>
    <t>FL</t>
  </si>
  <si>
    <t>XNET</t>
  </si>
  <si>
    <t>BLDR</t>
  </si>
  <si>
    <t>Builders FirstSource Inc</t>
  </si>
  <si>
    <t>CG</t>
  </si>
  <si>
    <t>PRSC</t>
  </si>
  <si>
    <t>UCTT</t>
  </si>
  <si>
    <t>Ultra Clean Holdings Inc</t>
  </si>
  <si>
    <t>SKYW</t>
  </si>
  <si>
    <t>SkyWest Inc</t>
  </si>
  <si>
    <t>CLSN</t>
  </si>
  <si>
    <t>CUB</t>
  </si>
  <si>
    <t>BBX</t>
  </si>
  <si>
    <t>TEO</t>
  </si>
  <si>
    <t>HOME</t>
  </si>
  <si>
    <t>GPRK</t>
  </si>
  <si>
    <t>KFY</t>
  </si>
  <si>
    <t>VAC</t>
  </si>
  <si>
    <t>BLD</t>
  </si>
  <si>
    <t>KMPR</t>
  </si>
  <si>
    <t>PHM</t>
  </si>
  <si>
    <t>ITGR</t>
  </si>
  <si>
    <t>WLK</t>
  </si>
  <si>
    <t>DHI</t>
  </si>
  <si>
    <t>BA</t>
  </si>
  <si>
    <t>Boeing Co</t>
  </si>
  <si>
    <t>BBX Capital Corp Class A</t>
  </si>
  <si>
    <t>TopBuild Corp</t>
  </si>
  <si>
    <t>D.R. Horton Inc</t>
  </si>
  <si>
    <t>GeoPark Ltd</t>
  </si>
  <si>
    <t>At Home Group Inc</t>
  </si>
  <si>
    <t>Integer Holdings Corp</t>
  </si>
  <si>
    <t>Kemper Corp</t>
  </si>
  <si>
    <t>PulteGroup Inc</t>
  </si>
  <si>
    <t>Telecom Argentina SA ADR</t>
  </si>
  <si>
    <t>Marriott Vacations Worldwide Corp</t>
  </si>
  <si>
    <t>Westlake Chemical Corp</t>
  </si>
  <si>
    <t>NUAN</t>
  </si>
  <si>
    <t>Nuance Communications Inc</t>
  </si>
  <si>
    <t>MPMQ</t>
  </si>
  <si>
    <t>PPC</t>
  </si>
  <si>
    <t>CROX</t>
  </si>
  <si>
    <t>NSP</t>
  </si>
  <si>
    <t>DPLO</t>
  </si>
  <si>
    <t>Crocs Inc</t>
  </si>
  <si>
    <t>Diplomat Pharmacy Inc</t>
  </si>
  <si>
    <t>MPM Holdings Inc</t>
  </si>
  <si>
    <t>Insperity Inc</t>
  </si>
  <si>
    <t>Pilgrims Pride Corp</t>
  </si>
  <si>
    <t>VRS</t>
  </si>
  <si>
    <t>RDNT</t>
  </si>
  <si>
    <t>BBY</t>
  </si>
  <si>
    <t>WLH</t>
  </si>
  <si>
    <t>TITN</t>
  </si>
  <si>
    <t>RadNet Inc</t>
  </si>
  <si>
    <t>Titan Machinery Inc</t>
  </si>
  <si>
    <t>Verso Corp A</t>
  </si>
  <si>
    <t>Best Buy Co Inc</t>
  </si>
  <si>
    <t>TFSA</t>
  </si>
  <si>
    <t>RRSP USD</t>
  </si>
  <si>
    <t>59970262 RESP</t>
  </si>
  <si>
    <t>60335676 TFSA</t>
  </si>
  <si>
    <t>RRSP CAD</t>
  </si>
  <si>
    <t>AMEH</t>
  </si>
  <si>
    <t>AMRC</t>
  </si>
  <si>
    <t>ANF</t>
  </si>
  <si>
    <t>BOOT</t>
  </si>
  <si>
    <t>DYN</t>
  </si>
  <si>
    <t>MOH</t>
  </si>
  <si>
    <t>MTRN</t>
  </si>
  <si>
    <t>SCHN</t>
  </si>
  <si>
    <t>Apollo Medical Holdings Inc</t>
  </si>
  <si>
    <t>Ameresco Inc Class A</t>
  </si>
  <si>
    <t>Abercrombie &amp; Fitch Co Class A</t>
  </si>
  <si>
    <t>Boot Barn Holdings Inc</t>
  </si>
  <si>
    <t>Discovery Inc Class A</t>
  </si>
  <si>
    <t>Dynegy Inc</t>
  </si>
  <si>
    <t>Molina Healthcare Inc</t>
  </si>
  <si>
    <t>Materion Corp</t>
  </si>
  <si>
    <t>Schnitzer Steel Industries Inc Class A</t>
  </si>
  <si>
    <t>William Lyon Homes</t>
  </si>
  <si>
    <t>CHEF</t>
  </si>
  <si>
    <t>EZPW</t>
  </si>
  <si>
    <t>KSS</t>
  </si>
  <si>
    <t>MGLN</t>
  </si>
  <si>
    <t>BBSI</t>
  </si>
  <si>
    <t>LTS</t>
  </si>
  <si>
    <t>DDS</t>
  </si>
  <si>
    <t>ENSG</t>
  </si>
  <si>
    <t>GIII</t>
  </si>
  <si>
    <t>PBF</t>
  </si>
  <si>
    <t>SEM</t>
  </si>
  <si>
    <t>Barrett Business Services Inc</t>
  </si>
  <si>
    <t>The Chefs' Warehouse Inc</t>
  </si>
  <si>
    <t>Ensign Group Inc</t>
  </si>
  <si>
    <t>EZCORP Inc</t>
  </si>
  <si>
    <t>G-III Apparel Group Ltd</t>
  </si>
  <si>
    <t>Kohl's Corp</t>
  </si>
  <si>
    <t>Ladenburg Thalmann Financial Services Inc</t>
  </si>
  <si>
    <t>Magellan Health Inc</t>
  </si>
  <si>
    <t>PBF Energy Inc Class A</t>
  </si>
  <si>
    <t>Select Medical Holdings Corp</t>
  </si>
  <si>
    <t>TD</t>
  </si>
  <si>
    <t>CM</t>
  </si>
  <si>
    <t>ENB</t>
  </si>
  <si>
    <t>CAR.UN</t>
  </si>
  <si>
    <t>DIR.UN</t>
  </si>
  <si>
    <t>BCE</t>
  </si>
  <si>
    <t>SU</t>
  </si>
  <si>
    <t>Open Date</t>
  </si>
  <si>
    <t>MEQ</t>
  </si>
  <si>
    <t>CRC</t>
  </si>
  <si>
    <t>TLRD</t>
  </si>
  <si>
    <t>FOSL</t>
  </si>
  <si>
    <t>ARCB</t>
  </si>
  <si>
    <t>MTRX</t>
  </si>
  <si>
    <t>THC</t>
  </si>
  <si>
    <t>VLO</t>
  </si>
  <si>
    <t>ASNA</t>
  </si>
  <si>
    <t>ZUMZ</t>
  </si>
  <si>
    <t>X</t>
  </si>
  <si>
    <t>ArcBest Corp</t>
  </si>
  <si>
    <t>Ascena Retail Group Inc</t>
  </si>
  <si>
    <t>California Resources Corp</t>
  </si>
  <si>
    <t>Fossil Group Inc</t>
  </si>
  <si>
    <t>Matrix Service Co</t>
  </si>
  <si>
    <t>Tenet Healthcare Corp</t>
  </si>
  <si>
    <t>Tailored Brands Inc</t>
  </si>
  <si>
    <t>Valero Energy Corp</t>
  </si>
  <si>
    <t>United States Steel Corp</t>
  </si>
  <si>
    <t>Zumiez Inc</t>
  </si>
  <si>
    <t>DNR</t>
  </si>
  <si>
    <t>Denbury Resources Inc</t>
  </si>
  <si>
    <t>ENPH</t>
  </si>
  <si>
    <t>Enphase Energy Inc</t>
  </si>
  <si>
    <t>ENVA</t>
  </si>
  <si>
    <t>Enova International Inc</t>
  </si>
  <si>
    <t>HCC</t>
  </si>
  <si>
    <t>Warrior Met Coal Inc</t>
  </si>
  <si>
    <t>QNST</t>
  </si>
  <si>
    <t>QuinStreet Inc</t>
  </si>
  <si>
    <t>RCM</t>
  </si>
  <si>
    <t>R1 RCM Inc</t>
  </si>
  <si>
    <t>RH</t>
  </si>
  <si>
    <t>SGMS</t>
  </si>
  <si>
    <t>Scientific Games Corp Class A</t>
  </si>
  <si>
    <t>URBN</t>
  </si>
  <si>
    <t>Urban Outfitters Inc</t>
  </si>
  <si>
    <t>WTI</t>
  </si>
  <si>
    <t>W&amp;T Offshore Inc</t>
  </si>
  <si>
    <t>VSE Corp</t>
  </si>
  <si>
    <t>Viad Corp</t>
  </si>
  <si>
    <t>Thor Industries Inc</t>
  </si>
  <si>
    <t>Adient PLC</t>
  </si>
  <si>
    <t>Celsion Corp</t>
  </si>
  <si>
    <t>Cubic Corp</t>
  </si>
  <si>
    <t>Exterran Corp</t>
  </si>
  <si>
    <t>AGN</t>
  </si>
  <si>
    <t>Allergan PLC</t>
  </si>
  <si>
    <t>ESIO</t>
  </si>
  <si>
    <t>RL</t>
  </si>
  <si>
    <t>SRI</t>
  </si>
  <si>
    <t>ERI</t>
  </si>
  <si>
    <t>HEES</t>
  </si>
  <si>
    <t>TNDM</t>
  </si>
  <si>
    <t>GES</t>
  </si>
  <si>
    <t>KFRC</t>
  </si>
  <si>
    <t>HTZ</t>
  </si>
  <si>
    <t>BTU</t>
  </si>
  <si>
    <t>Peabody Energy Corp</t>
  </si>
  <si>
    <t>Eldorado Resorts Inc</t>
  </si>
  <si>
    <t>Electro Scientific Industries Inc</t>
  </si>
  <si>
    <t>Guess? Inc</t>
  </si>
  <si>
    <t>H&amp;E Equipment Services Inc</t>
  </si>
  <si>
    <t>Hertz Global Holdings Inc</t>
  </si>
  <si>
    <t>Kforce Inc</t>
  </si>
  <si>
    <t>Ralph Lauren Corp Class A</t>
  </si>
  <si>
    <t>Stoneridge Inc</t>
  </si>
  <si>
    <t>Tandem Diabetes Care Inc</t>
  </si>
  <si>
    <t>RESP CAD</t>
  </si>
  <si>
    <t>SKY</t>
  </si>
  <si>
    <t>LGCY</t>
  </si>
  <si>
    <t>TUSK</t>
  </si>
  <si>
    <t>Skyline Champion Corp</t>
  </si>
  <si>
    <t>Mammoth Energy Services Inc</t>
  </si>
  <si>
    <t>Price/ Fair Value</t>
  </si>
  <si>
    <t>Price / Fair Value Red</t>
  </si>
  <si>
    <t>Price / Fair Value Green</t>
  </si>
  <si>
    <t>PFVPoints</t>
  </si>
  <si>
    <t>PFV</t>
  </si>
  <si>
    <t>DS</t>
  </si>
  <si>
    <t>NOG</t>
  </si>
  <si>
    <t>VPG</t>
  </si>
  <si>
    <t>MOV</t>
  </si>
  <si>
    <t>LE</t>
  </si>
  <si>
    <t>Drive Shack Inc</t>
  </si>
  <si>
    <t>Lands' End Inc</t>
  </si>
  <si>
    <t>Movado Group Inc</t>
  </si>
  <si>
    <t>Northern Oil &amp; Gas Inc</t>
  </si>
  <si>
    <t>Vishay Precision Group Inc</t>
  </si>
  <si>
    <t>PSRPoints</t>
  </si>
  <si>
    <t>PSR Red</t>
  </si>
  <si>
    <t>PSR Green</t>
  </si>
  <si>
    <t>Analysis</t>
  </si>
  <si>
    <t>Financial  Health Grade</t>
  </si>
  <si>
    <t>C</t>
  </si>
  <si>
    <t>F</t>
  </si>
  <si>
    <t>B</t>
  </si>
  <si>
    <t>D</t>
  </si>
  <si>
    <t>Financial Health</t>
  </si>
  <si>
    <t>FHPoints</t>
  </si>
  <si>
    <t>Symbol</t>
  </si>
  <si>
    <t>CVS Health Corp</t>
  </si>
  <si>
    <t>Foot Locker Inc</t>
  </si>
  <si>
    <t>M.D.C. Holdings Inc</t>
  </si>
  <si>
    <t>MoneyGram International Inc</t>
  </si>
  <si>
    <t>Viacom Inc B</t>
  </si>
  <si>
    <t>Xunlei Ltd ADR</t>
  </si>
  <si>
    <t>Aluminum Corporation of China Ltd ADR</t>
  </si>
  <si>
    <t>American Equity Investment Life Holding Co</t>
  </si>
  <si>
    <t>Intelsat SA</t>
  </si>
  <si>
    <t>ePlus Inc</t>
  </si>
  <si>
    <t>% Change</t>
  </si>
  <si>
    <t>Exact Match</t>
  </si>
  <si>
    <t>Avoid</t>
  </si>
  <si>
    <t>News Types</t>
  </si>
  <si>
    <t>Price</t>
  </si>
  <si>
    <t>Metric</t>
  </si>
  <si>
    <t>Volatility</t>
  </si>
  <si>
    <t>https://www.morningstar.com/news/globe-news-wire/GNW_7321443/overstockcom-blockchain-subsidiary-tzero-signs-letter-of-intent-with-gsr-capital-for-security-token-investment-of-160-million.html</t>
  </si>
  <si>
    <t>Overstock.com Blockchain Subsidiary tZERO Signs Letter of Intent with GSR Capital for Security Token Investment of $160 Million</t>
  </si>
  <si>
    <t>Earnings</t>
  </si>
  <si>
    <t>Downgrade</t>
  </si>
  <si>
    <t>Upgrade</t>
  </si>
  <si>
    <t>ALL</t>
  </si>
  <si>
    <t>Bought 566 at $17.59.  This is highly undervalued.  I hope.</t>
  </si>
  <si>
    <t>Limit order</t>
  </si>
  <si>
    <t>Velocity</t>
  </si>
  <si>
    <t>This is taking a shit but it's not that unhealthy.  Be patient and drop it when it breaks even.</t>
  </si>
  <si>
    <t>TEF</t>
  </si>
  <si>
    <t>Financial health</t>
  </si>
  <si>
    <t>CCJ</t>
  </si>
  <si>
    <t>CVE</t>
  </si>
  <si>
    <t>Target price</t>
  </si>
  <si>
    <t>Target price.</t>
  </si>
  <si>
    <t>Telefonica SA ADR</t>
  </si>
  <si>
    <t>Cenovus Energy Inc</t>
  </si>
  <si>
    <t>Cameco Corp</t>
  </si>
  <si>
    <t>Enbridge Inc</t>
  </si>
  <si>
    <t>Hold</t>
  </si>
  <si>
    <t>M&amp;A</t>
  </si>
  <si>
    <t>Monitor</t>
  </si>
  <si>
    <t>HBI</t>
  </si>
  <si>
    <t>GIS</t>
  </si>
  <si>
    <t>Hanesbrands Inc</t>
  </si>
  <si>
    <t>In hindsight I shouldn't have bought this until it had at a minimum stabilized, perhaps started a positive velocity.</t>
  </si>
  <si>
    <t>Upgraded.</t>
  </si>
  <si>
    <t>Fair value price</t>
  </si>
  <si>
    <t>Microsoft Corp</t>
  </si>
  <si>
    <t>A</t>
  </si>
  <si>
    <t>Morningstar Portfolio Manager</t>
  </si>
  <si>
    <t>AQN</t>
  </si>
  <si>
    <t>BMO</t>
  </si>
  <si>
    <t>BNS</t>
  </si>
  <si>
    <t>CNR</t>
  </si>
  <si>
    <t>CHP.UN</t>
  </si>
  <si>
    <t>ENF</t>
  </si>
  <si>
    <t>FTS</t>
  </si>
  <si>
    <t>IMO</t>
  </si>
  <si>
    <t>MFC</t>
  </si>
  <si>
    <t>MRD</t>
  </si>
  <si>
    <t>MRG.UN</t>
  </si>
  <si>
    <t>REI.UN</t>
  </si>
  <si>
    <t>RCI.A</t>
  </si>
  <si>
    <t>RY</t>
  </si>
  <si>
    <t>SRU.UN</t>
  </si>
  <si>
    <t>SLF</t>
  </si>
  <si>
    <t>T</t>
  </si>
  <si>
    <t>TRP</t>
  </si>
  <si>
    <t>USD Companies</t>
  </si>
  <si>
    <t>CAD Companies</t>
  </si>
  <si>
    <t>SCR</t>
  </si>
  <si>
    <t>HNL</t>
  </si>
  <si>
    <t>ACR.UN</t>
  </si>
  <si>
    <t>AJX</t>
  </si>
  <si>
    <t>AIM</t>
  </si>
  <si>
    <t>AC</t>
  </si>
  <si>
    <t>AII</t>
  </si>
  <si>
    <t>ARG</t>
  </si>
  <si>
    <t>ADW.A</t>
  </si>
  <si>
    <t>ADW.B</t>
  </si>
  <si>
    <t>ATH</t>
  </si>
  <si>
    <t>ATA</t>
  </si>
  <si>
    <t>BYL</t>
  </si>
  <si>
    <t>BTE</t>
  </si>
  <si>
    <t>PXX</t>
  </si>
  <si>
    <t>GBT</t>
  </si>
  <si>
    <t>BBD.B</t>
  </si>
  <si>
    <t>BBD.A</t>
  </si>
  <si>
    <t>BYD.UN</t>
  </si>
  <si>
    <t>DOO</t>
  </si>
  <si>
    <t>CAE</t>
  </si>
  <si>
    <t>CFW</t>
  </si>
  <si>
    <t>CF</t>
  </si>
  <si>
    <t>CWB</t>
  </si>
  <si>
    <t>CFP</t>
  </si>
  <si>
    <t>CFX</t>
  </si>
  <si>
    <t>CJ</t>
  </si>
  <si>
    <t>CJT.A</t>
  </si>
  <si>
    <t>CERV</t>
  </si>
  <si>
    <t>CVG</t>
  </si>
  <si>
    <t>CIGI</t>
  </si>
  <si>
    <t>CFF</t>
  </si>
  <si>
    <t>CMMC</t>
  </si>
  <si>
    <t>D.UN</t>
  </si>
  <si>
    <t>DRM</t>
  </si>
  <si>
    <t>DPM</t>
  </si>
  <si>
    <t>ERF</t>
  </si>
  <si>
    <t>FFH</t>
  </si>
  <si>
    <t>FTT</t>
  </si>
  <si>
    <t>FM</t>
  </si>
  <si>
    <t>GH</t>
  </si>
  <si>
    <t>GXE</t>
  </si>
  <si>
    <t>GDC</t>
  </si>
  <si>
    <t>MIC</t>
  </si>
  <si>
    <t>GSY</t>
  </si>
  <si>
    <t>GC</t>
  </si>
  <si>
    <t>IFP</t>
  </si>
  <si>
    <t>IPCO</t>
  </si>
  <si>
    <t>JSE</t>
  </si>
  <si>
    <t>LGO</t>
  </si>
  <si>
    <t>LGT.A</t>
  </si>
  <si>
    <t>LGT.B</t>
  </si>
  <si>
    <t>MVN</t>
  </si>
  <si>
    <t>MRE</t>
  </si>
  <si>
    <t>MKP</t>
  </si>
  <si>
    <t>MEG</t>
  </si>
  <si>
    <t>MX</t>
  </si>
  <si>
    <t>MNW</t>
  </si>
  <si>
    <t>MSI</t>
  </si>
  <si>
    <t>NSU</t>
  </si>
  <si>
    <t>NCC.A</t>
  </si>
  <si>
    <t>OSB</t>
  </si>
  <si>
    <t>NOA</t>
  </si>
  <si>
    <t>PDL</t>
  </si>
  <si>
    <t>NVU.UN</t>
  </si>
  <si>
    <t>NVA</t>
  </si>
  <si>
    <t>OLY</t>
  </si>
  <si>
    <t>PXT</t>
  </si>
  <si>
    <t>PLC</t>
  </si>
  <si>
    <t>PEO</t>
  </si>
  <si>
    <t>PTS</t>
  </si>
  <si>
    <t>PBL</t>
  </si>
  <si>
    <t>PBH</t>
  </si>
  <si>
    <t>RECP</t>
  </si>
  <si>
    <t>RPI.UN</t>
  </si>
  <si>
    <t>SMF</t>
  </si>
  <si>
    <t>S</t>
  </si>
  <si>
    <t>TOY</t>
  </si>
  <si>
    <t>STEP</t>
  </si>
  <si>
    <t>SOX</t>
  </si>
  <si>
    <t>SGI</t>
  </si>
  <si>
    <t>SY</t>
  </si>
  <si>
    <t>TBL</t>
  </si>
  <si>
    <t>TVE</t>
  </si>
  <si>
    <t>TGO</t>
  </si>
  <si>
    <t>TGZ</t>
  </si>
  <si>
    <t>TFII</t>
  </si>
  <si>
    <t>TOG</t>
  </si>
  <si>
    <t>TRZ</t>
  </si>
  <si>
    <t>TCL.A</t>
  </si>
  <si>
    <t>TVA.B</t>
  </si>
  <si>
    <t>VB</t>
  </si>
  <si>
    <t>VFF</t>
  </si>
  <si>
    <t>WFT</t>
  </si>
  <si>
    <t>WSP</t>
  </si>
  <si>
    <t>CMP</t>
  </si>
  <si>
    <t>FANUY</t>
  </si>
  <si>
    <t>Bought</t>
  </si>
  <si>
    <t>ABEV</t>
  </si>
  <si>
    <t>Ambev SA ADR</t>
  </si>
  <si>
    <t>AIG</t>
  </si>
  <si>
    <t>American International Group Inc</t>
  </si>
  <si>
    <t>BLK</t>
  </si>
  <si>
    <t>BlackRock Inc</t>
  </si>
  <si>
    <t>BRK.A</t>
  </si>
  <si>
    <t>Berkshire Hathaway Inc A</t>
  </si>
  <si>
    <t>BRK.B</t>
  </si>
  <si>
    <t>Berkshire Hathaway Inc B</t>
  </si>
  <si>
    <t>BT</t>
  </si>
  <si>
    <t>BT Group PLC ADR</t>
  </si>
  <si>
    <t>BTI</t>
  </si>
  <si>
    <t>British American Tobacco PLC ADR</t>
  </si>
  <si>
    <t>BUD</t>
  </si>
  <si>
    <t>Anheuser-Busch InBev SA/NV ADR</t>
  </si>
  <si>
    <t>BXP</t>
  </si>
  <si>
    <t>Boston Properties Inc</t>
  </si>
  <si>
    <t>CL</t>
  </si>
  <si>
    <t>Colgate-Palmolive Co</t>
  </si>
  <si>
    <t>CLX</t>
  </si>
  <si>
    <t>Clorox Co</t>
  </si>
  <si>
    <t>CMCSA</t>
  </si>
  <si>
    <t>Comcast Corp Class A</t>
  </si>
  <si>
    <t>Compass Minerals International Inc</t>
  </si>
  <si>
    <t>COF</t>
  </si>
  <si>
    <t>Capital One Financial Corp</t>
  </si>
  <si>
    <t>CRTO</t>
  </si>
  <si>
    <t>Criteo SA ADR</t>
  </si>
  <si>
    <t>Dominion Energy Inc</t>
  </si>
  <si>
    <t>EPD</t>
  </si>
  <si>
    <t>Enterprise Products Partners LP</t>
  </si>
  <si>
    <t>Fanuc Corp ADR</t>
  </si>
  <si>
    <t>GILD</t>
  </si>
  <si>
    <t>Gilead Sciences Inc</t>
  </si>
  <si>
    <t>General Mills Inc</t>
  </si>
  <si>
    <t>IMBBY</t>
  </si>
  <si>
    <t>IVZ</t>
  </si>
  <si>
    <t>Invesco Ltd</t>
  </si>
  <si>
    <t>JCI</t>
  </si>
  <si>
    <t>Johnson Controls International PLC</t>
  </si>
  <si>
    <t>KO</t>
  </si>
  <si>
    <t>Coca-Cola Co</t>
  </si>
  <si>
    <t>LB</t>
  </si>
  <si>
    <t>L Brands Inc</t>
  </si>
  <si>
    <t>MCHP</t>
  </si>
  <si>
    <t>Microchip Technology Inc</t>
  </si>
  <si>
    <t>MCK</t>
  </si>
  <si>
    <t>McKesson Corp</t>
  </si>
  <si>
    <t>MDT</t>
  </si>
  <si>
    <t>Medtronic PLC</t>
  </si>
  <si>
    <t>MLM</t>
  </si>
  <si>
    <t>Martin Marietta Materials Inc</t>
  </si>
  <si>
    <t>PBR</t>
  </si>
  <si>
    <t>Petroleo Brasileiro SA Petrobras ADR</t>
  </si>
  <si>
    <t>PEP</t>
  </si>
  <si>
    <t>PepsiCo Inc</t>
  </si>
  <si>
    <t>PPL</t>
  </si>
  <si>
    <t>PPL Corp</t>
  </si>
  <si>
    <t>RHHBY</t>
  </si>
  <si>
    <t>Roche Holding AG ADR</t>
  </si>
  <si>
    <t>SBUX</t>
  </si>
  <si>
    <t>Starbucks Corp</t>
  </si>
  <si>
    <t>SCG</t>
  </si>
  <si>
    <t>SCANA Corp</t>
  </si>
  <si>
    <t>WBK</t>
  </si>
  <si>
    <t>Westpac Banking Corp ADR</t>
  </si>
  <si>
    <t>WELL</t>
  </si>
  <si>
    <t>Welltower Inc</t>
  </si>
  <si>
    <t>Stop limit</t>
  </si>
  <si>
    <t>BIIB</t>
  </si>
  <si>
    <t>Growth Curve</t>
  </si>
  <si>
    <t>This has dropped 43% in past 3 months.  It's still got a very good PFV.  Remember that I bought this because it's shit and can't go any lower, so ignore the numbers.  Hold it unless I lose 20%, no exceptions.</t>
  </si>
  <si>
    <t>Biogen Inc</t>
  </si>
  <si>
    <t>Dividend yield</t>
  </si>
  <si>
    <t>CAH</t>
  </si>
  <si>
    <t>APRN</t>
  </si>
  <si>
    <t>Blue Apron Holdings Inc Class A</t>
  </si>
  <si>
    <t>BKD</t>
  </si>
  <si>
    <t>Brookdale Senior Living Inc</t>
  </si>
  <si>
    <t>Cardinal Health Inc</t>
  </si>
  <si>
    <t>CLNE</t>
  </si>
  <si>
    <t>Clean Energy Fuels Corp</t>
  </si>
  <si>
    <t>CURO</t>
  </si>
  <si>
    <t>CURO Group Holdings Corp</t>
  </si>
  <si>
    <t>EIGI</t>
  </si>
  <si>
    <t>Endurance International Group Holdings Inc</t>
  </si>
  <si>
    <t>ESND</t>
  </si>
  <si>
    <t>Essendant Inc</t>
  </si>
  <si>
    <t>FIT</t>
  </si>
  <si>
    <t>Fitbit Inc A</t>
  </si>
  <si>
    <t>FRGI</t>
  </si>
  <si>
    <t>Fiesta Restaurant Group Inc</t>
  </si>
  <si>
    <t>GPRO</t>
  </si>
  <si>
    <t>GoPro Inc A</t>
  </si>
  <si>
    <t>GTN.A</t>
  </si>
  <si>
    <t>Gray Television Inc Class A</t>
  </si>
  <si>
    <t>LTRPA</t>
  </si>
  <si>
    <t>Liberty TripAdvisor Holdings Inc Class A</t>
  </si>
  <si>
    <t>P</t>
  </si>
  <si>
    <t>Pandora Media Inc</t>
  </si>
  <si>
    <t>RCII</t>
  </si>
  <si>
    <t>Rent-A-Center Inc</t>
  </si>
  <si>
    <t>SMCI</t>
  </si>
  <si>
    <t>Super Micro Computer Inc</t>
  </si>
  <si>
    <t>SPTN</t>
  </si>
  <si>
    <t>SpartanNash Co</t>
  </si>
  <si>
    <t>TISI</t>
  </si>
  <si>
    <t>Team Inc</t>
  </si>
  <si>
    <t>WEB</t>
  </si>
  <si>
    <t>Web.com Group Inc</t>
  </si>
  <si>
    <t>WOW</t>
  </si>
  <si>
    <t>WideOpenWest Inc</t>
  </si>
  <si>
    <t>ZAGG</t>
  </si>
  <si>
    <t>Zagg Inc</t>
  </si>
  <si>
    <t>Index</t>
  </si>
  <si>
    <t>Div. Yield TTM</t>
  </si>
  <si>
    <t>% Dividend Yield TTM</t>
  </si>
  <si>
    <t>1</t>
  </si>
  <si>
    <t>4</t>
  </si>
  <si>
    <t>3</t>
  </si>
  <si>
    <t>2</t>
  </si>
  <si>
    <t>5</t>
  </si>
  <si>
    <t>CurvePoints</t>
  </si>
  <si>
    <t>LKQ</t>
  </si>
  <si>
    <t>LEN.B</t>
  </si>
  <si>
    <t>MGM</t>
  </si>
  <si>
    <t>RRC</t>
  </si>
  <si>
    <t>SPB</t>
  </si>
  <si>
    <t>SSP</t>
  </si>
  <si>
    <t>TGI</t>
  </si>
  <si>
    <t>YUMC</t>
  </si>
  <si>
    <t>BGG</t>
  </si>
  <si>
    <t>CTB</t>
  </si>
  <si>
    <t>CAPL</t>
  </si>
  <si>
    <t>TACO</t>
  </si>
  <si>
    <t>FTSI</t>
  </si>
  <si>
    <t>ODP</t>
  </si>
  <si>
    <t>ABM</t>
  </si>
  <si>
    <t>ABM Industries Inc</t>
  </si>
  <si>
    <t>AGX</t>
  </si>
  <si>
    <t>Argan Inc</t>
  </si>
  <si>
    <t>ARNC</t>
  </si>
  <si>
    <t>Arconic Inc</t>
  </si>
  <si>
    <t>ATUS</t>
  </si>
  <si>
    <t>Altice USA Inc Class A</t>
  </si>
  <si>
    <t>Briggs &amp; Stratton Corp</t>
  </si>
  <si>
    <t>CrossAmerica Partners LP</t>
  </si>
  <si>
    <t>CCK</t>
  </si>
  <si>
    <t>Crown Holdings Inc</t>
  </si>
  <si>
    <t>CIVI</t>
  </si>
  <si>
    <t>Civitas Solutions Inc</t>
  </si>
  <si>
    <t>CLNY</t>
  </si>
  <si>
    <t>CNSL</t>
  </si>
  <si>
    <t>Consolidated Communications Holdings Inc</t>
  </si>
  <si>
    <t>COKE</t>
  </si>
  <si>
    <t>CORE</t>
  </si>
  <si>
    <t>Core-Mark Holding Co Inc</t>
  </si>
  <si>
    <t>Cooper Tire &amp; Rubber Co</t>
  </si>
  <si>
    <t>DSKE</t>
  </si>
  <si>
    <t>Daseke Inc</t>
  </si>
  <si>
    <t>ETM</t>
  </si>
  <si>
    <t>Entercom Communications Corp</t>
  </si>
  <si>
    <t>EXPE</t>
  </si>
  <si>
    <t>Expedia Group Inc</t>
  </si>
  <si>
    <t>Ford Motor Co</t>
  </si>
  <si>
    <t>FTS International Inc</t>
  </si>
  <si>
    <t>GM</t>
  </si>
  <si>
    <t>General Motors Co</t>
  </si>
  <si>
    <t>GTN</t>
  </si>
  <si>
    <t>Gray Television Inc</t>
  </si>
  <si>
    <t>INGR</t>
  </si>
  <si>
    <t>Ingredion Inc</t>
  </si>
  <si>
    <t>LEN</t>
  </si>
  <si>
    <t>Lennar Corp</t>
  </si>
  <si>
    <t>Lennar Corp Class B</t>
  </si>
  <si>
    <t>LKQ Corp</t>
  </si>
  <si>
    <t>LM</t>
  </si>
  <si>
    <t>MAT</t>
  </si>
  <si>
    <t>Mattel Inc</t>
  </si>
  <si>
    <t>MGM Resorts International</t>
  </si>
  <si>
    <t>Office Depot Inc</t>
  </si>
  <si>
    <t>PBI</t>
  </si>
  <si>
    <t>Pitney Bowes Inc</t>
  </si>
  <si>
    <t>PDCO</t>
  </si>
  <si>
    <t>Patterson Companies Inc</t>
  </si>
  <si>
    <t>REVG</t>
  </si>
  <si>
    <t>REV Group Inc</t>
  </si>
  <si>
    <t>Range Resources Corp</t>
  </si>
  <si>
    <t>SOHU</t>
  </si>
  <si>
    <t>Spectrum Brands Holdings Inc</t>
  </si>
  <si>
    <t>The E W Scripps Co Class A</t>
  </si>
  <si>
    <t>AT&amp;T Inc</t>
  </si>
  <si>
    <t>Del Taco Restaurants Inc</t>
  </si>
  <si>
    <t>Triumph Group Inc</t>
  </si>
  <si>
    <t>TGNA</t>
  </si>
  <si>
    <t>Tegna Inc</t>
  </si>
  <si>
    <t>TOL</t>
  </si>
  <si>
    <t>Toll Brothers Inc</t>
  </si>
  <si>
    <t>TPC</t>
  </si>
  <si>
    <t>Tutor Perini Corp</t>
  </si>
  <si>
    <t>UNM</t>
  </si>
  <si>
    <t>Unum Group</t>
  </si>
  <si>
    <t>USCR</t>
  </si>
  <si>
    <t>US Concrete Inc</t>
  </si>
  <si>
    <t>Yum China Holdings Inc</t>
  </si>
  <si>
    <t>ICPT</t>
  </si>
  <si>
    <t>AAP</t>
  </si>
  <si>
    <t>GWRE</t>
  </si>
  <si>
    <t>Advance Auto Parts Inc</t>
  </si>
  <si>
    <t>Guidewire Software Inc</t>
  </si>
  <si>
    <t>Intercept Pharmaceuticals Inc</t>
  </si>
  <si>
    <t>Full financial analysis</t>
  </si>
  <si>
    <t>Positive</t>
  </si>
  <si>
    <t>Sentiment</t>
  </si>
  <si>
    <t>GSK</t>
  </si>
  <si>
    <t>GlaxoSmithKline PLC ADR</t>
  </si>
  <si>
    <t>SEP</t>
  </si>
  <si>
    <t>PG</t>
  </si>
  <si>
    <t>PM</t>
  </si>
  <si>
    <t>Procter &amp; Gamble Co</t>
  </si>
  <si>
    <t>Philip Morris International Inc</t>
  </si>
  <si>
    <t>Spectra Energy Partners LP</t>
  </si>
  <si>
    <t>Daily Results</t>
  </si>
  <si>
    <t>MRK</t>
  </si>
  <si>
    <t>PFE</t>
  </si>
  <si>
    <t>NVS</t>
  </si>
  <si>
    <t>UL</t>
  </si>
  <si>
    <t>RBGLY</t>
  </si>
  <si>
    <t>IFF</t>
  </si>
  <si>
    <t>Merck &amp; Co Inc</t>
  </si>
  <si>
    <t>Novartis AG ADR</t>
  </si>
  <si>
    <t>Pfizer Inc</t>
  </si>
  <si>
    <t>International Flavors &amp; Fragrances Inc</t>
  </si>
  <si>
    <t>Reckitt Benckiser Group PLC ADR</t>
  </si>
  <si>
    <t>Unilever PLC ADR</t>
  </si>
  <si>
    <t>NOW</t>
  </si>
  <si>
    <t>ServiceNow Inc</t>
  </si>
  <si>
    <t>GRUB</t>
  </si>
  <si>
    <t>GrubHub Inc</t>
  </si>
  <si>
    <t>VOO</t>
  </si>
  <si>
    <t>Vanguard S&amp;P 500 ETF</t>
  </si>
  <si>
    <t>Currency</t>
  </si>
  <si>
    <t>USD</t>
  </si>
  <si>
    <t>Expenses</t>
  </si>
  <si>
    <t>VCN</t>
  </si>
  <si>
    <t>Vanguard FTSE Canada All Cap ETF</t>
  </si>
  <si>
    <t>CAD</t>
  </si>
  <si>
    <t>Canadian TMI</t>
  </si>
  <si>
    <t>US TMI</t>
  </si>
  <si>
    <t>ZLB</t>
  </si>
  <si>
    <t>BMO Low Volatility Canadian Equity ETF</t>
  </si>
  <si>
    <t>XIU</t>
  </si>
  <si>
    <t>iShares S&amp;P/TSX 60 ETF</t>
  </si>
  <si>
    <t>SCHB</t>
  </si>
  <si>
    <t>Schwab US Broad Market</t>
  </si>
  <si>
    <t>ITOT</t>
  </si>
  <si>
    <t>iShares Core S&amp;P Total US Stock Market</t>
  </si>
  <si>
    <t>VTI</t>
  </si>
  <si>
    <t>Vanguard Total Stock Market</t>
  </si>
  <si>
    <t>XAW</t>
  </si>
  <si>
    <t>iShares Core MSCI All Country World ex Canada Index ETF</t>
  </si>
  <si>
    <t>Global TMI</t>
  </si>
  <si>
    <t>XEF</t>
  </si>
  <si>
    <t>VEE</t>
  </si>
  <si>
    <t>iShares Core MSCI EAFE IMI Index ETF</t>
  </si>
  <si>
    <t>Emerging Markets TMI</t>
  </si>
  <si>
    <t>Vanguard FTSE Emerging Markets All Cap Index ETF</t>
  </si>
  <si>
    <t>Non-USA TMI</t>
  </si>
  <si>
    <t>BND</t>
  </si>
  <si>
    <t>Vanguard Total Bond Market ETF</t>
  </si>
  <si>
    <t>US Bonds</t>
  </si>
  <si>
    <t>CGL</t>
  </si>
  <si>
    <t>iShares Gold Bullion ETF (CAD-Hedged)</t>
  </si>
  <si>
    <t>Gold</t>
  </si>
  <si>
    <t>CGL.C</t>
  </si>
  <si>
    <t>iShares Gold Bullion ETF (Non-Hedged)</t>
  </si>
  <si>
    <t>GLD</t>
  </si>
  <si>
    <t>SPDR Gold Shares</t>
  </si>
  <si>
    <t>Prestige Consumer Healthcare Inc</t>
  </si>
  <si>
    <t>MCD</t>
  </si>
  <si>
    <t>McDonald's Corp</t>
  </si>
  <si>
    <t>RDS.A</t>
  </si>
  <si>
    <t>TOT</t>
  </si>
  <si>
    <t>Royal Dutch Shell PLC ADR Class A</t>
  </si>
  <si>
    <t>Total SA ADR</t>
  </si>
  <si>
    <t>AVGO</t>
  </si>
  <si>
    <t>CELG</t>
  </si>
  <si>
    <t>Broadcom Inc</t>
  </si>
  <si>
    <t>Celgene Corp</t>
  </si>
  <si>
    <t>ALXN</t>
  </si>
  <si>
    <t>AABA</t>
  </si>
  <si>
    <t>GRFS</t>
  </si>
  <si>
    <t>QSR</t>
  </si>
  <si>
    <t>RYCEY</t>
  </si>
  <si>
    <t>PHG</t>
  </si>
  <si>
    <t>CRM</t>
  </si>
  <si>
    <t>SINA</t>
  </si>
  <si>
    <t>SQM</t>
  </si>
  <si>
    <t>TCEHY</t>
  </si>
  <si>
    <t>Tencent Holdings Ltd ADR</t>
  </si>
  <si>
    <t>Salesforce.com Inc</t>
  </si>
  <si>
    <t>SINA Corp</t>
  </si>
  <si>
    <t>Sociedad Quimica Y Minera De Chile SA ADR</t>
  </si>
  <si>
    <t>Alexion Pharmaceuticals Inc</t>
  </si>
  <si>
    <t>Royal Philips NV ADR</t>
  </si>
  <si>
    <t>Rolls-Royce Holdings PLC ADR</t>
  </si>
  <si>
    <t>Restaurant Brands International Inc</t>
  </si>
  <si>
    <t>Grifols SA ADR</t>
  </si>
  <si>
    <t>DOL</t>
  </si>
  <si>
    <t>Column1</t>
  </si>
  <si>
    <t>Column2</t>
  </si>
  <si>
    <t>CEW</t>
  </si>
  <si>
    <t>iShares Equal Weight Banc &amp; Lifeco ETF</t>
  </si>
  <si>
    <t>Canadian FinServ</t>
  </si>
  <si>
    <t>TDOC</t>
  </si>
  <si>
    <t>ILMN</t>
  </si>
  <si>
    <t>Illumina Inc</t>
  </si>
  <si>
    <t>MTCH</t>
  </si>
  <si>
    <t>Match Group Inc</t>
  </si>
  <si>
    <t>Teladoc Health Inc</t>
  </si>
  <si>
    <t>XSP</t>
  </si>
  <si>
    <t>iShares Core S&amp;P 500 Index ETF</t>
  </si>
  <si>
    <t>COTY</t>
  </si>
  <si>
    <t>ING</t>
  </si>
  <si>
    <t>KRC</t>
  </si>
  <si>
    <t>ATHN</t>
  </si>
  <si>
    <t>MUFG</t>
  </si>
  <si>
    <t>PCG</t>
  </si>
  <si>
    <t>Coty Inc Class A</t>
  </si>
  <si>
    <t>ING Groep NV ADR</t>
  </si>
  <si>
    <t>Kilroy Realty Corp</t>
  </si>
  <si>
    <t>Mitsubishi UFJ Financial Group Inc ADR</t>
  </si>
  <si>
    <t>athenahealth Inc</t>
  </si>
  <si>
    <t>PG&amp;E Corp</t>
  </si>
  <si>
    <t>SLG</t>
  </si>
  <si>
    <t>SL Green Realty Corp</t>
  </si>
  <si>
    <t>TRGP</t>
  </si>
  <si>
    <t>Targa Resources Corp</t>
  </si>
  <si>
    <t>Row Labels</t>
  </si>
  <si>
    <t>Grand Total</t>
  </si>
  <si>
    <t>Average of Gain/Loss %</t>
  </si>
  <si>
    <t>Sohu.com Ltd ADR</t>
  </si>
  <si>
    <t>VWO</t>
  </si>
  <si>
    <t>Vanguard FTSE Emerging Markets ETF</t>
  </si>
  <si>
    <t>EEM</t>
  </si>
  <si>
    <t>iShares’ MSCI Emerging Markets ETF</t>
  </si>
  <si>
    <t>VDY</t>
  </si>
  <si>
    <t>Vanguard FTSE Canadian High Div Yld ETF</t>
  </si>
  <si>
    <t>Canadian High Dividend (FinServ)</t>
  </si>
  <si>
    <t>SDOW</t>
  </si>
  <si>
    <t>ProShares UltraPro Short Dow30</t>
  </si>
  <si>
    <t>SH</t>
  </si>
  <si>
    <t>ProShares Short S&amp;P500</t>
  </si>
  <si>
    <t>Common ETFs</t>
  </si>
  <si>
    <t>SQQQ</t>
  </si>
  <si>
    <t>ProShares UltraPro Short QQQ</t>
  </si>
  <si>
    <t>SPDR® Gold Shares</t>
  </si>
  <si>
    <t>ET</t>
  </si>
  <si>
    <t>Energy Transfer LP</t>
  </si>
  <si>
    <t>VBISX</t>
  </si>
  <si>
    <t>Vanguard Short-Term Bond Index</t>
  </si>
  <si>
    <t>US Bonds, Short-term</t>
  </si>
  <si>
    <t>VBIIX</t>
  </si>
  <si>
    <t>Vanguard Interm-Term Bond Index</t>
  </si>
  <si>
    <t>US Bonds, Intermediate-term</t>
  </si>
  <si>
    <t>VBLTX</t>
  </si>
  <si>
    <t>Vanguard Long-Term Bond Index Fund</t>
  </si>
  <si>
    <t>VGPMX</t>
  </si>
  <si>
    <t>Vanguard Global Capital Cycles Fund</t>
  </si>
  <si>
    <t>Gold, scarce assets</t>
  </si>
  <si>
    <t>Legacy Reserves Inc</t>
  </si>
  <si>
    <t>COMMENT: Overpriced</t>
  </si>
  <si>
    <t>SAMPLE</t>
  </si>
  <si>
    <t>[Manual]</t>
  </si>
  <si>
    <t>XOM</t>
  </si>
  <si>
    <t>Exxon Mobil Corp</t>
  </si>
  <si>
    <t>Korn Ferry</t>
  </si>
  <si>
    <t>Coca-Cola Consolidated Inc</t>
  </si>
  <si>
    <t>Legg Mason Inc-LeggMason RETAIL</t>
  </si>
  <si>
    <t>01-Dec-18 12:00:00 AM</t>
  </si>
  <si>
    <t>VEQT</t>
  </si>
  <si>
    <t>Vanguard All-Equity ETF Portfolio</t>
  </si>
  <si>
    <t>VGRO</t>
  </si>
  <si>
    <t>Vanguard Growth ETF Portfolio</t>
  </si>
  <si>
    <t>VAB</t>
  </si>
  <si>
    <t>Vanguard Canadian Aggregate Bond Index ETF</t>
  </si>
  <si>
    <t>Canada Bonds</t>
  </si>
  <si>
    <t>The Providence Service Corp</t>
  </si>
  <si>
    <t>Colony Capital Inc Class A</t>
  </si>
  <si>
    <t>MR</t>
  </si>
  <si>
    <t>Montage Resources Corp</t>
  </si>
  <si>
    <t>1.22</t>
  </si>
  <si>
    <t>0.18</t>
  </si>
  <si>
    <t>1.17</t>
  </si>
  <si>
    <t>1.28</t>
  </si>
  <si>
    <t>5.91</t>
  </si>
  <si>
    <t>XUS</t>
  </si>
  <si>
    <t>VFV</t>
  </si>
  <si>
    <t>VSP</t>
  </si>
  <si>
    <t>IAU</t>
  </si>
  <si>
    <t>iShares Gold Trust</t>
  </si>
  <si>
    <t>VGIT</t>
  </si>
  <si>
    <t>Vanguard Intermediate-Term Treasury ETF</t>
  </si>
  <si>
    <t>US Treasury Bonds</t>
  </si>
  <si>
    <t>Phone trade flat fee</t>
  </si>
  <si>
    <t>Commission</t>
  </si>
  <si>
    <t>Strike</t>
  </si>
  <si>
    <t>Journal</t>
  </si>
  <si>
    <t>Reports</t>
  </si>
  <si>
    <t>Queries</t>
  </si>
  <si>
    <t>SDS</t>
  </si>
  <si>
    <t>ProShares Ultra-Short S&amp;P 500</t>
  </si>
  <si>
    <t>Today I'm going to try ProShares ultra-shorting S&amp;P.  It has a 0.89% MER and I'm putting in $100k.  Futures are at -1.56%.</t>
  </si>
  <si>
    <t>https://www.bloomberg.com/news/articles/2019-08-08/companies-use-borrowed-billions-to-buy-back-stock-not-to-invest?te=1&amp;nl=dealbook&amp;emc=edit_dk_20190809?campaign_id=4&amp;instance_id=11517&amp;segment_id=16011&amp;user_id=df76e39b4b5a7f02b0ac32206323e186&amp;regi_id=7853931920190809</t>
  </si>
  <si>
    <t>Companies Use Borrowed Billions to Buy Back Stock, Not to Invest</t>
  </si>
  <si>
    <t>Journal and News</t>
  </si>
  <si>
    <t>Scratch Pad</t>
  </si>
  <si>
    <t>VNQ</t>
  </si>
  <si>
    <t>Vanguard Real Estate ETF</t>
  </si>
  <si>
    <t>US Real Estate</t>
  </si>
  <si>
    <t>Vanguard FTSE Canadian Capped REIT ETF</t>
  </si>
  <si>
    <t>Canada Real Estate</t>
  </si>
  <si>
    <t>VRE</t>
  </si>
  <si>
    <t>GDX</t>
  </si>
  <si>
    <t>US Gold Producers</t>
  </si>
  <si>
    <t>US GDP</t>
  </si>
  <si>
    <t>Component</t>
  </si>
  <si>
    <t>%</t>
  </si>
  <si>
    <t>Consumer spending</t>
  </si>
  <si>
    <t>Business investment</t>
  </si>
  <si>
    <t>Government spending</t>
  </si>
  <si>
    <t>Exports</t>
  </si>
  <si>
    <t>HEP.TO</t>
  </si>
  <si>
    <t>Sale Price</t>
  </si>
  <si>
    <t>Ask</t>
  </si>
  <si>
    <t>Adjusted Value</t>
  </si>
  <si>
    <t>51951664 Questrade RRSP</t>
  </si>
  <si>
    <t>QT RRSP CAD</t>
  </si>
  <si>
    <t>Holdings</t>
  </si>
  <si>
    <t>SLV</t>
  </si>
  <si>
    <t>SVR.C</t>
  </si>
  <si>
    <t>iShares Silver Bullion ETF</t>
  </si>
  <si>
    <t>VCN.TO</t>
  </si>
  <si>
    <t>IJR</t>
  </si>
  <si>
    <t>Questrade currency conversion fee</t>
  </si>
  <si>
    <t>XLK</t>
  </si>
  <si>
    <t>XSP.TO</t>
  </si>
  <si>
    <t>ENB.TO</t>
  </si>
  <si>
    <t>Enbridge Inc.</t>
  </si>
  <si>
    <t>33 Undervalued Stocks for 2020</t>
  </si>
  <si>
    <t>https://www.morningstar.com/articles/961514/33-undervalued-stocks-for-2020</t>
  </si>
  <si>
    <t>KHC</t>
  </si>
  <si>
    <t>https://www.morningstar.com/articles/962025/8-compelling-stocks</t>
  </si>
  <si>
    <t>8 Compelling Stocks</t>
  </si>
  <si>
    <t>VEEV</t>
  </si>
  <si>
    <t>CTVA</t>
  </si>
  <si>
    <t>CSX</t>
  </si>
  <si>
    <t>MO</t>
  </si>
  <si>
    <t>Huge spike then volatility</t>
  </si>
  <si>
    <t>Neutral</t>
  </si>
  <si>
    <t>https://www.morningstar.com/articles/962059/kraft-heinz-looking-to-recapture-its-recipe-for-success</t>
  </si>
  <si>
    <t>Kraft Heinz Looking to Recapture Its Recipe for Success</t>
  </si>
  <si>
    <t>Good dividend, Morningstar is bullish, great PFV.</t>
  </si>
  <si>
    <t>BTTGY</t>
  </si>
  <si>
    <t>The Carlyle Group Inc</t>
  </si>
  <si>
    <t>Constellium SE A</t>
  </si>
  <si>
    <t>Dillard's Inc Class A</t>
  </si>
  <si>
    <t>The Kraft Heinz Co</t>
  </si>
  <si>
    <t>LGCYQ</t>
  </si>
  <si>
    <t>Vanguard Intmdt-Term Trs ETF</t>
  </si>
  <si>
    <t>15-Jan-20 12:00:00 AM</t>
  </si>
  <si>
    <t>Pfizer Inc.</t>
  </si>
  <si>
    <t>The Kraft Heinz Company</t>
  </si>
  <si>
    <t>% Total Return 3 Month</t>
  </si>
  <si>
    <t>% Total Return 12 Month</t>
  </si>
  <si>
    <t>Price/Sales</t>
  </si>
  <si>
    <t>Price/Fair Value</t>
  </si>
  <si>
    <t>Financial Health Grade</t>
  </si>
  <si>
    <t>Slowly up with volatility</t>
  </si>
  <si>
    <t>Not touching a financial health of D</t>
  </si>
  <si>
    <t>Dividends</t>
  </si>
  <si>
    <t>Owned?</t>
  </si>
  <si>
    <t>Yes</t>
  </si>
  <si>
    <t>No</t>
  </si>
  <si>
    <t>Ex-Dividend on 30-Jan</t>
  </si>
  <si>
    <t>Ex-Dividend on 13-Feb</t>
  </si>
  <si>
    <t>Ex-Dividend ~7-Mar</t>
  </si>
  <si>
    <t>Ex-Dividend</t>
  </si>
  <si>
    <t>TFSA CAD</t>
  </si>
  <si>
    <t>Microsoft Corporation</t>
  </si>
  <si>
    <t>0.17</t>
  </si>
  <si>
    <t>0.16</t>
  </si>
  <si>
    <t>1.87</t>
  </si>
  <si>
    <t>4.08</t>
  </si>
  <si>
    <t>1.42</t>
  </si>
  <si>
    <t>1.27</t>
  </si>
  <si>
    <t>0.32</t>
  </si>
  <si>
    <t>0.71</t>
  </si>
  <si>
    <t>0.21</t>
  </si>
  <si>
    <t>0.42</t>
  </si>
  <si>
    <t>0.01</t>
  </si>
  <si>
    <t>0.7</t>
  </si>
  <si>
    <t>0.38</t>
  </si>
  <si>
    <t>2.58</t>
  </si>
  <si>
    <t>0.46</t>
  </si>
  <si>
    <t>0.56</t>
  </si>
  <si>
    <t>0.33</t>
  </si>
  <si>
    <t>1.58</t>
  </si>
  <si>
    <t>0.41</t>
  </si>
  <si>
    <t>1.16</t>
  </si>
  <si>
    <t>3.18</t>
  </si>
  <si>
    <t>0.2</t>
  </si>
  <si>
    <t>2.78</t>
  </si>
  <si>
    <t>2.57</t>
  </si>
  <si>
    <t>0.27</t>
  </si>
  <si>
    <t>1.51</t>
  </si>
  <si>
    <t>0.74</t>
  </si>
  <si>
    <t>0.09</t>
  </si>
  <si>
    <t>53.77</t>
  </si>
  <si>
    <t>1.35</t>
  </si>
  <si>
    <t>1.12</t>
  </si>
  <si>
    <t>0.36</t>
  </si>
  <si>
    <t>0.48</t>
  </si>
  <si>
    <t>0.26</t>
  </si>
  <si>
    <t>0.12</t>
  </si>
  <si>
    <t>2.25</t>
  </si>
  <si>
    <t>0.28</t>
  </si>
  <si>
    <t>1.32</t>
  </si>
  <si>
    <t>0.72</t>
  </si>
  <si>
    <t>0.53</t>
  </si>
  <si>
    <t>0.22</t>
  </si>
  <si>
    <t>1.94</t>
  </si>
  <si>
    <t>0.23</t>
  </si>
  <si>
    <t>0.37</t>
  </si>
  <si>
    <t>0.06</t>
  </si>
  <si>
    <t>0.88</t>
  </si>
  <si>
    <t>2.26</t>
  </si>
  <si>
    <t>9.61</t>
  </si>
  <si>
    <t>1.44</t>
  </si>
  <si>
    <t>0.62</t>
  </si>
  <si>
    <t>1.98</t>
  </si>
  <si>
    <t>0.58</t>
  </si>
  <si>
    <t>1.96</t>
  </si>
  <si>
    <t>0.14</t>
  </si>
  <si>
    <t>0.55</t>
  </si>
  <si>
    <t>0.95</t>
  </si>
  <si>
    <t>0.63</t>
  </si>
  <si>
    <t>0.43</t>
  </si>
  <si>
    <t>0</t>
  </si>
  <si>
    <t>1.93</t>
  </si>
  <si>
    <t>4.21</t>
  </si>
  <si>
    <t>2.56</t>
  </si>
  <si>
    <t>0.73</t>
  </si>
  <si>
    <t>0.77</t>
  </si>
  <si>
    <t>0.78</t>
  </si>
  <si>
    <t>0.31</t>
  </si>
  <si>
    <t>0.57</t>
  </si>
  <si>
    <t>0.19</t>
  </si>
  <si>
    <t>3.14</t>
  </si>
  <si>
    <t>0.99</t>
  </si>
  <si>
    <t>2.33</t>
  </si>
  <si>
    <t>0.24</t>
  </si>
  <si>
    <t>0.47</t>
  </si>
  <si>
    <t>0.79</t>
  </si>
  <si>
    <t>1.13</t>
  </si>
  <si>
    <t>2.86</t>
  </si>
  <si>
    <t>1.11</t>
  </si>
  <si>
    <t>0.29</t>
  </si>
  <si>
    <t>1.36</t>
  </si>
  <si>
    <t>7.79</t>
  </si>
  <si>
    <t>0.86</t>
  </si>
  <si>
    <t>0.25</t>
  </si>
  <si>
    <t>0.5</t>
  </si>
  <si>
    <t>0.52</t>
  </si>
  <si>
    <t>4.75</t>
  </si>
  <si>
    <t>10.85</t>
  </si>
  <si>
    <t>0.49</t>
  </si>
  <si>
    <t>1.04</t>
  </si>
  <si>
    <t>19.57</t>
  </si>
  <si>
    <t>1.09</t>
  </si>
  <si>
    <t>0.85</t>
  </si>
  <si>
    <t>3.64</t>
  </si>
  <si>
    <t>4.7</t>
  </si>
  <si>
    <t>0.13</t>
  </si>
  <si>
    <t>4.17</t>
  </si>
  <si>
    <t>4.66</t>
  </si>
  <si>
    <t>1.24</t>
  </si>
  <si>
    <t>0.8</t>
  </si>
  <si>
    <t>4.6</t>
  </si>
  <si>
    <t>0.6</t>
  </si>
  <si>
    <t>1.61</t>
  </si>
  <si>
    <t>3.67</t>
  </si>
  <si>
    <t>1.02</t>
  </si>
  <si>
    <t>0.1</t>
  </si>
  <si>
    <t>2.11</t>
  </si>
  <si>
    <t>1.49</t>
  </si>
  <si>
    <t>0.98</t>
  </si>
  <si>
    <t>1.14</t>
  </si>
  <si>
    <t>0.66</t>
  </si>
  <si>
    <t>0.97</t>
  </si>
  <si>
    <t>1.67</t>
  </si>
  <si>
    <t>15.41</t>
  </si>
  <si>
    <t>0.65</t>
  </si>
  <si>
    <t>2.04</t>
  </si>
  <si>
    <t>14.02</t>
  </si>
  <si>
    <t>1.07</t>
  </si>
  <si>
    <t>0.08</t>
  </si>
  <si>
    <t>0.34</t>
  </si>
  <si>
    <t>2.34</t>
  </si>
  <si>
    <t>0.92</t>
  </si>
  <si>
    <t>1.08</t>
  </si>
  <si>
    <t>1.45</t>
  </si>
  <si>
    <t>0.83</t>
  </si>
  <si>
    <t>Altaba Inc</t>
  </si>
  <si>
    <t>4.86</t>
  </si>
  <si>
    <t>2.72</t>
  </si>
  <si>
    <t>4.71</t>
  </si>
  <si>
    <t>0.11</t>
  </si>
  <si>
    <t>1.03</t>
  </si>
  <si>
    <t>4.4</t>
  </si>
  <si>
    <t>6.07</t>
  </si>
  <si>
    <t>2.18</t>
  </si>
  <si>
    <t>7.57</t>
  </si>
  <si>
    <t>0.3</t>
  </si>
  <si>
    <t>0.93</t>
  </si>
  <si>
    <t>4.26</t>
  </si>
  <si>
    <t>1.55</t>
  </si>
  <si>
    <t>0.87</t>
  </si>
  <si>
    <t>3.48</t>
  </si>
  <si>
    <t>1.88</t>
  </si>
  <si>
    <t>1.7</t>
  </si>
  <si>
    <t>0.54</t>
  </si>
  <si>
    <t>0.07</t>
  </si>
  <si>
    <t>1.05</t>
  </si>
  <si>
    <t>9.81</t>
  </si>
  <si>
    <t>0.44</t>
  </si>
  <si>
    <t>4.22</t>
  </si>
  <si>
    <t>1.73</t>
  </si>
  <si>
    <t>1.4</t>
  </si>
  <si>
    <t>7.22</t>
  </si>
  <si>
    <t>3.9</t>
  </si>
  <si>
    <t>1.9</t>
  </si>
  <si>
    <t>14.25</t>
  </si>
  <si>
    <t>13.4</t>
  </si>
  <si>
    <t>12.67</t>
  </si>
  <si>
    <t>2.16</t>
  </si>
  <si>
    <t>1.34</t>
  </si>
  <si>
    <t>1.41</t>
  </si>
  <si>
    <t>6.89</t>
  </si>
  <si>
    <t>10.64</t>
  </si>
  <si>
    <t>0.84</t>
  </si>
  <si>
    <t>5.33</t>
  </si>
  <si>
    <t>1.38</t>
  </si>
  <si>
    <t>3.73</t>
  </si>
  <si>
    <t>11.16</t>
  </si>
  <si>
    <t>2.3</t>
  </si>
  <si>
    <t>1.06</t>
  </si>
  <si>
    <t>0.39</t>
  </si>
  <si>
    <t>3.09</t>
  </si>
  <si>
    <t>2.07</t>
  </si>
  <si>
    <t>3.41</t>
  </si>
  <si>
    <t>5.53</t>
  </si>
  <si>
    <t>0.59</t>
  </si>
  <si>
    <t>0.61</t>
  </si>
  <si>
    <t>4.73</t>
  </si>
  <si>
    <t>3.94</t>
  </si>
  <si>
    <t>1.31</t>
  </si>
  <si>
    <t>6.57</t>
  </si>
  <si>
    <t>0.76</t>
  </si>
  <si>
    <t>0.05</t>
  </si>
  <si>
    <t>3.88</t>
  </si>
  <si>
    <t>0.81</t>
  </si>
  <si>
    <t>1.56</t>
  </si>
  <si>
    <t>9.87</t>
  </si>
  <si>
    <t>1.71</t>
  </si>
  <si>
    <t>0.35</t>
  </si>
  <si>
    <t>Veeva Systems Inc Class A</t>
  </si>
  <si>
    <t>23.57</t>
  </si>
  <si>
    <t>6.78</t>
  </si>
  <si>
    <t>1.92</t>
  </si>
  <si>
    <t xml:space="preserve"> 2020-02-10 12:00 PM </t>
  </si>
  <si>
    <t>Very undervalued, great dividend.  But not well positioned with Corona virus or recession.</t>
  </si>
  <si>
    <t>Very consistent healthy company and stock.  High dividend.  Selling at fair value.</t>
  </si>
  <si>
    <t>K</t>
  </si>
  <si>
    <t>Kellogg Co</t>
  </si>
  <si>
    <t>Good dividend, undervalued, healthy.</t>
  </si>
  <si>
    <t>Gold Merger Sub LLC</t>
  </si>
  <si>
    <t>RES</t>
  </si>
  <si>
    <t>RPC Inc</t>
  </si>
  <si>
    <t>Athena Neurosciences</t>
  </si>
  <si>
    <t>BMWYY</t>
  </si>
  <si>
    <t>Bayerische Motoren Werke AG ADR</t>
  </si>
  <si>
    <t>CLB</t>
  </si>
  <si>
    <t>Core Laboratories NV</t>
  </si>
  <si>
    <t>DDAIF</t>
  </si>
  <si>
    <t>Daimler AG</t>
  </si>
  <si>
    <t>Legg Mason Inc</t>
  </si>
  <si>
    <t>MAC</t>
  </si>
  <si>
    <t>Macerich Co</t>
  </si>
  <si>
    <t>NSANY</t>
  </si>
  <si>
    <t>Nissan Motor Co Ltd ADR</t>
  </si>
  <si>
    <t>Good dividend, very strong velocity</t>
  </si>
  <si>
    <t>10-Feb-20 12:00:00 AM</t>
  </si>
  <si>
    <t>11-Feb-20 12:00:00 AM</t>
  </si>
  <si>
    <t>0.03</t>
  </si>
  <si>
    <t>20-Feb-20 12:00:00 AM</t>
  </si>
  <si>
    <t>Reliable company, great dividend, great PFV</t>
  </si>
  <si>
    <t>Good velocity, good growth curve, good dividend</t>
  </si>
  <si>
    <t>Good PFV but not good enough dividend.</t>
  </si>
  <si>
    <t>Great PFV, great dividend.</t>
  </si>
  <si>
    <t>Great dividend and PFV, but velocity alarming</t>
  </si>
  <si>
    <t>Everything great except Velocity</t>
  </si>
  <si>
    <t>Terrible velocity, amazing PFV.</t>
  </si>
  <si>
    <t>EMR</t>
  </si>
  <si>
    <t>MMP</t>
  </si>
  <si>
    <t>WFC</t>
  </si>
  <si>
    <t>Emerson Electric Co</t>
  </si>
  <si>
    <t>Magellan Midstream Partners LP</t>
  </si>
  <si>
    <t>Wells Fargo &amp; Co</t>
  </si>
  <si>
    <t>Very undervalued, great dividend.</t>
  </si>
  <si>
    <t>PFV is too high</t>
  </si>
  <si>
    <t>Vanguard S&amp;P 500 ETF CAD-Hedged</t>
  </si>
  <si>
    <t>RWM</t>
  </si>
  <si>
    <t>ProShares Short Russell2000</t>
  </si>
  <si>
    <t>TWM</t>
  </si>
  <si>
    <t>ProShares UltraShort Russell2000</t>
  </si>
  <si>
    <t>Long</t>
  </si>
  <si>
    <t>Ultra short</t>
  </si>
  <si>
    <t>Dow 30</t>
  </si>
  <si>
    <t>Russell 2000</t>
  </si>
  <si>
    <t>S&amp;P 500</t>
  </si>
  <si>
    <t>Short</t>
  </si>
  <si>
    <t>Long hedged</t>
  </si>
  <si>
    <t>Asset class</t>
  </si>
  <si>
    <t>Long unhedged</t>
  </si>
  <si>
    <t>TNA</t>
  </si>
  <si>
    <t>Direxion Daily Small Cap Bull 3x Shares</t>
  </si>
  <si>
    <t>Ultra bull</t>
  </si>
  <si>
    <t>SMLL</t>
  </si>
  <si>
    <t>Direxion Daily Small Cap Bull 2X Shares</t>
  </si>
  <si>
    <t>Bull</t>
  </si>
  <si>
    <t>TQQQ</t>
  </si>
  <si>
    <t>ProShares UltraPro QQQ</t>
  </si>
  <si>
    <t>SPXL</t>
  </si>
  <si>
    <t>Direxion Daily S&amp;P 500 Bull 3X Shares</t>
  </si>
  <si>
    <t>SSO</t>
  </si>
  <si>
    <t>ProShares Ultra S&amp;P 500</t>
  </si>
  <si>
    <t>UDOW</t>
  </si>
  <si>
    <t>ProShares UltraPro Dow30</t>
  </si>
  <si>
    <t>DGLD</t>
  </si>
  <si>
    <t>VelocityShares 3x Inverse Gold ETN</t>
  </si>
  <si>
    <t>US Bonds, Long-term</t>
  </si>
  <si>
    <t>VSP.TO</t>
  </si>
  <si>
    <t>Trailing stop limit of 5% expires on 21-Aug.</t>
  </si>
  <si>
    <t>Stop Target</t>
  </si>
  <si>
    <t>Stop price</t>
  </si>
  <si>
    <t>Stop loss in place</t>
  </si>
  <si>
    <t>HSD</t>
  </si>
  <si>
    <t>BetaPro S&amp;P 500 -2x Daily Bear ETF</t>
  </si>
  <si>
    <t>HSU</t>
  </si>
  <si>
    <t>BetaPro S&amp;P 500 2x Daily Bull ETF</t>
  </si>
  <si>
    <t>QQQ</t>
  </si>
  <si>
    <t>Invesco QQQ Trust</t>
  </si>
  <si>
    <t>NASDAQ-100</t>
  </si>
  <si>
    <t>DIA</t>
  </si>
  <si>
    <t>SPDR Dow Jones Industrial Avrg ETF</t>
  </si>
  <si>
    <t>IWN</t>
  </si>
  <si>
    <t>iShares Russell 2000 Value ETF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</si>
</sst>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&quot;$&quot;#,##0"/>
    <numFmt numFmtId="166" formatCode="[$-409]d/mmm/yy;@"/>
    <numFmt numFmtId="167" formatCode="&quot;$&quot;#,##0.00;[Red]&quot;$&quot;#,##0.00"/>
    <numFmt numFmtId="168" formatCode="0.0%"/>
    <numFmt numFmtId="169" formatCode="0.00%;[Red]\(0.00%\)"/>
    <numFmt numFmtId="170" formatCode="#0.00%;[Red]\(#0.00%\)"/>
    <numFmt numFmtId="171" formatCode="0.00_);[Red]\(0.00\)"/>
    <numFmt numFmtId="172" formatCode="&quot;$&quot;#,##0.0_);[Red]\(&quot;$&quot;#,##0.0\)"/>
  </numFmts>
  <fonts count="24" x14ac:knownFonts="1">
    <font>
      <sz val="10"/>
      <color theme="1"/>
      <name val="Segoe UI Light"/>
      <family val="2"/>
    </font>
    <font>
      <sz val="10"/>
      <color theme="1"/>
      <name val="Segoe UI Light"/>
      <family val="2"/>
    </font>
    <font>
      <b/>
      <sz val="10"/>
      <color theme="1"/>
      <name val="Segoe UI Light"/>
      <family val="2"/>
    </font>
    <font>
      <sz val="11"/>
      <color theme="1"/>
      <name val="Calibri"/>
      <family val="2"/>
      <scheme val="minor"/>
    </font>
    <font>
      <i/>
      <sz val="10"/>
      <color theme="1"/>
      <name val="Segoe UI Light"/>
      <family val="2"/>
    </font>
    <font>
      <b/>
      <i/>
      <sz val="10"/>
      <color theme="1"/>
      <name val="Segoe UI Light"/>
      <family val="2"/>
    </font>
    <font>
      <sz val="10"/>
      <name val="Segoe UI Light"/>
      <family val="2"/>
    </font>
    <font>
      <sz val="10"/>
      <color rgb="FF7030A0"/>
      <name val="Segoe UI Light"/>
      <family val="2"/>
    </font>
    <font>
      <sz val="11"/>
      <color theme="1"/>
      <name val="Segoe UI Light"/>
      <family val="2"/>
    </font>
    <font>
      <sz val="16"/>
      <color theme="1"/>
      <name val="Segoe UI Light"/>
      <family val="2"/>
    </font>
    <font>
      <sz val="10"/>
      <color theme="10"/>
      <name val="Segoe UI Light"/>
      <family val="2"/>
    </font>
    <font>
      <sz val="10"/>
      <color theme="1"/>
      <name val="Segoe UI Light"/>
      <family val="2"/>
    </font>
    <font>
      <sz val="11"/>
      <color theme="1"/>
      <name val="Segoe UI Light"/>
      <family val="2"/>
    </font>
    <font>
      <sz val="16"/>
      <color theme="1"/>
      <name val="Segoe UI Light"/>
      <family val="2"/>
    </font>
    <font>
      <i/>
      <sz val="10"/>
      <color theme="1"/>
      <name val="Segoe UI Light"/>
      <family val="2"/>
    </font>
    <font>
      <b/>
      <i/>
      <sz val="10"/>
      <color theme="1"/>
      <name val="Segoe UI Light"/>
      <family val="2"/>
    </font>
    <font>
      <b/>
      <i/>
      <sz val="18"/>
      <color theme="1"/>
      <name val="Segoe UI Light"/>
      <family val="2"/>
    </font>
    <font>
      <sz val="18"/>
      <color theme="1"/>
      <name val="Segoe UI Light"/>
      <family val="2"/>
    </font>
    <font>
      <b/>
      <sz val="10"/>
      <color theme="1"/>
      <name val="Segoe UI Light"/>
      <family val="2"/>
    </font>
    <font>
      <b/>
      <sz val="11"/>
      <color theme="1"/>
      <name val="Segoe UI Light"/>
      <family val="2"/>
    </font>
    <font>
      <sz val="10"/>
      <name val="Arial"/>
      <family val="2"/>
    </font>
    <font>
      <sz val="10"/>
      <color theme="0"/>
      <name val="Segoe UI Light"/>
      <family val="2"/>
    </font>
    <font>
      <b/>
      <sz val="10"/>
      <color rgb="FFFF0000"/>
      <name val="Segoe UI Light"/>
      <family val="2"/>
    </font>
    <font>
      <b/>
      <sz val="10"/>
      <color rgb="FF00B050"/>
      <name val="Segoe UI Light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auto="1"/>
      </bottom>
      <diagonal/>
    </border>
  </borders>
  <cellStyleXfs count="7">
    <xf numFmtId="0" fontId="0" fillId="0" borderId="0"/>
    <xf numFmtId="0" fontId="3" fillId="0" borderId="0"/>
    <xf numFmtId="0" fontId="10" fillId="0" borderId="0" applyNumberFormat="0" applyFill="0" applyBorder="0" applyAlignment="0" applyProtection="0">
      <alignment vertical="top"/>
      <protection locked="0"/>
    </xf>
    <xf numFmtId="44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0"/>
  </cellStyleXfs>
  <cellXfs count="214">
    <xf numFmtId="0" fontId="0" fillId="0" borderId="0" xfId="0"/>
    <xf numFmtId="0" fontId="1" fillId="0" borderId="0" xfId="1" applyFont="1" applyAlignment="1">
      <alignment vertical="center"/>
    </xf>
    <xf numFmtId="0" fontId="4" fillId="0" borderId="0" xfId="1" applyFont="1" applyAlignment="1">
      <alignment horizontal="center" vertical="center"/>
    </xf>
    <xf numFmtId="164" fontId="1" fillId="0" borderId="0" xfId="1" applyNumberFormat="1" applyFont="1" applyAlignment="1">
      <alignment horizontal="center" vertical="center"/>
    </xf>
    <xf numFmtId="165" fontId="5" fillId="0" borderId="0" xfId="1" applyNumberFormat="1" applyFont="1" applyAlignment="1">
      <alignment horizontal="right" vertical="center"/>
    </xf>
    <xf numFmtId="165" fontId="5" fillId="0" borderId="0" xfId="1" applyNumberFormat="1" applyFont="1" applyAlignment="1">
      <alignment horizontal="center" vertical="center"/>
    </xf>
    <xf numFmtId="0" fontId="1" fillId="0" borderId="0" xfId="1" applyFont="1" applyAlignment="1">
      <alignment horizontal="center" vertical="center"/>
    </xf>
    <xf numFmtId="8" fontId="1" fillId="0" borderId="0" xfId="1" applyNumberFormat="1" applyFont="1" applyAlignment="1">
      <alignment horizontal="center" vertical="center"/>
    </xf>
    <xf numFmtId="0" fontId="1" fillId="0" borderId="0" xfId="1" applyFont="1" applyAlignment="1">
      <alignment vertical="center" wrapText="1"/>
    </xf>
    <xf numFmtId="0" fontId="1" fillId="0" borderId="0" xfId="1" applyFont="1" applyAlignment="1">
      <alignment horizontal="center" vertical="center" wrapText="1"/>
    </xf>
    <xf numFmtId="164" fontId="1" fillId="0" borderId="0" xfId="1" applyNumberFormat="1" applyFont="1" applyAlignment="1">
      <alignment vertical="center" wrapText="1"/>
    </xf>
    <xf numFmtId="0" fontId="6" fillId="0" borderId="0" xfId="1" applyFont="1" applyAlignment="1">
      <alignment vertical="center"/>
    </xf>
    <xf numFmtId="164" fontId="6" fillId="0" borderId="0" xfId="1" applyNumberFormat="1" applyFont="1" applyAlignment="1">
      <alignment vertical="center"/>
    </xf>
    <xf numFmtId="0" fontId="7" fillId="0" borderId="0" xfId="1" applyFont="1" applyAlignment="1">
      <alignment vertical="center"/>
    </xf>
    <xf numFmtId="0" fontId="2" fillId="0" borderId="0" xfId="1" applyFont="1" applyAlignment="1">
      <alignment vertical="center"/>
    </xf>
    <xf numFmtId="0" fontId="1" fillId="0" borderId="0" xfId="1" applyFont="1"/>
    <xf numFmtId="0" fontId="1" fillId="0" borderId="0" xfId="1" applyFont="1" applyAlignment="1">
      <alignment horizontal="center"/>
    </xf>
    <xf numFmtId="0" fontId="9" fillId="0" borderId="0" xfId="1" applyFont="1" applyAlignment="1">
      <alignment vertical="center"/>
    </xf>
    <xf numFmtId="0" fontId="11" fillId="0" borderId="0" xfId="1" applyFont="1"/>
    <xf numFmtId="0" fontId="12" fillId="0" borderId="0" xfId="1" applyFont="1"/>
    <xf numFmtId="0" fontId="13" fillId="0" borderId="0" xfId="1" applyFont="1" applyAlignment="1">
      <alignment vertical="center"/>
    </xf>
    <xf numFmtId="0" fontId="11" fillId="0" borderId="0" xfId="1" applyFont="1" applyAlignment="1">
      <alignment vertical="center"/>
    </xf>
    <xf numFmtId="0" fontId="11" fillId="0" borderId="0" xfId="1" applyFont="1" applyAlignment="1">
      <alignment horizontal="center" vertical="center"/>
    </xf>
    <xf numFmtId="164" fontId="11" fillId="0" borderId="0" xfId="1" applyNumberFormat="1" applyFont="1" applyAlignment="1">
      <alignment horizontal="center" vertical="center"/>
    </xf>
    <xf numFmtId="8" fontId="11" fillId="0" borderId="0" xfId="1" applyNumberFormat="1" applyFont="1" applyAlignment="1">
      <alignment vertical="center"/>
    </xf>
    <xf numFmtId="0" fontId="12" fillId="0" borderId="0" xfId="1" applyFont="1" applyAlignment="1">
      <alignment vertical="center"/>
    </xf>
    <xf numFmtId="0" fontId="14" fillId="0" borderId="0" xfId="1" applyFont="1" applyAlignment="1">
      <alignment horizontal="center" vertical="center"/>
    </xf>
    <xf numFmtId="165" fontId="16" fillId="0" borderId="0" xfId="1" applyNumberFormat="1" applyFont="1" applyAlignment="1">
      <alignment horizontal="center" vertical="center"/>
    </xf>
    <xf numFmtId="0" fontId="17" fillId="0" borderId="0" xfId="1" applyFont="1" applyAlignment="1">
      <alignment vertical="center"/>
    </xf>
    <xf numFmtId="0" fontId="13" fillId="0" borderId="0" xfId="1" applyFont="1"/>
    <xf numFmtId="0" fontId="18" fillId="0" borderId="0" xfId="1" applyFont="1" applyAlignment="1">
      <alignment vertical="center"/>
    </xf>
    <xf numFmtId="0" fontId="13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165" fontId="15" fillId="0" borderId="0" xfId="0" applyNumberFormat="1" applyFont="1" applyAlignment="1">
      <alignment horizontal="right" vertical="center"/>
    </xf>
    <xf numFmtId="165" fontId="16" fillId="0" borderId="0" xfId="0" applyNumberFormat="1" applyFont="1" applyAlignment="1">
      <alignment horizontal="center" vertical="center"/>
    </xf>
    <xf numFmtId="166" fontId="11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64" fontId="6" fillId="0" borderId="0" xfId="0" applyNumberFormat="1" applyFont="1" applyAlignment="1">
      <alignment vertical="center"/>
    </xf>
    <xf numFmtId="8" fontId="6" fillId="0" borderId="0" xfId="0" applyNumberFormat="1" applyFont="1" applyAlignment="1">
      <alignment vertical="center"/>
    </xf>
    <xf numFmtId="10" fontId="6" fillId="0" borderId="0" xfId="0" applyNumberFormat="1" applyFont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0" fillId="0" borderId="0" xfId="1" applyFont="1" applyAlignment="1">
      <alignment horizontal="right" vertical="center" wrapText="1"/>
    </xf>
    <xf numFmtId="166" fontId="6" fillId="0" borderId="0" xfId="2" applyNumberFormat="1" applyFont="1" applyAlignment="1" applyProtection="1">
      <alignment vertical="center"/>
    </xf>
    <xf numFmtId="0" fontId="9" fillId="0" borderId="0" xfId="0" applyFont="1" applyAlignment="1">
      <alignment vertical="center"/>
    </xf>
    <xf numFmtId="0" fontId="2" fillId="0" borderId="0" xfId="1" applyFont="1" applyAlignment="1">
      <alignment horizontal="center" vertical="center" wrapText="1"/>
    </xf>
    <xf numFmtId="168" fontId="11" fillId="0" borderId="0" xfId="5" applyNumberFormat="1" applyFont="1" applyAlignment="1">
      <alignment horizontal="center" vertical="center"/>
    </xf>
    <xf numFmtId="168" fontId="11" fillId="2" borderId="0" xfId="5" applyNumberFormat="1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6" fontId="0" fillId="0" borderId="0" xfId="0" applyNumberFormat="1" applyAlignment="1">
      <alignment vertical="center"/>
    </xf>
    <xf numFmtId="0" fontId="10" fillId="0" borderId="0" xfId="2" applyAlignment="1" applyProtection="1">
      <alignment vertical="center"/>
    </xf>
    <xf numFmtId="164" fontId="0" fillId="0" borderId="0" xfId="0" applyNumberFormat="1" applyAlignment="1">
      <alignment vertical="center"/>
    </xf>
    <xf numFmtId="49" fontId="0" fillId="0" borderId="0" xfId="0" applyNumberFormat="1"/>
    <xf numFmtId="4" fontId="0" fillId="0" borderId="0" xfId="0" applyNumberFormat="1"/>
    <xf numFmtId="165" fontId="15" fillId="0" borderId="0" xfId="1" applyNumberFormat="1" applyFont="1" applyAlignment="1">
      <alignment horizontal="right" vertical="center"/>
    </xf>
    <xf numFmtId="0" fontId="18" fillId="0" borderId="0" xfId="1" applyFont="1" applyAlignment="1">
      <alignment horizontal="center" vertical="center"/>
    </xf>
    <xf numFmtId="0" fontId="19" fillId="0" borderId="0" xfId="1" applyFont="1" applyAlignment="1">
      <alignment horizontal="center" vertical="center"/>
    </xf>
    <xf numFmtId="6" fontId="11" fillId="0" borderId="0" xfId="1" applyNumberFormat="1" applyFont="1" applyAlignment="1">
      <alignment horizontal="center" vertical="center"/>
    </xf>
    <xf numFmtId="38" fontId="11" fillId="2" borderId="0" xfId="1" applyNumberFormat="1" applyFont="1" applyFill="1" applyAlignment="1">
      <alignment horizontal="center" vertical="center"/>
    </xf>
    <xf numFmtId="0" fontId="0" fillId="0" borderId="0" xfId="1" applyFont="1" applyAlignment="1">
      <alignment vertical="center"/>
    </xf>
    <xf numFmtId="0" fontId="0" fillId="0" borderId="0" xfId="1" applyFont="1" applyAlignment="1">
      <alignment vertical="center" wrapText="1"/>
    </xf>
    <xf numFmtId="0" fontId="11" fillId="0" borderId="0" xfId="1" quotePrefix="1" applyFont="1" applyAlignment="1">
      <alignment vertical="center"/>
    </xf>
    <xf numFmtId="0" fontId="1" fillId="0" borderId="0" xfId="1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164" fontId="6" fillId="0" borderId="0" xfId="0" applyNumberFormat="1" applyFont="1" applyAlignment="1">
      <alignment horizontal="center" vertical="center"/>
    </xf>
    <xf numFmtId="170" fontId="1" fillId="0" borderId="0" xfId="1" applyNumberFormat="1" applyFont="1" applyAlignment="1">
      <alignment horizontal="center" vertical="center"/>
    </xf>
    <xf numFmtId="170" fontId="4" fillId="0" borderId="0" xfId="1" applyNumberFormat="1" applyFont="1" applyAlignment="1">
      <alignment horizontal="center" vertical="center"/>
    </xf>
    <xf numFmtId="170" fontId="6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69" fontId="1" fillId="0" borderId="0" xfId="1" applyNumberFormat="1" applyFont="1" applyAlignment="1">
      <alignment horizontal="center" vertical="center"/>
    </xf>
    <xf numFmtId="169" fontId="1" fillId="0" borderId="0" xfId="1" applyNumberFormat="1" applyFont="1" applyAlignment="1">
      <alignment horizontal="center" vertical="center" wrapText="1"/>
    </xf>
    <xf numFmtId="169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vertical="center"/>
    </xf>
    <xf numFmtId="169" fontId="1" fillId="0" borderId="0" xfId="1" applyNumberFormat="1" applyFont="1"/>
    <xf numFmtId="164" fontId="6" fillId="0" borderId="0" xfId="1" applyNumberFormat="1" applyFont="1" applyAlignment="1">
      <alignment horizontal="center" vertical="center"/>
    </xf>
    <xf numFmtId="169" fontId="6" fillId="0" borderId="0" xfId="1" applyNumberFormat="1" applyFont="1" applyAlignment="1">
      <alignment horizontal="center" vertical="center"/>
    </xf>
    <xf numFmtId="8" fontId="6" fillId="0" borderId="0" xfId="1" applyNumberFormat="1" applyFont="1" applyAlignment="1">
      <alignment vertical="center"/>
    </xf>
    <xf numFmtId="8" fontId="6" fillId="0" borderId="0" xfId="1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10" fontId="0" fillId="0" borderId="0" xfId="0" applyNumberFormat="1" applyAlignment="1">
      <alignment horizontal="left" vertical="center"/>
    </xf>
    <xf numFmtId="8" fontId="0" fillId="0" borderId="0" xfId="0" applyNumberFormat="1" applyAlignment="1">
      <alignment horizontal="left" vertical="center"/>
    </xf>
    <xf numFmtId="0" fontId="0" fillId="0" borderId="0" xfId="0" applyAlignment="1">
      <alignment vertical="top" wrapText="1"/>
    </xf>
    <xf numFmtId="166" fontId="0" fillId="0" borderId="0" xfId="0" applyNumberFormat="1" applyAlignment="1">
      <alignment vertical="top" wrapText="1"/>
    </xf>
    <xf numFmtId="0" fontId="9" fillId="0" borderId="0" xfId="1" applyFont="1" applyAlignment="1">
      <alignment vertical="top"/>
    </xf>
    <xf numFmtId="0" fontId="1" fillId="0" borderId="0" xfId="1" applyFont="1" applyAlignment="1">
      <alignment vertical="top" wrapText="1"/>
    </xf>
    <xf numFmtId="0" fontId="0" fillId="0" borderId="0" xfId="0" applyAlignment="1">
      <alignment horizontal="center" vertical="top" wrapText="1"/>
    </xf>
    <xf numFmtId="0" fontId="1" fillId="0" borderId="0" xfId="1" applyFont="1" applyAlignment="1">
      <alignment horizontal="center" vertical="top" wrapText="1"/>
    </xf>
    <xf numFmtId="0" fontId="6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171" fontId="1" fillId="0" borderId="0" xfId="1" applyNumberFormat="1" applyFont="1" applyAlignment="1">
      <alignment horizontal="center" vertical="center"/>
    </xf>
    <xf numFmtId="171" fontId="6" fillId="0" borderId="0" xfId="0" applyNumberFormat="1" applyFont="1" applyAlignment="1">
      <alignment horizontal="center" vertical="center"/>
    </xf>
    <xf numFmtId="10" fontId="1" fillId="0" borderId="0" xfId="1" applyNumberFormat="1" applyFont="1" applyAlignment="1">
      <alignment horizontal="center" vertical="center"/>
    </xf>
    <xf numFmtId="0" fontId="10" fillId="0" borderId="0" xfId="2" applyAlignment="1" applyProtection="1">
      <alignment horizontal="left" vertical="center"/>
    </xf>
    <xf numFmtId="1" fontId="0" fillId="0" borderId="0" xfId="0" applyNumberFormat="1"/>
    <xf numFmtId="1" fontId="1" fillId="0" borderId="0" xfId="1" applyNumberFormat="1" applyFont="1" applyAlignment="1">
      <alignment vertical="center"/>
    </xf>
    <xf numFmtId="1" fontId="0" fillId="0" borderId="0" xfId="0" applyNumberFormat="1" applyAlignment="1">
      <alignment vertical="center" wrapText="1"/>
    </xf>
    <xf numFmtId="1" fontId="0" fillId="0" borderId="0" xfId="0" applyNumberFormat="1" applyAlignment="1">
      <alignment vertical="center"/>
    </xf>
    <xf numFmtId="1" fontId="1" fillId="0" borderId="0" xfId="1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/>
    </xf>
    <xf numFmtId="10" fontId="6" fillId="0" borderId="0" xfId="5" applyNumberFormat="1" applyFont="1" applyAlignment="1">
      <alignment horizontal="center" vertical="center"/>
    </xf>
    <xf numFmtId="164" fontId="0" fillId="0" borderId="0" xfId="0" applyNumberFormat="1" applyAlignment="1">
      <alignment horizontal="center"/>
    </xf>
    <xf numFmtId="170" fontId="0" fillId="0" borderId="0" xfId="0" applyNumberFormat="1"/>
    <xf numFmtId="171" fontId="0" fillId="0" borderId="0" xfId="0" applyNumberFormat="1"/>
    <xf numFmtId="10" fontId="0" fillId="0" borderId="0" xfId="0" applyNumberFormat="1"/>
    <xf numFmtId="170" fontId="0" fillId="0" borderId="0" xfId="0" applyNumberFormat="1" applyAlignment="1">
      <alignment vertical="center" wrapText="1"/>
    </xf>
    <xf numFmtId="171" fontId="0" fillId="0" borderId="0" xfId="0" applyNumberFormat="1" applyAlignment="1">
      <alignment vertical="center" wrapText="1"/>
    </xf>
    <xf numFmtId="165" fontId="6" fillId="0" borderId="0" xfId="1" applyNumberFormat="1" applyFont="1" applyAlignment="1">
      <alignment vertical="center"/>
    </xf>
    <xf numFmtId="170" fontId="6" fillId="0" borderId="0" xfId="5" applyNumberFormat="1" applyFont="1" applyAlignment="1">
      <alignment horizontal="center" vertical="center"/>
    </xf>
    <xf numFmtId="171" fontId="6" fillId="0" borderId="0" xfId="5" applyNumberFormat="1" applyFont="1" applyAlignment="1">
      <alignment horizontal="center" vertical="center"/>
    </xf>
    <xf numFmtId="2" fontId="6" fillId="0" borderId="0" xfId="5" applyNumberFormat="1" applyFont="1" applyAlignment="1">
      <alignment horizontal="center" vertical="center"/>
    </xf>
    <xf numFmtId="0" fontId="6" fillId="0" borderId="0" xfId="5" applyNumberFormat="1" applyFont="1" applyAlignment="1">
      <alignment horizontal="center" vertical="center"/>
    </xf>
    <xf numFmtId="1" fontId="6" fillId="0" borderId="0" xfId="5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vertical="center"/>
    </xf>
    <xf numFmtId="171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166" fontId="0" fillId="0" borderId="0" xfId="0" applyNumberFormat="1" applyAlignment="1">
      <alignment vertical="center" wrapText="1"/>
    </xf>
    <xf numFmtId="9" fontId="0" fillId="0" borderId="0" xfId="0" applyNumberFormat="1" applyAlignment="1">
      <alignment horizontal="center" vertical="center" wrapText="1"/>
    </xf>
    <xf numFmtId="10" fontId="0" fillId="0" borderId="0" xfId="0" applyNumberFormat="1" applyAlignment="1">
      <alignment horizontal="center" vertical="center" wrapText="1"/>
    </xf>
    <xf numFmtId="8" fontId="0" fillId="0" borderId="0" xfId="0" applyNumberFormat="1" applyAlignment="1">
      <alignment horizontal="center" vertical="center" wrapText="1"/>
    </xf>
    <xf numFmtId="6" fontId="0" fillId="0" borderId="0" xfId="0" applyNumberFormat="1" applyAlignment="1">
      <alignment horizontal="center" vertical="center" wrapText="1"/>
    </xf>
    <xf numFmtId="10" fontId="0" fillId="0" borderId="0" xfId="5" applyNumberFormat="1" applyFont="1" applyAlignment="1">
      <alignment horizontal="center" vertical="center" wrapText="1"/>
    </xf>
    <xf numFmtId="0" fontId="6" fillId="0" borderId="0" xfId="1" applyFont="1" applyAlignment="1">
      <alignment vertical="center" wrapText="1"/>
    </xf>
    <xf numFmtId="166" fontId="11" fillId="0" borderId="0" xfId="1" applyNumberFormat="1" applyFont="1" applyAlignment="1">
      <alignment vertical="center"/>
    </xf>
    <xf numFmtId="10" fontId="2" fillId="0" borderId="0" xfId="1" applyNumberFormat="1" applyFont="1" applyAlignment="1">
      <alignment vertical="center"/>
    </xf>
    <xf numFmtId="167" fontId="11" fillId="0" borderId="0" xfId="1" applyNumberFormat="1" applyFont="1" applyAlignment="1">
      <alignment vertical="center"/>
    </xf>
    <xf numFmtId="168" fontId="11" fillId="0" borderId="0" xfId="1" applyNumberFormat="1" applyFont="1" applyAlignment="1">
      <alignment vertical="center"/>
    </xf>
    <xf numFmtId="166" fontId="0" fillId="0" borderId="0" xfId="1" applyNumberFormat="1" applyFont="1" applyAlignment="1">
      <alignment vertical="center"/>
    </xf>
    <xf numFmtId="15" fontId="0" fillId="0" borderId="0" xfId="1" applyNumberFormat="1" applyFont="1" applyAlignment="1">
      <alignment vertical="center"/>
    </xf>
    <xf numFmtId="0" fontId="0" fillId="0" borderId="0" xfId="1" quotePrefix="1" applyFont="1" applyAlignment="1">
      <alignment vertical="center"/>
    </xf>
    <xf numFmtId="9" fontId="11" fillId="0" borderId="0" xfId="1" applyNumberFormat="1" applyFont="1" applyAlignment="1">
      <alignment vertical="center"/>
    </xf>
    <xf numFmtId="6" fontId="11" fillId="0" borderId="0" xfId="1" applyNumberFormat="1" applyFont="1" applyAlignment="1">
      <alignment vertical="center"/>
    </xf>
    <xf numFmtId="2" fontId="11" fillId="0" borderId="0" xfId="1" applyNumberFormat="1" applyFont="1" applyAlignment="1">
      <alignment vertical="center"/>
    </xf>
    <xf numFmtId="0" fontId="8" fillId="0" borderId="0" xfId="1" applyFont="1" applyAlignment="1">
      <alignment vertical="center"/>
    </xf>
    <xf numFmtId="10" fontId="11" fillId="2" borderId="0" xfId="1" applyNumberFormat="1" applyFont="1" applyFill="1" applyAlignment="1">
      <alignment horizontal="center" vertical="center"/>
    </xf>
    <xf numFmtId="164" fontId="11" fillId="0" borderId="0" xfId="4" applyNumberFormat="1" applyFont="1" applyAlignment="1">
      <alignment horizontal="center" vertical="center"/>
    </xf>
    <xf numFmtId="164" fontId="11" fillId="2" borderId="0" xfId="4" applyNumberFormat="1" applyFont="1" applyFill="1" applyAlignment="1">
      <alignment horizontal="center" vertical="center"/>
    </xf>
    <xf numFmtId="166" fontId="0" fillId="0" borderId="1" xfId="0" applyNumberFormat="1" applyBorder="1" applyAlignment="1">
      <alignment vertical="center" wrapText="1"/>
    </xf>
    <xf numFmtId="168" fontId="6" fillId="0" borderId="0" xfId="1" applyNumberFormat="1" applyFont="1" applyAlignment="1">
      <alignment horizontal="center" vertical="center"/>
    </xf>
    <xf numFmtId="0" fontId="9" fillId="0" borderId="0" xfId="1" applyFont="1"/>
    <xf numFmtId="167" fontId="0" fillId="0" borderId="0" xfId="1" applyNumberFormat="1" applyFont="1" applyAlignment="1">
      <alignment vertical="center"/>
    </xf>
    <xf numFmtId="168" fontId="0" fillId="0" borderId="0" xfId="1" applyNumberFormat="1" applyFont="1" applyAlignment="1">
      <alignment vertical="center"/>
    </xf>
    <xf numFmtId="10" fontId="11" fillId="0" borderId="0" xfId="5" applyNumberFormat="1" applyFont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8" fontId="0" fillId="0" borderId="0" xfId="1" applyNumberFormat="1" applyFont="1" applyAlignment="1">
      <alignment horizontal="center" vertical="center"/>
    </xf>
    <xf numFmtId="0" fontId="21" fillId="0" borderId="0" xfId="1" applyFont="1" applyAlignment="1">
      <alignment vertical="center"/>
    </xf>
    <xf numFmtId="2" fontId="1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168" fontId="0" fillId="0" borderId="0" xfId="0" applyNumberFormat="1"/>
    <xf numFmtId="164" fontId="0" fillId="0" borderId="0" xfId="5" applyNumberFormat="1" applyFont="1" applyAlignment="1">
      <alignment horizontal="center" vertical="center" wrapText="1"/>
    </xf>
    <xf numFmtId="0" fontId="0" fillId="0" borderId="0" xfId="1" applyFont="1" applyAlignment="1">
      <alignment horizontal="center" vertical="center"/>
    </xf>
    <xf numFmtId="166" fontId="2" fillId="0" borderId="0" xfId="1" applyNumberFormat="1" applyFont="1" applyAlignment="1">
      <alignment vertical="center"/>
    </xf>
    <xf numFmtId="167" fontId="2" fillId="0" borderId="0" xfId="1" applyNumberFormat="1" applyFont="1" applyAlignment="1">
      <alignment vertical="center"/>
    </xf>
    <xf numFmtId="167" fontId="2" fillId="0" borderId="0" xfId="1" applyNumberFormat="1" applyFont="1" applyAlignment="1">
      <alignment horizontal="center" vertical="center"/>
    </xf>
    <xf numFmtId="10" fontId="2" fillId="0" borderId="0" xfId="5" applyNumberFormat="1" applyFont="1" applyAlignment="1">
      <alignment horizontal="center" vertical="center"/>
    </xf>
    <xf numFmtId="168" fontId="2" fillId="0" borderId="0" xfId="1" applyNumberFormat="1" applyFont="1" applyAlignment="1">
      <alignment vertical="center"/>
    </xf>
    <xf numFmtId="168" fontId="2" fillId="0" borderId="0" xfId="1" applyNumberFormat="1" applyFont="1" applyAlignment="1">
      <alignment horizontal="center" vertical="center"/>
    </xf>
    <xf numFmtId="172" fontId="0" fillId="0" borderId="0" xfId="0" applyNumberFormat="1" applyAlignment="1">
      <alignment vertical="center"/>
    </xf>
    <xf numFmtId="172" fontId="12" fillId="0" borderId="0" xfId="1" applyNumberFormat="1" applyFont="1" applyAlignment="1">
      <alignment vertical="center"/>
    </xf>
    <xf numFmtId="38" fontId="11" fillId="0" borderId="0" xfId="1" applyNumberFormat="1" applyFont="1" applyAlignment="1">
      <alignment horizontal="center" vertical="center"/>
    </xf>
    <xf numFmtId="166" fontId="1" fillId="0" borderId="0" xfId="1" applyNumberFormat="1" applyFont="1" applyAlignment="1">
      <alignment vertical="center"/>
    </xf>
    <xf numFmtId="167" fontId="1" fillId="0" borderId="0" xfId="1" applyNumberFormat="1" applyFont="1" applyAlignment="1">
      <alignment vertical="center"/>
    </xf>
    <xf numFmtId="168" fontId="1" fillId="0" borderId="0" xfId="1" applyNumberFormat="1" applyFont="1" applyAlignment="1">
      <alignment horizontal="center" vertical="center"/>
    </xf>
    <xf numFmtId="10" fontId="1" fillId="0" borderId="0" xfId="5" applyNumberFormat="1" applyFont="1" applyAlignment="1">
      <alignment horizontal="center" vertical="center"/>
    </xf>
    <xf numFmtId="168" fontId="1" fillId="0" borderId="0" xfId="1" applyNumberFormat="1" applyFont="1" applyAlignment="1">
      <alignment vertical="center"/>
    </xf>
    <xf numFmtId="166" fontId="22" fillId="0" borderId="0" xfId="1" applyNumberFormat="1" applyFont="1" applyAlignment="1">
      <alignment vertical="center"/>
    </xf>
    <xf numFmtId="167" fontId="22" fillId="0" borderId="0" xfId="1" applyNumberFormat="1" applyFont="1" applyAlignment="1">
      <alignment vertical="center"/>
    </xf>
    <xf numFmtId="0" fontId="22" fillId="0" borderId="0" xfId="1" applyFont="1" applyAlignment="1">
      <alignment vertical="center"/>
    </xf>
    <xf numFmtId="168" fontId="22" fillId="0" borderId="0" xfId="1" applyNumberFormat="1" applyFont="1" applyAlignment="1">
      <alignment horizontal="center" vertical="center"/>
    </xf>
    <xf numFmtId="10" fontId="22" fillId="0" borderId="0" xfId="5" applyNumberFormat="1" applyFont="1" applyAlignment="1">
      <alignment horizontal="center" vertical="center"/>
    </xf>
    <xf numFmtId="168" fontId="22" fillId="0" borderId="0" xfId="1" applyNumberFormat="1" applyFont="1" applyAlignment="1">
      <alignment vertical="center"/>
    </xf>
    <xf numFmtId="38" fontId="11" fillId="0" borderId="0" xfId="1" applyNumberFormat="1" applyFont="1" applyFill="1" applyAlignment="1">
      <alignment horizontal="center" vertical="center"/>
    </xf>
    <xf numFmtId="166" fontId="6" fillId="0" borderId="0" xfId="1" applyNumberFormat="1" applyFont="1" applyAlignment="1">
      <alignment vertical="center"/>
    </xf>
    <xf numFmtId="167" fontId="6" fillId="0" borderId="0" xfId="1" applyNumberFormat="1" applyFont="1" applyAlignment="1">
      <alignment vertical="center"/>
    </xf>
    <xf numFmtId="168" fontId="6" fillId="0" borderId="0" xfId="1" applyNumberFormat="1" applyFont="1" applyAlignment="1">
      <alignment vertical="center"/>
    </xf>
    <xf numFmtId="166" fontId="23" fillId="0" borderId="0" xfId="1" applyNumberFormat="1" applyFont="1" applyAlignment="1">
      <alignment vertical="center"/>
    </xf>
    <xf numFmtId="167" fontId="23" fillId="0" borderId="0" xfId="1" applyNumberFormat="1" applyFont="1" applyAlignment="1">
      <alignment vertical="center"/>
    </xf>
    <xf numFmtId="0" fontId="23" fillId="0" borderId="0" xfId="1" applyFont="1" applyAlignment="1">
      <alignment vertical="center"/>
    </xf>
    <xf numFmtId="168" fontId="23" fillId="0" borderId="0" xfId="1" applyNumberFormat="1" applyFont="1" applyAlignment="1">
      <alignment horizontal="center" vertical="center"/>
    </xf>
    <xf numFmtId="10" fontId="23" fillId="0" borderId="0" xfId="5" applyNumberFormat="1" applyFont="1" applyAlignment="1">
      <alignment horizontal="center" vertical="center"/>
    </xf>
    <xf numFmtId="168" fontId="23" fillId="0" borderId="0" xfId="1" applyNumberFormat="1" applyFont="1" applyAlignment="1">
      <alignment vertical="center"/>
    </xf>
    <xf numFmtId="167" fontId="23" fillId="0" borderId="0" xfId="1" applyNumberFormat="1" applyFont="1" applyAlignment="1">
      <alignment horizontal="center" vertical="center"/>
    </xf>
    <xf numFmtId="0" fontId="6" fillId="0" borderId="0" xfId="0" applyFont="1"/>
    <xf numFmtId="0" fontId="6" fillId="0" borderId="0" xfId="2" applyFont="1" applyAlignment="1" applyProtection="1">
      <alignment vertical="center"/>
    </xf>
    <xf numFmtId="9" fontId="11" fillId="0" borderId="0" xfId="1" applyNumberFormat="1" applyFont="1" applyAlignment="1">
      <alignment horizontal="center" vertical="center"/>
    </xf>
    <xf numFmtId="0" fontId="0" fillId="0" borderId="2" xfId="1" applyFont="1" applyBorder="1" applyAlignment="1">
      <alignment vertical="center"/>
    </xf>
    <xf numFmtId="0" fontId="0" fillId="0" borderId="2" xfId="1" applyFont="1" applyBorder="1" applyAlignment="1">
      <alignment horizontal="center" vertical="center"/>
    </xf>
    <xf numFmtId="10" fontId="0" fillId="0" borderId="0" xfId="1" applyNumberFormat="1" applyFont="1" applyAlignment="1">
      <alignment vertical="center"/>
    </xf>
    <xf numFmtId="0" fontId="0" fillId="0" borderId="0" xfId="0" applyNumberFormat="1"/>
    <xf numFmtId="0" fontId="0" fillId="0" borderId="0" xfId="0" applyNumberFormat="1" applyAlignment="1">
      <alignment horizontal="center" vertical="center" wrapText="1"/>
    </xf>
    <xf numFmtId="15" fontId="0" fillId="0" borderId="0" xfId="5" applyNumberFormat="1" applyFont="1" applyAlignment="1">
      <alignment horizontal="center" vertical="center" wrapText="1"/>
    </xf>
    <xf numFmtId="15" fontId="0" fillId="0" borderId="0" xfId="0" applyNumberFormat="1" applyAlignment="1">
      <alignment horizontal="center" vertical="center" wrapText="1"/>
    </xf>
    <xf numFmtId="16" fontId="0" fillId="0" borderId="0" xfId="0" applyNumberFormat="1" applyAlignment="1">
      <alignment horizontal="center" vertical="center" wrapText="1"/>
    </xf>
    <xf numFmtId="49" fontId="0" fillId="0" borderId="0" xfId="0" applyNumberFormat="1" applyAlignment="1">
      <alignment vertical="center" wrapText="1"/>
    </xf>
    <xf numFmtId="0" fontId="2" fillId="0" borderId="0" xfId="0" applyNumberFormat="1" applyFont="1" applyAlignment="1">
      <alignment horizontal="center" vertical="center" wrapText="1"/>
    </xf>
    <xf numFmtId="44" fontId="11" fillId="0" borderId="0" xfId="4" applyFont="1" applyAlignment="1">
      <alignment vertical="center"/>
    </xf>
    <xf numFmtId="44" fontId="11" fillId="0" borderId="0" xfId="1" applyNumberFormat="1" applyFont="1" applyAlignment="1">
      <alignment vertical="center"/>
    </xf>
    <xf numFmtId="9" fontId="0" fillId="0" borderId="0" xfId="5" applyFont="1" applyAlignment="1">
      <alignment vertical="center"/>
    </xf>
    <xf numFmtId="0" fontId="0" fillId="0" borderId="0" xfId="1" applyNumberFormat="1" applyFont="1" applyFill="1" applyAlignment="1">
      <alignment vertical="center"/>
    </xf>
    <xf numFmtId="168" fontId="0" fillId="0" borderId="0" xfId="1" applyNumberFormat="1" applyFont="1" applyFill="1" applyAlignment="1">
      <alignment vertical="center"/>
    </xf>
    <xf numFmtId="168" fontId="22" fillId="0" borderId="0" xfId="1" applyNumberFormat="1" applyFont="1" applyFill="1" applyAlignment="1">
      <alignment vertical="center"/>
    </xf>
    <xf numFmtId="168" fontId="23" fillId="0" borderId="0" xfId="1" applyNumberFormat="1" applyFont="1" applyFill="1" applyAlignment="1">
      <alignment vertical="center"/>
    </xf>
    <xf numFmtId="168" fontId="2" fillId="0" borderId="0" xfId="1" applyNumberFormat="1" applyFont="1" applyFill="1" applyAlignment="1">
      <alignment vertical="center"/>
    </xf>
    <xf numFmtId="164" fontId="6" fillId="0" borderId="0" xfId="4" applyNumberFormat="1" applyFont="1" applyAlignment="1">
      <alignment horizontal="center" vertical="center"/>
    </xf>
    <xf numFmtId="165" fontId="15" fillId="0" borderId="0" xfId="1" applyNumberFormat="1" applyFont="1" applyAlignment="1">
      <alignment horizontal="right" vertical="center"/>
    </xf>
  </cellXfs>
  <cellStyles count="7">
    <cellStyle name="Currency" xfId="4" builtinId="4"/>
    <cellStyle name="Currency 2" xfId="3" xr:uid="{00000000-0005-0000-0000-000001000000}"/>
    <cellStyle name="Hyperlink" xfId="2" builtinId="8" customBuiltin="1"/>
    <cellStyle name="Normal" xfId="0" builtinId="0"/>
    <cellStyle name="Normal 2" xfId="1" xr:uid="{00000000-0005-0000-0000-000004000000}"/>
    <cellStyle name="Normal 3" xfId="6" xr:uid="{00000000-0005-0000-0000-000005000000}"/>
    <cellStyle name="Percent" xfId="5" builtinId="5"/>
  </cellStyles>
  <dxfs count="17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30" formatCode="@"/>
    </dxf>
    <dxf>
      <numFmt numFmtId="4" formatCode="#,##0.00"/>
    </dxf>
    <dxf>
      <numFmt numFmtId="4" formatCode="#,##0.00"/>
    </dxf>
    <dxf>
      <numFmt numFmtId="30" formatCode="@"/>
    </dxf>
    <dxf>
      <numFmt numFmtId="30" formatCode="@"/>
    </dxf>
    <dxf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scheme val="none"/>
      </font>
      <numFmt numFmtId="168" formatCode="0.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scheme val="none"/>
      </font>
      <numFmt numFmtId="168" formatCode="0.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scheme val="none"/>
      </font>
      <numFmt numFmtId="167" formatCode="&quot;$&quot;#,##0.00;[Red]&quot;$&quot;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scheme val="none"/>
      </font>
      <numFmt numFmtId="167" formatCode="&quot;$&quot;#,##0.00;[Red]&quot;$&quot;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scheme val="none"/>
      </font>
      <numFmt numFmtId="166" formatCode="[$-409]d/mmm/yy;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scheme val="none"/>
      </font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166" formatCode="[$-409]d/mmm/yy;@"/>
      <alignment horizontal="general" vertical="center" textRotation="0" wrapText="1" indent="0" justifyLastLine="0" shrinkToFit="0" readingOrder="0"/>
    </dxf>
    <dxf>
      <numFmt numFmtId="166" formatCode="[$-409]d/mmm/yy;@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171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171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170" formatCode="#0.00%;[Red]\(#0.00%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0" formatCode="#0.00%;[Red]\(#0.00%\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170" formatCode="#0.00%;[Red]\(#0.00%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0" formatCode="#0.00%;[Red]\(#0.00%\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65" formatCode="&quot;$&quot;#,##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164" formatCode="&quot;$&quot;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169" formatCode="0.00%;[Red]\(0.00%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164" formatCode="&quot;$&quot;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12" formatCode="&quot;$&quot;#,##0.00_);[Red]\(&quot;$&quot;#,##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164" formatCode="&quot;$&quot;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164" formatCode="&quot;$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Segoe U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alignment horizontal="general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1" indent="0" justifyLastLine="0" shrinkToFit="0" readingOrder="0"/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strike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alignment horizontal="general" vertical="center" textRotation="0" wrapText="0" indent="0" justifyLastLine="0" shrinkToFit="0" readingOrder="0"/>
    </dxf>
    <dxf>
      <numFmt numFmtId="0" formatCode="General"/>
    </dxf>
    <dxf>
      <alignment horizontal="general" vertical="center" textRotation="0" wrapText="0" indent="0" justifyLastLine="0" shrinkToFit="0" readingOrder="0"/>
    </dxf>
    <dxf>
      <numFmt numFmtId="0" formatCode="General"/>
    </dxf>
    <dxf>
      <alignment horizontal="general" vertical="center" textRotation="0" wrapText="0" indent="0" justifyLastLine="0" shrinkToFit="0" readingOrder="0"/>
    </dxf>
    <dxf>
      <numFmt numFmtId="0" formatCode="General"/>
    </dxf>
    <dxf>
      <numFmt numFmtId="1" formatCode="0"/>
      <alignment horizontal="general" vertical="center" textRotation="0" wrapText="0" indent="0" justifyLastLine="0" shrinkToFit="0" readingOrder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numFmt numFmtId="171" formatCode="0.00_);[Red]\(0.0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171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numFmt numFmtId="170" formatCode="#0.00%;[Red]\(#0.00%\)"/>
      <alignment horizontal="center" vertical="center" textRotation="0" wrapText="0" indent="0" justifyLastLine="0" shrinkToFit="0" readingOrder="0"/>
    </dxf>
    <dxf>
      <font>
        <color auto="1"/>
      </font>
      <numFmt numFmtId="170" formatCode="#0.00%;[Red]\(#0.00%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numFmt numFmtId="170" formatCode="#0.00%;[Red]\(#0.00%\)"/>
      <alignment horizontal="center" vertical="center" textRotation="0" wrapText="0" indent="0" justifyLastLine="0" shrinkToFit="0" readingOrder="0"/>
    </dxf>
    <dxf>
      <font>
        <color auto="1"/>
      </font>
      <numFmt numFmtId="170" formatCode="#0.00%;[Red]\(#0.00%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Segoe U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1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strike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numFmt numFmtId="169" formatCode="0.00%;[Red]\(0.00%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numFmt numFmtId="164" formatCode="&quot;$&quot;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numFmt numFmtId="169" formatCode="0.00%;[Red]\(0.00%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numFmt numFmtId="169" formatCode="0.00%;[Red]\(0.00%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numFmt numFmtId="169" formatCode="0.00%;[Red]\(0.00%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169" formatCode="0.00%;[Red]\(0.00%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numFmt numFmtId="12" formatCode="&quot;$&quot;#,##0.00_);[Red]\(&quot;$&quot;#,##0.00\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12" formatCode="&quot;$&quot;#,##0.00_);[Red]\(&quot;$&quot;#,##0.00\)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numFmt numFmtId="164" formatCode="&quot;$&quot;#,##0.00"/>
      <alignment horizontal="general" vertical="center" textRotation="0" wrapText="0" indent="0" justifyLastLine="0" shrinkToFit="0" readingOrder="0"/>
    </dxf>
    <dxf>
      <numFmt numFmtId="164" formatCode="&quot;$&quot;#,##0.0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numFmt numFmtId="164" formatCode="&quot;$&quot;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164" formatCode="&quot;$&quot;#,##0.0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numFmt numFmtId="164" formatCode="&quot;$&quot;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numFmt numFmtId="164" formatCode="&quot;$&quot;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164" formatCode="&quot;$&quot;#,##0.0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164" formatCode="&quot;$&quot;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auto="1"/>
        <name val="Segoe UI Light"/>
        <scheme val="none"/>
      </font>
      <numFmt numFmtId="166" formatCode="[$-409]d/mmm/yy;@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auto="1"/>
        <name val="Segoe UI Light"/>
        <scheme val="none"/>
      </font>
      <numFmt numFmtId="166" formatCode="[$-409]d/mmm/yy;@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0"/>
        <name val="Segoe UI 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scheme val="none"/>
      </font>
      <alignment vertical="center" textRotation="0" wrapText="1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bottom style="thin">
          <color auto="1"/>
        </bottom>
      </border>
    </dxf>
    <dxf>
      <border>
        <horizontal style="thin">
          <color theme="0" tint="-0.14996795556505021"/>
        </horizontal>
      </border>
    </dxf>
  </dxfs>
  <tableStyles count="1" defaultTableStyle="TableStyleMedium2" defaultPivotStyle="PivotStyleLight16">
    <tableStyle name="Simple" pivot="0" count="3" xr9:uid="{00000000-0011-0000-FFFF-FFFF00000000}">
      <tableStyleElement type="wholeTable" dxfId="175"/>
      <tableStyleElement type="headerRow" dxfId="174"/>
      <tableStyleElement type="totalRow" dxfId="173"/>
    </tableStyle>
  </tableStyles>
  <colors>
    <mruColors>
      <color rgb="FFCC0066"/>
      <color rgb="FFCC0000"/>
      <color rgb="FF990033"/>
      <color rgb="FF800000"/>
      <color rgb="FFCCFFCC"/>
      <color rgb="FFFF9900"/>
      <color rgb="FFF0F0F0"/>
      <color rgb="FF000066"/>
      <color rgb="FF660066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[Portfolio.xlsm]Reports!PivotTable1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Reports!$B$3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Reports!$A$4:$A$22</c:f>
              <c:strCache>
                <c:ptCount val="18"/>
                <c:pt idx="0">
                  <c:v>PFE</c:v>
                </c:pt>
                <c:pt idx="1">
                  <c:v>KHC</c:v>
                </c:pt>
                <c:pt idx="2">
                  <c:v>SVR.C</c:v>
                </c:pt>
                <c:pt idx="3">
                  <c:v>PM</c:v>
                </c:pt>
                <c:pt idx="4">
                  <c:v>VCN.TO</c:v>
                </c:pt>
                <c:pt idx="5">
                  <c:v>IJR</c:v>
                </c:pt>
                <c:pt idx="6">
                  <c:v>GDX</c:v>
                </c:pt>
                <c:pt idx="7">
                  <c:v>HEP.TO</c:v>
                </c:pt>
                <c:pt idx="8">
                  <c:v>VGIT</c:v>
                </c:pt>
                <c:pt idx="9">
                  <c:v>XSP.TO</c:v>
                </c:pt>
                <c:pt idx="10">
                  <c:v>VOO</c:v>
                </c:pt>
                <c:pt idx="11">
                  <c:v>GLD</c:v>
                </c:pt>
                <c:pt idx="12">
                  <c:v>SLV</c:v>
                </c:pt>
                <c:pt idx="13">
                  <c:v>ENB</c:v>
                </c:pt>
                <c:pt idx="14">
                  <c:v>XLK</c:v>
                </c:pt>
                <c:pt idx="15">
                  <c:v>SDS</c:v>
                </c:pt>
                <c:pt idx="16">
                  <c:v>ENB.TO</c:v>
                </c:pt>
                <c:pt idx="17">
                  <c:v>MSFT</c:v>
                </c:pt>
              </c:strCache>
            </c:strRef>
          </c:cat>
          <c:val>
            <c:numRef>
              <c:f>Reports!$B$4:$B$22</c:f>
              <c:numCache>
                <c:formatCode>0.0%</c:formatCode>
                <c:ptCount val="18"/>
                <c:pt idx="0">
                  <c:v>-0.11673448062558069</c:v>
                </c:pt>
                <c:pt idx="1">
                  <c:v>-8.3025804796383745E-2</c:v>
                </c:pt>
                <c:pt idx="2">
                  <c:v>-5.1913659969799769E-2</c:v>
                </c:pt>
                <c:pt idx="3">
                  <c:v>-2.3498724063983498E-2</c:v>
                </c:pt>
                <c:pt idx="4">
                  <c:v>-1.6710642040457434E-2</c:v>
                </c:pt>
                <c:pt idx="5">
                  <c:v>-9.8990150854008519E-3</c:v>
                </c:pt>
                <c:pt idx="6">
                  <c:v>-5.7203079728955272E-3</c:v>
                </c:pt>
                <c:pt idx="7">
                  <c:v>-2.1395455727294867E-3</c:v>
                </c:pt>
                <c:pt idx="8">
                  <c:v>4.4838373305534912E-4</c:v>
                </c:pt>
                <c:pt idx="9">
                  <c:v>8.4210526315795582E-4</c:v>
                </c:pt>
                <c:pt idx="10">
                  <c:v>1.6013005022780891E-3</c:v>
                </c:pt>
                <c:pt idx="11">
                  <c:v>2.1826197708813078E-3</c:v>
                </c:pt>
                <c:pt idx="12">
                  <c:v>4.1071021108746017E-3</c:v>
                </c:pt>
                <c:pt idx="13">
                  <c:v>1.6251390797525658E-2</c:v>
                </c:pt>
                <c:pt idx="14">
                  <c:v>1.6579779578341714E-2</c:v>
                </c:pt>
                <c:pt idx="15">
                  <c:v>2.0056408649326032E-2</c:v>
                </c:pt>
                <c:pt idx="16">
                  <c:v>7.2006315936128329E-2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91-45B1-9998-610523D245F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78684239"/>
        <c:axId val="1104679663"/>
      </c:barChart>
      <c:catAx>
        <c:axId val="4786842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4679663"/>
        <c:crosses val="autoZero"/>
        <c:auto val="1"/>
        <c:lblAlgn val="ctr"/>
        <c:lblOffset val="100"/>
        <c:noMultiLvlLbl val="0"/>
      </c:catAx>
      <c:valAx>
        <c:axId val="1104679663"/>
        <c:scaling>
          <c:orientation val="minMax"/>
        </c:scaling>
        <c:delete val="0"/>
        <c:axPos val="b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68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http://tex.stackexchange.com/questions/254074/how-to-draw-a-bunch-of-documents-icon-with-tikz" TargetMode="External"/><Relationship Id="rId3" Type="http://schemas.openxmlformats.org/officeDocument/2006/relationships/image" Target="../media/image2.gif"/><Relationship Id="rId7" Type="http://schemas.openxmlformats.org/officeDocument/2006/relationships/image" Target="../media/image4.jpeg"/><Relationship Id="rId12" Type="http://schemas.openxmlformats.org/officeDocument/2006/relationships/image" Target="../media/image7.png"/><Relationship Id="rId2" Type="http://schemas.openxmlformats.org/officeDocument/2006/relationships/hyperlink" Target="http://www.publicdomainpictures.net/view-image.php?image=119631&amp;picture=united-states-flag" TargetMode="External"/><Relationship Id="rId1" Type="http://schemas.openxmlformats.org/officeDocument/2006/relationships/image" Target="../media/image1.jpeg"/><Relationship Id="rId6" Type="http://schemas.openxmlformats.org/officeDocument/2006/relationships/hyperlink" Target="http://www.yesmagazine.org/topics/images/factory.jpg/view" TargetMode="External"/><Relationship Id="rId11" Type="http://schemas.openxmlformats.org/officeDocument/2006/relationships/hyperlink" Target="http://commons.wikimedia.org/wiki/File:Flag_of_Canada_(600x800).jpg" TargetMode="External"/><Relationship Id="rId5" Type="http://schemas.openxmlformats.org/officeDocument/2006/relationships/image" Target="../media/image3.jpeg"/><Relationship Id="rId15" Type="http://schemas.openxmlformats.org/officeDocument/2006/relationships/hyperlink" Target="https://www.mediawiki.org/wiki/API:Web_APIs_hub" TargetMode="External"/><Relationship Id="rId10" Type="http://schemas.openxmlformats.org/officeDocument/2006/relationships/image" Target="../media/image6.jpeg"/><Relationship Id="rId4" Type="http://schemas.openxmlformats.org/officeDocument/2006/relationships/hyperlink" Target="http://policestationreps.com/escapefeecalculator.php" TargetMode="External"/><Relationship Id="rId9" Type="http://schemas.openxmlformats.org/officeDocument/2006/relationships/hyperlink" Target="http://obinoobie.deviantart.com/art/Notepad-icon-123680888" TargetMode="External"/><Relationship Id="rId14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1</xdr:row>
      <xdr:rowOff>133351</xdr:rowOff>
    </xdr:from>
    <xdr:to>
      <xdr:col>1</xdr:col>
      <xdr:colOff>414587</xdr:colOff>
      <xdr:row>1</xdr:row>
      <xdr:rowOff>381001</xdr:rowOff>
    </xdr:to>
    <xdr:pic macro="[0]!gotoUS_Holdings">
      <xdr:nvPicPr>
        <xdr:cNvPr id="3" name="Picture 2">
          <a:extLst>
            <a:ext uri="{FF2B5EF4-FFF2-40B4-BE49-F238E27FC236}">
              <a16:creationId xmlns:a16="http://schemas.microsoft.com/office/drawing/2014/main" id="{CF1EC9ED-4F80-4F0A-B9B1-0C53DE2EC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152400" y="228601"/>
          <a:ext cx="357437" cy="247650"/>
        </a:xfrm>
        <a:prstGeom prst="rect">
          <a:avLst/>
        </a:prstGeom>
      </xdr:spPr>
    </xdr:pic>
    <xdr:clientData/>
  </xdr:twoCellAnchor>
  <xdr:twoCellAnchor editAs="oneCell">
    <xdr:from>
      <xdr:col>1</xdr:col>
      <xdr:colOff>63500</xdr:colOff>
      <xdr:row>2</xdr:row>
      <xdr:rowOff>69850</xdr:rowOff>
    </xdr:from>
    <xdr:to>
      <xdr:col>1</xdr:col>
      <xdr:colOff>415925</xdr:colOff>
      <xdr:row>2</xdr:row>
      <xdr:rowOff>422730</xdr:rowOff>
    </xdr:to>
    <xdr:pic macro="[0]!gotoScratch_pad">
      <xdr:nvPicPr>
        <xdr:cNvPr id="8" name="Picture 7">
          <a:extLst>
            <a:ext uri="{FF2B5EF4-FFF2-40B4-BE49-F238E27FC236}">
              <a16:creationId xmlns:a16="http://schemas.microsoft.com/office/drawing/2014/main" id="{CC017188-E784-48E1-A8CF-692CC9A68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158750" y="1117600"/>
          <a:ext cx="352425" cy="352880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3</xdr:row>
      <xdr:rowOff>168274</xdr:rowOff>
    </xdr:from>
    <xdr:to>
      <xdr:col>1</xdr:col>
      <xdr:colOff>414587</xdr:colOff>
      <xdr:row>3</xdr:row>
      <xdr:rowOff>415925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6B77573-67EF-4959-AA10-8D152A1E2538}"/>
            </a:ext>
          </a:extLst>
        </xdr:cNvPr>
        <xdr:cNvGrpSpPr/>
      </xdr:nvGrpSpPr>
      <xdr:grpSpPr>
        <a:xfrm>
          <a:off x="133350" y="1216024"/>
          <a:ext cx="376487" cy="247651"/>
          <a:chOff x="133350" y="1692274"/>
          <a:chExt cx="376487" cy="247651"/>
        </a:xfrm>
      </xdr:grpSpPr>
      <xdr:pic macro="[0]!gotoUSD_Companies">
        <xdr:nvPicPr>
          <xdr:cNvPr id="11" name="Picture 10">
            <a:extLst>
              <a:ext uri="{FF2B5EF4-FFF2-40B4-BE49-F238E27FC236}">
                <a16:creationId xmlns:a16="http://schemas.microsoft.com/office/drawing/2014/main" id="{17E441BD-3F33-4D8C-B138-31946BF08E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6"/>
              </a:ext>
            </a:extLst>
          </a:blip>
          <a:stretch>
            <a:fillRect/>
          </a:stretch>
        </xdr:blipFill>
        <xdr:spPr>
          <a:xfrm>
            <a:off x="133350" y="1771650"/>
            <a:ext cx="305985" cy="168275"/>
          </a:xfrm>
          <a:prstGeom prst="rect">
            <a:avLst/>
          </a:prstGeom>
        </xdr:spPr>
      </xdr:pic>
      <xdr:pic macro="[0]!gotoUSD_Companies">
        <xdr:nvPicPr>
          <xdr:cNvPr id="13" name="Picture 12">
            <a:extLst>
              <a:ext uri="{FF2B5EF4-FFF2-40B4-BE49-F238E27FC236}">
                <a16:creationId xmlns:a16="http://schemas.microsoft.com/office/drawing/2014/main" id="{CF107510-566B-410C-BFA5-317C501C16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2"/>
              </a:ext>
            </a:extLst>
          </a:blip>
          <a:stretch>
            <a:fillRect/>
          </a:stretch>
        </xdr:blipFill>
        <xdr:spPr>
          <a:xfrm>
            <a:off x="302214" y="1692274"/>
            <a:ext cx="207623" cy="149226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19050</xdr:colOff>
      <xdr:row>5</xdr:row>
      <xdr:rowOff>88900</xdr:rowOff>
    </xdr:from>
    <xdr:to>
      <xdr:col>1</xdr:col>
      <xdr:colOff>342900</xdr:colOff>
      <xdr:row>5</xdr:row>
      <xdr:rowOff>415925</xdr:rowOff>
    </xdr:to>
    <xdr:pic macro="[0]!gotoJournal">
      <xdr:nvPicPr>
        <xdr:cNvPr id="19" name="Picture 18">
          <a:extLst>
            <a:ext uri="{FF2B5EF4-FFF2-40B4-BE49-F238E27FC236}">
              <a16:creationId xmlns:a16="http://schemas.microsoft.com/office/drawing/2014/main" id="{B3A4F1F0-C617-4C6E-8C65-4143F01BC1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9"/>
            </a:ext>
          </a:extLst>
        </a:blip>
        <a:stretch>
          <a:fillRect/>
        </a:stretch>
      </xdr:blipFill>
      <xdr:spPr>
        <a:xfrm>
          <a:off x="114300" y="2565400"/>
          <a:ext cx="323850" cy="323850"/>
        </a:xfrm>
        <a:prstGeom prst="rect">
          <a:avLst/>
        </a:prstGeom>
      </xdr:spPr>
    </xdr:pic>
    <xdr:clientData/>
  </xdr:twoCellAnchor>
  <xdr:twoCellAnchor>
    <xdr:from>
      <xdr:col>1</xdr:col>
      <xdr:colOff>50800</xdr:colOff>
      <xdr:row>4</xdr:row>
      <xdr:rowOff>111125</xdr:rowOff>
    </xdr:from>
    <xdr:to>
      <xdr:col>1</xdr:col>
      <xdr:colOff>374651</xdr:colOff>
      <xdr:row>4</xdr:row>
      <xdr:rowOff>377825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268EAC58-8E0B-4FAB-9792-815D25A370C3}"/>
            </a:ext>
          </a:extLst>
        </xdr:cNvPr>
        <xdr:cNvGrpSpPr/>
      </xdr:nvGrpSpPr>
      <xdr:grpSpPr>
        <a:xfrm>
          <a:off x="146050" y="1635125"/>
          <a:ext cx="323851" cy="266700"/>
          <a:chOff x="146050" y="2111375"/>
          <a:chExt cx="323851" cy="266700"/>
        </a:xfrm>
      </xdr:grpSpPr>
      <xdr:pic macro="[0]!gotoCAD_Companies">
        <xdr:nvPicPr>
          <xdr:cNvPr id="15" name="Picture 14">
            <a:extLst>
              <a:ext uri="{FF2B5EF4-FFF2-40B4-BE49-F238E27FC236}">
                <a16:creationId xmlns:a16="http://schemas.microsoft.com/office/drawing/2014/main" id="{7C27F0C5-79DD-419B-96F5-0147248595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6"/>
              </a:ext>
            </a:extLst>
          </a:blip>
          <a:stretch>
            <a:fillRect/>
          </a:stretch>
        </xdr:blipFill>
        <xdr:spPr>
          <a:xfrm>
            <a:off x="146050" y="2209800"/>
            <a:ext cx="305985" cy="168275"/>
          </a:xfrm>
          <a:prstGeom prst="rect">
            <a:avLst/>
          </a:prstGeom>
        </xdr:spPr>
      </xdr:pic>
      <xdr:pic macro="[0]!gotoCAD_Companies">
        <xdr:nvPicPr>
          <xdr:cNvPr id="17" name="Picture 16">
            <a:extLst>
              <a:ext uri="{FF2B5EF4-FFF2-40B4-BE49-F238E27FC236}">
                <a16:creationId xmlns:a16="http://schemas.microsoft.com/office/drawing/2014/main" id="{3479A4CB-49D7-4801-9AE5-6FD25EAB72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11"/>
              </a:ext>
            </a:extLst>
          </a:blip>
          <a:stretch>
            <a:fillRect/>
          </a:stretch>
        </xdr:blipFill>
        <xdr:spPr>
          <a:xfrm>
            <a:off x="269876" y="2111375"/>
            <a:ext cx="200025" cy="150451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53974</xdr:colOff>
      <xdr:row>6</xdr:row>
      <xdr:rowOff>53974</xdr:rowOff>
    </xdr:from>
    <xdr:to>
      <xdr:col>1</xdr:col>
      <xdr:colOff>358774</xdr:colOff>
      <xdr:row>6</xdr:row>
      <xdr:rowOff>358774</xdr:rowOff>
    </xdr:to>
    <xdr:pic macro="[0]!gotoReports">
      <xdr:nvPicPr>
        <xdr:cNvPr id="22" name="Picture 21">
          <a:extLst>
            <a:ext uri="{FF2B5EF4-FFF2-40B4-BE49-F238E27FC236}">
              <a16:creationId xmlns:a16="http://schemas.microsoft.com/office/drawing/2014/main" id="{F3D88D3E-982B-4002-91FA-06E6F5C54E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149224" y="3006724"/>
          <a:ext cx="295275" cy="295275"/>
        </a:xfrm>
        <a:prstGeom prst="rect">
          <a:avLst/>
        </a:prstGeom>
      </xdr:spPr>
    </xdr:pic>
    <xdr:clientData/>
  </xdr:twoCellAnchor>
  <xdr:twoCellAnchor editAs="oneCell">
    <xdr:from>
      <xdr:col>1</xdr:col>
      <xdr:colOff>82550</xdr:colOff>
      <xdr:row>7</xdr:row>
      <xdr:rowOff>76200</xdr:rowOff>
    </xdr:from>
    <xdr:to>
      <xdr:col>1</xdr:col>
      <xdr:colOff>324475</xdr:colOff>
      <xdr:row>7</xdr:row>
      <xdr:rowOff>396875</xdr:rowOff>
    </xdr:to>
    <xdr:pic macro="[0]!gotoQueries">
      <xdr:nvPicPr>
        <xdr:cNvPr id="27" name="Picture 26">
          <a:extLst>
            <a:ext uri="{FF2B5EF4-FFF2-40B4-BE49-F238E27FC236}">
              <a16:creationId xmlns:a16="http://schemas.microsoft.com/office/drawing/2014/main" id="{51BCEB22-0935-40A6-9B9A-0DE4ED5C3E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5"/>
            </a:ext>
          </a:extLst>
        </a:blip>
        <a:stretch>
          <a:fillRect/>
        </a:stretch>
      </xdr:blipFill>
      <xdr:spPr>
        <a:xfrm>
          <a:off x="177800" y="3505200"/>
          <a:ext cx="241925" cy="3206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243840</xdr:colOff>
      <xdr:row>2</xdr:row>
      <xdr:rowOff>7620</xdr:rowOff>
    </xdr:from>
    <xdr:to>
      <xdr:col>7</xdr:col>
      <xdr:colOff>2240280</xdr:colOff>
      <xdr:row>141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E15A925-547F-403F-BE9A-8F0C32970E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Chase" refreshedDate="43881.530908449073" createdVersion="6" refreshedVersion="6" minRefreshableVersion="3" recordCount="67" xr:uid="{00000000-000A-0000-FFFF-FFFF00000000}">
  <cacheSource type="worksheet">
    <worksheetSource name="USD_Holdings"/>
  </cacheSource>
  <cacheFields count="19">
    <cacheField name="Symbol" numFmtId="0">
      <sharedItems count="164">
        <s v="GDX"/>
        <s v="ENB"/>
        <s v="PM"/>
        <s v="MSFT"/>
        <s v="KHC"/>
        <s v="PFE"/>
        <s v="ENB.TO"/>
        <s v="XSP.TO"/>
        <s v="XLK"/>
        <s v="SLV"/>
        <s v="HEP.TO"/>
        <s v="IJR"/>
        <s v="VCN.TO"/>
        <s v="VOO"/>
        <s v="SVR.C"/>
        <s v="GLD"/>
        <s v="VGIT"/>
        <s v="SDS"/>
        <s v="FCAU" u="1"/>
        <s v="MTRX" u="1"/>
        <s v="DS" u="1"/>
        <s v="ENPH" u="1"/>
        <s v="HOME" u="1"/>
        <s v="SCG" u="1"/>
        <s v="WGO" u="1"/>
        <s v="CONN" u="1"/>
        <s v="CORE" u="1"/>
        <s v="KMPR" u="1"/>
        <s v="BOOT" u="1"/>
        <s v="TOT" u="1"/>
        <s v="CVE" u="1"/>
        <s v="ANF" u="1"/>
        <s v="BUD" u="1"/>
        <s v="XPO" u="1"/>
        <s v="EVRI" u="1"/>
        <s v="IAU" u="1"/>
        <s v="KBH" u="1"/>
        <s v="ASIX" u="1"/>
        <s v="MTCH" u="1"/>
        <s v="RUSHA" u="1"/>
        <s v="ENSG" u="1"/>
        <s v="FL" u="1"/>
        <s v="SDOW" u="1"/>
        <s v="CVI" u="1"/>
        <s v="SBUX" u="1"/>
        <s v="VVI" u="1"/>
        <s v="RL" u="1"/>
        <s v="JCI" u="1"/>
        <s v="THO" u="1"/>
        <s v="LGCY" u="1"/>
        <s v="KRA" u="1"/>
        <s v="NAV" u="1"/>
        <s v="PBI" u="1"/>
        <s v="SYNA" u="1"/>
        <s v="SEP" u="1"/>
        <s v="PENN" u="1"/>
        <s v="ATI" u="1"/>
        <s v="GES" u="1"/>
        <s v="HOFT" u="1"/>
        <s v="TGNA" u="1"/>
        <s v="CCJ" u="1"/>
        <s v="DHI" u="1"/>
        <s v="AMRC" u="1"/>
        <s v="CVTI" u="1"/>
        <s v="CMTL" u="1"/>
        <s v="CCK" u="1"/>
        <s v="BLDR" u="1"/>
        <s v="CSTM" u="1"/>
        <s v="TRGP" u="1"/>
        <s v="MCD" u="1"/>
        <s v="CVRR" u="1"/>
        <s v="GIS" u="1"/>
        <s v="MRK" u="1"/>
        <s v="RFP" u="1"/>
        <s v="HPQ" u="1"/>
        <s v="ACH" u="1"/>
        <s v="NUAN" u="1"/>
        <s v="TEF" u="1"/>
        <s v="ALDW" u="1"/>
        <s v="BND" u="1"/>
        <s v="AMEH" u="1"/>
        <s v="T" u="1"/>
        <s v="CUB" u="1"/>
        <s v="CVS" u="1"/>
        <s v="NSP" u="1"/>
        <s v="MTOR" u="1"/>
        <s v="WLK" u="1"/>
        <s v="EXPE" u="1"/>
        <s v="TNDM" u="1"/>
        <s v="LB" u="1"/>
        <s v="PHM" u="1"/>
        <s v="BIIB" u="1"/>
        <s v="TCEHY" u="1"/>
        <s v="M" u="1"/>
        <s v="XNET" u="1"/>
        <s v="CZR" u="1"/>
        <s v="XOM" u="1"/>
        <s v="ASNA" u="1"/>
        <s v="SPAR" u="1"/>
        <s v="ULH" u="1"/>
        <s v="AEL" u="1"/>
        <s v="PNK" u="1"/>
        <s v="TDOC" u="1"/>
        <s v="CLSN" u="1"/>
        <s v="AAP" u="1"/>
        <s v="MGI" u="1"/>
        <s v="ARCB" u="1"/>
        <s v="SQQQ" u="1"/>
        <s v="CYD" u="1"/>
        <s v="CROX" u="1"/>
        <s v="FOSL" u="1"/>
        <s v="MOD" u="1"/>
        <s v="OSTK" u="1"/>
        <s v="PPL" u="1"/>
        <s v="CRTO" u="1"/>
        <s v="GRUB" u="1"/>
        <s v="PLUS" u="1"/>
        <s v="ZUMZ" u="1"/>
        <s v="BT" u="1"/>
        <s v="AGN" u="1"/>
        <s v="SNE" u="1"/>
        <s v="TEO" u="1"/>
        <s v="BCC" u="1"/>
        <s v="CMP" u="1"/>
        <s v="NRG" u="1"/>
        <s v="LL" u="1"/>
        <s v="EXTN" u="1"/>
        <s v="TLRD" u="1"/>
        <s v="VIAB" u="1"/>
        <s v="ICPT" u="1"/>
        <s v="MTW" u="1"/>
        <s v="PG" u="1"/>
        <s v="BBY" u="1"/>
        <s v="HFC" u="1"/>
        <s v="DPLO" u="1"/>
        <s v="DK" u="1"/>
        <s v="DAN" u="1"/>
        <s v="ARNC" u="1"/>
        <s v="CENX" u="1"/>
        <s v="COKE" u="1"/>
        <s v="I" u="1"/>
        <s v="BZH" u="1"/>
        <s v="KEM" u="1"/>
        <s v="CLMT" u="1"/>
        <s v="CNSL" u="1"/>
        <s v="ADNT" u="1"/>
        <s v="ENVA" u="1"/>
        <s v="KEN" u="1"/>
        <s v="RDS.A" u="1"/>
        <s v="MDC" u="1"/>
        <s v="ETE" u="1"/>
        <s v="HBI" u="1"/>
        <s v="THC" u="1"/>
        <s v="ET" u="1"/>
        <s v="HUN" u="1"/>
        <s v="LYV" u="1"/>
        <s v="VHI" u="1"/>
        <s v="GIII" u="1"/>
        <s v="CRC" u="1"/>
        <s v="SYX" u="1"/>
        <s v="RHHBY" u="1"/>
        <s v="CTB" u="1"/>
        <s v="ILMN" u="1"/>
        <s v="VSEC" u="1"/>
      </sharedItems>
    </cacheField>
    <cacheField name="Name" numFmtId="0">
      <sharedItems/>
    </cacheField>
    <cacheField name="Account" numFmtId="0">
      <sharedItems containsBlank="1"/>
    </cacheField>
    <cacheField name="Date Position Opened" numFmtId="166">
      <sharedItems containsSemiMixedTypes="0" containsNonDate="0" containsDate="1" containsString="0" minDate="2019-07-31T00:00:00" maxDate="2020-02-11T00:00:00"/>
    </cacheField>
    <cacheField name="Date Position Closed" numFmtId="166">
      <sharedItems containsNonDate="0" containsDate="1" containsString="0" containsBlank="1" minDate="2019-08-02T00:00:00" maxDate="2020-02-01T00:00:00"/>
    </cacheField>
    <cacheField name="Shares Held" numFmtId="0">
      <sharedItems containsSemiMixedTypes="0" containsString="0" containsNumber="1" containsInteger="1" minValue="31" maxValue="16785"/>
    </cacheField>
    <cacheField name="Purchase Price" numFmtId="164">
      <sharedItems containsString="0" containsBlank="1" containsNumber="1" minValue="10.119999999999999" maxValue="272.70400000000001"/>
    </cacheField>
    <cacheField name="Sale Price" numFmtId="164">
      <sharedItems containsString="0" containsBlank="1" containsNumber="1" minValue="9.34" maxValue="273.89"/>
    </cacheField>
    <cacheField name="Ask" numFmtId="164">
      <sharedItems containsSemiMixedTypes="0" containsString="0" containsNumber="1" minValue="0" maxValue="308.43"/>
    </cacheField>
    <cacheField name="Dividends" numFmtId="164">
      <sharedItems containsString="0" containsBlank="1" containsNumber="1" minValue="0" maxValue="849.82"/>
    </cacheField>
    <cacheField name="Book value" numFmtId="164">
      <sharedItems containsSemiMixedTypes="0" containsString="0" containsNumber="1" minValue="0" maxValue="279788.95"/>
    </cacheField>
    <cacheField name="Adjusted Value" numFmtId="164">
      <sharedItems containsSemiMixedTypes="0" containsString="0" containsNumber="1" minValue="887.3" maxValue="279693.02279999998"/>
    </cacheField>
    <cacheField name="Gain/Loss $" numFmtId="8">
      <sharedItems containsSemiMixedTypes="0" containsString="0" containsNumber="1" minValue="-18855.599999999948" maxValue="14305.145399999979"/>
    </cacheField>
    <cacheField name="Gain/Loss %" numFmtId="169">
      <sharedItems containsMixedTypes="1" containsNumber="1" minValue="-0.11673448062558069" maxValue="7.2006315936128329E-2"/>
    </cacheField>
    <cacheField name="Peak price" numFmtId="0">
      <sharedItems containsString="0" containsBlank="1" containsNumber="1" minValue="10.119999999999999" maxValue="36.07"/>
    </cacheField>
    <cacheField name="Stop Loss %" numFmtId="10">
      <sharedItems containsString="0" containsBlank="1" containsNumber="1" minValue="-1.4999999999999999E-2" maxValue="0.01"/>
    </cacheField>
    <cacheField name="Stop Loss Price" numFmtId="164">
      <sharedItems containsString="0" containsBlank="1" containsNumber="1" minValue="0" maxValue="35.709299999999999"/>
    </cacheField>
    <cacheField name="Stop-loss Expiry" numFmtId="166">
      <sharedItems containsNonDate="0" containsDate="1" containsString="0" containsBlank="1" minDate="2019-01-17T00:00:00" maxDate="2020-01-06T00:00:00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7">
  <r>
    <x v="0"/>
    <s v="VanEck Vectors Gold Miners"/>
    <s v="RRSP USD"/>
    <d v="2020-01-03T00:00:00"/>
    <d v="2020-01-03T00:00:00"/>
    <n v="5300"/>
    <n v="29.73"/>
    <n v="29.48"/>
    <n v="29.83"/>
    <m/>
    <n v="157569"/>
    <n v="156244"/>
    <n v="-1325"/>
    <n v="-8.409014463504878E-3"/>
    <m/>
    <m/>
    <n v="0"/>
    <m/>
    <m/>
  </r>
  <r>
    <x v="1"/>
    <s v="Enbridge Inc"/>
    <s v="RRSP USD"/>
    <d v="2019-12-31T00:00:00"/>
    <d v="2020-01-03T00:00:00"/>
    <n v="4000"/>
    <n v="39.56"/>
    <m/>
    <n v="41.69"/>
    <m/>
    <n v="158240"/>
    <n v="166760"/>
    <n v="8520"/>
    <n v="5.3842264914054604E-2"/>
    <m/>
    <m/>
    <n v="0"/>
    <m/>
    <m/>
  </r>
  <r>
    <x v="0"/>
    <s v="VanEck Vectors Gold Miners"/>
    <s v="RRSP USD"/>
    <d v="2020-01-13T00:00:00"/>
    <d v="2020-01-14T00:00:00"/>
    <n v="10014"/>
    <n v="27.889600000000002"/>
    <n v="27.930199999999999"/>
    <n v="29.83"/>
    <m/>
    <n v="279286.45439999999"/>
    <n v="279693.02279999998"/>
    <n v="406.5683999999892"/>
    <n v="1.4557397739658842E-3"/>
    <m/>
    <m/>
    <m/>
    <m/>
    <m/>
  </r>
  <r>
    <x v="1"/>
    <s v="Enbridge Inc"/>
    <s v="RRSP USD"/>
    <d v="2020-01-14T00:00:00"/>
    <m/>
    <n v="3217"/>
    <n v="40.21"/>
    <m/>
    <n v="41.69"/>
    <n v="0"/>
    <n v="129355.57"/>
    <n v="134116.72999999998"/>
    <n v="4761.1599999999744"/>
    <n v="3.6806764486445959E-2"/>
    <m/>
    <m/>
    <n v="0"/>
    <m/>
    <s v="Ex-Dividend on 13-Feb"/>
  </r>
  <r>
    <x v="1"/>
    <s v="Enbridge Inc"/>
    <s v="RRSP USD"/>
    <d v="2020-01-14T00:00:00"/>
    <d v="2020-01-16T00:00:00"/>
    <n v="1240"/>
    <n v="40.21"/>
    <n v="40.31"/>
    <n v="41.69"/>
    <m/>
    <n v="49860.4"/>
    <n v="49984.4"/>
    <n v="124"/>
    <n v="2.486943546381497E-3"/>
    <m/>
    <m/>
    <n v="0"/>
    <m/>
    <m/>
  </r>
  <r>
    <x v="2"/>
    <s v="Philip Morris International Inc"/>
    <s v="RRSP USD"/>
    <d v="2020-01-16T00:00:00"/>
    <m/>
    <n v="571"/>
    <n v="88.366500000000002"/>
    <m/>
    <n v="86.29"/>
    <n v="0"/>
    <n v="50457.271500000003"/>
    <n v="49271.590000000004"/>
    <n v="-1185.6814999999988"/>
    <n v="-2.3498724063983498E-2"/>
    <m/>
    <m/>
    <n v="0"/>
    <m/>
    <m/>
  </r>
  <r>
    <x v="3"/>
    <s v="Microsoft Corporation"/>
    <s v="TFSA CAD"/>
    <d v="2020-01-30T00:00:00"/>
    <m/>
    <n v="58"/>
    <m/>
    <m/>
    <n v="181.39"/>
    <n v="0"/>
    <n v="0"/>
    <n v="10520.619999999999"/>
    <n v="10520.619999999999"/>
    <e v="#DIV/0!"/>
    <m/>
    <m/>
    <n v="0"/>
    <m/>
    <m/>
  </r>
  <r>
    <x v="4"/>
    <s v="The Kraft Heinz Company"/>
    <s v="RRSP USD"/>
    <d v="2020-02-10T00:00:00"/>
    <m/>
    <n v="1550"/>
    <n v="29.77"/>
    <m/>
    <n v="27.36"/>
    <n v="0"/>
    <n v="46143.5"/>
    <n v="42408"/>
    <n v="-3735.5"/>
    <n v="-8.0953980517299295E-2"/>
    <m/>
    <m/>
    <n v="0"/>
    <m/>
    <m/>
  </r>
  <r>
    <x v="5"/>
    <s v="Pfizer Inc."/>
    <s v="RRSP USD"/>
    <d v="2020-01-15T00:00:00"/>
    <m/>
    <n v="1228"/>
    <n v="40.576700000000002"/>
    <m/>
    <n v="35.840000000000003"/>
    <n v="0"/>
    <n v="49828.187600000005"/>
    <n v="44011.520000000004"/>
    <n v="-5816.6676000000007"/>
    <n v="-0.11673448062558069"/>
    <m/>
    <m/>
    <n v="0"/>
    <m/>
    <s v="Ex-Dividend on 30-Jan"/>
  </r>
  <r>
    <x v="4"/>
    <s v="The Kraft Heinz Company"/>
    <s v="RRSP USD"/>
    <d v="2020-01-15T00:00:00"/>
    <d v="2020-01-31T00:00:00"/>
    <n v="1570"/>
    <n v="31.8399"/>
    <n v="29.130400000000002"/>
    <n v="27.36"/>
    <n v="0"/>
    <n v="49988.643000000004"/>
    <n v="45734.728000000003"/>
    <n v="-4253.9150000000009"/>
    <n v="-8.5097629075468209E-2"/>
    <m/>
    <m/>
    <n v="0"/>
    <m/>
    <s v="Ex-Dividend ~7-Mar"/>
  </r>
  <r>
    <x v="1"/>
    <s v="Enbridge Inc"/>
    <s v="RRSP USD"/>
    <d v="2020-01-14T00:00:00"/>
    <d v="2020-01-15T00:00:00"/>
    <n v="1240"/>
    <n v="40.21"/>
    <n v="40.299999999999997"/>
    <n v="41.69"/>
    <m/>
    <n v="49860.4"/>
    <n v="49972"/>
    <n v="111.59999999999854"/>
    <n v="2.2382491917433182E-3"/>
    <m/>
    <m/>
    <n v="0"/>
    <m/>
    <m/>
  </r>
  <r>
    <x v="1"/>
    <s v="Enbridge Inc"/>
    <s v="RRSP USD"/>
    <d v="2020-01-14T00:00:00"/>
    <d v="2020-01-15T00:00:00"/>
    <n v="1238"/>
    <n v="40.21"/>
    <n v="40.36"/>
    <n v="41.69"/>
    <m/>
    <n v="49779.98"/>
    <n v="49965.68"/>
    <n v="185.69999999999709"/>
    <n v="3.7304153195721868E-3"/>
    <m/>
    <m/>
    <n v="0"/>
    <m/>
    <m/>
  </r>
  <r>
    <x v="1"/>
    <s v="Enbridge Inc"/>
    <s v="RRSP USD"/>
    <d v="2019-12-31T00:00:00"/>
    <d v="2020-01-13T00:00:00"/>
    <n v="4141"/>
    <n v="39.629899999999999"/>
    <n v="40.170099999999998"/>
    <n v="41.69"/>
    <m/>
    <n v="164107.41589999999"/>
    <n v="166344.3841"/>
    <n v="2236.968200000003"/>
    <n v="1.3631121955896955E-2"/>
    <m/>
    <m/>
    <n v="0"/>
    <m/>
    <m/>
  </r>
  <r>
    <x v="1"/>
    <s v="Enbridge Inc"/>
    <s v="RRSP USD"/>
    <d v="2019-12-30T00:00:00"/>
    <d v="2020-01-13T00:00:00"/>
    <n v="2532"/>
    <n v="39.57"/>
    <n v="40.170099999999998"/>
    <n v="41.69"/>
    <m/>
    <n v="100191.24"/>
    <n v="101710.69319999999"/>
    <n v="1519.453199999989"/>
    <n v="1.5165529441495972E-2"/>
    <m/>
    <m/>
    <n v="0"/>
    <m/>
    <m/>
  </r>
  <r>
    <x v="0"/>
    <s v="VanEck Vectors Gold Miners"/>
    <s v="RRSP USD"/>
    <d v="2019-12-30T00:00:00"/>
    <d v="2019-12-31T00:00:00"/>
    <n v="5512"/>
    <n v="29.299700000000001"/>
    <n v="29.46"/>
    <n v="29.83"/>
    <m/>
    <n v="161499.94640000002"/>
    <n v="162383.52000000002"/>
    <n v="883.57360000000335"/>
    <n v="5.4710457786257402E-3"/>
    <m/>
    <n v="-0.01"/>
    <n v="0"/>
    <m/>
    <m/>
  </r>
  <r>
    <x v="6"/>
    <s v="Enbridge Inc."/>
    <s v="RESP CAD"/>
    <d v="2019-12-30T00:00:00"/>
    <m/>
    <n v="812"/>
    <n v="51.678800000000003"/>
    <m/>
    <n v="55.4"/>
    <n v="0"/>
    <n v="41963.185600000004"/>
    <n v="44984.799999999996"/>
    <n v="3021.6143999999913"/>
    <n v="7.2006315936128329E-2"/>
    <m/>
    <m/>
    <n v="0"/>
    <m/>
    <s v="Ex-Dividend on 13-Feb"/>
  </r>
  <r>
    <x v="1"/>
    <s v="Enbridge Inc"/>
    <s v="RRSP USD"/>
    <d v="2019-12-27T00:00:00"/>
    <d v="2020-01-13T00:00:00"/>
    <n v="343"/>
    <n v="39.769399999999997"/>
    <n v="40.170099999999998"/>
    <n v="41.69"/>
    <m/>
    <n v="13640.904199999999"/>
    <n v="13778.344299999999"/>
    <n v="137.4400999999998"/>
    <n v="1.0075585751859456E-2"/>
    <m/>
    <m/>
    <n v="0"/>
    <m/>
    <m/>
  </r>
  <r>
    <x v="1"/>
    <s v="Enbridge Inc"/>
    <s v="RRSP USD"/>
    <d v="2020-01-07T00:00:00"/>
    <d v="2020-01-13T00:00:00"/>
    <n v="3901"/>
    <n v="39.840000000000003"/>
    <n v="40.170099999999998"/>
    <n v="41.69"/>
    <m/>
    <n v="155415.84000000003"/>
    <n v="156703.5601"/>
    <n v="1287.7200999999768"/>
    <n v="8.2856425702809745E-3"/>
    <m/>
    <m/>
    <n v="0"/>
    <m/>
    <m/>
  </r>
  <r>
    <x v="7"/>
    <s v="iShares Core S&amp;P; 500 (CAD-Hedged)"/>
    <s v="RESP CAD"/>
    <d v="2019-12-19T00:00:00"/>
    <d v="2019-12-30T00:00:00"/>
    <n v="1204"/>
    <n v="35.625"/>
    <n v="35.655000000000001"/>
    <n v="37.04"/>
    <m/>
    <n v="42892.5"/>
    <n v="42928.62"/>
    <n v="36.120000000002619"/>
    <n v="8.4210526315795582E-4"/>
    <n v="36.07"/>
    <n v="-0.01"/>
    <n v="35.709299999999999"/>
    <d v="2019-01-17T00:00:00"/>
    <m/>
  </r>
  <r>
    <x v="8"/>
    <s v="SPDR Select Sector Fund - Technology"/>
    <s v="RRSP USD"/>
    <d v="2019-12-18T00:00:00"/>
    <d v="2019-12-30T00:00:00"/>
    <n v="2884"/>
    <n v="90.15"/>
    <n v="91.35"/>
    <n v="101.16"/>
    <n v="849.82"/>
    <n v="259992.6"/>
    <n v="264303.21999999997"/>
    <n v="4310.6199999999662"/>
    <n v="1.6579779578341714E-2"/>
    <m/>
    <m/>
    <n v="0"/>
    <m/>
    <m/>
  </r>
  <r>
    <x v="9"/>
    <s v="iShares Silver Trust"/>
    <s v="RRSP USD"/>
    <d v="2019-12-04T00:00:00"/>
    <d v="2019-12-06T00:00:00"/>
    <n v="16785"/>
    <n v="15.72"/>
    <n v="15.6"/>
    <n v="17.149999999999999"/>
    <m/>
    <n v="263860.2"/>
    <n v="261846"/>
    <n v="-2014.2000000000116"/>
    <n v="-7.6335877862595859E-3"/>
    <m/>
    <n v="0.01"/>
    <n v="0"/>
    <d v="2020-01-05T00:00:00"/>
    <m/>
  </r>
  <r>
    <x v="9"/>
    <s v="iShares Silver Trust"/>
    <s v="RRSP USD"/>
    <d v="2019-12-02T00:00:00"/>
    <d v="2019-12-04T00:00:00"/>
    <n v="16561"/>
    <n v="15.81"/>
    <n v="15.9101"/>
    <n v="17.149999999999999"/>
    <m/>
    <n v="261829.41"/>
    <n v="263487.16609999997"/>
    <n v="1657.7560999999696"/>
    <n v="6.331435800126386E-3"/>
    <m/>
    <m/>
    <n v="0"/>
    <m/>
    <m/>
  </r>
  <r>
    <x v="10"/>
    <s v="Horizons Enhanced Inc Gold Prod ETF Comm"/>
    <s v="RESP CAD"/>
    <d v="2019-11-04T00:00:00"/>
    <d v="2019-12-19T00:00:00"/>
    <n v="1460"/>
    <n v="28.772500000000001"/>
    <n v="28.92"/>
    <n v="30.72"/>
    <m/>
    <n v="42007.85"/>
    <n v="42223.200000000004"/>
    <n v="215.35000000000582"/>
    <n v="5.1264227995483184E-3"/>
    <m/>
    <m/>
    <n v="0"/>
    <m/>
    <m/>
  </r>
  <r>
    <x v="9"/>
    <s v="iShares Silver Trust"/>
    <s v="RRSP USD"/>
    <d v="2019-11-04T00:00:00"/>
    <d v="2019-11-08T00:00:00"/>
    <n v="16540"/>
    <n v="16.86"/>
    <n v="15.72"/>
    <n v="17.149999999999999"/>
    <m/>
    <n v="278864.39999999997"/>
    <n v="260008.80000000002"/>
    <n v="-18855.599999999948"/>
    <n v="-6.7615658362989148E-2"/>
    <m/>
    <m/>
    <n v="0"/>
    <m/>
    <m/>
  </r>
  <r>
    <x v="9"/>
    <s v="iShares Silver Trust"/>
    <s v="RRSP USD"/>
    <d v="2019-10-31T00:00:00"/>
    <d v="2019-11-01T00:00:00"/>
    <n v="16585"/>
    <n v="16.87"/>
    <n v="16.84"/>
    <n v="17.149999999999999"/>
    <m/>
    <n v="279788.95"/>
    <n v="279291.40000000002"/>
    <n v="-497.54999999998836"/>
    <n v="-1.7783046828689566E-3"/>
    <m/>
    <m/>
    <n v="0"/>
    <m/>
    <m/>
  </r>
  <r>
    <x v="9"/>
    <s v="iShares Silver Trust"/>
    <s v="RRSP USD"/>
    <d v="2019-10-25T00:00:00"/>
    <d v="2019-10-31T00:00:00"/>
    <n v="16520"/>
    <n v="16.82"/>
    <n v="16.899999999999999"/>
    <n v="17.149999999999999"/>
    <m/>
    <n v="277866.40000000002"/>
    <n v="279188"/>
    <n v="1321.5999999999767"/>
    <n v="4.7562425683709024E-3"/>
    <m/>
    <m/>
    <n v="0"/>
    <m/>
    <m/>
  </r>
  <r>
    <x v="9"/>
    <s v="iShares Silver Trust"/>
    <s v="RRSP USD"/>
    <d v="2019-10-14T00:00:00"/>
    <d v="2019-10-25T00:00:00"/>
    <n v="16254"/>
    <n v="16.1999"/>
    <n v="17.079999999999998"/>
    <n v="17.149999999999999"/>
    <m/>
    <n v="263313.17459999997"/>
    <n v="277618.31999999995"/>
    <n v="14305.145399999979"/>
    <n v="5.4327495848739735E-2"/>
    <m/>
    <m/>
    <n v="0"/>
    <m/>
    <m/>
  </r>
  <r>
    <x v="0"/>
    <s v="VanEck Vectors Gold Miners"/>
    <s v="RRSP USD"/>
    <d v="2019-10-11T00:00:00"/>
    <d v="2019-10-11T00:00:00"/>
    <n v="9835"/>
    <n v="27.259799999999998"/>
    <n v="26.92"/>
    <n v="29.83"/>
    <m/>
    <n v="268100.13299999997"/>
    <n v="264758.2"/>
    <n v="-3341.9329999999609"/>
    <n v="-1.2465241857973869E-2"/>
    <m/>
    <n v="-1.4999999999999999E-2"/>
    <n v="0"/>
    <m/>
    <m/>
  </r>
  <r>
    <x v="9"/>
    <s v="iShares Silver Trust"/>
    <s v="RRSP USD"/>
    <d v="2019-10-10T00:00:00"/>
    <d v="2019-10-11T00:00:00"/>
    <n v="16534"/>
    <n v="16.39"/>
    <n v="16.29"/>
    <n v="17.149999999999999"/>
    <m/>
    <n v="270992.26"/>
    <n v="269338.86"/>
    <n v="-1653.4000000000233"/>
    <n v="-6.1012812690665894E-3"/>
    <m/>
    <m/>
    <n v="0"/>
    <m/>
    <m/>
  </r>
  <r>
    <x v="9"/>
    <s v="iShares Silver Trust"/>
    <s v="RRSP USD"/>
    <d v="2019-09-30T00:00:00"/>
    <d v="2019-10-04T00:00:00"/>
    <n v="16645"/>
    <n v="15.86"/>
    <n v="16.29"/>
    <n v="17.149999999999999"/>
    <m/>
    <n v="263989.7"/>
    <n v="271147.05"/>
    <n v="7157.3499999999767"/>
    <n v="2.7112232030264728E-2"/>
    <m/>
    <n v="-0.01"/>
    <n v="0"/>
    <d v="2019-11-01T00:00:00"/>
    <m/>
  </r>
  <r>
    <x v="9"/>
    <s v="iShares Silver Trust"/>
    <s v="RRSP USD"/>
    <d v="2019-09-25T00:00:00"/>
    <d v="2019-09-26T00:00:00"/>
    <n v="16042"/>
    <n v="16.93"/>
    <n v="16.66"/>
    <n v="17.149999999999999"/>
    <m/>
    <n v="271591.06"/>
    <n v="267259.72000000003"/>
    <n v="-4331.3399999999674"/>
    <n v="-1.5948021264028233E-2"/>
    <m/>
    <m/>
    <m/>
    <m/>
    <m/>
  </r>
  <r>
    <x v="9"/>
    <s v="iShares Silver Trust"/>
    <s v="RRSP USD"/>
    <d v="2019-09-20T00:00:00"/>
    <d v="2019-09-24T00:00:00"/>
    <n v="15890"/>
    <n v="16.670000000000002"/>
    <n v="17.190000000000001"/>
    <n v="17.149999999999999"/>
    <m/>
    <n v="264886.30000000005"/>
    <n v="273149.10000000003"/>
    <n v="8262.7999999999884"/>
    <n v="3.11937612477504E-2"/>
    <m/>
    <m/>
    <n v="0"/>
    <m/>
    <m/>
  </r>
  <r>
    <x v="11"/>
    <s v="iShares Core S&amp;P Small-Cap"/>
    <s v="RRSP USD"/>
    <d v="2019-09-18T00:00:00"/>
    <d v="2019-09-18T00:00:00"/>
    <n v="3332"/>
    <n v="80.209999999999994"/>
    <n v="79.415999999999997"/>
    <n v="83.37"/>
    <m/>
    <n v="267259.71999999997"/>
    <n v="264614.11199999996"/>
    <n v="-2645.6080000000075"/>
    <n v="-9.8990150854008519E-3"/>
    <m/>
    <m/>
    <n v="0"/>
    <m/>
    <m/>
  </r>
  <r>
    <x v="12"/>
    <s v="Vanguard FTSE Canada All Cap ETF"/>
    <s v="RESP CAD"/>
    <d v="2019-09-17T00:00:00"/>
    <d v="2019-09-30T00:00:00"/>
    <n v="1237"/>
    <n v="34.11"/>
    <n v="33.54"/>
    <n v="36.08"/>
    <m/>
    <n v="42194.07"/>
    <n v="41488.979999999996"/>
    <n v="-705.09000000000378"/>
    <n v="-1.6710642040457434E-2"/>
    <n v="34.11"/>
    <n v="-0.01"/>
    <n v="33.768900000000002"/>
    <d v="2019-10-17T00:00:00"/>
    <m/>
  </r>
  <r>
    <x v="9"/>
    <s v="iShares Silver Trust"/>
    <s v="RRSP USD"/>
    <d v="2019-09-09T00:00:00"/>
    <d v="2019-09-18T00:00:00"/>
    <n v="15973"/>
    <n v="16.739999999999998"/>
    <n v="16.739999999999998"/>
    <n v="17.149999999999999"/>
    <m/>
    <n v="267388.01999999996"/>
    <n v="267388.01999999996"/>
    <n v="0"/>
    <n v="0"/>
    <m/>
    <m/>
    <n v="0"/>
    <m/>
    <m/>
  </r>
  <r>
    <x v="9"/>
    <s v="iShares Silver Trust"/>
    <s v="RRSP USD"/>
    <d v="2019-09-06T00:00:00"/>
    <d v="2019-09-09T00:00:00"/>
    <n v="15982"/>
    <n v="16.899999999999999"/>
    <n v="16.84"/>
    <n v="17.149999999999999"/>
    <m/>
    <n v="270095.8"/>
    <n v="269136.88"/>
    <n v="-958.9199999999837"/>
    <n v="-3.5502958579881057E-3"/>
    <m/>
    <m/>
    <n v="0"/>
    <m/>
    <m/>
  </r>
  <r>
    <x v="13"/>
    <s v="Vanguard S&amp;P 500"/>
    <s v="RRSP USD"/>
    <d v="2019-09-05T00:00:00"/>
    <d v="2019-09-05T00:00:00"/>
    <n v="994"/>
    <n v="272.70400000000001"/>
    <n v="273.89"/>
    <n v="308.43"/>
    <m/>
    <n v="271067.77600000001"/>
    <n v="272246.65999999997"/>
    <n v="1178.8839999999618"/>
    <n v="4.3490377845574746E-3"/>
    <m/>
    <m/>
    <n v="0"/>
    <m/>
    <m/>
  </r>
  <r>
    <x v="9"/>
    <s v="iShares Silver Trust"/>
    <s v="RRSP USD"/>
    <d v="2019-09-05T00:00:00"/>
    <d v="2019-09-06T00:00:00"/>
    <n v="15540"/>
    <n v="17.55"/>
    <n v="17.38"/>
    <n v="17.149999999999999"/>
    <m/>
    <n v="272727"/>
    <n v="270085.2"/>
    <n v="-2641.7999999999884"/>
    <n v="-9.6866096866096447E-3"/>
    <n v="17.559999999999999"/>
    <n v="-0.01"/>
    <n v="17.384399999999999"/>
    <d v="2019-10-04T00:00:00"/>
    <m/>
  </r>
  <r>
    <x v="14"/>
    <s v="iShares Silver Bullion ETF"/>
    <s v="RESP CAD"/>
    <d v="2019-09-04T00:00:00"/>
    <d v="2019-09-04T00:00:00"/>
    <n v="4244"/>
    <n v="10.130000000000001"/>
    <n v="9.859"/>
    <n v="0"/>
    <m/>
    <n v="42991.72"/>
    <n v="41841.595999999998"/>
    <n v="-1150.1240000000034"/>
    <n v="-2.6752221125370266E-2"/>
    <m/>
    <m/>
    <n v="0"/>
    <m/>
    <m/>
  </r>
  <r>
    <x v="14"/>
    <s v="iShares Silver Bullion ETF"/>
    <s v="QT RRSP CAD"/>
    <d v="2019-09-04T00:00:00"/>
    <d v="2019-09-17T00:00:00"/>
    <n v="95"/>
    <n v="10.119999999999999"/>
    <n v="9.34"/>
    <n v="0"/>
    <m/>
    <n v="961.4"/>
    <n v="887.3"/>
    <n v="-74.100000000000023"/>
    <n v="-7.7075098814229276E-2"/>
    <n v="10.119999999999999"/>
    <n v="-0.01"/>
    <n v="10.018799999999999"/>
    <d v="2019-10-07T00:00:00"/>
    <m/>
  </r>
  <r>
    <x v="9"/>
    <s v="iShares Silver Trust"/>
    <s v="RRSP USD"/>
    <d v="2019-08-30T00:00:00"/>
    <d v="2019-09-05T00:00:00"/>
    <n v="15090"/>
    <n v="17.170000000000002"/>
    <n v="17.961400000000001"/>
    <n v="17.149999999999999"/>
    <m/>
    <n v="259095.30000000002"/>
    <n v="271037.52600000001"/>
    <n v="11942.225999999995"/>
    <n v="4.6092020966802538E-2"/>
    <m/>
    <m/>
    <n v="0"/>
    <m/>
    <m/>
  </r>
  <r>
    <x v="0"/>
    <s v="VanEck Vectors Gold Miners"/>
    <s v="RRSP USD"/>
    <d v="2019-08-28T00:00:00"/>
    <d v="2019-08-30T00:00:00"/>
    <n v="8185"/>
    <n v="30.65"/>
    <n v="29.7501"/>
    <n v="29.83"/>
    <m/>
    <n v="250870.25"/>
    <n v="243504.56849999999"/>
    <n v="-7365.6815000000061"/>
    <n v="-2.9360522022838523E-2"/>
    <m/>
    <m/>
    <n v="0"/>
    <m/>
    <m/>
  </r>
  <r>
    <x v="10"/>
    <s v="Horizons Enhanced Inc Gold Prod ETF Comm"/>
    <s v="QT RRSP CAD"/>
    <d v="2019-08-28T00:00:00"/>
    <d v="2019-09-04T00:00:00"/>
    <n v="31"/>
    <n v="31.92"/>
    <n v="31.33"/>
    <n v="30.72"/>
    <m/>
    <n v="989.5200000000001"/>
    <n v="971.2299999999999"/>
    <n v="-18.290000000000191"/>
    <n v="-1.8483709273183147E-2"/>
    <m/>
    <m/>
    <n v="0"/>
    <m/>
    <m/>
  </r>
  <r>
    <x v="0"/>
    <s v="VanEck Vectors Gold Miners"/>
    <s v="RRSP USD"/>
    <d v="2019-08-28T00:00:00"/>
    <d v="2019-08-30T00:00:00"/>
    <n v="549"/>
    <n v="30.379899999999999"/>
    <n v="29.7501"/>
    <n v="29.83"/>
    <m/>
    <n v="16678.5651"/>
    <n v="16332.804899999999"/>
    <n v="-345.76020000000062"/>
    <n v="-2.0730812148822119E-2"/>
    <m/>
    <m/>
    <n v="0"/>
    <m/>
    <m/>
  </r>
  <r>
    <x v="10"/>
    <s v="Horizons Enhanced Inc Gold Prod ETF Comm"/>
    <s v="RESP CAD"/>
    <d v="2019-08-27T00:00:00"/>
    <d v="2019-09-04T00:00:00"/>
    <n v="1370"/>
    <n v="31.158799999999999"/>
    <n v="31.375"/>
    <n v="30.72"/>
    <m/>
    <n v="42687.555999999997"/>
    <n v="42983.75"/>
    <n v="296.19400000000314"/>
    <n v="6.9386497554463685E-3"/>
    <m/>
    <m/>
    <n v="0"/>
    <m/>
    <m/>
  </r>
  <r>
    <x v="0"/>
    <s v="VanEck Vectors Gold Miners"/>
    <m/>
    <d v="2019-08-27T00:00:00"/>
    <d v="2019-08-27T00:00:00"/>
    <n v="8223"/>
    <n v="30.419899999999998"/>
    <n v="30.4513"/>
    <n v="29.83"/>
    <m/>
    <n v="250142.83769999997"/>
    <n v="250401.0399"/>
    <n v="258.20220000002882"/>
    <n v="1.0322190408253646E-3"/>
    <m/>
    <m/>
    <n v="0"/>
    <m/>
    <m/>
  </r>
  <r>
    <x v="0"/>
    <s v="VanEck Vectors Gold Miners"/>
    <m/>
    <d v="2019-08-26T00:00:00"/>
    <d v="2019-08-26T00:00:00"/>
    <n v="4133"/>
    <n v="29.579799999999999"/>
    <n v="29.67"/>
    <n v="29.83"/>
    <m/>
    <n v="122253.3134"/>
    <n v="122626.11"/>
    <n v="372.79660000000149"/>
    <n v="3.0493782919424864E-3"/>
    <m/>
    <m/>
    <n v="0"/>
    <m/>
    <m/>
  </r>
  <r>
    <x v="0"/>
    <s v="VanEck Vectors Gold Miners"/>
    <m/>
    <d v="2019-08-26T00:00:00"/>
    <d v="2019-08-26T00:00:00"/>
    <n v="4133"/>
    <n v="29.549900000000001"/>
    <n v="30.430800000000001"/>
    <n v="29.83"/>
    <m/>
    <n v="122129.73670000001"/>
    <n v="125770.4964"/>
    <n v="3640.7596999999951"/>
    <n v="2.9810591575605967E-2"/>
    <m/>
    <m/>
    <n v="0"/>
    <m/>
    <m/>
  </r>
  <r>
    <x v="0"/>
    <s v="VanEck Vectors Gold Miners"/>
    <m/>
    <d v="2019-08-26T00:00:00"/>
    <d v="2019-08-26T00:00:00"/>
    <n v="4060"/>
    <n v="29.9696"/>
    <n v="29.67"/>
    <n v="29.83"/>
    <m/>
    <n v="121676.576"/>
    <n v="120460.20000000001"/>
    <n v="-1216.3759999999893"/>
    <n v="-9.99679675404401E-3"/>
    <m/>
    <m/>
    <n v="0"/>
    <m/>
    <m/>
  </r>
  <r>
    <x v="15"/>
    <s v="SPDR Gold Trust"/>
    <m/>
    <d v="2019-08-23T00:00:00"/>
    <d v="2019-08-26T00:00:00"/>
    <n v="843"/>
    <n v="144.03970000000001"/>
    <n v="144.7208"/>
    <n v="152.69999999999999"/>
    <m/>
    <n v="121425.46710000001"/>
    <n v="121999.6344"/>
    <n v="574.16729999998643"/>
    <n v="4.7285574740851578E-3"/>
    <m/>
    <m/>
    <n v="0"/>
    <m/>
    <m/>
  </r>
  <r>
    <x v="13"/>
    <s v="Vanguard S&amp;P 500"/>
    <m/>
    <d v="2019-08-23T00:00:00"/>
    <d v="2019-08-23T00:00:00"/>
    <n v="899"/>
    <n v="263.87990000000002"/>
    <n v="263.87990000000002"/>
    <n v="308.43"/>
    <m/>
    <n v="237228.03010000003"/>
    <n v="237228.03010000003"/>
    <n v="0"/>
    <n v="0"/>
    <m/>
    <m/>
    <n v="0"/>
    <m/>
    <m/>
  </r>
  <r>
    <x v="15"/>
    <s v="SPDR Gold Trust"/>
    <m/>
    <d v="2019-08-22T00:00:00"/>
    <d v="2019-08-23T00:00:00"/>
    <n v="1692"/>
    <n v="141.70500000000001"/>
    <n v="143.81010000000001"/>
    <n v="152.69999999999999"/>
    <m/>
    <n v="239764.86000000002"/>
    <n v="243326.68920000002"/>
    <n v="3561.8292000000074"/>
    <n v="1.4855509685614511E-2"/>
    <m/>
    <m/>
    <n v="0"/>
    <m/>
    <m/>
  </r>
  <r>
    <x v="13"/>
    <s v="Vanguard S&amp;P 500"/>
    <m/>
    <d v="2019-08-20T00:00:00"/>
    <d v="2019-08-20T00:00:00"/>
    <n v="899"/>
    <n v="267.16300000000001"/>
    <n v="267.16300000000001"/>
    <n v="308.43"/>
    <m/>
    <n v="240179.53700000001"/>
    <n v="240179.53700000001"/>
    <n v="0"/>
    <n v="0"/>
    <m/>
    <m/>
    <n v="0"/>
    <m/>
    <m/>
  </r>
  <r>
    <x v="16"/>
    <s v="Vanguard Intermediate-Term Government Bond ETF"/>
    <m/>
    <d v="2019-08-20T00:00:00"/>
    <d v="2019-08-20T00:00:00"/>
    <n v="3577"/>
    <n v="67.13"/>
    <n v="67.1601"/>
    <n v="67.22"/>
    <m/>
    <n v="240124.00999999998"/>
    <n v="240231.6777"/>
    <n v="107.66770000001998"/>
    <n v="4.4838373305534912E-4"/>
    <m/>
    <m/>
    <n v="0"/>
    <m/>
    <m/>
  </r>
  <r>
    <x v="0"/>
    <s v="VanEck Vectors Gold Miners"/>
    <m/>
    <d v="2019-08-19T00:00:00"/>
    <d v="2019-08-19T00:00:00"/>
    <n v="8450"/>
    <n v="27.759699999999999"/>
    <n v="28.148199999999999"/>
    <n v="29.83"/>
    <m/>
    <n v="234569.465"/>
    <n v="237852.28999999998"/>
    <n v="3282.8249999999825"/>
    <n v="1.3995108016296932E-2"/>
    <m/>
    <m/>
    <n v="0"/>
    <m/>
    <m/>
  </r>
  <r>
    <x v="15"/>
    <s v="SPDR Gold Trust"/>
    <m/>
    <d v="2019-08-15T00:00:00"/>
    <d v="2019-08-19T00:00:00"/>
    <n v="1677"/>
    <n v="142.91999999999999"/>
    <n v="141.29"/>
    <n v="152.69999999999999"/>
    <m/>
    <n v="239676.83999999997"/>
    <n v="236943.33"/>
    <n v="-2733.5099999999802"/>
    <n v="-1.1404981808004398E-2"/>
    <m/>
    <m/>
    <n v="0"/>
    <m/>
    <m/>
  </r>
  <r>
    <x v="0"/>
    <s v="VanEck Vectors Gold Miners"/>
    <m/>
    <d v="2019-08-14T00:00:00"/>
    <d v="2019-08-14T00:00:00"/>
    <n v="4189"/>
    <n v="28.869900000000001"/>
    <n v="28.960100000000001"/>
    <n v="29.83"/>
    <m/>
    <n v="120936.0111"/>
    <n v="121313.85890000001"/>
    <n v="377.84780000000319"/>
    <n v="3.1243613590625791E-3"/>
    <m/>
    <m/>
    <n v="0"/>
    <m/>
    <m/>
  </r>
  <r>
    <x v="0"/>
    <s v="VanEck Vectors Gold Miners"/>
    <m/>
    <d v="2019-08-14T00:00:00"/>
    <d v="2019-08-15T00:00:00"/>
    <n v="8450"/>
    <n v="28.819600000000001"/>
    <n v="27.34"/>
    <n v="29.83"/>
    <m/>
    <n v="243525.62000000002"/>
    <n v="231023"/>
    <n v="-12502.620000000024"/>
    <n v="-5.1340060236783398E-2"/>
    <m/>
    <m/>
    <n v="0"/>
    <m/>
    <m/>
  </r>
  <r>
    <x v="13"/>
    <s v="Vanguard S&amp;P 500"/>
    <m/>
    <d v="2019-08-14T00:00:00"/>
    <d v="2019-08-14T00:00:00"/>
    <n v="928"/>
    <n v="261.36"/>
    <n v="262.11110000000002"/>
    <n v="308.43"/>
    <m/>
    <n v="242542.08000000002"/>
    <n v="243239.10080000001"/>
    <n v="697.02079999999842"/>
    <n v="2.8738138965411627E-3"/>
    <m/>
    <m/>
    <n v="0"/>
    <m/>
    <m/>
  </r>
  <r>
    <x v="15"/>
    <s v="SPDR Gold Trust"/>
    <m/>
    <d v="2019-08-09T00:00:00"/>
    <d v="2019-08-14T00:00:00"/>
    <n v="848"/>
    <n v="141.80000000000001"/>
    <n v="143.5001"/>
    <n v="152.69999999999999"/>
    <m/>
    <n v="120246.40000000001"/>
    <n v="121688.0848"/>
    <n v="1441.6847999999882"/>
    <n v="1.1989421720733327E-2"/>
    <m/>
    <m/>
    <n v="0"/>
    <m/>
    <m/>
  </r>
  <r>
    <x v="15"/>
    <s v="SPDR Gold Trust"/>
    <m/>
    <d v="2019-08-09T00:00:00"/>
    <d v="2019-08-14T00:00:00"/>
    <n v="849"/>
    <n v="142.69999999999999"/>
    <n v="142.69999999999999"/>
    <n v="152.69999999999999"/>
    <m/>
    <n v="121152.29999999999"/>
    <n v="121152.29999999999"/>
    <n v="0"/>
    <n v="0"/>
    <m/>
    <m/>
    <n v="0"/>
    <m/>
    <m/>
  </r>
  <r>
    <x v="13"/>
    <s v="Vanguard S&amp;P 500"/>
    <m/>
    <d v="2019-08-09T00:00:00"/>
    <d v="2019-08-09T00:00:00"/>
    <n v="895"/>
    <n v="267.03989999999999"/>
    <n v="267.98"/>
    <n v="308.43"/>
    <m/>
    <n v="239000.71049999999"/>
    <n v="239842.1"/>
    <n v="841.38950000001932"/>
    <n v="3.5204476933972102E-3"/>
    <m/>
    <m/>
    <n v="0"/>
    <m/>
    <m/>
  </r>
  <r>
    <x v="15"/>
    <s v="SPDR Gold Trust"/>
    <m/>
    <d v="2019-08-07T00:00:00"/>
    <d v="2019-08-09T00:00:00"/>
    <n v="1685"/>
    <n v="141.80000000000001"/>
    <n v="141.5702"/>
    <n v="152.69999999999999"/>
    <m/>
    <n v="238933.00000000003"/>
    <n v="238545.78700000001"/>
    <n v="-387.21300000001793"/>
    <n v="-1.6205923836390029E-3"/>
    <m/>
    <m/>
    <n v="0"/>
    <m/>
    <m/>
  </r>
  <r>
    <x v="15"/>
    <s v="SPDR Gold Trust"/>
    <m/>
    <d v="2019-08-05T00:00:00"/>
    <d v="2019-08-05T00:00:00"/>
    <n v="870"/>
    <n v="138"/>
    <n v="137.85"/>
    <n v="152.69999999999999"/>
    <m/>
    <n v="120060"/>
    <n v="119929.5"/>
    <n v="-130.5"/>
    <n v="-1.0869565217391304E-3"/>
    <m/>
    <m/>
    <n v="0"/>
    <m/>
    <m/>
  </r>
  <r>
    <x v="17"/>
    <s v="ProShares UltraShort S&amp;P500"/>
    <m/>
    <d v="2019-08-05T00:00:00"/>
    <d v="2019-08-05T00:00:00"/>
    <n v="3235"/>
    <n v="31.91"/>
    <n v="32.549999999999997"/>
    <n v="22.88"/>
    <m/>
    <n v="103228.85"/>
    <n v="105299.24999999999"/>
    <n v="2070.3999999999796"/>
    <n v="2.0056408649326032E-2"/>
    <m/>
    <m/>
    <n v="0"/>
    <m/>
    <m/>
  </r>
  <r>
    <x v="13"/>
    <s v="Vanguard S&amp;P 500"/>
    <m/>
    <d v="2019-08-02T00:00:00"/>
    <d v="2019-08-02T00:00:00"/>
    <n v="860"/>
    <n v="268.60500000000002"/>
    <n v="268.3"/>
    <n v="308.43"/>
    <m/>
    <n v="231000.30000000002"/>
    <n v="230738"/>
    <n v="-262.30000000001746"/>
    <n v="-1.1354963608273126E-3"/>
    <m/>
    <m/>
    <n v="0"/>
    <m/>
    <m/>
  </r>
  <r>
    <x v="15"/>
    <s v="SPDR Gold Trust"/>
    <m/>
    <d v="2019-07-31T00:00:00"/>
    <d v="2019-08-02T00:00:00"/>
    <n v="1696"/>
    <n v="136.07"/>
    <n v="136.07"/>
    <n v="152.69999999999999"/>
    <m/>
    <n v="230774.72"/>
    <n v="230774.72"/>
    <n v="0"/>
    <n v="0"/>
    <m/>
    <m/>
    <n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B22" firstHeaderRow="1" firstDataRow="1" firstDataCol="1"/>
  <pivotFields count="19">
    <pivotField axis="axisRow" showAll="0" sortType="ascending">
      <items count="165">
        <item m="1" x="54"/>
        <item m="1" x="104"/>
        <item m="1" x="75"/>
        <item m="1" x="145"/>
        <item m="1" x="100"/>
        <item m="1" x="119"/>
        <item m="1" x="78"/>
        <item m="1" x="80"/>
        <item m="1" x="62"/>
        <item m="1" x="31"/>
        <item m="1" x="106"/>
        <item m="1" x="137"/>
        <item m="1" x="37"/>
        <item m="1" x="97"/>
        <item m="1" x="56"/>
        <item m="1" x="132"/>
        <item m="1" x="122"/>
        <item m="1" x="91"/>
        <item m="1" x="66"/>
        <item m="1" x="28"/>
        <item m="1" x="118"/>
        <item m="1" x="141"/>
        <item m="1" x="60"/>
        <item m="1" x="138"/>
        <item m="1" x="143"/>
        <item m="1" x="103"/>
        <item m="1" x="123"/>
        <item m="1" x="64"/>
        <item m="1" x="139"/>
        <item m="1" x="25"/>
        <item m="1" x="26"/>
        <item m="1" x="158"/>
        <item m="1" x="109"/>
        <item m="1" x="114"/>
        <item m="1" x="67"/>
        <item m="1" x="82"/>
        <item m="1" x="30"/>
        <item m="1" x="43"/>
        <item m="1" x="70"/>
        <item m="1" x="83"/>
        <item m="1" x="63"/>
        <item m="1" x="108"/>
        <item m="1" x="95"/>
        <item m="1" x="136"/>
        <item m="1" x="61"/>
        <item m="1" x="135"/>
        <item m="1" x="134"/>
        <item m="1" x="20"/>
        <item x="1"/>
        <item m="1" x="21"/>
        <item m="1" x="40"/>
        <item m="1" x="146"/>
        <item m="1" x="150"/>
        <item m="1" x="34"/>
        <item m="1" x="87"/>
        <item m="1" x="126"/>
        <item m="1" x="18"/>
        <item m="1" x="41"/>
        <item m="1" x="110"/>
        <item m="1" x="57"/>
        <item m="1" x="157"/>
        <item m="1" x="71"/>
        <item m="1" x="115"/>
        <item m="1" x="151"/>
        <item m="1" x="133"/>
        <item m="1" x="58"/>
        <item m="1" x="22"/>
        <item m="1" x="74"/>
        <item m="1" x="154"/>
        <item m="1" x="140"/>
        <item m="1" x="129"/>
        <item m="1" x="162"/>
        <item m="1" x="47"/>
        <item m="1" x="36"/>
        <item m="1" x="142"/>
        <item m="1" x="147"/>
        <item m="1" x="27"/>
        <item m="1" x="50"/>
        <item m="1" x="89"/>
        <item m="1" x="49"/>
        <item m="1" x="125"/>
        <item m="1" x="155"/>
        <item m="1" x="93"/>
        <item m="1" x="69"/>
        <item m="1" x="149"/>
        <item m="1" x="105"/>
        <item m="1" x="111"/>
        <item m="1" x="72"/>
        <item m="1" x="38"/>
        <item m="1" x="85"/>
        <item m="1" x="19"/>
        <item m="1" x="130"/>
        <item m="1" x="51"/>
        <item m="1" x="124"/>
        <item m="1" x="84"/>
        <item m="1" x="76"/>
        <item m="1" x="112"/>
        <item m="1" x="55"/>
        <item x="5"/>
        <item m="1" x="131"/>
        <item m="1" x="90"/>
        <item m="1" x="116"/>
        <item x="2"/>
        <item m="1" x="101"/>
        <item m="1" x="113"/>
        <item m="1" x="148"/>
        <item m="1" x="73"/>
        <item m="1" x="160"/>
        <item m="1" x="46"/>
        <item m="1" x="39"/>
        <item m="1" x="44"/>
        <item m="1" x="23"/>
        <item m="1" x="120"/>
        <item m="1" x="98"/>
        <item m="1" x="53"/>
        <item m="1" x="159"/>
        <item m="1" x="81"/>
        <item m="1" x="92"/>
        <item m="1" x="102"/>
        <item m="1" x="77"/>
        <item m="1" x="121"/>
        <item m="1" x="152"/>
        <item m="1" x="48"/>
        <item m="1" x="127"/>
        <item m="1" x="88"/>
        <item m="1" x="29"/>
        <item m="1" x="68"/>
        <item m="1" x="99"/>
        <item m="1" x="156"/>
        <item m="1" x="128"/>
        <item x="13"/>
        <item m="1" x="163"/>
        <item m="1" x="45"/>
        <item m="1" x="24"/>
        <item m="1" x="86"/>
        <item m="1" x="94"/>
        <item m="1" x="33"/>
        <item m="1" x="117"/>
        <item m="1" x="32"/>
        <item m="1" x="107"/>
        <item m="1" x="42"/>
        <item x="15"/>
        <item m="1" x="153"/>
        <item m="1" x="65"/>
        <item m="1" x="144"/>
        <item m="1" x="161"/>
        <item m="1" x="52"/>
        <item m="1" x="59"/>
        <item m="1" x="96"/>
        <item m="1" x="79"/>
        <item m="1" x="35"/>
        <item x="0"/>
        <item x="6"/>
        <item x="7"/>
        <item x="8"/>
        <item x="9"/>
        <item x="10"/>
        <item x="11"/>
        <item x="12"/>
        <item x="14"/>
        <item x="16"/>
        <item x="17"/>
        <item x="4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66" showAll="0"/>
    <pivotField showAll="0"/>
    <pivotField showAll="0"/>
    <pivotField numFmtId="164" showAll="0"/>
    <pivotField showAll="0"/>
    <pivotField numFmtId="164" showAll="0"/>
    <pivotField showAll="0"/>
    <pivotField numFmtId="164" showAll="0"/>
    <pivotField numFmtId="164" showAll="0"/>
    <pivotField numFmtId="8" showAll="0"/>
    <pivotField dataField="1" numFmtId="169" showAll="0"/>
    <pivotField showAll="0"/>
    <pivotField showAll="0"/>
    <pivotField numFmtId="164" showAll="0"/>
    <pivotField showAll="0"/>
    <pivotField showAll="0"/>
  </pivotFields>
  <rowFields count="1">
    <field x="0"/>
  </rowFields>
  <rowItems count="19">
    <i>
      <x v="98"/>
    </i>
    <i>
      <x v="162"/>
    </i>
    <i>
      <x v="159"/>
    </i>
    <i>
      <x v="102"/>
    </i>
    <i>
      <x v="158"/>
    </i>
    <i>
      <x v="157"/>
    </i>
    <i>
      <x v="151"/>
    </i>
    <i>
      <x v="156"/>
    </i>
    <i>
      <x v="160"/>
    </i>
    <i>
      <x v="153"/>
    </i>
    <i>
      <x v="130"/>
    </i>
    <i>
      <x v="141"/>
    </i>
    <i>
      <x v="155"/>
    </i>
    <i>
      <x v="48"/>
    </i>
    <i>
      <x v="154"/>
    </i>
    <i>
      <x v="161"/>
    </i>
    <i>
      <x v="152"/>
    </i>
    <i>
      <x v="163"/>
    </i>
    <i t="grand">
      <x/>
    </i>
  </rowItems>
  <colItems count="1">
    <i/>
  </colItems>
  <dataFields count="1">
    <dataField name="Average of Gain/Loss %" fld="13" subtotal="average" baseField="0" baseItem="21" numFmtId="168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nada All #1_Export" connectionId="1" xr16:uid="{00000000-0016-0000-0800-000001000000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00000000-0016-0000-0900-000002000000}" autoFormatId="16" applyNumberFormats="0" applyBorderFormats="0" applyFontFormats="0" applyPatternFormats="0" applyAlignmentFormats="0" applyWidthHeightFormats="0">
  <queryTableRefresh nextId="5">
    <queryTableFields count="4">
      <queryTableField id="1" name="Ticker" tableColumnId="1"/>
      <queryTableField id="2" name="Date" tableColumnId="2"/>
      <queryTableField id="3" name="Type" tableColumnId="3"/>
      <queryTableField id="4" name="Metric" tableColumnId="4"/>
    </queryTableFields>
  </queryTableRefresh>
  <extLst>
    <ext xmlns:x15="http://schemas.microsoft.com/office/spreadsheetml/2010/11/main" uri="{883FBD77-0823-4a55-B5E3-86C4891E6966}">
      <x15:queryTable sourceDataName="Query - GrowthCurves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00000000-0016-0000-0900-000003000000}" autoFormatId="16" applyNumberFormats="0" applyBorderFormats="0" applyFontFormats="0" applyPatternFormats="0" applyAlignmentFormats="0" applyWidthHeightFormats="0">
  <queryTableRefresh nextId="5">
    <queryTableFields count="4">
      <queryTableField id="1" name="Symbol" tableColumnId="5"/>
      <queryTableField id="2" name="Name" tableColumnId="2"/>
      <queryTableField id="3" name="Date Position Closed" tableColumnId="3"/>
      <queryTableField id="4" name="Shares Held" tableColumnId="4"/>
    </queryTableFields>
  </queryTableRefresh>
</queryTable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USD_Holdings" displayName="USD_Holdings" ref="B4:R100" totalsRowCount="1" headerRowDxfId="167" dataDxfId="166" totalsRowDxfId="165">
  <autoFilter ref="B4:R99" xr:uid="{00000000-0009-0000-0100-000001000000}">
    <filterColumn colId="4">
      <filters blank="1"/>
    </filterColumn>
  </autoFilter>
  <sortState xmlns:xlrd2="http://schemas.microsoft.com/office/spreadsheetml/2017/richdata2" ref="B26:R39">
    <sortCondition descending="1" ref="E4:E99"/>
  </sortState>
  <tableColumns count="17">
    <tableColumn id="1" xr3:uid="{00000000-0010-0000-0000-000001000000}" name="Symbol" totalsRowLabel="Count:" dataDxfId="164" totalsRowDxfId="163"/>
    <tableColumn id="2" xr3:uid="{00000000-0010-0000-0000-000002000000}" name="Name" totalsRowFunction="count" dataDxfId="162" totalsRowDxfId="161">
      <calculatedColumnFormula>_xll.TheSymbol(USD_Holdings[[#This Row],[Symbol]])</calculatedColumnFormula>
    </tableColumn>
    <tableColumn id="11" xr3:uid="{E970FE01-866D-4F11-88A4-A00C54B5570E}" name="Account" dataDxfId="160" totalsRowDxfId="159" dataCellStyle="Normal 2"/>
    <tableColumn id="8" xr3:uid="{00000000-0010-0000-0000-000008000000}" name="Date Position Opened" dataDxfId="158" totalsRowDxfId="157" dataCellStyle="Hyperlink"/>
    <tableColumn id="10" xr3:uid="{00000000-0010-0000-0000-00000A000000}" name="Date Position Closed" dataDxfId="156" totalsRowDxfId="155" dataCellStyle="Hyperlink"/>
    <tableColumn id="5" xr3:uid="{00000000-0010-0000-0000-000005000000}" name="Shares Held" dataDxfId="154" totalsRowDxfId="153"/>
    <tableColumn id="6" xr3:uid="{00000000-0010-0000-0000-000006000000}" name="Purchase Price" dataDxfId="152" totalsRowDxfId="151"/>
    <tableColumn id="9" xr3:uid="{00000000-0010-0000-0000-000009000000}" name="Sale Price" dataDxfId="150" totalsRowDxfId="149"/>
    <tableColumn id="7" xr3:uid="{9F1BD548-5A80-4790-935B-E2C3E90A8645}" name="Ask" dataDxfId="148" totalsRowDxfId="147" dataCellStyle="Normal 2">
      <calculatedColumnFormula>_xll.Ask(USD_Holdings[[#This Row],[Symbol]])</calculatedColumnFormula>
    </tableColumn>
    <tableColumn id="12" xr3:uid="{4411DE74-8F3A-4C75-8E32-21239EC42F4F}" name="Dividends" dataDxfId="146" totalsRowDxfId="145" dataCellStyle="Normal 2"/>
    <tableColumn id="4" xr3:uid="{00000000-0010-0000-0000-000004000000}" name="Book value" dataDxfId="144" totalsRowDxfId="143" dataCellStyle="Normal 2">
      <calculatedColumnFormula>USD_Holdings[[#This Row],[Shares Held]]*USD_Holdings[[#This Row],[Purchase Price]]</calculatedColumnFormula>
    </tableColumn>
    <tableColumn id="3" xr3:uid="{00000000-0010-0000-0000-000003000000}" name="Adjusted Value" dataDxfId="142" totalsRowDxfId="141" dataCellStyle="Normal 2">
      <calculatedColumnFormula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calculatedColumnFormula>
    </tableColumn>
    <tableColumn id="13" xr3:uid="{00000000-0010-0000-0000-00000D000000}" name="Gain/Loss $" dataDxfId="140" totalsRowDxfId="139" dataCellStyle="Normal 2">
      <calculatedColumnFormula>USD_Holdings[[#This Row],[Adjusted Value]]-USD_Holdings[[#This Row],[Book value]]</calculatedColumnFormula>
    </tableColumn>
    <tableColumn id="14" xr3:uid="{00000000-0010-0000-0000-00000E000000}" name="Gain/Loss %" dataDxfId="138" totalsRowDxfId="137" dataCellStyle="Normal 2">
      <calculatedColumnFormula>USD_Holdings[[#This Row],[Gain/Loss $]]/USD_Holdings[[#This Row],[Book value]]</calculatedColumnFormula>
    </tableColumn>
    <tableColumn id="17" xr3:uid="{0912C4B8-CB66-4940-8096-69A74B268B16}" name="Stop Target" dataDxfId="136" totalsRowDxfId="135" dataCellStyle="Normal 2"/>
    <tableColumn id="15" xr3:uid="{0F5569D7-3119-4748-9CEB-E2ECDEAC13B9}" name="Stop price" dataDxfId="134" totalsRowDxfId="133" dataCellStyle="Normal 2">
      <calculatedColumnFormula>USD_Holdings[[#This Row],[Purchase Price]]*(1+USD_Holdings[[#This Row],[Stop Target]])</calculatedColumnFormula>
    </tableColumn>
    <tableColumn id="16" xr3:uid="{00000000-0010-0000-0000-000010000000}" name="Notes" dataDxfId="132" totalsRowDxfId="131"/>
  </tableColumns>
  <tableStyleInfo name="Simp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Companies" displayName="Companies" ref="B4:Q331" totalsRowCount="1" headerRowDxfId="120" dataDxfId="119">
  <autoFilter ref="B4:Q330" xr:uid="{00000000-0009-0000-0100-000007000000}"/>
  <sortState xmlns:xlrd2="http://schemas.microsoft.com/office/spreadsheetml/2017/richdata2" ref="B5:Q330">
    <sortCondition ref="B4:B330"/>
  </sortState>
  <tableColumns count="16">
    <tableColumn id="1" xr3:uid="{00000000-0010-0000-0200-000001000000}" name="Symbol" totalsRowLabel="Total" dataDxfId="118" totalsRowDxfId="117" dataCellStyle="Normal 2"/>
    <tableColumn id="2" xr3:uid="{00000000-0010-0000-0200-000002000000}" name="Name" totalsRowFunction="count" dataDxfId="116" totalsRowDxfId="115" dataCellStyle="Normal 2"/>
    <tableColumn id="18" xr3:uid="{00000000-0010-0000-0200-000012000000}" name="Market Cap (Mil)" dataDxfId="114" totalsRowDxfId="113" dataCellStyle="Normal 2">
      <calculatedColumnFormula>VLOOKUP(Companies[[#This Row],[Symbol]],Morningstar,MATCH("mil$ Market Cap",Morningstar_Cols,0),0)</calculatedColumnFormula>
    </tableColumn>
    <tableColumn id="6" xr3:uid="{00000000-0010-0000-0200-000006000000}" name="3 Mo. Ret." dataDxfId="112" totalsRowDxfId="111" dataCellStyle="Percent">
      <calculatedColumnFormula>VLOOKUP(Companies[[#This Row],[Symbol]],Morningstar,MATCH("% Total Return 3 Month",Morningstar_Cols,EXACT_MATCH),EXACT_MATCH)/100</calculatedColumnFormula>
    </tableColumn>
    <tableColumn id="5" xr3:uid="{00000000-0010-0000-0200-000005000000}" name="12 Mo. Ret." dataDxfId="110" totalsRowDxfId="109" dataCellStyle="Percent">
      <calculatedColumnFormula>VLOOKUP(Companies[[#This Row],[Symbol]],Morningstar,MATCH("% Total Return 12 Month",Morningstar_Cols,EXACT_MATCH),EXACT_MATCH)/100</calculatedColumnFormula>
    </tableColumn>
    <tableColumn id="7" xr3:uid="{00000000-0010-0000-0200-000007000000}" name="PSR" dataDxfId="108" totalsRowDxfId="107" dataCellStyle="Percent">
      <calculatedColumnFormula>VLOOKUP(Companies[[#This Row],[Symbol]],Morningstar,MATCH("Price/Sales",Morningstar_Cols,EXACT_MATCH),EXACT_MATCH)</calculatedColumnFormula>
    </tableColumn>
    <tableColumn id="13" xr3:uid="{00000000-0010-0000-0200-00000D000000}" name="PFV" dataDxfId="106" totalsRowDxfId="105" dataCellStyle="Percent">
      <calculatedColumnFormula>VLOOKUP(Companies[[#This Row],[Symbol]],Morningstar,MATCH("Price/Fair Value",Morningstar_Cols,EXACT_MATCH),EXACT_MATCH)</calculatedColumnFormula>
    </tableColumn>
    <tableColumn id="20" xr3:uid="{00000000-0010-0000-0200-000014000000}" name="Financial Health" dataDxfId="104" totalsRowDxfId="103" dataCellStyle="Percent">
      <calculatedColumnFormula>IF(VLOOKUP(Companies[[#This Row],[Symbol]],Morningstar,MATCH("Financial Health Grade",Morningstar_Cols,EXACT_MATCH),EXACT_MATCH)&lt;&gt;0,VLOOKUP(Companies[[#This Row],[Symbol]],Morningstar,MATCH("Financial Health Grade",Morningstar_Cols,EXACT_MATCH),EXACT_MATCH),"")</calculatedColumnFormula>
    </tableColumn>
    <tableColumn id="10" xr3:uid="{00000000-0010-0000-0200-00000A000000}" name="Div. Yield TTM" dataDxfId="102" totalsRowDxfId="101" dataCellStyle="Percent">
      <calculatedColumnFormula>VLOOKUP(Companies[[#This Row],[Symbol]],Morningstar,MATCH("% Dividend Yield TTM",Morningstar_Cols,EXACT_MATCH),EXACT_MATCH)/100</calculatedColumnFormula>
    </tableColumn>
    <tableColumn id="16" xr3:uid="{00000000-0010-0000-0200-000010000000}" name="Growth Curve" dataDxfId="100" totalsRowDxfId="99" dataCellStyle="Percent">
      <calculatedColumnFormula>IFERROR(LOOKUP(2,1/(GrowthCurves[Ticker]=Companies[[#This Row],[Symbol]]),GrowthCurves[Metric]),"")</calculatedColumnFormula>
    </tableColumn>
    <tableColumn id="12" xr3:uid="{00000000-0010-0000-0200-00000C000000}" name="Rating" dataDxfId="98" totalsRowDxfId="97" dataCellStyle="Normal 2">
      <calculatedColumnFormula>RatingDefault+SUM(Companies[[#This Row],[CurvePoints]:[PFVPoints]])</calculatedColumnFormula>
    </tableColumn>
    <tableColumn id="3" xr3:uid="{5DFF5636-8790-4382-BF31-FB643D52F243}" name="Owned?" dataDxfId="96" totalsRowDxfId="95" dataCellStyle="Normal 2"/>
    <tableColumn id="9" xr3:uid="{00000000-0010-0000-0200-000009000000}" name="CurvePoints" dataDxfId="94" totalsRowDxfId="93">
      <calculatedColumnFormula>IF(Companies[[#This Row],[Growth Curve]]&lt;&gt;"",Companies[[#This Row],[Growth Curve]]-3,0)</calculatedColumnFormula>
    </tableColumn>
    <tableColumn id="14" xr3:uid="{00000000-0010-0000-0200-00000E000000}" name="PSRPoints" dataDxfId="92" totalsRowDxfId="91">
      <calculatedColumnFormula>IF(Companies[[#This Row],[PSR]]&gt;2,-1,IF(Companies[[#This Row],[PSR]]&lt;1,1,0))</calculatedColumnFormula>
    </tableColumn>
    <tableColumn id="21" xr3:uid="{00000000-0010-0000-0200-000015000000}" name="FHPoints" dataDxfId="90" totalsRowDxfId="89">
      <calculatedColumnFormula>IF(Companies[[#This Row],[Financial Health]]&lt;&gt;"",IF(Companies[[#This Row],[Financial Health]]="F",-2,IF(Companies[[#This Row],[Financial Health]]&gt;"C",-1,IF(Companies[[#This Row],[Financial Health]]&lt;"C",1,0))),-1)</calculatedColumnFormula>
    </tableColumn>
    <tableColumn id="4" xr3:uid="{00000000-0010-0000-0200-000004000000}" name="PFVPoints" totalsRowFunction="sum" dataDxfId="88" totalsRowDxfId="87">
      <calculatedColumnFormula>IF(Companies[[#This Row],[PFV]]&lt;0.75,2,IF(Companies[[#This Row],[PFV]]&lt;0.95,1,IF(Companies[[#This Row],[PFV]]&gt;1.25,-2,IF(Companies[[#This Row],[PFV]]&gt;1.15,-1,0))))</calculatedColumnFormula>
    </tableColumn>
  </tableColumns>
  <tableStyleInfo name="Simp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3000000}" name="Companies_CAD" displayName="Companies_CAD" ref="B4:U130" totalsRowCount="1" headerRowDxfId="80" dataDxfId="79">
  <autoFilter ref="B4:U129" xr:uid="{00000000-0009-0000-0100-00000D000000}"/>
  <sortState xmlns:xlrd2="http://schemas.microsoft.com/office/spreadsheetml/2017/richdata2" ref="B5:U129">
    <sortCondition ref="B4:B129"/>
  </sortState>
  <tableColumns count="20">
    <tableColumn id="1" xr3:uid="{00000000-0010-0000-0300-000001000000}" name="Symbol" totalsRowLabel="Total" dataDxfId="78" totalsRowDxfId="77" dataCellStyle="Normal 2"/>
    <tableColumn id="2" xr3:uid="{00000000-0010-0000-0300-000002000000}" name="Name" totalsRowFunction="count" dataDxfId="76" totalsRowDxfId="75" dataCellStyle="Normal 2"/>
    <tableColumn id="25" xr3:uid="{00000000-0010-0000-0300-000019000000}" name="Last Close" dataDxfId="74" totalsRowDxfId="73" dataCellStyle="Normal 2">
      <calculatedColumnFormula>VLOOKUP(Companies_CAD[[#This Row],[Symbol]],ColStart:ColEnd,MATCH("$ Current Price",Morningstar_Cols,0),0)</calculatedColumnFormula>
    </tableColumn>
    <tableColumn id="8" xr3:uid="{00000000-0010-0000-0300-000008000000}" name="$ Change" dataDxfId="72" totalsRowDxfId="71" dataCellStyle="Normal 2">
      <calculatedColumnFormula>VLOOKUP(Companies_CAD[[#This Row],[Symbol]],ColStart_CAD:ColEnd_CAD,MATCH("$ Change",Morningstar_Cols_CAD,EXACT_MATCH),EXACT_MATCH)</calculatedColumnFormula>
    </tableColumn>
    <tableColumn id="11" xr3:uid="{00000000-0010-0000-0300-00000B000000}" name="% Change" dataDxfId="70" totalsRowDxfId="69" dataCellStyle="Normal 2">
      <calculatedColumnFormula>IF(Companies_CAD[[#This Row],[$ Change]]&lt;&gt;0,Companies_CAD[[#This Row],[$ Change]]/(Companies_CAD[[#This Row],[Last Close]]-Companies_CAD[[#This Row],[$ Change]]),0)</calculatedColumnFormula>
    </tableColumn>
    <tableColumn id="3" xr3:uid="{00000000-0010-0000-0300-000003000000}" name="Industry" dataDxfId="68" totalsRowDxfId="67" dataCellStyle="Normal 2">
      <calculatedColumnFormula>VLOOKUP(Companies_CAD[[#This Row],[Symbol]],ColStart_CAD:ColEnd_CAD,MATCH("Industry Group",Morningstar_Cols_CAD,EXACT_MATCH),EXACT_MATCH)</calculatedColumnFormula>
    </tableColumn>
    <tableColumn id="18" xr3:uid="{00000000-0010-0000-0300-000012000000}" name="Market Cap (Mil)" dataDxfId="66" totalsRowDxfId="65" dataCellStyle="Normal 2">
      <calculatedColumnFormula>VLOOKUP(Companies_CAD[[#This Row],[Symbol]],ColStart_CAD:ColEnd_CAD,MATCH("mil$ Market Cap",Morningstar_Cols_CAD,EXACT_MATCH),EXACT_MATCH)</calculatedColumnFormula>
    </tableColumn>
    <tableColumn id="6" xr3:uid="{00000000-0010-0000-0300-000006000000}" name="3 Mo. Ret." dataDxfId="64" totalsRowDxfId="63" dataCellStyle="Percent">
      <calculatedColumnFormula>VLOOKUP(Companies_CAD[[#This Row],[Symbol]],Morningstar!B3:I26,MATCH("%  Total Return 3 Month",Morningstar_Cols,0))/100</calculatedColumnFormula>
    </tableColumn>
    <tableColumn id="5" xr3:uid="{00000000-0010-0000-0300-000005000000}" name="12 Mo. Ret." dataDxfId="62" totalsRowDxfId="61" dataCellStyle="Percent">
      <calculatedColumnFormula>VLOOKUP(Companies_CAD[[#This Row],[Symbol]],Morningstar!B3:I26,MATCH("%  Total Return 12 Month",Morningstar_Cols,0))/100</calculatedColumnFormula>
    </tableColumn>
    <tableColumn id="7" xr3:uid="{00000000-0010-0000-0300-000007000000}" name="PSR" dataDxfId="60" totalsRowDxfId="59" dataCellStyle="Percent">
      <calculatedColumnFormula>VLOOKUP(Companies_CAD[[#This Row],[Symbol]],ColStart_CAD:ColEnd_CAD,MATCH("Price/ Sales",Morningstar_Cols_CAD,EXACT_MATCH),EXACT_MATCH)</calculatedColumnFormula>
    </tableColumn>
    <tableColumn id="13" xr3:uid="{00000000-0010-0000-0300-00000D000000}" name="PFV" dataDxfId="58" totalsRowDxfId="57" dataCellStyle="Percent">
      <calculatedColumnFormula>VLOOKUP(Companies_CAD[[#This Row],[Symbol]],ColStart:ColEnd,MATCH("Price/ Fair Value",Morningstar_Cols,0),0)</calculatedColumnFormula>
    </tableColumn>
    <tableColumn id="20" xr3:uid="{00000000-0010-0000-0300-000014000000}" name="Financial Health" dataDxfId="56" totalsRowDxfId="55" dataCellStyle="Percent">
      <calculatedColumnFormula>VLOOKUP(Companies_CAD[[#This Row],[Symbol]],ColStart:ColEnd,MATCH("Financial  Health Grade",Morningstar_Cols,0),0)</calculatedColumnFormula>
    </tableColumn>
    <tableColumn id="15" xr3:uid="{00000000-0010-0000-0300-00000F000000}" name="Div. Yield TTM" dataDxfId="54" totalsRowDxfId="53" dataCellStyle="Percent">
      <calculatedColumnFormula>VLOOKUP(Companies_CAD[[#This Row],[Symbol]],ColStart_CAD:ColEnd_CAD,MATCH("% Dividend Yield TTM",Morningstar_Cols_CAD,EXACT_MATCH),EXACT_MATCH)/100</calculatedColumnFormula>
    </tableColumn>
    <tableColumn id="12" xr3:uid="{00000000-0010-0000-0300-00000C000000}" name="Rating" dataDxfId="52" totalsRowDxfId="51" dataCellStyle="Normal 2">
      <calculatedColumnFormula>RatingDefault+SUM(Companies_CAD[[#This Row],[3MoPoints]:[PFVPoints]])</calculatedColumnFormula>
    </tableColumn>
    <tableColumn id="17" xr3:uid="{00000000-0010-0000-0300-000011000000}" name="Analysis" dataDxfId="50" totalsRowDxfId="49" dataCellStyle="Normal 2">
      <calculatedColumnFormula>IF(Companies_CAD[[#This Row],[Rating]]&gt;6,"Strong Buy",IF(Companies_CAD[[#This Row],[Rating]]=6,"Buy",IF(Companies_CAD[[#This Row],[Rating]]=5,"Monitor",IF(Companies_CAD[[#This Row],[Rating]]=4,"Prospect","Avoid"))))</calculatedColumnFormula>
    </tableColumn>
    <tableColumn id="9" xr3:uid="{00000000-0010-0000-0300-000009000000}" name="3MoPoints" totalsRowDxfId="48">
      <calculatedColumnFormula>IF(Companies_CAD[[#This Row],[3 Mo. Ret.]]&gt;Return3Mo_Grn,1,IF(Companies_CAD[[#This Row],[3 Mo. Ret.]]&lt;Return3Mo_Red,-1,0))</calculatedColumnFormula>
    </tableColumn>
    <tableColumn id="10" xr3:uid="{00000000-0010-0000-0300-00000A000000}" name="12MoPoints" totalsRowDxfId="47">
      <calculatedColumnFormula>IF(Companies_CAD[[#This Row],[12 Mo. Ret.]]&gt;Return12Mo_Grn,1,IF(Companies_CAD[[#This Row],[12 Mo. Ret.]]&lt;Return12Mo_Red,-1,0))</calculatedColumnFormula>
    </tableColumn>
    <tableColumn id="14" xr3:uid="{00000000-0010-0000-0300-00000E000000}" name="PSRPoints" dataDxfId="46" totalsRowDxfId="45">
      <calculatedColumnFormula>IF(Companies_CAD[[#This Row],[PSR]]&lt;PSR_Green,1,IF(Companies_CAD[[#This Row],[PSR]]&gt;PSR_Red,-1,0))</calculatedColumnFormula>
    </tableColumn>
    <tableColumn id="21" xr3:uid="{00000000-0010-0000-0300-000015000000}" name="FHPoints" totalsRowDxfId="44">
      <calculatedColumnFormula>IF(Companies_CAD[[#This Row],[Financial Health]]&lt;"C",1,IF(Companies_CAD[[#This Row],[Financial Health]]&gt;"C",-1,0))</calculatedColumnFormula>
    </tableColumn>
    <tableColumn id="4" xr3:uid="{00000000-0010-0000-0300-000004000000}" name="PFVPoints" totalsRowFunction="sum" totalsRowDxfId="43">
      <calculatedColumnFormula>IF(Companies_CAD[[#This Row],[PFV]]&lt;PFV_Green,1,IF(Companies_CAD[[#This Row],[PFV]]&gt;PFV_Red,-1,0))</calculatedColumnFormula>
    </tableColumn>
  </tableColumns>
  <tableStyleInfo name="Simp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Journal" displayName="Journal" ref="B4:G519" totalsRowShown="0" headerRowDxfId="42" dataDxfId="41">
  <autoFilter ref="B4:G519" xr:uid="{00000000-0009-0000-0100-000008000000}"/>
  <sortState xmlns:xlrd2="http://schemas.microsoft.com/office/spreadsheetml/2017/richdata2" ref="B5:G519">
    <sortCondition ref="C4:C519"/>
  </sortState>
  <tableColumns count="6">
    <tableColumn id="1" xr3:uid="{00000000-0010-0000-0400-000001000000}" name="Ticker" dataDxfId="40"/>
    <tableColumn id="2" xr3:uid="{00000000-0010-0000-0400-000002000000}" name="Date" dataDxfId="39"/>
    <tableColumn id="5" xr3:uid="{00000000-0010-0000-0400-000005000000}" name="Type" dataDxfId="38"/>
    <tableColumn id="6" xr3:uid="{00000000-0010-0000-0400-000006000000}" name="Metric" dataDxfId="37"/>
    <tableColumn id="3" xr3:uid="{00000000-0010-0000-0400-000003000000}" name="News" dataDxfId="36"/>
    <tableColumn id="4" xr3:uid="{00000000-0010-0000-0400-000004000000}" name="Link" dataDxfId="35" dataCellStyle="Hyperlink"/>
  </tableColumns>
  <tableStyleInfo name="Simp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5000000}" name="Accounts" displayName="Accounts" ref="B27:D35" totalsRowShown="0" headerRowDxfId="34" dataDxfId="33">
  <autoFilter ref="B27:D35" xr:uid="{00000000-0009-0000-0100-000002000000}"/>
  <sortState xmlns:xlrd2="http://schemas.microsoft.com/office/spreadsheetml/2017/richdata2" ref="B28:C35">
    <sortCondition ref="B27:B35"/>
  </sortState>
  <tableColumns count="3">
    <tableColumn id="1" xr3:uid="{00000000-0010-0000-0500-000001000000}" name="Account" dataDxfId="32"/>
    <tableColumn id="2" xr3:uid="{00000000-0010-0000-0500-000002000000}" name="Short name" dataDxfId="31"/>
    <tableColumn id="3" xr3:uid="{00000000-0010-0000-0500-000003000000}" name="Open Date" dataDxfId="30"/>
  </tableColumns>
  <tableStyleInfo name="Simp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8000000}" name="News_Types" displayName="News_Types" ref="B95:B121" totalsRowShown="0" headerRowDxfId="29" dataDxfId="28">
  <autoFilter ref="B95:B121" xr:uid="{00000000-0009-0000-0100-000018000000}"/>
  <sortState xmlns:xlrd2="http://schemas.microsoft.com/office/spreadsheetml/2017/richdata2" ref="B96:B121">
    <sortCondition ref="B95:B121"/>
  </sortState>
  <tableColumns count="1">
    <tableColumn id="1" xr3:uid="{00000000-0010-0000-0800-000001000000}" name="Description" dataDxfId="27"/>
  </tableColumns>
  <tableStyleInfo name="Simp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9000000}" name="Table16" displayName="Table16" ref="B125:B134" totalsRowShown="0" headerRowDxfId="26" dataDxfId="25">
  <autoFilter ref="B125:B134" xr:uid="{00000000-0009-0000-0100-000010000000}"/>
  <tableColumns count="1">
    <tableColumn id="1" xr3:uid="{00000000-0010-0000-0900-000001000000}" name="Type" dataDxfId="24"/>
  </tableColumns>
  <tableStyleInfo name="Simp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A000000}" name="Table3" displayName="Table3" ref="B39:I91" totalsRowShown="0" headerRowDxfId="23" dataDxfId="22" headerRowCellStyle="Normal 2" dataCellStyle="Percent">
  <autoFilter ref="B39:I91" xr:uid="{00000000-0009-0000-0100-000003000000}">
    <filterColumn colId="4">
      <filters>
        <filter val="USD"/>
      </filters>
    </filterColumn>
  </autoFilter>
  <sortState xmlns:xlrd2="http://schemas.microsoft.com/office/spreadsheetml/2017/richdata2" ref="B40:I91">
    <sortCondition ref="B39:B91"/>
  </sortState>
  <tableColumns count="8">
    <tableColumn id="1" xr3:uid="{00000000-0010-0000-0A00-000001000000}" name="Symbol" dataDxfId="21" dataCellStyle="Normal 2"/>
    <tableColumn id="2" xr3:uid="{00000000-0010-0000-0A00-000002000000}" name="Name" dataDxfId="20" dataCellStyle="Normal 2"/>
    <tableColumn id="3" xr3:uid="{00000000-0010-0000-0A00-000003000000}" name="Column1" dataDxfId="19" dataCellStyle="Normal 2"/>
    <tableColumn id="4" xr3:uid="{00000000-0010-0000-0A00-000004000000}" name="Column2" dataDxfId="18" dataCellStyle="Normal 2"/>
    <tableColumn id="5" xr3:uid="{00000000-0010-0000-0A00-000005000000}" name="Currency" dataDxfId="17" dataCellStyle="Normal 2"/>
    <tableColumn id="6" xr3:uid="{00000000-0010-0000-0A00-000006000000}" name="Expenses" dataDxfId="16" dataCellStyle="Percent"/>
    <tableColumn id="7" xr3:uid="{00000000-0010-0000-0A00-000007000000}" name="Type" dataDxfId="15" dataCellStyle="Normal 2"/>
    <tableColumn id="8" xr3:uid="{2C675252-464F-4978-9F86-E53227093524}" name="Asset class" dataDxfId="14" dataCellStyle="Percent"/>
  </tableColumns>
  <tableStyleInfo name="Simp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F19D0BB-6AFF-455E-B284-ED17B4013DB2}" name="Table4" displayName="Table4" ref="B2:L346" totalsRowShown="0" headerRowDxfId="13">
  <autoFilter ref="B2:L346" xr:uid="{E86D2D83-5E05-4E72-BFD9-3574DE555A94}"/>
  <sortState xmlns:xlrd2="http://schemas.microsoft.com/office/spreadsheetml/2017/richdata2" ref="B3:L346">
    <sortCondition ref="B2:B346"/>
  </sortState>
  <tableColumns count="11">
    <tableColumn id="1" xr3:uid="{F580C87B-AAEB-4FFB-BBF3-8586674A2BB2}" name="Ticker" dataDxfId="12"/>
    <tableColumn id="2" xr3:uid="{01D7B0EF-06AC-4F55-A966-CAAA7C43F77E}" name="Name" dataDxfId="11"/>
    <tableColumn id="3" xr3:uid="{F76F07FC-1CDB-49E6-A4B2-56D86F9835E7}" name="$ Current Price"/>
    <tableColumn id="4" xr3:uid="{AD0AD032-D0D7-4019-82FA-C2FB34CED164}" name="$ Change" dataDxfId="10"/>
    <tableColumn id="5" xr3:uid="{5BE4D6E8-8E21-4526-A5A5-B87677588383}" name="mil$ Market Cap" dataDxfId="9"/>
    <tableColumn id="6" xr3:uid="{D3B023E3-C778-474B-8C9F-8151DD2949D1}" name="% Total Return 3 Month" dataDxfId="8"/>
    <tableColumn id="7" xr3:uid="{3CAAC8C1-2A3A-46AD-BF02-71980200AC21}" name="% Total Return 12 Month"/>
    <tableColumn id="8" xr3:uid="{1CDD0DD8-5263-437C-8E83-77AAE817B453}" name="Price/Sales" dataDxfId="7"/>
    <tableColumn id="9" xr3:uid="{812996C9-639E-47EC-992B-1DE0DBB6EAAE}" name="Price/Fair Value" dataDxfId="6"/>
    <tableColumn id="10" xr3:uid="{D666B93E-677A-449E-A7DA-E9527214E556}" name="Financial Health Grade" dataDxfId="5"/>
    <tableColumn id="11" xr3:uid="{47B415AC-5836-4EE0-85B4-77E7052BFF94}" name="% Dividend Yield TTM" dataDxfId="4"/>
  </tableColumns>
  <tableStyleInfo name="Simpl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B000000}" name="GrowthCurves" displayName="GrowthCurves" ref="A1:D205" tableType="queryTable" totalsRowShown="0">
  <autoFilter ref="A1:D205" xr:uid="{00000000-0009-0000-0100-00000F000000}"/>
  <tableColumns count="4">
    <tableColumn id="1" xr3:uid="{00000000-0010-0000-0B00-000001000000}" uniqueName="1" name="Ticker" queryTableFieldId="1"/>
    <tableColumn id="2" xr3:uid="{00000000-0010-0000-0B00-000002000000}" uniqueName="2" name="Date" queryTableFieldId="2"/>
    <tableColumn id="3" xr3:uid="{00000000-0010-0000-0B00-000003000000}" uniqueName="3" name="Type" queryTableFieldId="3"/>
    <tableColumn id="4" xr3:uid="{00000000-0010-0000-0B00-000004000000}" uniqueName="4" name="Metric" queryTableFieldId="4"/>
  </tableColumns>
  <tableStyleInfo name="Simp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C000000}" name="CurrentHoldings" displayName="CurrentHoldings" ref="F1:I7" tableType="queryTable" totalsRowShown="0">
  <autoFilter ref="F1:I7" xr:uid="{00000000-0009-0000-0100-00000B000000}"/>
  <tableColumns count="4">
    <tableColumn id="5" xr3:uid="{00000000-0010-0000-0C00-000005000000}" uniqueName="5" name="Symbol" queryTableFieldId="1" dataDxfId="3"/>
    <tableColumn id="2" xr3:uid="{00000000-0010-0000-0C00-000002000000}" uniqueName="2" name="Name" queryTableFieldId="2" dataDxfId="2"/>
    <tableColumn id="3" xr3:uid="{00000000-0010-0000-0C00-000003000000}" uniqueName="3" name="Date Position Closed" queryTableFieldId="3" dataDxfId="1"/>
    <tableColumn id="4" xr3:uid="{00000000-0010-0000-0C00-000004000000}" uniqueName="4" name="Shares Held" queryTableFieldId="4" dataDxfId="0"/>
  </tableColumns>
  <tableStyleInfo name="Simp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orningstar.com/articles/962025/8-compelling-stocks" TargetMode="External"/><Relationship Id="rId13" Type="http://schemas.openxmlformats.org/officeDocument/2006/relationships/hyperlink" Target="https://www.morningstar.com/articles/962025/8-compelling-stocks" TargetMode="External"/><Relationship Id="rId3" Type="http://schemas.openxmlformats.org/officeDocument/2006/relationships/hyperlink" Target="https://www.morningstar.com/articles/961514/33-undervalued-stocks-for-2020" TargetMode="External"/><Relationship Id="rId7" Type="http://schemas.openxmlformats.org/officeDocument/2006/relationships/hyperlink" Target="https://www.morningstar.com/articles/962025/8-compelling-stocks" TargetMode="External"/><Relationship Id="rId12" Type="http://schemas.openxmlformats.org/officeDocument/2006/relationships/hyperlink" Target="https://www.morningstar.com/articles/962025/8-compelling-stocks" TargetMode="External"/><Relationship Id="rId2" Type="http://schemas.openxmlformats.org/officeDocument/2006/relationships/hyperlink" Target="https://www.bloomberg.com/news/articles/2019-08-08/companies-use-borrowed-billions-to-buy-back-stock-not-to-invest?te=1&amp;nl=dealbook&amp;emc=edit_dk_20190809?campaign_id=4&amp;instance_id=11517&amp;segment_id=16011&amp;user_id=df76e39b4b5a7f02b0ac32206323e186&amp;regi_id=7853931920190809" TargetMode="External"/><Relationship Id="rId16" Type="http://schemas.openxmlformats.org/officeDocument/2006/relationships/table" Target="../tables/table4.xml"/><Relationship Id="rId1" Type="http://schemas.openxmlformats.org/officeDocument/2006/relationships/hyperlink" Target="https://www.morningstar.com/news/globe-news-wire/GNW_7321443/overstockcom-blockchain-subsidiary-tzero-signs-letter-of-intent-with-gsr-capital-for-security-token-investment-of-160-million.html" TargetMode="External"/><Relationship Id="rId6" Type="http://schemas.openxmlformats.org/officeDocument/2006/relationships/hyperlink" Target="https://www.morningstar.com/articles/962025/8-compelling-stocks" TargetMode="External"/><Relationship Id="rId11" Type="http://schemas.openxmlformats.org/officeDocument/2006/relationships/hyperlink" Target="https://www.morningstar.com/articles/962025/8-compelling-stocks" TargetMode="External"/><Relationship Id="rId5" Type="http://schemas.openxmlformats.org/officeDocument/2006/relationships/hyperlink" Target="https://www.morningstar.com/articles/961514/33-undervalued-stocks-for-2020" TargetMode="External"/><Relationship Id="rId15" Type="http://schemas.openxmlformats.org/officeDocument/2006/relationships/printerSettings" Target="../printerSettings/printerSettings4.bin"/><Relationship Id="rId10" Type="http://schemas.openxmlformats.org/officeDocument/2006/relationships/hyperlink" Target="https://www.morningstar.com/articles/962025/8-compelling-stocks" TargetMode="External"/><Relationship Id="rId4" Type="http://schemas.openxmlformats.org/officeDocument/2006/relationships/hyperlink" Target="https://www.morningstar.com/articles/961514/33-undervalued-stocks-for-2020" TargetMode="External"/><Relationship Id="rId9" Type="http://schemas.openxmlformats.org/officeDocument/2006/relationships/hyperlink" Target="https://www.morningstar.com/articles/962025/8-compelling-stocks" TargetMode="External"/><Relationship Id="rId14" Type="http://schemas.openxmlformats.org/officeDocument/2006/relationships/hyperlink" Target="https://www.morningstar.com/articles/962059/kraft-heinz-looking-to-recapture-its-recipe-for-success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F2653-1F30-4DCC-9488-B2836B0D0935}">
  <sheetPr codeName="Sheet1">
    <tabColor rgb="FFC00000"/>
  </sheetPr>
  <dimension ref="B1:C23"/>
  <sheetViews>
    <sheetView showGridLines="0" workbookViewId="0">
      <selection activeCell="C6" sqref="C6"/>
    </sheetView>
  </sheetViews>
  <sheetFormatPr defaultRowHeight="14.25" x14ac:dyDescent="0.25"/>
  <cols>
    <col min="1" max="1" width="1.42578125" customWidth="1"/>
    <col min="2" max="2" width="7.42578125" customWidth="1"/>
    <col min="3" max="3" width="10.5703125" style="191" bestFit="1" customWidth="1"/>
  </cols>
  <sheetData>
    <row r="1" spans="2:3" ht="7.5" customHeight="1" x14ac:dyDescent="0.25"/>
    <row r="2" spans="2:3" s="53" customFormat="1" ht="38.1" customHeight="1" x14ac:dyDescent="0.25">
      <c r="B2" s="95"/>
      <c r="C2" s="192" t="s">
        <v>1018</v>
      </c>
    </row>
    <row r="3" spans="2:3" s="53" customFormat="1" ht="38.1" customHeight="1" x14ac:dyDescent="0.25">
      <c r="C3" s="192" t="s">
        <v>996</v>
      </c>
    </row>
    <row r="4" spans="2:3" s="53" customFormat="1" ht="37.5" customHeight="1" x14ac:dyDescent="0.25">
      <c r="C4" s="192" t="s">
        <v>479</v>
      </c>
    </row>
    <row r="5" spans="2:3" s="53" customFormat="1" ht="37.5" customHeight="1" x14ac:dyDescent="0.25">
      <c r="C5" s="192" t="s">
        <v>480</v>
      </c>
    </row>
    <row r="6" spans="2:3" s="53" customFormat="1" ht="37.5" customHeight="1" x14ac:dyDescent="0.25">
      <c r="C6" s="192" t="s">
        <v>987</v>
      </c>
    </row>
    <row r="7" spans="2:3" s="53" customFormat="1" ht="37.5" customHeight="1" x14ac:dyDescent="0.25">
      <c r="C7" s="192" t="s">
        <v>988</v>
      </c>
    </row>
    <row r="8" spans="2:3" s="53" customFormat="1" ht="37.5" customHeight="1" x14ac:dyDescent="0.25">
      <c r="C8" s="192" t="s">
        <v>989</v>
      </c>
    </row>
    <row r="9" spans="2:3" ht="37.5" customHeight="1" x14ac:dyDescent="0.25"/>
    <row r="10" spans="2:3" ht="37.5" customHeight="1" x14ac:dyDescent="0.25"/>
    <row r="11" spans="2:3" ht="37.5" customHeight="1" x14ac:dyDescent="0.25"/>
    <row r="12" spans="2:3" ht="37.5" customHeight="1" x14ac:dyDescent="0.25"/>
    <row r="13" spans="2:3" ht="37.5" customHeight="1" x14ac:dyDescent="0.25"/>
    <row r="14" spans="2:3" ht="37.5" customHeight="1" x14ac:dyDescent="0.25"/>
    <row r="15" spans="2:3" ht="37.5" customHeight="1" x14ac:dyDescent="0.25"/>
    <row r="16" spans="2:3" ht="37.5" customHeight="1" x14ac:dyDescent="0.25"/>
    <row r="17" ht="37.5" customHeight="1" x14ac:dyDescent="0.25"/>
    <row r="18" ht="37.5" customHeight="1" x14ac:dyDescent="0.25"/>
    <row r="19" ht="37.5" customHeight="1" x14ac:dyDescent="0.25"/>
    <row r="20" ht="37.5" customHeight="1" x14ac:dyDescent="0.25"/>
    <row r="21" ht="37.5" customHeight="1" x14ac:dyDescent="0.25"/>
    <row r="22" ht="37.5" customHeight="1" x14ac:dyDescent="0.25"/>
    <row r="23" ht="37.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00B050"/>
    <pageSetUpPr fitToPage="1"/>
  </sheetPr>
  <dimension ref="B1:R338"/>
  <sheetViews>
    <sheetView showGridLines="0" tabSelected="1" zoomScaleNormal="100" workbookViewId="0">
      <pane xSplit="3" topLeftCell="D1" activePane="topRight" state="frozenSplit"/>
      <selection pane="topRight" activeCell="J38" sqref="J38"/>
    </sheetView>
  </sheetViews>
  <sheetFormatPr defaultColWidth="8.85546875" defaultRowHeight="14.25" x14ac:dyDescent="0.25"/>
  <cols>
    <col min="1" max="1" width="1.42578125" style="15" customWidth="1"/>
    <col min="2" max="2" width="7.85546875" style="15" customWidth="1"/>
    <col min="3" max="3" width="22.5703125" style="15" customWidth="1"/>
    <col min="4" max="4" width="12.140625" style="15" customWidth="1"/>
    <col min="5" max="6" width="10.42578125" style="15" customWidth="1"/>
    <col min="7" max="7" width="8.5703125" style="6" customWidth="1"/>
    <col min="8" max="11" width="10.42578125" style="15" customWidth="1"/>
    <col min="12" max="12" width="11.7109375" style="15" customWidth="1"/>
    <col min="13" max="13" width="12.7109375" style="15" customWidth="1"/>
    <col min="14" max="14" width="11.85546875" style="15" customWidth="1"/>
    <col min="15" max="17" width="10.42578125" style="80" customWidth="1"/>
    <col min="18" max="18" width="38.85546875" style="16" customWidth="1"/>
    <col min="19" max="19" width="13.140625" style="15" customWidth="1"/>
    <col min="20" max="16384" width="8.85546875" style="15"/>
  </cols>
  <sheetData>
    <row r="1" spans="2:18" s="1" customFormat="1" ht="4.5" customHeight="1" x14ac:dyDescent="0.25">
      <c r="G1" s="6"/>
      <c r="N1" s="2"/>
      <c r="O1" s="76"/>
      <c r="P1" s="76"/>
      <c r="Q1" s="76"/>
      <c r="R1" s="5"/>
    </row>
    <row r="2" spans="2:18" s="1" customFormat="1" ht="18" customHeight="1" x14ac:dyDescent="0.25">
      <c r="B2" s="17" t="s">
        <v>1018</v>
      </c>
      <c r="G2" s="6"/>
      <c r="N2" s="6"/>
      <c r="O2" s="76"/>
      <c r="P2" s="76"/>
      <c r="Q2" s="76"/>
      <c r="R2" s="6"/>
    </row>
    <row r="3" spans="2:18" s="1" customFormat="1" ht="4.5" customHeight="1" x14ac:dyDescent="0.25">
      <c r="G3" s="6"/>
      <c r="N3" s="2"/>
      <c r="O3" s="76"/>
      <c r="P3" s="76"/>
      <c r="Q3" s="76"/>
      <c r="R3" s="5"/>
    </row>
    <row r="4" spans="2:18" s="8" customFormat="1" ht="41.25" customHeight="1" x14ac:dyDescent="0.25">
      <c r="B4" s="65" t="s">
        <v>411</v>
      </c>
      <c r="C4" s="8" t="s">
        <v>1</v>
      </c>
      <c r="D4" s="8" t="s">
        <v>53</v>
      </c>
      <c r="E4" s="46" t="s">
        <v>70</v>
      </c>
      <c r="F4" s="46" t="s">
        <v>69</v>
      </c>
      <c r="G4" s="9" t="s">
        <v>4</v>
      </c>
      <c r="H4" s="8" t="s">
        <v>5</v>
      </c>
      <c r="I4" s="10" t="s">
        <v>1013</v>
      </c>
      <c r="J4" s="10" t="s">
        <v>1014</v>
      </c>
      <c r="K4" s="10" t="s">
        <v>1060</v>
      </c>
      <c r="L4" s="8" t="s">
        <v>6</v>
      </c>
      <c r="M4" s="8" t="s">
        <v>1015</v>
      </c>
      <c r="N4" s="9" t="s">
        <v>8</v>
      </c>
      <c r="O4" s="77" t="s">
        <v>9</v>
      </c>
      <c r="P4" s="77" t="s">
        <v>1334</v>
      </c>
      <c r="Q4" s="77" t="s">
        <v>1335</v>
      </c>
      <c r="R4" s="8" t="s">
        <v>12</v>
      </c>
    </row>
    <row r="5" spans="2:18" s="13" customFormat="1" ht="25.15" hidden="1" customHeight="1" x14ac:dyDescent="0.25">
      <c r="B5" s="11" t="s">
        <v>1003</v>
      </c>
      <c r="C5" s="11" t="e">
        <f ca="1">_xll.TheSymbol(USD_Holdings[[#This Row],[Symbol]])</f>
        <v>#NAME?</v>
      </c>
      <c r="D5" s="11" t="s">
        <v>259</v>
      </c>
      <c r="E5" s="47">
        <v>43833</v>
      </c>
      <c r="F5" s="47">
        <v>43833</v>
      </c>
      <c r="G5" s="94">
        <v>5300</v>
      </c>
      <c r="H5" s="12">
        <v>29.73</v>
      </c>
      <c r="I5" s="12">
        <v>29.48</v>
      </c>
      <c r="J5" s="12" t="e">
        <f ca="1">_xll.Ask(USD_Holdings[[#This Row],[Symbol]])</f>
        <v>#NAME?</v>
      </c>
      <c r="K5" s="12"/>
      <c r="L5" s="12">
        <f>USD_Holdings[[#This Row],[Shares Held]]*USD_Holdings[[#This Row],[Purchase Price]]</f>
        <v>157569</v>
      </c>
      <c r="M5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156244</v>
      </c>
      <c r="N5" s="83">
        <f>USD_Holdings[[#This Row],[Adjusted Value]]-USD_Holdings[[#This Row],[Book value]]</f>
        <v>-1325</v>
      </c>
      <c r="O5" s="82">
        <f>USD_Holdings[[#This Row],[Gain/Loss $]]/USD_Holdings[[#This Row],[Book value]]</f>
        <v>-8.409014463504878E-3</v>
      </c>
      <c r="P5" s="82"/>
      <c r="Q5" s="82">
        <f>USD_Holdings[[#This Row],[Purchase Price]]*(1+USD_Holdings[[#This Row],[Stop Target]])</f>
        <v>29.73</v>
      </c>
      <c r="R5" s="64"/>
    </row>
    <row r="6" spans="2:18" s="13" customFormat="1" ht="25.15" hidden="1" customHeight="1" x14ac:dyDescent="0.25">
      <c r="B6" s="11" t="s">
        <v>304</v>
      </c>
      <c r="C6" s="11" t="e">
        <f ca="1">_xll.TheSymbol(USD_Holdings[[#This Row],[Symbol]])</f>
        <v>#NAME?</v>
      </c>
      <c r="D6" s="11" t="s">
        <v>259</v>
      </c>
      <c r="E6" s="47">
        <v>43830</v>
      </c>
      <c r="F6" s="47">
        <v>43833</v>
      </c>
      <c r="G6" s="94">
        <v>4000</v>
      </c>
      <c r="H6" s="12">
        <v>39.56</v>
      </c>
      <c r="I6" s="12"/>
      <c r="J6" s="12" t="e">
        <f ca="1">_xll.Ask(USD_Holdings[[#This Row],[Symbol]])</f>
        <v>#NAME?</v>
      </c>
      <c r="K6" s="12"/>
      <c r="L6" s="12">
        <f>USD_Holdings[[#This Row],[Shares Held]]*USD_Holdings[[#This Row],[Purchase Price]]</f>
        <v>158240</v>
      </c>
      <c r="M6" s="12" t="e">
        <f ca="1"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#NAME?</v>
      </c>
      <c r="N6" s="83" t="e">
        <f ca="1">USD_Holdings[[#This Row],[Adjusted Value]]-USD_Holdings[[#This Row],[Book value]]</f>
        <v>#NAME?</v>
      </c>
      <c r="O6" s="82" t="e">
        <f ca="1">USD_Holdings[[#This Row],[Gain/Loss $]]/USD_Holdings[[#This Row],[Book value]]</f>
        <v>#NAME?</v>
      </c>
      <c r="P6" s="82"/>
      <c r="Q6" s="82">
        <f>USD_Holdings[[#This Row],[Purchase Price]]*(1+USD_Holdings[[#This Row],[Stop Target]])</f>
        <v>39.56</v>
      </c>
      <c r="R6" s="64"/>
    </row>
    <row r="7" spans="2:18" s="13" customFormat="1" ht="25.15" hidden="1" customHeight="1" x14ac:dyDescent="0.25">
      <c r="B7" s="11" t="s">
        <v>1003</v>
      </c>
      <c r="C7" s="11" t="e">
        <f ca="1">_xll.TheSymbol(USD_Holdings[[#This Row],[Symbol]])</f>
        <v>#NAME?</v>
      </c>
      <c r="D7" s="11" t="s">
        <v>259</v>
      </c>
      <c r="E7" s="47">
        <v>43843</v>
      </c>
      <c r="F7" s="47">
        <v>43844</v>
      </c>
      <c r="G7" s="94">
        <v>10014</v>
      </c>
      <c r="H7" s="12">
        <v>27.889600000000002</v>
      </c>
      <c r="I7" s="12">
        <v>27.930199999999999</v>
      </c>
      <c r="J7" s="12" t="e">
        <f ca="1">_xll.Ask(USD_Holdings[[#This Row],[Symbol]])</f>
        <v>#NAME?</v>
      </c>
      <c r="K7" s="12"/>
      <c r="L7" s="12">
        <f>USD_Holdings[[#This Row],[Shares Held]]*USD_Holdings[[#This Row],[Purchase Price]]</f>
        <v>279286.45439999999</v>
      </c>
      <c r="M7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279693.02279999998</v>
      </c>
      <c r="N7" s="83">
        <f>USD_Holdings[[#This Row],[Adjusted Value]]-USD_Holdings[[#This Row],[Book value]]</f>
        <v>406.5683999999892</v>
      </c>
      <c r="O7" s="82">
        <f>USD_Holdings[[#This Row],[Gain/Loss $]]/USD_Holdings[[#This Row],[Book value]]</f>
        <v>1.4557397739658842E-3</v>
      </c>
      <c r="P7" s="82"/>
      <c r="Q7" s="82">
        <f>USD_Holdings[[#This Row],[Purchase Price]]*(1+USD_Holdings[[#This Row],[Stop Target]])</f>
        <v>27.889600000000002</v>
      </c>
      <c r="R7" s="64"/>
    </row>
    <row r="8" spans="2:18" s="13" customFormat="1" ht="25.15" hidden="1" customHeight="1" x14ac:dyDescent="0.25">
      <c r="B8" s="11" t="s">
        <v>304</v>
      </c>
      <c r="C8" s="11" t="e">
        <f ca="1">_xll.TheSymbol(USD_Holdings[[#This Row],[Symbol]])</f>
        <v>#NAME?</v>
      </c>
      <c r="D8" s="11" t="s">
        <v>259</v>
      </c>
      <c r="E8" s="47">
        <v>43844</v>
      </c>
      <c r="F8" s="47">
        <v>43903</v>
      </c>
      <c r="G8" s="94">
        <v>3217</v>
      </c>
      <c r="H8" s="12">
        <v>40.21</v>
      </c>
      <c r="I8" s="12">
        <v>27.857099999999999</v>
      </c>
      <c r="J8" s="12" t="e">
        <f ca="1">_xll.Ask(USD_Holdings[[#This Row],[Symbol]])</f>
        <v>#NAME?</v>
      </c>
      <c r="K8" s="12">
        <v>1919.54</v>
      </c>
      <c r="L8" s="12">
        <f>USD_Holdings[[#This Row],[Shares Held]]*USD_Holdings[[#This Row],[Purchase Price]]</f>
        <v>129355.57</v>
      </c>
      <c r="M8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91535.830699999991</v>
      </c>
      <c r="N8" s="83">
        <f>USD_Holdings[[#This Row],[Adjusted Value]]-USD_Holdings[[#This Row],[Book value]]</f>
        <v>-37819.739300000016</v>
      </c>
      <c r="O8" s="82">
        <f>USD_Holdings[[#This Row],[Gain/Loss $]]/USD_Holdings[[#This Row],[Book value]]</f>
        <v>-0.29237039657434166</v>
      </c>
      <c r="P8" s="82"/>
      <c r="Q8" s="82">
        <f>USD_Holdings[[#This Row],[Purchase Price]]*(1+USD_Holdings[[#This Row],[Stop Target]])</f>
        <v>40.21</v>
      </c>
      <c r="R8" s="64" t="s">
        <v>1065</v>
      </c>
    </row>
    <row r="9" spans="2:18" s="13" customFormat="1" ht="25.15" hidden="1" customHeight="1" x14ac:dyDescent="0.25">
      <c r="B9" s="11" t="s">
        <v>304</v>
      </c>
      <c r="C9" s="11" t="e">
        <f ca="1">_xll.TheSymbol(USD_Holdings[[#This Row],[Symbol]])</f>
        <v>#NAME?</v>
      </c>
      <c r="D9" s="11" t="s">
        <v>259</v>
      </c>
      <c r="E9" s="47">
        <v>43844</v>
      </c>
      <c r="F9" s="47">
        <v>43846</v>
      </c>
      <c r="G9" s="94">
        <v>1240</v>
      </c>
      <c r="H9" s="12">
        <v>40.21</v>
      </c>
      <c r="I9" s="12">
        <v>40.31</v>
      </c>
      <c r="J9" s="12" t="e">
        <f ca="1">_xll.Ask(USD_Holdings[[#This Row],[Symbol]])</f>
        <v>#NAME?</v>
      </c>
      <c r="K9" s="12"/>
      <c r="L9" s="12">
        <f>USD_Holdings[[#This Row],[Shares Held]]*USD_Holdings[[#This Row],[Purchase Price]]</f>
        <v>49860.4</v>
      </c>
      <c r="M9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49984.4</v>
      </c>
      <c r="N9" s="83">
        <f>USD_Holdings[[#This Row],[Adjusted Value]]-USD_Holdings[[#This Row],[Book value]]</f>
        <v>124</v>
      </c>
      <c r="O9" s="82">
        <f>USD_Holdings[[#This Row],[Gain/Loss $]]/USD_Holdings[[#This Row],[Book value]]</f>
        <v>2.486943546381497E-3</v>
      </c>
      <c r="P9" s="82"/>
      <c r="Q9" s="82">
        <f>USD_Holdings[[#This Row],[Purchase Price]]*(1+USD_Holdings[[#This Row],[Stop Target]])</f>
        <v>40.21</v>
      </c>
      <c r="R9" s="64"/>
    </row>
    <row r="10" spans="2:18" s="13" customFormat="1" ht="25.15" hidden="1" customHeight="1" x14ac:dyDescent="0.25">
      <c r="B10" s="11" t="s">
        <v>819</v>
      </c>
      <c r="C10" s="11" t="e">
        <f ca="1">_xll.TheSymbol(USD_Holdings[[#This Row],[Symbol]])</f>
        <v>#NAME?</v>
      </c>
      <c r="D10" s="11" t="s">
        <v>259</v>
      </c>
      <c r="E10" s="47">
        <v>43906</v>
      </c>
      <c r="F10" s="47">
        <v>43906</v>
      </c>
      <c r="G10" s="94">
        <v>924</v>
      </c>
      <c r="H10" s="12">
        <v>224.15940000000001</v>
      </c>
      <c r="I10" s="12">
        <v>232.1104</v>
      </c>
      <c r="J10" s="12" t="e">
        <f ca="1">_xll.Ask(USD_Holdings[[#This Row],[Symbol]])</f>
        <v>#NAME?</v>
      </c>
      <c r="K10" s="12">
        <v>0</v>
      </c>
      <c r="L10" s="12">
        <f>USD_Holdings[[#This Row],[Shares Held]]*USD_Holdings[[#This Row],[Purchase Price]]</f>
        <v>207123.2856</v>
      </c>
      <c r="M10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214470.00959999999</v>
      </c>
      <c r="N10" s="83">
        <f>USD_Holdings[[#This Row],[Adjusted Value]]-USD_Holdings[[#This Row],[Book value]]</f>
        <v>7346.7239999999874</v>
      </c>
      <c r="O10" s="82">
        <f>USD_Holdings[[#This Row],[Gain/Loss $]]/USD_Holdings[[#This Row],[Book value]]</f>
        <v>3.5470294799147331E-2</v>
      </c>
      <c r="P10" s="82"/>
      <c r="Q10" s="82">
        <f>USD_Holdings[[#This Row],[Purchase Price]]*(1+USD_Holdings[[#This Row],[Stop Target]])</f>
        <v>224.15940000000001</v>
      </c>
      <c r="R10" s="64"/>
    </row>
    <row r="11" spans="2:18" s="13" customFormat="1" ht="25.15" hidden="1" customHeight="1" x14ac:dyDescent="0.25">
      <c r="B11" s="11" t="s">
        <v>819</v>
      </c>
      <c r="C11" s="11" t="e">
        <f ca="1">_xll.TheSymbol(USD_Holdings[[#This Row],[Symbol]])</f>
        <v>#NAME?</v>
      </c>
      <c r="D11" s="11" t="s">
        <v>259</v>
      </c>
      <c r="E11" s="47">
        <v>43908</v>
      </c>
      <c r="F11" s="47">
        <v>43908</v>
      </c>
      <c r="G11" s="94">
        <v>1032</v>
      </c>
      <c r="H11" s="12">
        <v>215.07</v>
      </c>
      <c r="I11" s="12">
        <v>215.07</v>
      </c>
      <c r="J11" s="12" t="e">
        <f ca="1">_xll.Ask(USD_Holdings[[#This Row],[Symbol]])</f>
        <v>#NAME?</v>
      </c>
      <c r="K11" s="12"/>
      <c r="L11" s="12">
        <f>USD_Holdings[[#This Row],[Shares Held]]*USD_Holdings[[#This Row],[Purchase Price]]</f>
        <v>221952.24</v>
      </c>
      <c r="M11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221952.24</v>
      </c>
      <c r="N11" s="83">
        <f>USD_Holdings[[#This Row],[Adjusted Value]]-USD_Holdings[[#This Row],[Book value]]</f>
        <v>0</v>
      </c>
      <c r="O11" s="82">
        <f>USD_Holdings[[#This Row],[Gain/Loss $]]/USD_Holdings[[#This Row],[Book value]]</f>
        <v>0</v>
      </c>
      <c r="P11" s="82"/>
      <c r="Q11" s="82">
        <f>USD_Holdings[[#This Row],[Purchase Price]]*(1+USD_Holdings[[#This Row],[Stop Target]])</f>
        <v>215.07</v>
      </c>
      <c r="R11" s="64"/>
    </row>
    <row r="12" spans="2:18" s="13" customFormat="1" ht="25.15" hidden="1" customHeight="1" x14ac:dyDescent="0.25">
      <c r="B12" s="11" t="s">
        <v>798</v>
      </c>
      <c r="C12" s="11" t="e">
        <f ca="1">_xll.TheSymbol(USD_Holdings[[#This Row],[Symbol]])</f>
        <v>#NAME?</v>
      </c>
      <c r="D12" s="11" t="s">
        <v>259</v>
      </c>
      <c r="E12" s="47">
        <v>43846</v>
      </c>
      <c r="F12" s="47">
        <v>43903</v>
      </c>
      <c r="G12" s="94">
        <v>571</v>
      </c>
      <c r="H12" s="12">
        <v>88.366500000000002</v>
      </c>
      <c r="I12" s="12">
        <v>75.45</v>
      </c>
      <c r="J12" s="12" t="e">
        <f ca="1">_xll.Ask(USD_Holdings[[#This Row],[Symbol]])</f>
        <v>#NAME?</v>
      </c>
      <c r="K12" s="12">
        <v>0</v>
      </c>
      <c r="L12" s="12">
        <f>USD_Holdings[[#This Row],[Shares Held]]*USD_Holdings[[#This Row],[Purchase Price]]</f>
        <v>50457.271500000003</v>
      </c>
      <c r="M12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43081.950000000004</v>
      </c>
      <c r="N12" s="83">
        <f>USD_Holdings[[#This Row],[Adjusted Value]]-USD_Holdings[[#This Row],[Book value]]</f>
        <v>-7375.3214999999982</v>
      </c>
      <c r="O12" s="82">
        <f>USD_Holdings[[#This Row],[Gain/Loss $]]/USD_Holdings[[#This Row],[Book value]]</f>
        <v>-0.14616964573678934</v>
      </c>
      <c r="P12" s="82"/>
      <c r="Q12" s="82">
        <f>USD_Holdings[[#This Row],[Purchase Price]]*(1+USD_Holdings[[#This Row],[Stop Target]])</f>
        <v>88.366500000000002</v>
      </c>
      <c r="R12" s="64"/>
    </row>
    <row r="13" spans="2:18" s="13" customFormat="1" ht="25.15" hidden="1" customHeight="1" x14ac:dyDescent="0.25">
      <c r="B13" s="11" t="s">
        <v>67</v>
      </c>
      <c r="C13" s="11" t="e">
        <f ca="1">_xll.TheSymbol(USD_Holdings[[#This Row],[Symbol]])</f>
        <v>#NAME?</v>
      </c>
      <c r="D13" s="11" t="s">
        <v>1068</v>
      </c>
      <c r="E13" s="47">
        <v>43860</v>
      </c>
      <c r="F13" s="47">
        <v>43906</v>
      </c>
      <c r="G13" s="94">
        <v>58</v>
      </c>
      <c r="H13" s="12"/>
      <c r="I13" s="12"/>
      <c r="J13" s="12" t="e">
        <f ca="1">_xll.Ask(USD_Holdings[[#This Row],[Symbol]])</f>
        <v>#NAME?</v>
      </c>
      <c r="K13" s="12">
        <v>0</v>
      </c>
      <c r="L13" s="12">
        <f>USD_Holdings[[#This Row],[Shares Held]]*USD_Holdings[[#This Row],[Purchase Price]]</f>
        <v>0</v>
      </c>
      <c r="M13" s="12" t="e">
        <f ca="1"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#NAME?</v>
      </c>
      <c r="N13" s="83" t="e">
        <f ca="1">USD_Holdings[[#This Row],[Adjusted Value]]-USD_Holdings[[#This Row],[Book value]]</f>
        <v>#NAME?</v>
      </c>
      <c r="O13" s="82" t="e">
        <f ca="1">USD_Holdings[[#This Row],[Gain/Loss $]]/USD_Holdings[[#This Row],[Book value]]</f>
        <v>#NAME?</v>
      </c>
      <c r="P13" s="82"/>
      <c r="Q13" s="82">
        <f>USD_Holdings[[#This Row],[Purchase Price]]*(1+USD_Holdings[[#This Row],[Stop Target]])</f>
        <v>0</v>
      </c>
      <c r="R13" s="64"/>
    </row>
    <row r="14" spans="2:18" s="13" customFormat="1" ht="25.15" hidden="1" customHeight="1" x14ac:dyDescent="0.25">
      <c r="B14" s="11" t="s">
        <v>1031</v>
      </c>
      <c r="C14" s="11" t="e">
        <f ca="1">_xll.TheSymbol(USD_Holdings[[#This Row],[Symbol]])</f>
        <v>#NAME?</v>
      </c>
      <c r="D14" s="11" t="s">
        <v>259</v>
      </c>
      <c r="E14" s="47">
        <v>43871</v>
      </c>
      <c r="F14" s="47">
        <v>43903</v>
      </c>
      <c r="G14" s="94">
        <v>1550</v>
      </c>
      <c r="H14" s="12">
        <v>29.77</v>
      </c>
      <c r="I14" s="12">
        <v>22.084499999999998</v>
      </c>
      <c r="J14" s="12" t="e">
        <f ca="1">_xll.Ask(USD_Holdings[[#This Row],[Symbol]])</f>
        <v>#NAME?</v>
      </c>
      <c r="K14" s="12">
        <v>0</v>
      </c>
      <c r="L14" s="12">
        <f>USD_Holdings[[#This Row],[Shares Held]]*USD_Holdings[[#This Row],[Purchase Price]]</f>
        <v>46143.5</v>
      </c>
      <c r="M14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34230.974999999999</v>
      </c>
      <c r="N14" s="83">
        <f>USD_Holdings[[#This Row],[Adjusted Value]]-USD_Holdings[[#This Row],[Book value]]</f>
        <v>-11912.525000000001</v>
      </c>
      <c r="O14" s="82">
        <f>USD_Holdings[[#This Row],[Gain/Loss $]]/USD_Holdings[[#This Row],[Book value]]</f>
        <v>-0.25816257977830032</v>
      </c>
      <c r="P14" s="82"/>
      <c r="Q14" s="82">
        <f>USD_Holdings[[#This Row],[Purchase Price]]*(1+USD_Holdings[[#This Row],[Stop Target]])</f>
        <v>29.77</v>
      </c>
      <c r="R14" s="64"/>
    </row>
    <row r="15" spans="2:18" s="13" customFormat="1" ht="25.15" hidden="1" customHeight="1" x14ac:dyDescent="0.25">
      <c r="B15" s="11" t="s">
        <v>804</v>
      </c>
      <c r="C15" s="11" t="e">
        <f ca="1">_xll.TheSymbol(USD_Holdings[[#This Row],[Symbol]])</f>
        <v>#NAME?</v>
      </c>
      <c r="D15" s="11" t="s">
        <v>259</v>
      </c>
      <c r="E15" s="47">
        <v>43845</v>
      </c>
      <c r="F15" s="47">
        <v>43903</v>
      </c>
      <c r="G15" s="94">
        <v>1228</v>
      </c>
      <c r="H15" s="12">
        <v>40.576700000000002</v>
      </c>
      <c r="I15" s="12">
        <v>31.260200000000001</v>
      </c>
      <c r="J15" s="12" t="e">
        <f ca="1">_xll.Ask(USD_Holdings[[#This Row],[Symbol]])</f>
        <v>#NAME?</v>
      </c>
      <c r="K15" s="12">
        <v>466.64</v>
      </c>
      <c r="L15" s="12">
        <f>USD_Holdings[[#This Row],[Shares Held]]*USD_Holdings[[#This Row],[Purchase Price]]</f>
        <v>49828.187600000005</v>
      </c>
      <c r="M15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38854.1656</v>
      </c>
      <c r="N15" s="83">
        <f>USD_Holdings[[#This Row],[Adjusted Value]]-USD_Holdings[[#This Row],[Book value]]</f>
        <v>-10974.022000000004</v>
      </c>
      <c r="O15" s="82">
        <f>USD_Holdings[[#This Row],[Gain/Loss $]]/USD_Holdings[[#This Row],[Book value]]</f>
        <v>-0.22023722974022045</v>
      </c>
      <c r="P15" s="82"/>
      <c r="Q15" s="82">
        <f>USD_Holdings[[#This Row],[Purchase Price]]*(1+USD_Holdings[[#This Row],[Stop Target]])</f>
        <v>40.576700000000002</v>
      </c>
      <c r="R15" s="64" t="s">
        <v>1064</v>
      </c>
    </row>
    <row r="16" spans="2:18" s="13" customFormat="1" ht="25.15" hidden="1" customHeight="1" x14ac:dyDescent="0.25">
      <c r="B16" s="11" t="s">
        <v>1031</v>
      </c>
      <c r="C16" s="11" t="e">
        <f ca="1">_xll.TheSymbol(USD_Holdings[[#This Row],[Symbol]])</f>
        <v>#NAME?</v>
      </c>
      <c r="D16" s="11" t="s">
        <v>259</v>
      </c>
      <c r="E16" s="47">
        <v>43845</v>
      </c>
      <c r="F16" s="47">
        <v>43861</v>
      </c>
      <c r="G16" s="94">
        <v>1570</v>
      </c>
      <c r="H16" s="12">
        <v>31.8399</v>
      </c>
      <c r="I16" s="12">
        <v>29.130400000000002</v>
      </c>
      <c r="J16" s="12" t="e">
        <f ca="1">_xll.Ask(USD_Holdings[[#This Row],[Symbol]])</f>
        <v>#NAME?</v>
      </c>
      <c r="K16" s="12">
        <v>0</v>
      </c>
      <c r="L16" s="12">
        <f>USD_Holdings[[#This Row],[Shares Held]]*USD_Holdings[[#This Row],[Purchase Price]]</f>
        <v>49988.643000000004</v>
      </c>
      <c r="M16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45734.728000000003</v>
      </c>
      <c r="N16" s="83">
        <f>USD_Holdings[[#This Row],[Adjusted Value]]-USD_Holdings[[#This Row],[Book value]]</f>
        <v>-4253.9150000000009</v>
      </c>
      <c r="O16" s="82">
        <f>USD_Holdings[[#This Row],[Gain/Loss $]]/USD_Holdings[[#This Row],[Book value]]</f>
        <v>-8.5097629075468209E-2</v>
      </c>
      <c r="P16" s="82"/>
      <c r="Q16" s="82">
        <f>USD_Holdings[[#This Row],[Purchase Price]]*(1+USD_Holdings[[#This Row],[Stop Target]])</f>
        <v>31.8399</v>
      </c>
      <c r="R16" s="64" t="s">
        <v>1066</v>
      </c>
    </row>
    <row r="17" spans="2:18" s="13" customFormat="1" ht="25.15" hidden="1" customHeight="1" x14ac:dyDescent="0.25">
      <c r="B17" s="11" t="s">
        <v>304</v>
      </c>
      <c r="C17" s="11" t="e">
        <f ca="1">_xll.TheSymbol(USD_Holdings[[#This Row],[Symbol]])</f>
        <v>#NAME?</v>
      </c>
      <c r="D17" s="11" t="s">
        <v>259</v>
      </c>
      <c r="E17" s="47">
        <v>43844</v>
      </c>
      <c r="F17" s="47">
        <v>43845</v>
      </c>
      <c r="G17" s="94">
        <v>1240</v>
      </c>
      <c r="H17" s="12">
        <v>40.21</v>
      </c>
      <c r="I17" s="12">
        <v>40.299999999999997</v>
      </c>
      <c r="J17" s="12" t="e">
        <f ca="1">_xll.Ask(USD_Holdings[[#This Row],[Symbol]])</f>
        <v>#NAME?</v>
      </c>
      <c r="K17" s="12"/>
      <c r="L17" s="12">
        <f>USD_Holdings[[#This Row],[Shares Held]]*USD_Holdings[[#This Row],[Purchase Price]]</f>
        <v>49860.4</v>
      </c>
      <c r="M17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49972</v>
      </c>
      <c r="N17" s="83">
        <f>USD_Holdings[[#This Row],[Adjusted Value]]-USD_Holdings[[#This Row],[Book value]]</f>
        <v>111.59999999999854</v>
      </c>
      <c r="O17" s="82">
        <f>USD_Holdings[[#This Row],[Gain/Loss $]]/USD_Holdings[[#This Row],[Book value]]</f>
        <v>2.2382491917433182E-3</v>
      </c>
      <c r="P17" s="82"/>
      <c r="Q17" s="82">
        <f>USD_Holdings[[#This Row],[Purchase Price]]*(1+USD_Holdings[[#This Row],[Stop Target]])</f>
        <v>40.21</v>
      </c>
      <c r="R17" s="64"/>
    </row>
    <row r="18" spans="2:18" s="13" customFormat="1" ht="25.15" hidden="1" customHeight="1" x14ac:dyDescent="0.25">
      <c r="B18" s="11" t="s">
        <v>304</v>
      </c>
      <c r="C18" s="11" t="e">
        <f ca="1">_xll.TheSymbol(USD_Holdings[[#This Row],[Symbol]])</f>
        <v>#NAME?</v>
      </c>
      <c r="D18" s="11" t="s">
        <v>259</v>
      </c>
      <c r="E18" s="47">
        <v>43844</v>
      </c>
      <c r="F18" s="47">
        <v>43845</v>
      </c>
      <c r="G18" s="94">
        <v>1238</v>
      </c>
      <c r="H18" s="12">
        <v>40.21</v>
      </c>
      <c r="I18" s="12">
        <v>40.36</v>
      </c>
      <c r="J18" s="12" t="e">
        <f ca="1">_xll.Ask(USD_Holdings[[#This Row],[Symbol]])</f>
        <v>#NAME?</v>
      </c>
      <c r="K18" s="12"/>
      <c r="L18" s="12">
        <f>USD_Holdings[[#This Row],[Shares Held]]*USD_Holdings[[#This Row],[Purchase Price]]</f>
        <v>49779.98</v>
      </c>
      <c r="M18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49965.68</v>
      </c>
      <c r="N18" s="83">
        <f>USD_Holdings[[#This Row],[Adjusted Value]]-USD_Holdings[[#This Row],[Book value]]</f>
        <v>185.69999999999709</v>
      </c>
      <c r="O18" s="82">
        <f>USD_Holdings[[#This Row],[Gain/Loss $]]/USD_Holdings[[#This Row],[Book value]]</f>
        <v>3.7304153195721868E-3</v>
      </c>
      <c r="P18" s="82"/>
      <c r="Q18" s="82">
        <f>USD_Holdings[[#This Row],[Purchase Price]]*(1+USD_Holdings[[#This Row],[Stop Target]])</f>
        <v>40.21</v>
      </c>
      <c r="R18" s="64"/>
    </row>
    <row r="19" spans="2:18" s="13" customFormat="1" ht="25.15" hidden="1" customHeight="1" x14ac:dyDescent="0.25">
      <c r="B19" s="11" t="s">
        <v>304</v>
      </c>
      <c r="C19" s="11" t="e">
        <f ca="1">_xll.TheSymbol(USD_Holdings[[#This Row],[Symbol]])</f>
        <v>#NAME?</v>
      </c>
      <c r="D19" s="11" t="s">
        <v>259</v>
      </c>
      <c r="E19" s="47">
        <v>43830</v>
      </c>
      <c r="F19" s="47">
        <v>43843</v>
      </c>
      <c r="G19" s="94">
        <v>4141</v>
      </c>
      <c r="H19" s="12">
        <v>39.629899999999999</v>
      </c>
      <c r="I19" s="12">
        <v>40.170099999999998</v>
      </c>
      <c r="J19" s="12" t="e">
        <f ca="1">_xll.Ask(USD_Holdings[[#This Row],[Symbol]])</f>
        <v>#NAME?</v>
      </c>
      <c r="K19" s="12"/>
      <c r="L19" s="12">
        <f>USD_Holdings[[#This Row],[Shares Held]]*USD_Holdings[[#This Row],[Purchase Price]]</f>
        <v>164107.41589999999</v>
      </c>
      <c r="M19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166344.3841</v>
      </c>
      <c r="N19" s="83">
        <f>USD_Holdings[[#This Row],[Adjusted Value]]-USD_Holdings[[#This Row],[Book value]]</f>
        <v>2236.968200000003</v>
      </c>
      <c r="O19" s="82">
        <f>USD_Holdings[[#This Row],[Gain/Loss $]]/USD_Holdings[[#This Row],[Book value]]</f>
        <v>1.3631121955896955E-2</v>
      </c>
      <c r="P19" s="82"/>
      <c r="Q19" s="82">
        <f>USD_Holdings[[#This Row],[Purchase Price]]*(1+USD_Holdings[[#This Row],[Stop Target]])</f>
        <v>39.629899999999999</v>
      </c>
      <c r="R19" s="64"/>
    </row>
    <row r="20" spans="2:18" s="13" customFormat="1" ht="25.15" hidden="1" customHeight="1" x14ac:dyDescent="0.25">
      <c r="B20" s="11" t="s">
        <v>304</v>
      </c>
      <c r="C20" s="11" t="e">
        <f ca="1">_xll.TheSymbol(USD_Holdings[[#This Row],[Symbol]])</f>
        <v>#NAME?</v>
      </c>
      <c r="D20" s="11" t="s">
        <v>259</v>
      </c>
      <c r="E20" s="47">
        <v>43829</v>
      </c>
      <c r="F20" s="47">
        <v>43843</v>
      </c>
      <c r="G20" s="94">
        <v>2532</v>
      </c>
      <c r="H20" s="12">
        <v>39.57</v>
      </c>
      <c r="I20" s="12">
        <v>40.170099999999998</v>
      </c>
      <c r="J20" s="12" t="e">
        <f ca="1">_xll.Ask(USD_Holdings[[#This Row],[Symbol]])</f>
        <v>#NAME?</v>
      </c>
      <c r="K20" s="12"/>
      <c r="L20" s="12">
        <f>USD_Holdings[[#This Row],[Shares Held]]*USD_Holdings[[#This Row],[Purchase Price]]</f>
        <v>100191.24</v>
      </c>
      <c r="M20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101710.69319999999</v>
      </c>
      <c r="N20" s="83">
        <f>USD_Holdings[[#This Row],[Adjusted Value]]-USD_Holdings[[#This Row],[Book value]]</f>
        <v>1519.453199999989</v>
      </c>
      <c r="O20" s="82">
        <f>USD_Holdings[[#This Row],[Gain/Loss $]]/USD_Holdings[[#This Row],[Book value]]</f>
        <v>1.5165529441495972E-2</v>
      </c>
      <c r="P20" s="82"/>
      <c r="Q20" s="82">
        <f>USD_Holdings[[#This Row],[Purchase Price]]*(1+USD_Holdings[[#This Row],[Stop Target]])</f>
        <v>39.57</v>
      </c>
      <c r="R20" s="64"/>
    </row>
    <row r="21" spans="2:18" s="13" customFormat="1" ht="25.15" hidden="1" customHeight="1" x14ac:dyDescent="0.25">
      <c r="B21" s="11" t="s">
        <v>1003</v>
      </c>
      <c r="C21" s="11" t="e">
        <f ca="1">_xll.TheSymbol(USD_Holdings[[#This Row],[Symbol]])</f>
        <v>#NAME?</v>
      </c>
      <c r="D21" s="11" t="s">
        <v>259</v>
      </c>
      <c r="E21" s="47">
        <v>43829</v>
      </c>
      <c r="F21" s="47">
        <v>43830</v>
      </c>
      <c r="G21" s="94">
        <v>5512</v>
      </c>
      <c r="H21" s="12">
        <v>29.299700000000001</v>
      </c>
      <c r="I21" s="12">
        <v>29.46</v>
      </c>
      <c r="J21" s="12" t="e">
        <f ca="1">_xll.Ask(USD_Holdings[[#This Row],[Symbol]])</f>
        <v>#NAME?</v>
      </c>
      <c r="K21" s="12"/>
      <c r="L21" s="12">
        <f>USD_Holdings[[#This Row],[Shares Held]]*USD_Holdings[[#This Row],[Purchase Price]]</f>
        <v>161499.94640000002</v>
      </c>
      <c r="M21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162383.52000000002</v>
      </c>
      <c r="N21" s="83">
        <f>USD_Holdings[[#This Row],[Adjusted Value]]-USD_Holdings[[#This Row],[Book value]]</f>
        <v>883.57360000000335</v>
      </c>
      <c r="O21" s="82">
        <f>USD_Holdings[[#This Row],[Gain/Loss $]]/USD_Holdings[[#This Row],[Book value]]</f>
        <v>5.4710457786257402E-3</v>
      </c>
      <c r="P21" s="82"/>
      <c r="Q21" s="82">
        <f>USD_Holdings[[#This Row],[Purchase Price]]*(1+USD_Holdings[[#This Row],[Stop Target]])</f>
        <v>29.299700000000001</v>
      </c>
      <c r="R21" s="64"/>
    </row>
    <row r="22" spans="2:18" s="13" customFormat="1" ht="25.15" hidden="1" customHeight="1" x14ac:dyDescent="0.25">
      <c r="B22" s="11" t="s">
        <v>929</v>
      </c>
      <c r="C22" s="11" t="e">
        <f ca="1">_xll.TheSymbol(USD_Holdings[[#This Row],[Symbol]])</f>
        <v>#NAME?</v>
      </c>
      <c r="D22" s="11" t="s">
        <v>259</v>
      </c>
      <c r="E22" s="47">
        <v>43934</v>
      </c>
      <c r="F22" s="47">
        <v>43934</v>
      </c>
      <c r="G22" s="94">
        <v>5450</v>
      </c>
      <c r="H22" s="12">
        <v>36</v>
      </c>
      <c r="I22" s="12">
        <v>37.6</v>
      </c>
      <c r="J22" s="12">
        <v>37.6</v>
      </c>
      <c r="K22" s="12"/>
      <c r="L22" s="12">
        <f>USD_Holdings[[#This Row],[Shares Held]]*USD_Holdings[[#This Row],[Purchase Price]]</f>
        <v>196200</v>
      </c>
      <c r="M22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204920</v>
      </c>
      <c r="N22" s="83">
        <f>USD_Holdings[[#This Row],[Adjusted Value]]-USD_Holdings[[#This Row],[Book value]]</f>
        <v>8720</v>
      </c>
      <c r="O22" s="82">
        <f>USD_Holdings[[#This Row],[Gain/Loss $]]/USD_Holdings[[#This Row],[Book value]]</f>
        <v>4.4444444444444446E-2</v>
      </c>
      <c r="P22" s="82"/>
      <c r="Q22" s="82">
        <f>USD_Holdings[[#This Row],[Purchase Price]]*(1+USD_Holdings[[#This Row],[Stop Target]])</f>
        <v>36</v>
      </c>
      <c r="R22" s="64"/>
    </row>
    <row r="23" spans="2:18" s="13" customFormat="1" ht="25.15" hidden="1" customHeight="1" x14ac:dyDescent="0.25">
      <c r="B23" s="11" t="s">
        <v>819</v>
      </c>
      <c r="C23" s="11" t="e">
        <f ca="1">_xll.TheSymbol(USD_Holdings[[#This Row],[Symbol]])</f>
        <v>#NAME?</v>
      </c>
      <c r="D23" s="11" t="s">
        <v>259</v>
      </c>
      <c r="E23" s="47">
        <v>43934</v>
      </c>
      <c r="F23" s="47">
        <v>43934</v>
      </c>
      <c r="G23" s="94">
        <v>790</v>
      </c>
      <c r="H23" s="12">
        <v>250.9</v>
      </c>
      <c r="I23" s="12">
        <v>251.73</v>
      </c>
      <c r="J23" s="12" t="e">
        <f ca="1">_xll.Ask(USD_Holdings[[#This Row],[Symbol]])</f>
        <v>#NAME?</v>
      </c>
      <c r="K23" s="12"/>
      <c r="L23" s="12">
        <f>USD_Holdings[[#This Row],[Shares Held]]*USD_Holdings[[#This Row],[Purchase Price]]</f>
        <v>198211</v>
      </c>
      <c r="M23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198866.69999999998</v>
      </c>
      <c r="N23" s="83">
        <f>USD_Holdings[[#This Row],[Adjusted Value]]-USD_Holdings[[#This Row],[Book value]]</f>
        <v>655.69999999998254</v>
      </c>
      <c r="O23" s="82">
        <f>USD_Holdings[[#This Row],[Gain/Loss $]]/USD_Holdings[[#This Row],[Book value]]</f>
        <v>3.3080908728576239E-3</v>
      </c>
      <c r="P23" s="82"/>
      <c r="Q23" s="82">
        <f>USD_Holdings[[#This Row],[Purchase Price]]*(1+USD_Holdings[[#This Row],[Stop Target]])</f>
        <v>250.9</v>
      </c>
      <c r="R23" s="64"/>
    </row>
    <row r="24" spans="2:18" s="13" customFormat="1" ht="25.15" hidden="1" customHeight="1" x14ac:dyDescent="0.25">
      <c r="B24" s="11" t="s">
        <v>819</v>
      </c>
      <c r="C24" s="11" t="e">
        <f ca="1">_xll.TheSymbol(USD_Holdings[[#This Row],[Symbol]])</f>
        <v>#NAME?</v>
      </c>
      <c r="D24" s="11" t="s">
        <v>259</v>
      </c>
      <c r="E24" s="47">
        <v>43935</v>
      </c>
      <c r="F24" s="47">
        <v>43935</v>
      </c>
      <c r="G24" s="94">
        <v>800</v>
      </c>
      <c r="H24" s="12">
        <v>256.29000000000002</v>
      </c>
      <c r="I24" s="12">
        <v>259.98</v>
      </c>
      <c r="J24" s="12" t="e">
        <f ca="1">_xll.Ask(USD_Holdings[[#This Row],[Symbol]])</f>
        <v>#NAME?</v>
      </c>
      <c r="K24" s="12"/>
      <c r="L24" s="12">
        <f>USD_Holdings[[#This Row],[Shares Held]]*USD_Holdings[[#This Row],[Purchase Price]]</f>
        <v>205032.00000000003</v>
      </c>
      <c r="M24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207984</v>
      </c>
      <c r="N24" s="83">
        <f>USD_Holdings[[#This Row],[Adjusted Value]]-USD_Holdings[[#This Row],[Book value]]</f>
        <v>2951.9999999999709</v>
      </c>
      <c r="O24" s="82">
        <f>USD_Holdings[[#This Row],[Gain/Loss $]]/USD_Holdings[[#This Row],[Book value]]</f>
        <v>1.4397752545943904E-2</v>
      </c>
      <c r="P24" s="82"/>
      <c r="Q24" s="82">
        <f>USD_Holdings[[#This Row],[Purchase Price]]*(1+USD_Holdings[[#This Row],[Stop Target]])</f>
        <v>256.29000000000002</v>
      </c>
      <c r="R24" s="64"/>
    </row>
    <row r="25" spans="2:18" s="13" customFormat="1" ht="25.15" hidden="1" customHeight="1" x14ac:dyDescent="0.25">
      <c r="B25" s="11" t="s">
        <v>929</v>
      </c>
      <c r="C25" s="11" t="e">
        <f ca="1">_xll.TheSymbol(USD_Holdings[[#This Row],[Symbol]])</f>
        <v>#NAME?</v>
      </c>
      <c r="D25" s="11" t="s">
        <v>259</v>
      </c>
      <c r="E25" s="47">
        <v>43950</v>
      </c>
      <c r="F25" s="47">
        <v>43951</v>
      </c>
      <c r="G25" s="94">
        <v>6523</v>
      </c>
      <c r="H25" s="12">
        <v>30.66</v>
      </c>
      <c r="I25" s="12">
        <v>32.200000000000003</v>
      </c>
      <c r="J25" s="12">
        <v>32.200000000000003</v>
      </c>
      <c r="K25" s="12"/>
      <c r="L25" s="12">
        <f>USD_Holdings[[#This Row],[Shares Held]]*USD_Holdings[[#This Row],[Purchase Price]]</f>
        <v>199995.18</v>
      </c>
      <c r="M25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210040.6</v>
      </c>
      <c r="N25" s="83">
        <f>USD_Holdings[[#This Row],[Adjusted Value]]-USD_Holdings[[#This Row],[Book value]]</f>
        <v>10045.420000000013</v>
      </c>
      <c r="O25" s="82">
        <f>USD_Holdings[[#This Row],[Gain/Loss $]]/USD_Holdings[[#This Row],[Book value]]</f>
        <v>5.0228310502283172E-2</v>
      </c>
      <c r="P25" s="82"/>
      <c r="Q25" s="82">
        <f>USD_Holdings[[#This Row],[Purchase Price]]*(1+USD_Holdings[[#This Row],[Stop Target]])</f>
        <v>30.66</v>
      </c>
      <c r="R25" s="64"/>
    </row>
    <row r="26" spans="2:18" s="13" customFormat="1" ht="25.15" hidden="1" customHeight="1" x14ac:dyDescent="0.25">
      <c r="B26" s="11" t="s">
        <v>1332</v>
      </c>
      <c r="C26" s="11" t="e">
        <f ca="1">_xll.TheSymbol(USD_Holdings[[#This Row],[Symbol]])</f>
        <v>#NAME?</v>
      </c>
      <c r="D26" s="11" t="s">
        <v>1068</v>
      </c>
      <c r="E26" s="47">
        <v>43973</v>
      </c>
      <c r="F26" s="47">
        <v>43993</v>
      </c>
      <c r="G26" s="94">
        <v>941</v>
      </c>
      <c r="H26" s="12">
        <v>49.88</v>
      </c>
      <c r="I26" s="12">
        <v>51.98</v>
      </c>
      <c r="J26" s="12" t="e">
        <f ca="1">_xll.Ask(USD_Holdings[[#This Row],[Symbol]])</f>
        <v>#NAME?</v>
      </c>
      <c r="K26" s="12"/>
      <c r="L26" s="12">
        <f>USD_Holdings[[#This Row],[Shares Held]]*USD_Holdings[[#This Row],[Purchase Price]]</f>
        <v>46937.08</v>
      </c>
      <c r="M26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48913.18</v>
      </c>
      <c r="N26" s="83">
        <f>USD_Holdings[[#This Row],[Adjusted Value]]-USD_Holdings[[#This Row],[Book value]]</f>
        <v>1976.0999999999985</v>
      </c>
      <c r="O26" s="82">
        <f>USD_Holdings[[#This Row],[Gain/Loss $]]/USD_Holdings[[#This Row],[Book value]]</f>
        <v>4.2101042502004776E-2</v>
      </c>
      <c r="P26" s="82"/>
      <c r="Q26" s="81">
        <f>USD_Holdings[[#This Row],[Purchase Price]]*(1+USD_Holdings[[#This Row],[Stop Target]])</f>
        <v>49.88</v>
      </c>
      <c r="R26" s="64" t="s">
        <v>1333</v>
      </c>
    </row>
    <row r="27" spans="2:18" s="13" customFormat="1" ht="25.15" hidden="1" customHeight="1" x14ac:dyDescent="0.25">
      <c r="B27" s="11" t="s">
        <v>819</v>
      </c>
      <c r="C27" s="11" t="e">
        <f ca="1">_xll.TheSymbol(USD_Holdings[[#This Row],[Symbol]])</f>
        <v>#NAME?</v>
      </c>
      <c r="D27" s="11" t="s">
        <v>259</v>
      </c>
      <c r="E27" s="47">
        <v>43952</v>
      </c>
      <c r="F27" s="47">
        <v>43955</v>
      </c>
      <c r="G27" s="94">
        <v>830</v>
      </c>
      <c r="H27" s="12">
        <v>258.99</v>
      </c>
      <c r="I27" s="12">
        <v>257.43</v>
      </c>
      <c r="J27" s="12" t="e">
        <f ca="1">_xll.Ask(USD_Holdings[[#This Row],[Symbol]])</f>
        <v>#NAME?</v>
      </c>
      <c r="K27" s="12"/>
      <c r="L27" s="12">
        <f>USD_Holdings[[#This Row],[Shares Held]]*USD_Holdings[[#This Row],[Purchase Price]]</f>
        <v>214961.7</v>
      </c>
      <c r="M27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213666.9</v>
      </c>
      <c r="N27" s="83">
        <f>USD_Holdings[[#This Row],[Adjusted Value]]-USD_Holdings[[#This Row],[Book value]]</f>
        <v>-1294.8000000000175</v>
      </c>
      <c r="O27" s="82">
        <f>USD_Holdings[[#This Row],[Gain/Loss $]]/USD_Holdings[[#This Row],[Book value]]</f>
        <v>-6.0233985868181046E-3</v>
      </c>
      <c r="P27" s="82"/>
      <c r="Q27" s="82">
        <f>USD_Holdings[[#This Row],[Purchase Price]]*(1+USD_Holdings[[#This Row],[Stop Target]])</f>
        <v>258.99</v>
      </c>
      <c r="R27" s="64"/>
    </row>
    <row r="28" spans="2:18" s="13" customFormat="1" ht="25.15" customHeight="1" x14ac:dyDescent="0.25">
      <c r="B28" s="11" t="s">
        <v>1332</v>
      </c>
      <c r="C28" s="11" t="e">
        <f ca="1">_xll.TheSymbol(USD_Holdings[[#This Row],[Symbol]])</f>
        <v>#NAME?</v>
      </c>
      <c r="D28" s="11" t="s">
        <v>1068</v>
      </c>
      <c r="E28" s="47">
        <v>43994</v>
      </c>
      <c r="F28" s="47"/>
      <c r="G28" s="94">
        <v>933</v>
      </c>
      <c r="H28" s="12">
        <v>51.32</v>
      </c>
      <c r="I28" s="12"/>
      <c r="J28" s="12" t="e">
        <f ca="1">_xll.Ask(USD_Holdings[[#This Row],[Symbol]])</f>
        <v>#NAME?</v>
      </c>
      <c r="K28" s="12"/>
      <c r="L28" s="12">
        <f>USD_Holdings[[#This Row],[Shares Held]]*USD_Holdings[[#This Row],[Purchase Price]]</f>
        <v>47881.56</v>
      </c>
      <c r="M28" s="12" t="e">
        <f ca="1"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#NAME?</v>
      </c>
      <c r="N28" s="83" t="e">
        <f ca="1">USD_Holdings[[#This Row],[Adjusted Value]]-USD_Holdings[[#This Row],[Book value]]</f>
        <v>#NAME?</v>
      </c>
      <c r="O28" s="82" t="e">
        <f ca="1">USD_Holdings[[#This Row],[Gain/Loss $]]/USD_Holdings[[#This Row],[Book value]]</f>
        <v>#NAME?</v>
      </c>
      <c r="P28" s="82"/>
      <c r="Q28" s="212">
        <f>USD_Holdings[[#This Row],[Purchase Price]]*(1+USD_Holdings[[#This Row],[Stop Target]])</f>
        <v>51.32</v>
      </c>
      <c r="R28" s="64"/>
    </row>
    <row r="29" spans="2:18" s="13" customFormat="1" ht="25.15" hidden="1" customHeight="1" x14ac:dyDescent="0.25">
      <c r="B29" s="11" t="s">
        <v>1304</v>
      </c>
      <c r="C29" s="11" t="e">
        <f ca="1">_xll.TheSymbol(USD_Holdings[[#This Row],[Symbol]])</f>
        <v>#NAME?</v>
      </c>
      <c r="D29" s="11" t="s">
        <v>259</v>
      </c>
      <c r="E29" s="47">
        <v>44004</v>
      </c>
      <c r="F29" s="47">
        <v>44006</v>
      </c>
      <c r="G29" s="94">
        <v>21166</v>
      </c>
      <c r="H29" s="12">
        <v>10.62</v>
      </c>
      <c r="I29" s="12">
        <v>11.11</v>
      </c>
      <c r="J29" s="12" t="e">
        <f ca="1">_xll.Ask(USD_Holdings[[#This Row],[Symbol]])</f>
        <v>#NAME?</v>
      </c>
      <c r="K29" s="12"/>
      <c r="L29" s="12">
        <f>USD_Holdings[[#This Row],[Shares Held]]*USD_Holdings[[#This Row],[Purchase Price]]</f>
        <v>224782.91999999998</v>
      </c>
      <c r="M29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235154.25999999998</v>
      </c>
      <c r="N29" s="83">
        <f>USD_Holdings[[#This Row],[Adjusted Value]]-USD_Holdings[[#This Row],[Book value]]</f>
        <v>10371.339999999997</v>
      </c>
      <c r="O29" s="82">
        <f>USD_Holdings[[#This Row],[Gain/Loss $]]/USD_Holdings[[#This Row],[Book value]]</f>
        <v>4.6139359698681721E-2</v>
      </c>
      <c r="P29" s="82"/>
      <c r="Q29" s="212">
        <f>USD_Holdings[[#This Row],[Purchase Price]]*(1+USD_Holdings[[#This Row],[Stop Target]])</f>
        <v>10.62</v>
      </c>
      <c r="R29" s="64"/>
    </row>
    <row r="30" spans="2:18" s="13" customFormat="1" ht="25.15" hidden="1" customHeight="1" x14ac:dyDescent="0.25">
      <c r="B30" s="11" t="s">
        <v>1304</v>
      </c>
      <c r="C30" s="11" t="e">
        <f ca="1">_xll.TheSymbol(USD_Holdings[[#This Row],[Symbol]])</f>
        <v>#NAME?</v>
      </c>
      <c r="D30" s="11" t="s">
        <v>259</v>
      </c>
      <c r="E30" s="47">
        <v>43973</v>
      </c>
      <c r="F30" s="47">
        <v>43979</v>
      </c>
      <c r="G30" s="94">
        <v>16950</v>
      </c>
      <c r="H30" s="12">
        <v>12.36</v>
      </c>
      <c r="I30" s="12">
        <v>11.11</v>
      </c>
      <c r="J30" s="12">
        <v>11.11</v>
      </c>
      <c r="K30" s="12"/>
      <c r="L30" s="12">
        <f>USD_Holdings[[#This Row],[Shares Held]]*USD_Holdings[[#This Row],[Purchase Price]]</f>
        <v>209502</v>
      </c>
      <c r="M30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188314.5</v>
      </c>
      <c r="N30" s="83">
        <f>USD_Holdings[[#This Row],[Adjusted Value]]-USD_Holdings[[#This Row],[Book value]]</f>
        <v>-21187.5</v>
      </c>
      <c r="O30" s="82">
        <f>USD_Holdings[[#This Row],[Gain/Loss $]]/USD_Holdings[[#This Row],[Book value]]</f>
        <v>-0.1011326860841424</v>
      </c>
      <c r="P30" s="82"/>
      <c r="Q30" s="81">
        <f>USD_Holdings[[#This Row],[Purchase Price]]*(1+USD_Holdings[[#This Row],[Stop Target]])</f>
        <v>12.36</v>
      </c>
      <c r="R30" s="64"/>
    </row>
    <row r="31" spans="2:18" s="13" customFormat="1" ht="25.15" hidden="1" customHeight="1" x14ac:dyDescent="0.25">
      <c r="B31" s="11" t="s">
        <v>819</v>
      </c>
      <c r="C31" s="11" t="e">
        <f ca="1">_xll.TheSymbol(USD_Holdings[[#This Row],[Symbol]])</f>
        <v>#NAME?</v>
      </c>
      <c r="D31" s="11" t="s">
        <v>259</v>
      </c>
      <c r="E31" s="47">
        <v>43993</v>
      </c>
      <c r="F31" s="47">
        <v>43994</v>
      </c>
      <c r="G31" s="94">
        <v>768</v>
      </c>
      <c r="H31" s="12">
        <v>278.63400000000001</v>
      </c>
      <c r="I31" s="12">
        <v>282</v>
      </c>
      <c r="J31" s="12">
        <v>282.7</v>
      </c>
      <c r="K31" s="12"/>
      <c r="L31" s="12">
        <f>USD_Holdings[[#This Row],[Shares Held]]*USD_Holdings[[#This Row],[Purchase Price]]</f>
        <v>213990.91200000001</v>
      </c>
      <c r="M31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216576</v>
      </c>
      <c r="N31" s="83">
        <f>USD_Holdings[[#This Row],[Adjusted Value]]-USD_Holdings[[#This Row],[Book value]]</f>
        <v>2585.0879999999888</v>
      </c>
      <c r="O31" s="82">
        <f>USD_Holdings[[#This Row],[Gain/Loss $]]/USD_Holdings[[#This Row],[Book value]]</f>
        <v>1.2080363487585812E-2</v>
      </c>
      <c r="P31" s="82"/>
      <c r="Q31" s="81">
        <f>USD_Holdings[[#This Row],[Purchase Price]]*(1+USD_Holdings[[#This Row],[Stop Target]])</f>
        <v>278.63400000000001</v>
      </c>
      <c r="R31" s="64"/>
    </row>
    <row r="32" spans="2:18" s="13" customFormat="1" ht="25.15" hidden="1" customHeight="1" x14ac:dyDescent="0.25">
      <c r="B32" s="11" t="s">
        <v>819</v>
      </c>
      <c r="C32" s="11" t="e">
        <f ca="1">_xll.TheSymbol(USD_Holdings[[#This Row],[Symbol]])</f>
        <v>#NAME?</v>
      </c>
      <c r="D32" s="11" t="s">
        <v>259</v>
      </c>
      <c r="E32" s="47">
        <v>43994</v>
      </c>
      <c r="F32" s="47">
        <v>43998</v>
      </c>
      <c r="G32" s="94">
        <v>780</v>
      </c>
      <c r="H32" s="12">
        <v>279.18</v>
      </c>
      <c r="I32" s="12">
        <v>287.76</v>
      </c>
      <c r="J32" s="12">
        <v>288.12</v>
      </c>
      <c r="K32" s="12"/>
      <c r="L32" s="12">
        <f>USD_Holdings[[#This Row],[Shares Held]]*USD_Holdings[[#This Row],[Purchase Price]]</f>
        <v>217760.4</v>
      </c>
      <c r="M32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224452.8</v>
      </c>
      <c r="N32" s="83">
        <f>USD_Holdings[[#This Row],[Adjusted Value]]-USD_Holdings[[#This Row],[Book value]]</f>
        <v>6692.3999999999942</v>
      </c>
      <c r="O32" s="82">
        <f>USD_Holdings[[#This Row],[Gain/Loss $]]/USD_Holdings[[#This Row],[Book value]]</f>
        <v>3.0732860520094538E-2</v>
      </c>
      <c r="P32" s="82">
        <v>-0.05</v>
      </c>
      <c r="Q32" s="81">
        <f>USD_Holdings[[#This Row],[Purchase Price]]*(1+USD_Holdings[[#This Row],[Stop Target]])</f>
        <v>265.221</v>
      </c>
      <c r="R32" s="64"/>
    </row>
    <row r="33" spans="2:18" s="13" customFormat="1" ht="25.15" hidden="1" customHeight="1" x14ac:dyDescent="0.25">
      <c r="B33" s="11" t="s">
        <v>1304</v>
      </c>
      <c r="C33" s="11" t="e">
        <f ca="1">_xll.TheSymbol(USD_Holdings[[#This Row],[Symbol]])</f>
        <v>#NAME?</v>
      </c>
      <c r="D33" s="11" t="s">
        <v>259</v>
      </c>
      <c r="E33" s="47">
        <v>43983</v>
      </c>
      <c r="F33" s="47">
        <v>43993</v>
      </c>
      <c r="G33" s="94">
        <v>16600</v>
      </c>
      <c r="H33" s="12">
        <v>11.46</v>
      </c>
      <c r="I33" s="12">
        <v>11.23</v>
      </c>
      <c r="J33" s="12">
        <v>11.53</v>
      </c>
      <c r="K33" s="12"/>
      <c r="L33" s="12">
        <f>USD_Holdings[[#This Row],[Shares Held]]*USD_Holdings[[#This Row],[Purchase Price]]</f>
        <v>190236</v>
      </c>
      <c r="M33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186418</v>
      </c>
      <c r="N33" s="83">
        <f>USD_Holdings[[#This Row],[Adjusted Value]]-USD_Holdings[[#This Row],[Book value]]</f>
        <v>-3818</v>
      </c>
      <c r="O33" s="82">
        <f>USD_Holdings[[#This Row],[Gain/Loss $]]/USD_Holdings[[#This Row],[Book value]]</f>
        <v>-2.006980802792321E-2</v>
      </c>
      <c r="P33" s="82">
        <v>-0.05</v>
      </c>
      <c r="Q33" s="81">
        <f>USD_Holdings[[#This Row],[Purchase Price]]*(1+USD_Holdings[[#This Row],[Stop Target]])</f>
        <v>10.887</v>
      </c>
      <c r="R33" s="64" t="s">
        <v>1336</v>
      </c>
    </row>
    <row r="34" spans="2:18" s="13" customFormat="1" ht="25.15" hidden="1" customHeight="1" x14ac:dyDescent="0.25">
      <c r="B34" s="11" t="s">
        <v>1304</v>
      </c>
      <c r="C34" s="11" t="e">
        <f ca="1">_xll.TheSymbol(USD_Holdings[[#This Row],[Symbol]])</f>
        <v>#NAME?</v>
      </c>
      <c r="D34" s="11" t="s">
        <v>259</v>
      </c>
      <c r="E34" s="47">
        <v>43973</v>
      </c>
      <c r="F34" s="47">
        <v>43973</v>
      </c>
      <c r="G34" s="94">
        <v>16800</v>
      </c>
      <c r="H34" s="12">
        <v>12.45</v>
      </c>
      <c r="I34" s="12">
        <v>12.65</v>
      </c>
      <c r="J34" s="12" t="e">
        <f ca="1">_xll.Ask(USD_Holdings[[#This Row],[Symbol]])</f>
        <v>#NAME?</v>
      </c>
      <c r="K34" s="12"/>
      <c r="L34" s="12">
        <f>USD_Holdings[[#This Row],[Shares Held]]*USD_Holdings[[#This Row],[Purchase Price]]</f>
        <v>209160</v>
      </c>
      <c r="M34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212520</v>
      </c>
      <c r="N34" s="83">
        <f>USD_Holdings[[#This Row],[Adjusted Value]]-USD_Holdings[[#This Row],[Book value]]</f>
        <v>3360</v>
      </c>
      <c r="O34" s="82">
        <f>USD_Holdings[[#This Row],[Gain/Loss $]]/USD_Holdings[[#This Row],[Book value]]</f>
        <v>1.6064257028112448E-2</v>
      </c>
      <c r="P34" s="82"/>
      <c r="Q34" s="81">
        <f>USD_Holdings[[#This Row],[Purchase Price]]*(1+USD_Holdings[[#This Row],[Stop Target]])</f>
        <v>12.45</v>
      </c>
      <c r="R34" s="64"/>
    </row>
    <row r="35" spans="2:18" s="13" customFormat="1" ht="25.15" hidden="1" customHeight="1" x14ac:dyDescent="0.25">
      <c r="B35" s="11" t="s">
        <v>1304</v>
      </c>
      <c r="C35" s="11" t="e">
        <f ca="1">_xll.TheSymbol(USD_Holdings[[#This Row],[Symbol]])</f>
        <v>#NAME?</v>
      </c>
      <c r="D35" s="11" t="s">
        <v>259</v>
      </c>
      <c r="E35" s="47">
        <v>43971</v>
      </c>
      <c r="F35" s="47">
        <v>43972</v>
      </c>
      <c r="G35" s="94">
        <v>16100</v>
      </c>
      <c r="H35" s="12">
        <v>12.4</v>
      </c>
      <c r="I35" s="12">
        <v>12.742800000000001</v>
      </c>
      <c r="J35" s="12">
        <v>12.742800000000001</v>
      </c>
      <c r="K35" s="12"/>
      <c r="L35" s="12">
        <f>USD_Holdings[[#This Row],[Shares Held]]*USD_Holdings[[#This Row],[Purchase Price]]</f>
        <v>199640</v>
      </c>
      <c r="M35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205159.08000000002</v>
      </c>
      <c r="N35" s="83">
        <f>USD_Holdings[[#This Row],[Adjusted Value]]-USD_Holdings[[#This Row],[Book value]]</f>
        <v>5519.0800000000163</v>
      </c>
      <c r="O35" s="82">
        <f>USD_Holdings[[#This Row],[Gain/Loss $]]/USD_Holdings[[#This Row],[Book value]]</f>
        <v>2.7645161290322663E-2</v>
      </c>
      <c r="P35" s="82"/>
      <c r="Q35" s="81">
        <f>USD_Holdings[[#This Row],[Purchase Price]]*(1+USD_Holdings[[#This Row],[Stop Target]])</f>
        <v>12.4</v>
      </c>
      <c r="R35" s="64"/>
    </row>
    <row r="36" spans="2:18" s="13" customFormat="1" ht="25.15" hidden="1" customHeight="1" x14ac:dyDescent="0.25">
      <c r="B36" s="11" t="s">
        <v>1304</v>
      </c>
      <c r="C36" s="11" t="e">
        <f ca="1">_xll.TheSymbol(USD_Holdings[[#This Row],[Symbol]])</f>
        <v>#NAME?</v>
      </c>
      <c r="D36" s="11" t="s">
        <v>259</v>
      </c>
      <c r="E36" s="47">
        <v>43969</v>
      </c>
      <c r="F36" s="47">
        <v>43970</v>
      </c>
      <c r="G36" s="94">
        <v>15493</v>
      </c>
      <c r="H36" s="12">
        <v>12.983000000000001</v>
      </c>
      <c r="I36" s="12">
        <v>13.35</v>
      </c>
      <c r="J36" s="12" t="e">
        <f ca="1">_xll.Ask(USD_Holdings[[#This Row],[Symbol]])</f>
        <v>#NAME?</v>
      </c>
      <c r="K36" s="12"/>
      <c r="L36" s="12">
        <f>USD_Holdings[[#This Row],[Shares Held]]*USD_Holdings[[#This Row],[Purchase Price]]</f>
        <v>201145.61900000001</v>
      </c>
      <c r="M36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206831.55</v>
      </c>
      <c r="N36" s="83">
        <f>USD_Holdings[[#This Row],[Adjusted Value]]-USD_Holdings[[#This Row],[Book value]]</f>
        <v>5685.9309999999823</v>
      </c>
      <c r="O36" s="82">
        <f>USD_Holdings[[#This Row],[Gain/Loss $]]/USD_Holdings[[#This Row],[Book value]]</f>
        <v>2.8267734730031489E-2</v>
      </c>
      <c r="P36" s="82"/>
      <c r="Q36" s="81">
        <f>USD_Holdings[[#This Row],[Purchase Price]]*(1+USD_Holdings[[#This Row],[Stop Target]])</f>
        <v>12.983000000000001</v>
      </c>
      <c r="R36" s="64"/>
    </row>
    <row r="37" spans="2:18" s="13" customFormat="1" ht="25.15" hidden="1" customHeight="1" x14ac:dyDescent="0.25">
      <c r="B37" s="11" t="s">
        <v>819</v>
      </c>
      <c r="C37" s="11" t="e">
        <f ca="1">_xll.TheSymbol(USD_Holdings[[#This Row],[Symbol]])</f>
        <v>#NAME?</v>
      </c>
      <c r="D37" s="11" t="s">
        <v>259</v>
      </c>
      <c r="E37" s="47">
        <v>43962</v>
      </c>
      <c r="F37" s="47">
        <v>43969</v>
      </c>
      <c r="G37" s="94">
        <v>740</v>
      </c>
      <c r="H37" s="12">
        <v>267.19</v>
      </c>
      <c r="I37" s="12">
        <v>269.99</v>
      </c>
      <c r="J37" s="12" t="e">
        <f ca="1">_xll.Ask(USD_Holdings[[#This Row],[Symbol]])</f>
        <v>#NAME?</v>
      </c>
      <c r="K37" s="12"/>
      <c r="L37" s="12">
        <f>USD_Holdings[[#This Row],[Shares Held]]*USD_Holdings[[#This Row],[Purchase Price]]</f>
        <v>197720.6</v>
      </c>
      <c r="M37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199792.6</v>
      </c>
      <c r="N37" s="83">
        <f>USD_Holdings[[#This Row],[Adjusted Value]]-USD_Holdings[[#This Row],[Book value]]</f>
        <v>2072</v>
      </c>
      <c r="O37" s="82">
        <f>USD_Holdings[[#This Row],[Gain/Loss $]]/USD_Holdings[[#This Row],[Book value]]</f>
        <v>1.0479434110558029E-2</v>
      </c>
      <c r="P37" s="82"/>
      <c r="Q37" s="81">
        <f>USD_Holdings[[#This Row],[Purchase Price]]*(1+USD_Holdings[[#This Row],[Stop Target]])</f>
        <v>267.19</v>
      </c>
      <c r="R37" s="64"/>
    </row>
    <row r="38" spans="2:18" s="13" customFormat="1" ht="25.15" customHeight="1" x14ac:dyDescent="0.25">
      <c r="B38" s="11" t="s">
        <v>1304</v>
      </c>
      <c r="C38" s="11" t="e">
        <f ca="1">_xll.TheSymbol(USD_Holdings[[#This Row],[Symbol]])</f>
        <v>#NAME?</v>
      </c>
      <c r="D38" s="11" t="s">
        <v>259</v>
      </c>
      <c r="E38" s="47">
        <v>44007</v>
      </c>
      <c r="F38" s="47"/>
      <c r="G38" s="94">
        <v>20770</v>
      </c>
      <c r="H38" s="12">
        <v>11.36</v>
      </c>
      <c r="I38" s="12"/>
      <c r="J38" s="12" t="e">
        <f ca="1">_xll.Ask(USD_Holdings[[#This Row],[Symbol]])</f>
        <v>#NAME?</v>
      </c>
      <c r="K38" s="12"/>
      <c r="L38" s="12">
        <f>USD_Holdings[[#This Row],[Shares Held]]*USD_Holdings[[#This Row],[Purchase Price]]</f>
        <v>235947.19999999998</v>
      </c>
      <c r="M38" s="12" t="e">
        <f ca="1"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#NAME?</v>
      </c>
      <c r="N38" s="83" t="e">
        <f ca="1">USD_Holdings[[#This Row],[Adjusted Value]]-USD_Holdings[[#This Row],[Book value]]</f>
        <v>#NAME?</v>
      </c>
      <c r="O38" s="82" t="e">
        <f ca="1">USD_Holdings[[#This Row],[Gain/Loss $]]/USD_Holdings[[#This Row],[Book value]]</f>
        <v>#NAME?</v>
      </c>
      <c r="P38" s="82"/>
      <c r="Q38" s="81">
        <f>USD_Holdings[[#This Row],[Purchase Price]]*(1+USD_Holdings[[#This Row],[Stop Target]])</f>
        <v>11.36</v>
      </c>
      <c r="R38" s="64"/>
    </row>
    <row r="39" spans="2:18" s="13" customFormat="1" ht="25.15" customHeight="1" x14ac:dyDescent="0.25">
      <c r="B39" s="11" t="s">
        <v>1027</v>
      </c>
      <c r="C39" s="11" t="e">
        <f ca="1">_xll.TheSymbol(USD_Holdings[[#This Row],[Symbol]])</f>
        <v>#NAME?</v>
      </c>
      <c r="D39" s="11" t="s">
        <v>379</v>
      </c>
      <c r="E39" s="47">
        <v>43951</v>
      </c>
      <c r="F39" s="47"/>
      <c r="G39" s="94">
        <v>825</v>
      </c>
      <c r="H39" s="12">
        <v>43.1</v>
      </c>
      <c r="I39" s="12"/>
      <c r="J39" s="12" t="e">
        <f ca="1">_xll.Ask(USD_Holdings[[#This Row],[Symbol]])</f>
        <v>#NAME?</v>
      </c>
      <c r="K39" s="12"/>
      <c r="L39" s="12">
        <f>USD_Holdings[[#This Row],[Shares Held]]*USD_Holdings[[#This Row],[Purchase Price]]</f>
        <v>35557.5</v>
      </c>
      <c r="M39" s="12" t="e">
        <f ca="1"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#NAME?</v>
      </c>
      <c r="N39" s="83" t="e">
        <f ca="1">USD_Holdings[[#This Row],[Adjusted Value]]-USD_Holdings[[#This Row],[Book value]]</f>
        <v>#NAME?</v>
      </c>
      <c r="O39" s="82" t="e">
        <f ca="1">USD_Holdings[[#This Row],[Gain/Loss $]]/USD_Holdings[[#This Row],[Book value]]</f>
        <v>#NAME?</v>
      </c>
      <c r="P39" s="82"/>
      <c r="Q39" s="81">
        <f>USD_Holdings[[#This Row],[Purchase Price]]*(1+USD_Holdings[[#This Row],[Stop Target]])</f>
        <v>43.1</v>
      </c>
      <c r="R39" s="64"/>
    </row>
    <row r="40" spans="2:18" s="13" customFormat="1" ht="25.15" hidden="1" customHeight="1" x14ac:dyDescent="0.25">
      <c r="B40" s="11" t="s">
        <v>1304</v>
      </c>
      <c r="C40" s="11" t="e">
        <f ca="1">_xll.TheSymbol(USD_Holdings[[#This Row],[Symbol]])</f>
        <v>#NAME?</v>
      </c>
      <c r="D40" s="11" t="s">
        <v>259</v>
      </c>
      <c r="E40" s="47">
        <v>43952</v>
      </c>
      <c r="F40" s="47">
        <v>43952</v>
      </c>
      <c r="G40" s="94">
        <v>14410</v>
      </c>
      <c r="H40" s="12">
        <v>14.57</v>
      </c>
      <c r="I40" s="12">
        <v>15.05</v>
      </c>
      <c r="J40" s="12">
        <v>15.05</v>
      </c>
      <c r="K40" s="12"/>
      <c r="L40" s="12">
        <f>USD_Holdings[[#This Row],[Shares Held]]*USD_Holdings[[#This Row],[Purchase Price]]</f>
        <v>209953.7</v>
      </c>
      <c r="M40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216870.5</v>
      </c>
      <c r="N40" s="83">
        <f>USD_Holdings[[#This Row],[Adjusted Value]]-USD_Holdings[[#This Row],[Book value]]</f>
        <v>6916.7999999999884</v>
      </c>
      <c r="O40" s="82">
        <f>USD_Holdings[[#This Row],[Gain/Loss $]]/USD_Holdings[[#This Row],[Book value]]</f>
        <v>3.2944406314344483E-2</v>
      </c>
      <c r="P40" s="82"/>
      <c r="Q40" s="82">
        <f>USD_Holdings[[#This Row],[Purchase Price]]*(1+USD_Holdings[[#This Row],[Stop Target]])</f>
        <v>14.57</v>
      </c>
      <c r="R40" s="64"/>
    </row>
    <row r="41" spans="2:18" s="13" customFormat="1" ht="25.15" hidden="1" customHeight="1" x14ac:dyDescent="0.25">
      <c r="B41" s="11" t="s">
        <v>819</v>
      </c>
      <c r="C41" s="11" t="e">
        <f ca="1">_xll.TheSymbol(USD_Holdings[[#This Row],[Symbol]])</f>
        <v>#NAME?</v>
      </c>
      <c r="D41" s="11" t="s">
        <v>259</v>
      </c>
      <c r="E41" s="47">
        <v>43951</v>
      </c>
      <c r="F41" s="47">
        <v>43952</v>
      </c>
      <c r="G41" s="94">
        <v>809</v>
      </c>
      <c r="H41" s="12">
        <v>265.68</v>
      </c>
      <c r="I41" s="12">
        <v>261.05</v>
      </c>
      <c r="J41" s="12" t="e">
        <f ca="1">_xll.Ask(USD_Holdings[[#This Row],[Symbol]])</f>
        <v>#NAME?</v>
      </c>
      <c r="K41" s="12"/>
      <c r="L41" s="12">
        <f>USD_Holdings[[#This Row],[Shares Held]]*USD_Holdings[[#This Row],[Purchase Price]]</f>
        <v>214935.12</v>
      </c>
      <c r="M41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211189.45</v>
      </c>
      <c r="N41" s="83">
        <f>USD_Holdings[[#This Row],[Adjusted Value]]-USD_Holdings[[#This Row],[Book value]]</f>
        <v>-3745.6699999999837</v>
      </c>
      <c r="O41" s="82">
        <f>USD_Holdings[[#This Row],[Gain/Loss $]]/USD_Holdings[[#This Row],[Book value]]</f>
        <v>-1.7426979825353732E-2</v>
      </c>
      <c r="P41" s="82"/>
      <c r="Q41" s="82">
        <f>USD_Holdings[[#This Row],[Purchase Price]]*(1+USD_Holdings[[#This Row],[Stop Target]])</f>
        <v>265.68</v>
      </c>
      <c r="R41" s="64"/>
    </row>
    <row r="42" spans="2:18" s="13" customFormat="1" ht="25.15" hidden="1" customHeight="1" x14ac:dyDescent="0.25">
      <c r="B42" s="11" t="s">
        <v>819</v>
      </c>
      <c r="C42" s="11" t="e">
        <f ca="1">_xll.TheSymbol(USD_Holdings[[#This Row],[Symbol]])</f>
        <v>#NAME?</v>
      </c>
      <c r="D42" s="11" t="s">
        <v>259</v>
      </c>
      <c r="E42" s="47">
        <v>43941</v>
      </c>
      <c r="F42" s="47">
        <v>43941</v>
      </c>
      <c r="G42" s="94">
        <v>791</v>
      </c>
      <c r="H42" s="12">
        <v>259.47000000000003</v>
      </c>
      <c r="I42" s="12">
        <v>259.47000000000003</v>
      </c>
      <c r="J42" s="12" t="e">
        <f ca="1">_xll.Ask(USD_Holdings[[#This Row],[Symbol]])</f>
        <v>#NAME?</v>
      </c>
      <c r="K42" s="12"/>
      <c r="L42" s="12">
        <f>USD_Holdings[[#This Row],[Shares Held]]*USD_Holdings[[#This Row],[Purchase Price]]</f>
        <v>205240.77000000002</v>
      </c>
      <c r="M42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205240.77000000002</v>
      </c>
      <c r="N42" s="83">
        <f>USD_Holdings[[#This Row],[Adjusted Value]]-USD_Holdings[[#This Row],[Book value]]</f>
        <v>0</v>
      </c>
      <c r="O42" s="82">
        <f>USD_Holdings[[#This Row],[Gain/Loss $]]/USD_Holdings[[#This Row],[Book value]]</f>
        <v>0</v>
      </c>
      <c r="P42" s="82"/>
      <c r="Q42" s="82">
        <f>USD_Holdings[[#This Row],[Purchase Price]]*(1+USD_Holdings[[#This Row],[Stop Target]])</f>
        <v>259.47000000000003</v>
      </c>
      <c r="R42" s="64"/>
    </row>
    <row r="43" spans="2:18" s="13" customFormat="1" ht="25.15" hidden="1" customHeight="1" x14ac:dyDescent="0.25">
      <c r="B43" s="11" t="s">
        <v>1003</v>
      </c>
      <c r="C43" s="11" t="e">
        <f ca="1">_xll.TheSymbol(USD_Holdings[[#This Row],[Symbol]])</f>
        <v>#NAME?</v>
      </c>
      <c r="D43" s="11" t="s">
        <v>259</v>
      </c>
      <c r="E43" s="47">
        <v>43937</v>
      </c>
      <c r="F43" s="47">
        <v>43937</v>
      </c>
      <c r="G43" s="94">
        <v>5785</v>
      </c>
      <c r="H43" s="12">
        <v>30.9</v>
      </c>
      <c r="I43" s="12">
        <v>30.3</v>
      </c>
      <c r="J43" s="12" t="e">
        <f ca="1">_xll.Ask(USD_Holdings[[#This Row],[Symbol]])</f>
        <v>#NAME?</v>
      </c>
      <c r="K43" s="12"/>
      <c r="L43" s="12">
        <f>USD_Holdings[[#This Row],[Shares Held]]*USD_Holdings[[#This Row],[Purchase Price]]</f>
        <v>178756.5</v>
      </c>
      <c r="M43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175285.5</v>
      </c>
      <c r="N43" s="83">
        <f>USD_Holdings[[#This Row],[Adjusted Value]]-USD_Holdings[[#This Row],[Book value]]</f>
        <v>-3471</v>
      </c>
      <c r="O43" s="82">
        <f>USD_Holdings[[#This Row],[Gain/Loss $]]/USD_Holdings[[#This Row],[Book value]]</f>
        <v>-1.9417475728155338E-2</v>
      </c>
      <c r="P43" s="82"/>
      <c r="Q43" s="82">
        <f>USD_Holdings[[#This Row],[Purchase Price]]*(1+USD_Holdings[[#This Row],[Stop Target]])</f>
        <v>30.9</v>
      </c>
      <c r="R43" s="64"/>
    </row>
    <row r="44" spans="2:18" s="13" customFormat="1" ht="25.15" hidden="1" customHeight="1" x14ac:dyDescent="0.25">
      <c r="B44" s="11" t="s">
        <v>1003</v>
      </c>
      <c r="C44" s="11" t="e">
        <f ca="1">_xll.TheSymbol(USD_Holdings[[#This Row],[Symbol]])</f>
        <v>#NAME?</v>
      </c>
      <c r="D44" s="11" t="s">
        <v>259</v>
      </c>
      <c r="E44" s="47">
        <v>43937</v>
      </c>
      <c r="F44" s="47">
        <v>43937</v>
      </c>
      <c r="G44" s="94">
        <v>5700</v>
      </c>
      <c r="H44" s="12">
        <v>31.01</v>
      </c>
      <c r="I44" s="12">
        <v>30.3</v>
      </c>
      <c r="J44" s="12" t="e">
        <f ca="1">_xll.Ask(USD_Holdings[[#This Row],[Symbol]])</f>
        <v>#NAME?</v>
      </c>
      <c r="K44" s="12"/>
      <c r="L44" s="12">
        <f>USD_Holdings[[#This Row],[Shares Held]]*USD_Holdings[[#This Row],[Purchase Price]]</f>
        <v>176757</v>
      </c>
      <c r="M44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172710</v>
      </c>
      <c r="N44" s="83">
        <f>USD_Holdings[[#This Row],[Adjusted Value]]-USD_Holdings[[#This Row],[Book value]]</f>
        <v>-4047</v>
      </c>
      <c r="O44" s="82">
        <f>USD_Holdings[[#This Row],[Gain/Loss $]]/USD_Holdings[[#This Row],[Book value]]</f>
        <v>-2.2895840051596259E-2</v>
      </c>
      <c r="P44" s="82"/>
      <c r="Q44" s="82">
        <f>USD_Holdings[[#This Row],[Purchase Price]]*(1+USD_Holdings[[#This Row],[Stop Target]])</f>
        <v>31.01</v>
      </c>
      <c r="R44" s="64"/>
    </row>
    <row r="45" spans="2:18" s="13" customFormat="1" ht="25.15" hidden="1" customHeight="1" x14ac:dyDescent="0.25">
      <c r="B45" s="11" t="s">
        <v>819</v>
      </c>
      <c r="C45" s="11" t="e">
        <f ca="1">_xll.TheSymbol(USD_Holdings[[#This Row],[Symbol]])</f>
        <v>#NAME?</v>
      </c>
      <c r="D45" s="11" t="s">
        <v>259</v>
      </c>
      <c r="E45" s="47">
        <v>43938</v>
      </c>
      <c r="F45" s="47">
        <v>43938</v>
      </c>
      <c r="G45" s="94">
        <v>777</v>
      </c>
      <c r="H45" s="12">
        <v>263.51</v>
      </c>
      <c r="I45" s="12">
        <v>264</v>
      </c>
      <c r="J45" s="12" t="e">
        <f ca="1">_xll.Ask(USD_Holdings[[#This Row],[Symbol]])</f>
        <v>#NAME?</v>
      </c>
      <c r="K45" s="12"/>
      <c r="L45" s="12">
        <f>USD_Holdings[[#This Row],[Shares Held]]*USD_Holdings[[#This Row],[Purchase Price]]</f>
        <v>204747.27</v>
      </c>
      <c r="M45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205128</v>
      </c>
      <c r="N45" s="83">
        <f>USD_Holdings[[#This Row],[Adjusted Value]]-USD_Holdings[[#This Row],[Book value]]</f>
        <v>380.73000000001048</v>
      </c>
      <c r="O45" s="82">
        <f>USD_Holdings[[#This Row],[Gain/Loss $]]/USD_Holdings[[#This Row],[Book value]]</f>
        <v>1.8595119729802039E-3</v>
      </c>
      <c r="P45" s="82"/>
      <c r="Q45" s="82">
        <f>USD_Holdings[[#This Row],[Purchase Price]]*(1+USD_Holdings[[#This Row],[Stop Target]])</f>
        <v>263.51</v>
      </c>
      <c r="R45" s="64"/>
    </row>
    <row r="46" spans="2:18" s="13" customFormat="1" ht="25.15" hidden="1" customHeight="1" x14ac:dyDescent="0.25">
      <c r="B46" s="11" t="s">
        <v>819</v>
      </c>
      <c r="C46" s="11" t="e">
        <f ca="1">_xll.TheSymbol(USD_Holdings[[#This Row],[Symbol]])</f>
        <v>#NAME?</v>
      </c>
      <c r="D46" s="11" t="s">
        <v>259</v>
      </c>
      <c r="E46" s="47">
        <v>43936</v>
      </c>
      <c r="F46" s="47">
        <v>43936</v>
      </c>
      <c r="G46" s="94">
        <v>820</v>
      </c>
      <c r="H46" s="12">
        <v>254.68</v>
      </c>
      <c r="I46" s="12">
        <v>255.97020000000001</v>
      </c>
      <c r="J46" s="12">
        <v>256</v>
      </c>
      <c r="K46" s="12"/>
      <c r="L46" s="12">
        <f>USD_Holdings[[#This Row],[Shares Held]]*USD_Holdings[[#This Row],[Purchase Price]]</f>
        <v>208837.6</v>
      </c>
      <c r="M46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209895.56400000001</v>
      </c>
      <c r="N46" s="83">
        <f>USD_Holdings[[#This Row],[Adjusted Value]]-USD_Holdings[[#This Row],[Book value]]</f>
        <v>1057.9640000000072</v>
      </c>
      <c r="O46" s="82">
        <f>USD_Holdings[[#This Row],[Gain/Loss $]]/USD_Holdings[[#This Row],[Book value]]</f>
        <v>5.0659651327155993E-3</v>
      </c>
      <c r="P46" s="82"/>
      <c r="Q46" s="82">
        <f>USD_Holdings[[#This Row],[Purchase Price]]*(1+USD_Holdings[[#This Row],[Stop Target]])</f>
        <v>254.68</v>
      </c>
      <c r="R46" s="64"/>
    </row>
    <row r="47" spans="2:18" s="13" customFormat="1" ht="25.15" hidden="1" customHeight="1" x14ac:dyDescent="0.25">
      <c r="B47" s="11" t="s">
        <v>929</v>
      </c>
      <c r="C47" s="11" t="e">
        <f ca="1">_xll.TheSymbol(USD_Holdings[[#This Row],[Symbol]])</f>
        <v>#NAME?</v>
      </c>
      <c r="D47" s="11" t="s">
        <v>259</v>
      </c>
      <c r="E47" s="47">
        <v>43936</v>
      </c>
      <c r="F47" s="47">
        <v>43936</v>
      </c>
      <c r="G47" s="94">
        <v>5630</v>
      </c>
      <c r="H47" s="12">
        <v>35.43</v>
      </c>
      <c r="I47" s="12">
        <v>36.75</v>
      </c>
      <c r="J47" s="12">
        <v>36.770000000000003</v>
      </c>
      <c r="K47" s="12"/>
      <c r="L47" s="12">
        <f>USD_Holdings[[#This Row],[Shares Held]]*USD_Holdings[[#This Row],[Purchase Price]]</f>
        <v>199470.9</v>
      </c>
      <c r="M47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206902.5</v>
      </c>
      <c r="N47" s="83">
        <f>USD_Holdings[[#This Row],[Adjusted Value]]-USD_Holdings[[#This Row],[Book value]]</f>
        <v>7431.6000000000058</v>
      </c>
      <c r="O47" s="82">
        <f>USD_Holdings[[#This Row],[Gain/Loss $]]/USD_Holdings[[#This Row],[Book value]]</f>
        <v>3.7256562235393767E-2</v>
      </c>
      <c r="P47" s="82"/>
      <c r="Q47" s="82">
        <f>USD_Holdings[[#This Row],[Purchase Price]]*(1+USD_Holdings[[#This Row],[Stop Target]])</f>
        <v>35.43</v>
      </c>
      <c r="R47" s="64"/>
    </row>
    <row r="48" spans="2:18" s="13" customFormat="1" ht="25.15" hidden="1" customHeight="1" x14ac:dyDescent="0.25">
      <c r="B48" s="11" t="s">
        <v>1027</v>
      </c>
      <c r="C48" s="11" t="e">
        <f ca="1">_xll.TheSymbol(USD_Holdings[[#This Row],[Symbol]])</f>
        <v>#NAME?</v>
      </c>
      <c r="D48" s="11" t="s">
        <v>379</v>
      </c>
      <c r="E48" s="47">
        <v>43829</v>
      </c>
      <c r="F48" s="47">
        <v>43917</v>
      </c>
      <c r="G48" s="94">
        <f>812+12</f>
        <v>824</v>
      </c>
      <c r="H48" s="12">
        <v>51.678800000000003</v>
      </c>
      <c r="I48" s="12">
        <v>40.44</v>
      </c>
      <c r="J48" s="12" t="e">
        <f ca="1">_xll.Ask(USD_Holdings[[#This Row],[Symbol]])</f>
        <v>#NAME?</v>
      </c>
      <c r="K48" s="12">
        <v>657.72</v>
      </c>
      <c r="L48" s="12">
        <f>USD_Holdings[[#This Row],[Shares Held]]*USD_Holdings[[#This Row],[Purchase Price]]</f>
        <v>42583.331200000001</v>
      </c>
      <c r="M48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33980.28</v>
      </c>
      <c r="N48" s="83">
        <f>USD_Holdings[[#This Row],[Adjusted Value]]-USD_Holdings[[#This Row],[Book value]]</f>
        <v>-8603.0512000000017</v>
      </c>
      <c r="O48" s="82">
        <f>USD_Holdings[[#This Row],[Gain/Loss $]]/USD_Holdings[[#This Row],[Book value]]</f>
        <v>-0.20202860972980904</v>
      </c>
      <c r="P48" s="82"/>
      <c r="Q48" s="82">
        <f>USD_Holdings[[#This Row],[Purchase Price]]*(1+USD_Holdings[[#This Row],[Stop Target]])</f>
        <v>51.678800000000003</v>
      </c>
      <c r="R48" s="64" t="s">
        <v>1065</v>
      </c>
    </row>
    <row r="49" spans="2:18" s="13" customFormat="1" ht="25.15" hidden="1" customHeight="1" x14ac:dyDescent="0.25">
      <c r="B49" s="11" t="s">
        <v>304</v>
      </c>
      <c r="C49" s="11" t="e">
        <f ca="1">_xll.TheSymbol(USD_Holdings[[#This Row],[Symbol]])</f>
        <v>#NAME?</v>
      </c>
      <c r="D49" s="11" t="s">
        <v>259</v>
      </c>
      <c r="E49" s="47">
        <v>43826</v>
      </c>
      <c r="F49" s="47">
        <v>43843</v>
      </c>
      <c r="G49" s="94">
        <v>343</v>
      </c>
      <c r="H49" s="12">
        <v>39.769399999999997</v>
      </c>
      <c r="I49" s="12">
        <v>40.170099999999998</v>
      </c>
      <c r="J49" s="12" t="e">
        <f ca="1">_xll.Ask(USD_Holdings[[#This Row],[Symbol]])</f>
        <v>#NAME?</v>
      </c>
      <c r="K49" s="12"/>
      <c r="L49" s="12">
        <f>USD_Holdings[[#This Row],[Shares Held]]*USD_Holdings[[#This Row],[Purchase Price]]</f>
        <v>13640.904199999999</v>
      </c>
      <c r="M49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13778.344299999999</v>
      </c>
      <c r="N49" s="83">
        <f>USD_Holdings[[#This Row],[Adjusted Value]]-USD_Holdings[[#This Row],[Book value]]</f>
        <v>137.4400999999998</v>
      </c>
      <c r="O49" s="82">
        <f>USD_Holdings[[#This Row],[Gain/Loss $]]/USD_Holdings[[#This Row],[Book value]]</f>
        <v>1.0075585751859456E-2</v>
      </c>
      <c r="P49" s="82"/>
      <c r="Q49" s="82">
        <f>USD_Holdings[[#This Row],[Purchase Price]]*(1+USD_Holdings[[#This Row],[Stop Target]])</f>
        <v>39.769399999999997</v>
      </c>
      <c r="R49" s="64"/>
    </row>
    <row r="50" spans="2:18" s="13" customFormat="1" ht="25.15" hidden="1" customHeight="1" x14ac:dyDescent="0.25">
      <c r="B50" s="11" t="s">
        <v>304</v>
      </c>
      <c r="C50" s="11" t="e">
        <f ca="1">_xll.TheSymbol(USD_Holdings[[#This Row],[Symbol]])</f>
        <v>#NAME?</v>
      </c>
      <c r="D50" s="11" t="s">
        <v>259</v>
      </c>
      <c r="E50" s="47">
        <v>43837</v>
      </c>
      <c r="F50" s="47">
        <v>43843</v>
      </c>
      <c r="G50" s="94">
        <v>3901</v>
      </c>
      <c r="H50" s="12">
        <v>39.840000000000003</v>
      </c>
      <c r="I50" s="12">
        <v>40.170099999999998</v>
      </c>
      <c r="J50" s="12" t="e">
        <f ca="1">_xll.Ask(USD_Holdings[[#This Row],[Symbol]])</f>
        <v>#NAME?</v>
      </c>
      <c r="K50" s="12"/>
      <c r="L50" s="12">
        <f>USD_Holdings[[#This Row],[Shares Held]]*USD_Holdings[[#This Row],[Purchase Price]]</f>
        <v>155415.84000000003</v>
      </c>
      <c r="M50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156703.5601</v>
      </c>
      <c r="N50" s="83">
        <f>USD_Holdings[[#This Row],[Adjusted Value]]-USD_Holdings[[#This Row],[Book value]]</f>
        <v>1287.7200999999768</v>
      </c>
      <c r="O50" s="82">
        <f>USD_Holdings[[#This Row],[Gain/Loss $]]/USD_Holdings[[#This Row],[Book value]]</f>
        <v>8.2856425702809745E-3</v>
      </c>
      <c r="P50" s="82"/>
      <c r="Q50" s="82">
        <f>USD_Holdings[[#This Row],[Purchase Price]]*(1+USD_Holdings[[#This Row],[Stop Target]])</f>
        <v>39.840000000000003</v>
      </c>
      <c r="R50" s="64"/>
    </row>
    <row r="51" spans="2:18" s="13" customFormat="1" ht="25.15" hidden="1" customHeight="1" x14ac:dyDescent="0.25">
      <c r="B51" s="11" t="s">
        <v>1026</v>
      </c>
      <c r="C51" s="11" t="e">
        <f ca="1">_xll.TheSymbol(USD_Holdings[[#This Row],[Symbol]])</f>
        <v>#NAME?</v>
      </c>
      <c r="D51" s="11" t="s">
        <v>379</v>
      </c>
      <c r="E51" s="47">
        <v>43818</v>
      </c>
      <c r="F51" s="47">
        <v>43829</v>
      </c>
      <c r="G51" s="94">
        <v>1204</v>
      </c>
      <c r="H51" s="12">
        <v>35.625</v>
      </c>
      <c r="I51" s="12">
        <v>35.655000000000001</v>
      </c>
      <c r="J51" s="12" t="e">
        <f ca="1">_xll.Ask(USD_Holdings[[#This Row],[Symbol]])</f>
        <v>#NAME?</v>
      </c>
      <c r="K51" s="12"/>
      <c r="L51" s="12">
        <f>USD_Holdings[[#This Row],[Shares Held]]*USD_Holdings[[#This Row],[Purchase Price]]</f>
        <v>42892.5</v>
      </c>
      <c r="M51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42928.62</v>
      </c>
      <c r="N51" s="83">
        <f>USD_Holdings[[#This Row],[Adjusted Value]]-USD_Holdings[[#This Row],[Book value]]</f>
        <v>36.120000000002619</v>
      </c>
      <c r="O51" s="82">
        <f>USD_Holdings[[#This Row],[Gain/Loss $]]/USD_Holdings[[#This Row],[Book value]]</f>
        <v>8.4210526315795582E-4</v>
      </c>
      <c r="P51" s="82"/>
      <c r="Q51" s="82">
        <f>USD_Holdings[[#This Row],[Purchase Price]]*(1+USD_Holdings[[#This Row],[Stop Target]])</f>
        <v>35.625</v>
      </c>
      <c r="R51" s="64"/>
    </row>
    <row r="52" spans="2:18" s="13" customFormat="1" ht="25.15" hidden="1" customHeight="1" x14ac:dyDescent="0.25">
      <c r="B52" s="11" t="s">
        <v>1025</v>
      </c>
      <c r="C52" s="11" t="e">
        <f ca="1">_xll.TheSymbol(USD_Holdings[[#This Row],[Symbol]])</f>
        <v>#NAME?</v>
      </c>
      <c r="D52" s="11" t="s">
        <v>259</v>
      </c>
      <c r="E52" s="47">
        <v>43817</v>
      </c>
      <c r="F52" s="47">
        <v>43829</v>
      </c>
      <c r="G52" s="94">
        <v>2884</v>
      </c>
      <c r="H52" s="12">
        <v>90.15</v>
      </c>
      <c r="I52" s="12">
        <v>91.35</v>
      </c>
      <c r="J52" s="12" t="e">
        <f ca="1">_xll.Ask(USD_Holdings[[#This Row],[Symbol]])</f>
        <v>#NAME?</v>
      </c>
      <c r="K52" s="12">
        <v>849.82</v>
      </c>
      <c r="L52" s="12">
        <f>USD_Holdings[[#This Row],[Shares Held]]*USD_Holdings[[#This Row],[Purchase Price]]</f>
        <v>259992.6</v>
      </c>
      <c r="M52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264303.21999999997</v>
      </c>
      <c r="N52" s="83">
        <f>USD_Holdings[[#This Row],[Adjusted Value]]-USD_Holdings[[#This Row],[Book value]]</f>
        <v>4310.6199999999662</v>
      </c>
      <c r="O52" s="82">
        <f>USD_Holdings[[#This Row],[Gain/Loss $]]/USD_Holdings[[#This Row],[Book value]]</f>
        <v>1.6579779578341714E-2</v>
      </c>
      <c r="P52" s="82"/>
      <c r="Q52" s="82">
        <f>USD_Holdings[[#This Row],[Purchase Price]]*(1+USD_Holdings[[#This Row],[Stop Target]])</f>
        <v>90.15</v>
      </c>
      <c r="R52" s="64"/>
    </row>
    <row r="53" spans="2:18" s="13" customFormat="1" ht="25.15" hidden="1" customHeight="1" x14ac:dyDescent="0.25">
      <c r="B53" s="11" t="s">
        <v>1019</v>
      </c>
      <c r="C53" s="11" t="e">
        <f ca="1">_xll.TheSymbol(USD_Holdings[[#This Row],[Symbol]])</f>
        <v>#NAME?</v>
      </c>
      <c r="D53" s="11" t="s">
        <v>259</v>
      </c>
      <c r="E53" s="47">
        <v>43803</v>
      </c>
      <c r="F53" s="47">
        <v>43805</v>
      </c>
      <c r="G53" s="94">
        <v>16785</v>
      </c>
      <c r="H53" s="12">
        <v>15.72</v>
      </c>
      <c r="I53" s="12">
        <v>15.6</v>
      </c>
      <c r="J53" s="12" t="e">
        <f ca="1">_xll.Ask(USD_Holdings[[#This Row],[Symbol]])</f>
        <v>#NAME?</v>
      </c>
      <c r="K53" s="12"/>
      <c r="L53" s="12">
        <f>USD_Holdings[[#This Row],[Shares Held]]*USD_Holdings[[#This Row],[Purchase Price]]</f>
        <v>263860.2</v>
      </c>
      <c r="M53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261846</v>
      </c>
      <c r="N53" s="83">
        <f>USD_Holdings[[#This Row],[Adjusted Value]]-USD_Holdings[[#This Row],[Book value]]</f>
        <v>-2014.2000000000116</v>
      </c>
      <c r="O53" s="82">
        <f>USD_Holdings[[#This Row],[Gain/Loss $]]/USD_Holdings[[#This Row],[Book value]]</f>
        <v>-7.6335877862595859E-3</v>
      </c>
      <c r="P53" s="82"/>
      <c r="Q53" s="82">
        <f>USD_Holdings[[#This Row],[Purchase Price]]*(1+USD_Holdings[[#This Row],[Stop Target]])</f>
        <v>15.72</v>
      </c>
      <c r="R53" s="64"/>
    </row>
    <row r="54" spans="2:18" s="13" customFormat="1" ht="25.15" hidden="1" customHeight="1" x14ac:dyDescent="0.25">
      <c r="B54" s="11" t="s">
        <v>1019</v>
      </c>
      <c r="C54" s="11" t="e">
        <f ca="1">_xll.TheSymbol(USD_Holdings[[#This Row],[Symbol]])</f>
        <v>#NAME?</v>
      </c>
      <c r="D54" s="11" t="s">
        <v>259</v>
      </c>
      <c r="E54" s="47">
        <v>43801</v>
      </c>
      <c r="F54" s="47">
        <v>43803</v>
      </c>
      <c r="G54" s="94">
        <v>16561</v>
      </c>
      <c r="H54" s="12">
        <v>15.81</v>
      </c>
      <c r="I54" s="12">
        <v>15.9101</v>
      </c>
      <c r="J54" s="12" t="e">
        <f ca="1">_xll.Ask(USD_Holdings[[#This Row],[Symbol]])</f>
        <v>#NAME?</v>
      </c>
      <c r="K54" s="12"/>
      <c r="L54" s="12">
        <f>USD_Holdings[[#This Row],[Shares Held]]*USD_Holdings[[#This Row],[Purchase Price]]</f>
        <v>261829.41</v>
      </c>
      <c r="M54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263487.16609999997</v>
      </c>
      <c r="N54" s="83">
        <f>USD_Holdings[[#This Row],[Adjusted Value]]-USD_Holdings[[#This Row],[Book value]]</f>
        <v>1657.7560999999696</v>
      </c>
      <c r="O54" s="82">
        <f>USD_Holdings[[#This Row],[Gain/Loss $]]/USD_Holdings[[#This Row],[Book value]]</f>
        <v>6.331435800126386E-3</v>
      </c>
      <c r="P54" s="82"/>
      <c r="Q54" s="82">
        <f>USD_Holdings[[#This Row],[Purchase Price]]*(1+USD_Holdings[[#This Row],[Stop Target]])</f>
        <v>15.81</v>
      </c>
      <c r="R54" s="64"/>
    </row>
    <row r="55" spans="2:18" s="13" customFormat="1" ht="25.15" hidden="1" customHeight="1" x14ac:dyDescent="0.25">
      <c r="B55" s="11" t="s">
        <v>1012</v>
      </c>
      <c r="C55" s="11" t="e">
        <f ca="1">_xll.TheSymbol(USD_Holdings[[#This Row],[Symbol]])</f>
        <v>#NAME?</v>
      </c>
      <c r="D55" s="11" t="s">
        <v>379</v>
      </c>
      <c r="E55" s="47">
        <v>43773</v>
      </c>
      <c r="F55" s="47">
        <v>43818</v>
      </c>
      <c r="G55" s="94">
        <v>1460</v>
      </c>
      <c r="H55" s="12">
        <v>28.772500000000001</v>
      </c>
      <c r="I55" s="12">
        <v>28.92</v>
      </c>
      <c r="J55" s="12" t="e">
        <f ca="1">_xll.Ask(USD_Holdings[[#This Row],[Symbol]])</f>
        <v>#NAME?</v>
      </c>
      <c r="K55" s="12"/>
      <c r="L55" s="12">
        <f>USD_Holdings[[#This Row],[Shares Held]]*USD_Holdings[[#This Row],[Purchase Price]]</f>
        <v>42007.85</v>
      </c>
      <c r="M55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42223.200000000004</v>
      </c>
      <c r="N55" s="83">
        <f>USD_Holdings[[#This Row],[Adjusted Value]]-USD_Holdings[[#This Row],[Book value]]</f>
        <v>215.35000000000582</v>
      </c>
      <c r="O55" s="82">
        <f>USD_Holdings[[#This Row],[Gain/Loss $]]/USD_Holdings[[#This Row],[Book value]]</f>
        <v>5.1264227995483184E-3</v>
      </c>
      <c r="P55" s="82"/>
      <c r="Q55" s="82">
        <f>USD_Holdings[[#This Row],[Purchase Price]]*(1+USD_Holdings[[#This Row],[Stop Target]])</f>
        <v>28.772500000000001</v>
      </c>
      <c r="R55" s="64"/>
    </row>
    <row r="56" spans="2:18" s="13" customFormat="1" ht="25.15" hidden="1" customHeight="1" x14ac:dyDescent="0.25">
      <c r="B56" s="11" t="s">
        <v>1019</v>
      </c>
      <c r="C56" s="11" t="e">
        <f ca="1">_xll.TheSymbol(USD_Holdings[[#This Row],[Symbol]])</f>
        <v>#NAME?</v>
      </c>
      <c r="D56" s="11" t="s">
        <v>259</v>
      </c>
      <c r="E56" s="47">
        <v>43773</v>
      </c>
      <c r="F56" s="47">
        <v>43777</v>
      </c>
      <c r="G56" s="94">
        <v>16540</v>
      </c>
      <c r="H56" s="12">
        <v>16.86</v>
      </c>
      <c r="I56" s="12">
        <v>15.72</v>
      </c>
      <c r="J56" s="12" t="e">
        <f ca="1">_xll.Ask(USD_Holdings[[#This Row],[Symbol]])</f>
        <v>#NAME?</v>
      </c>
      <c r="K56" s="12"/>
      <c r="L56" s="12">
        <f>USD_Holdings[[#This Row],[Shares Held]]*USD_Holdings[[#This Row],[Purchase Price]]</f>
        <v>278864.39999999997</v>
      </c>
      <c r="M56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260008.80000000002</v>
      </c>
      <c r="N56" s="83">
        <f>USD_Holdings[[#This Row],[Adjusted Value]]-USD_Holdings[[#This Row],[Book value]]</f>
        <v>-18855.599999999948</v>
      </c>
      <c r="O56" s="82">
        <f>USD_Holdings[[#This Row],[Gain/Loss $]]/USD_Holdings[[#This Row],[Book value]]</f>
        <v>-6.7615658362989148E-2</v>
      </c>
      <c r="P56" s="82"/>
      <c r="Q56" s="82">
        <f>USD_Holdings[[#This Row],[Purchase Price]]*(1+USD_Holdings[[#This Row],[Stop Target]])</f>
        <v>16.86</v>
      </c>
      <c r="R56" s="64"/>
    </row>
    <row r="57" spans="2:18" s="13" customFormat="1" ht="25.15" hidden="1" customHeight="1" x14ac:dyDescent="0.25">
      <c r="B57" s="11" t="s">
        <v>1019</v>
      </c>
      <c r="C57" s="11" t="e">
        <f ca="1">_xll.TheSymbol(USD_Holdings[[#This Row],[Symbol]])</f>
        <v>#NAME?</v>
      </c>
      <c r="D57" s="11" t="s">
        <v>259</v>
      </c>
      <c r="E57" s="47">
        <v>43769</v>
      </c>
      <c r="F57" s="47">
        <v>43770</v>
      </c>
      <c r="G57" s="94">
        <v>16585</v>
      </c>
      <c r="H57" s="12">
        <v>16.87</v>
      </c>
      <c r="I57" s="12">
        <v>16.84</v>
      </c>
      <c r="J57" s="12" t="e">
        <f ca="1">_xll.Ask(USD_Holdings[[#This Row],[Symbol]])</f>
        <v>#NAME?</v>
      </c>
      <c r="K57" s="12"/>
      <c r="L57" s="12">
        <f>USD_Holdings[[#This Row],[Shares Held]]*USD_Holdings[[#This Row],[Purchase Price]]</f>
        <v>279788.95</v>
      </c>
      <c r="M57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279291.40000000002</v>
      </c>
      <c r="N57" s="83">
        <f>USD_Holdings[[#This Row],[Adjusted Value]]-USD_Holdings[[#This Row],[Book value]]</f>
        <v>-497.54999999998836</v>
      </c>
      <c r="O57" s="82">
        <f>USD_Holdings[[#This Row],[Gain/Loss $]]/USD_Holdings[[#This Row],[Book value]]</f>
        <v>-1.7783046828689566E-3</v>
      </c>
      <c r="P57" s="82"/>
      <c r="Q57" s="82">
        <f>USD_Holdings[[#This Row],[Purchase Price]]*(1+USD_Holdings[[#This Row],[Stop Target]])</f>
        <v>16.87</v>
      </c>
      <c r="R57" s="64"/>
    </row>
    <row r="58" spans="2:18" s="13" customFormat="1" ht="25.15" hidden="1" customHeight="1" x14ac:dyDescent="0.25">
      <c r="B58" s="11" t="s">
        <v>1019</v>
      </c>
      <c r="C58" s="11" t="e">
        <f ca="1">_xll.TheSymbol(USD_Holdings[[#This Row],[Symbol]])</f>
        <v>#NAME?</v>
      </c>
      <c r="D58" s="11" t="s">
        <v>259</v>
      </c>
      <c r="E58" s="47">
        <v>43763</v>
      </c>
      <c r="F58" s="47">
        <v>43769</v>
      </c>
      <c r="G58" s="94">
        <v>16520</v>
      </c>
      <c r="H58" s="12">
        <v>16.82</v>
      </c>
      <c r="I58" s="12">
        <v>16.899999999999999</v>
      </c>
      <c r="J58" s="12" t="e">
        <f ca="1">_xll.Ask(USD_Holdings[[#This Row],[Symbol]])</f>
        <v>#NAME?</v>
      </c>
      <c r="K58" s="12"/>
      <c r="L58" s="12">
        <f>USD_Holdings[[#This Row],[Shares Held]]*USD_Holdings[[#This Row],[Purchase Price]]</f>
        <v>277866.40000000002</v>
      </c>
      <c r="M58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279188</v>
      </c>
      <c r="N58" s="83">
        <f>USD_Holdings[[#This Row],[Adjusted Value]]-USD_Holdings[[#This Row],[Book value]]</f>
        <v>1321.5999999999767</v>
      </c>
      <c r="O58" s="82">
        <f>USD_Holdings[[#This Row],[Gain/Loss $]]/USD_Holdings[[#This Row],[Book value]]</f>
        <v>4.7562425683709024E-3</v>
      </c>
      <c r="P58" s="82"/>
      <c r="Q58" s="82">
        <f>USD_Holdings[[#This Row],[Purchase Price]]*(1+USD_Holdings[[#This Row],[Stop Target]])</f>
        <v>16.82</v>
      </c>
      <c r="R58" s="64"/>
    </row>
    <row r="59" spans="2:18" s="13" customFormat="1" ht="25.15" hidden="1" customHeight="1" x14ac:dyDescent="0.25">
      <c r="B59" s="11" t="s">
        <v>1019</v>
      </c>
      <c r="C59" s="11" t="e">
        <f ca="1">_xll.TheSymbol(USD_Holdings[[#This Row],[Symbol]])</f>
        <v>#NAME?</v>
      </c>
      <c r="D59" s="11" t="s">
        <v>259</v>
      </c>
      <c r="E59" s="47">
        <v>43752</v>
      </c>
      <c r="F59" s="47">
        <v>43763</v>
      </c>
      <c r="G59" s="94">
        <v>16254</v>
      </c>
      <c r="H59" s="12">
        <v>16.1999</v>
      </c>
      <c r="I59" s="12">
        <v>17.079999999999998</v>
      </c>
      <c r="J59" s="12" t="e">
        <f ca="1">_xll.Ask(USD_Holdings[[#This Row],[Symbol]])</f>
        <v>#NAME?</v>
      </c>
      <c r="K59" s="12"/>
      <c r="L59" s="12">
        <f>USD_Holdings[[#This Row],[Shares Held]]*USD_Holdings[[#This Row],[Purchase Price]]</f>
        <v>263313.17459999997</v>
      </c>
      <c r="M59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277618.31999999995</v>
      </c>
      <c r="N59" s="83">
        <f>USD_Holdings[[#This Row],[Adjusted Value]]-USD_Holdings[[#This Row],[Book value]]</f>
        <v>14305.145399999979</v>
      </c>
      <c r="O59" s="82">
        <f>USD_Holdings[[#This Row],[Gain/Loss $]]/USD_Holdings[[#This Row],[Book value]]</f>
        <v>5.4327495848739735E-2</v>
      </c>
      <c r="P59" s="82"/>
      <c r="Q59" s="82">
        <f>USD_Holdings[[#This Row],[Purchase Price]]*(1+USD_Holdings[[#This Row],[Stop Target]])</f>
        <v>16.1999</v>
      </c>
      <c r="R59" s="64"/>
    </row>
    <row r="60" spans="2:18" s="13" customFormat="1" ht="25.15" hidden="1" customHeight="1" x14ac:dyDescent="0.25">
      <c r="B60" s="11" t="s">
        <v>1003</v>
      </c>
      <c r="C60" s="11" t="e">
        <f ca="1">_xll.TheSymbol(USD_Holdings[[#This Row],[Symbol]])</f>
        <v>#NAME?</v>
      </c>
      <c r="D60" s="11" t="s">
        <v>259</v>
      </c>
      <c r="E60" s="47">
        <v>43749</v>
      </c>
      <c r="F60" s="47">
        <v>43749</v>
      </c>
      <c r="G60" s="94">
        <v>9835</v>
      </c>
      <c r="H60" s="12">
        <v>27.259799999999998</v>
      </c>
      <c r="I60" s="12">
        <v>26.92</v>
      </c>
      <c r="J60" s="12" t="e">
        <f ca="1">_xll.Ask(USD_Holdings[[#This Row],[Symbol]])</f>
        <v>#NAME?</v>
      </c>
      <c r="K60" s="12"/>
      <c r="L60" s="12">
        <f>USD_Holdings[[#This Row],[Shares Held]]*USD_Holdings[[#This Row],[Purchase Price]]</f>
        <v>268100.13299999997</v>
      </c>
      <c r="M60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264758.2</v>
      </c>
      <c r="N60" s="83">
        <f>USD_Holdings[[#This Row],[Adjusted Value]]-USD_Holdings[[#This Row],[Book value]]</f>
        <v>-3341.9329999999609</v>
      </c>
      <c r="O60" s="82">
        <f>USD_Holdings[[#This Row],[Gain/Loss $]]/USD_Holdings[[#This Row],[Book value]]</f>
        <v>-1.2465241857973869E-2</v>
      </c>
      <c r="P60" s="82"/>
      <c r="Q60" s="82">
        <f>USD_Holdings[[#This Row],[Purchase Price]]*(1+USD_Holdings[[#This Row],[Stop Target]])</f>
        <v>27.259799999999998</v>
      </c>
      <c r="R60" s="64"/>
    </row>
    <row r="61" spans="2:18" s="13" customFormat="1" ht="25.15" hidden="1" customHeight="1" x14ac:dyDescent="0.25">
      <c r="B61" s="11" t="s">
        <v>1019</v>
      </c>
      <c r="C61" s="11" t="e">
        <f ca="1">_xll.TheSymbol(USD_Holdings[[#This Row],[Symbol]])</f>
        <v>#NAME?</v>
      </c>
      <c r="D61" s="11" t="s">
        <v>259</v>
      </c>
      <c r="E61" s="47">
        <v>43748</v>
      </c>
      <c r="F61" s="47">
        <v>43749</v>
      </c>
      <c r="G61" s="94">
        <v>16534</v>
      </c>
      <c r="H61" s="12">
        <v>16.39</v>
      </c>
      <c r="I61" s="12">
        <v>16.29</v>
      </c>
      <c r="J61" s="12" t="e">
        <f ca="1">_xll.Ask(USD_Holdings[[#This Row],[Symbol]])</f>
        <v>#NAME?</v>
      </c>
      <c r="K61" s="12"/>
      <c r="L61" s="12">
        <f>USD_Holdings[[#This Row],[Shares Held]]*USD_Holdings[[#This Row],[Purchase Price]]</f>
        <v>270992.26</v>
      </c>
      <c r="M61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269338.86</v>
      </c>
      <c r="N61" s="83">
        <f>USD_Holdings[[#This Row],[Adjusted Value]]-USD_Holdings[[#This Row],[Book value]]</f>
        <v>-1653.4000000000233</v>
      </c>
      <c r="O61" s="82">
        <f>USD_Holdings[[#This Row],[Gain/Loss $]]/USD_Holdings[[#This Row],[Book value]]</f>
        <v>-6.1012812690665894E-3</v>
      </c>
      <c r="P61" s="82"/>
      <c r="Q61" s="82">
        <f>USD_Holdings[[#This Row],[Purchase Price]]*(1+USD_Holdings[[#This Row],[Stop Target]])</f>
        <v>16.39</v>
      </c>
      <c r="R61" s="64"/>
    </row>
    <row r="62" spans="2:18" s="13" customFormat="1" ht="25.15" hidden="1" customHeight="1" x14ac:dyDescent="0.25">
      <c r="B62" s="11" t="s">
        <v>1019</v>
      </c>
      <c r="C62" s="11" t="e">
        <f ca="1">_xll.TheSymbol(USD_Holdings[[#This Row],[Symbol]])</f>
        <v>#NAME?</v>
      </c>
      <c r="D62" s="11" t="s">
        <v>259</v>
      </c>
      <c r="E62" s="47">
        <v>43738</v>
      </c>
      <c r="F62" s="47">
        <v>43742</v>
      </c>
      <c r="G62" s="94">
        <v>16645</v>
      </c>
      <c r="H62" s="12">
        <v>15.86</v>
      </c>
      <c r="I62" s="12">
        <v>16.29</v>
      </c>
      <c r="J62" s="12" t="e">
        <f ca="1">_xll.Ask(USD_Holdings[[#This Row],[Symbol]])</f>
        <v>#NAME?</v>
      </c>
      <c r="K62" s="12"/>
      <c r="L62" s="12">
        <f>USD_Holdings[[#This Row],[Shares Held]]*USD_Holdings[[#This Row],[Purchase Price]]</f>
        <v>263989.7</v>
      </c>
      <c r="M62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271147.05</v>
      </c>
      <c r="N62" s="83">
        <f>USD_Holdings[[#This Row],[Adjusted Value]]-USD_Holdings[[#This Row],[Book value]]</f>
        <v>7157.3499999999767</v>
      </c>
      <c r="O62" s="82">
        <f>USD_Holdings[[#This Row],[Gain/Loss $]]/USD_Holdings[[#This Row],[Book value]]</f>
        <v>2.7112232030264728E-2</v>
      </c>
      <c r="P62" s="82"/>
      <c r="Q62" s="82">
        <f>USD_Holdings[[#This Row],[Purchase Price]]*(1+USD_Holdings[[#This Row],[Stop Target]])</f>
        <v>15.86</v>
      </c>
      <c r="R62" s="64"/>
    </row>
    <row r="63" spans="2:18" s="13" customFormat="1" ht="25.15" hidden="1" customHeight="1" x14ac:dyDescent="0.25">
      <c r="B63" s="11" t="s">
        <v>1019</v>
      </c>
      <c r="C63" s="11" t="e">
        <f ca="1">_xll.TheSymbol(USD_Holdings[[#This Row],[Symbol]])</f>
        <v>#NAME?</v>
      </c>
      <c r="D63" s="11" t="s">
        <v>259</v>
      </c>
      <c r="E63" s="47">
        <v>43733</v>
      </c>
      <c r="F63" s="47">
        <v>43734</v>
      </c>
      <c r="G63" s="94">
        <v>16042</v>
      </c>
      <c r="H63" s="12">
        <v>16.93</v>
      </c>
      <c r="I63" s="12">
        <v>16.66</v>
      </c>
      <c r="J63" s="12" t="e">
        <f ca="1">_xll.Ask(USD_Holdings[[#This Row],[Symbol]])</f>
        <v>#NAME?</v>
      </c>
      <c r="K63" s="12"/>
      <c r="L63" s="12">
        <f>USD_Holdings[[#This Row],[Shares Held]]*USD_Holdings[[#This Row],[Purchase Price]]</f>
        <v>271591.06</v>
      </c>
      <c r="M63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267259.72000000003</v>
      </c>
      <c r="N63" s="83">
        <f>USD_Holdings[[#This Row],[Adjusted Value]]-USD_Holdings[[#This Row],[Book value]]</f>
        <v>-4331.3399999999674</v>
      </c>
      <c r="O63" s="82">
        <f>USD_Holdings[[#This Row],[Gain/Loss $]]/USD_Holdings[[#This Row],[Book value]]</f>
        <v>-1.5948021264028233E-2</v>
      </c>
      <c r="P63" s="82"/>
      <c r="Q63" s="82">
        <f>USD_Holdings[[#This Row],[Purchase Price]]*(1+USD_Holdings[[#This Row],[Stop Target]])</f>
        <v>16.93</v>
      </c>
      <c r="R63" s="64"/>
    </row>
    <row r="64" spans="2:18" s="13" customFormat="1" ht="25.15" hidden="1" customHeight="1" x14ac:dyDescent="0.25">
      <c r="B64" s="11" t="s">
        <v>1019</v>
      </c>
      <c r="C64" s="11" t="e">
        <f ca="1">_xll.TheSymbol(USD_Holdings[[#This Row],[Symbol]])</f>
        <v>#NAME?</v>
      </c>
      <c r="D64" s="11" t="s">
        <v>259</v>
      </c>
      <c r="E64" s="47">
        <v>43728</v>
      </c>
      <c r="F64" s="47">
        <v>43732</v>
      </c>
      <c r="G64" s="94">
        <v>15890</v>
      </c>
      <c r="H64" s="12">
        <v>16.670000000000002</v>
      </c>
      <c r="I64" s="12">
        <v>17.190000000000001</v>
      </c>
      <c r="J64" s="12" t="e">
        <f ca="1">_xll.Ask(USD_Holdings[[#This Row],[Symbol]])</f>
        <v>#NAME?</v>
      </c>
      <c r="K64" s="12"/>
      <c r="L64" s="12">
        <f>USD_Holdings[[#This Row],[Shares Held]]*USD_Holdings[[#This Row],[Purchase Price]]</f>
        <v>264886.30000000005</v>
      </c>
      <c r="M64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273149.10000000003</v>
      </c>
      <c r="N64" s="83">
        <f>USD_Holdings[[#This Row],[Adjusted Value]]-USD_Holdings[[#This Row],[Book value]]</f>
        <v>8262.7999999999884</v>
      </c>
      <c r="O64" s="82">
        <f>USD_Holdings[[#This Row],[Gain/Loss $]]/USD_Holdings[[#This Row],[Book value]]</f>
        <v>3.11937612477504E-2</v>
      </c>
      <c r="P64" s="82"/>
      <c r="Q64" s="82">
        <f>USD_Holdings[[#This Row],[Purchase Price]]*(1+USD_Holdings[[#This Row],[Stop Target]])</f>
        <v>16.670000000000002</v>
      </c>
      <c r="R64" s="64"/>
    </row>
    <row r="65" spans="2:18" s="13" customFormat="1" ht="25.15" hidden="1" customHeight="1" x14ac:dyDescent="0.25">
      <c r="B65" s="11" t="s">
        <v>1023</v>
      </c>
      <c r="C65" s="11" t="e">
        <f ca="1">_xll.TheSymbol(USD_Holdings[[#This Row],[Symbol]])</f>
        <v>#NAME?</v>
      </c>
      <c r="D65" s="11" t="s">
        <v>259</v>
      </c>
      <c r="E65" s="47">
        <v>43726</v>
      </c>
      <c r="F65" s="47">
        <v>43726</v>
      </c>
      <c r="G65" s="94">
        <v>3332</v>
      </c>
      <c r="H65" s="12">
        <v>80.209999999999994</v>
      </c>
      <c r="I65" s="12">
        <v>79.415999999999997</v>
      </c>
      <c r="J65" s="12" t="e">
        <f ca="1">_xll.Ask(USD_Holdings[[#This Row],[Symbol]])</f>
        <v>#NAME?</v>
      </c>
      <c r="K65" s="12"/>
      <c r="L65" s="12">
        <f>USD_Holdings[[#This Row],[Shares Held]]*USD_Holdings[[#This Row],[Purchase Price]]</f>
        <v>267259.71999999997</v>
      </c>
      <c r="M65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264614.11199999996</v>
      </c>
      <c r="N65" s="83">
        <f>USD_Holdings[[#This Row],[Adjusted Value]]-USD_Holdings[[#This Row],[Book value]]</f>
        <v>-2645.6080000000075</v>
      </c>
      <c r="O65" s="82">
        <f>USD_Holdings[[#This Row],[Gain/Loss $]]/USD_Holdings[[#This Row],[Book value]]</f>
        <v>-9.8990150854008519E-3</v>
      </c>
      <c r="P65" s="82"/>
      <c r="Q65" s="82">
        <f>USD_Holdings[[#This Row],[Purchase Price]]*(1+USD_Holdings[[#This Row],[Stop Target]])</f>
        <v>80.209999999999994</v>
      </c>
      <c r="R65" s="64"/>
    </row>
    <row r="66" spans="2:18" s="13" customFormat="1" ht="25.15" hidden="1" customHeight="1" x14ac:dyDescent="0.25">
      <c r="B66" s="11" t="s">
        <v>1022</v>
      </c>
      <c r="C66" s="11" t="e">
        <f ca="1">_xll.TheSymbol(USD_Holdings[[#This Row],[Symbol]])</f>
        <v>#NAME?</v>
      </c>
      <c r="D66" s="11" t="s">
        <v>379</v>
      </c>
      <c r="E66" s="47">
        <v>43725</v>
      </c>
      <c r="F66" s="47">
        <v>43738</v>
      </c>
      <c r="G66" s="94">
        <v>1237</v>
      </c>
      <c r="H66" s="12">
        <v>34.11</v>
      </c>
      <c r="I66" s="12">
        <v>33.54</v>
      </c>
      <c r="J66" s="12" t="e">
        <f ca="1">_xll.Ask(USD_Holdings[[#This Row],[Symbol]])</f>
        <v>#NAME?</v>
      </c>
      <c r="K66" s="12"/>
      <c r="L66" s="12">
        <f>USD_Holdings[[#This Row],[Shares Held]]*USD_Holdings[[#This Row],[Purchase Price]]</f>
        <v>42194.07</v>
      </c>
      <c r="M66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41488.979999999996</v>
      </c>
      <c r="N66" s="83">
        <f>USD_Holdings[[#This Row],[Adjusted Value]]-USD_Holdings[[#This Row],[Book value]]</f>
        <v>-705.09000000000378</v>
      </c>
      <c r="O66" s="82">
        <f>USD_Holdings[[#This Row],[Gain/Loss $]]/USD_Holdings[[#This Row],[Book value]]</f>
        <v>-1.6710642040457434E-2</v>
      </c>
      <c r="P66" s="82"/>
      <c r="Q66" s="82">
        <f>USD_Holdings[[#This Row],[Purchase Price]]*(1+USD_Holdings[[#This Row],[Stop Target]])</f>
        <v>34.11</v>
      </c>
      <c r="R66" s="64"/>
    </row>
    <row r="67" spans="2:18" s="13" customFormat="1" ht="25.15" hidden="1" customHeight="1" x14ac:dyDescent="0.25">
      <c r="B67" s="11" t="s">
        <v>1019</v>
      </c>
      <c r="C67" s="11" t="e">
        <f ca="1">_xll.TheSymbol(USD_Holdings[[#This Row],[Symbol]])</f>
        <v>#NAME?</v>
      </c>
      <c r="D67" s="11" t="s">
        <v>259</v>
      </c>
      <c r="E67" s="47">
        <v>43717</v>
      </c>
      <c r="F67" s="47">
        <v>43726</v>
      </c>
      <c r="G67" s="94">
        <v>15973</v>
      </c>
      <c r="H67" s="12">
        <v>16.739999999999998</v>
      </c>
      <c r="I67" s="12">
        <v>16.739999999999998</v>
      </c>
      <c r="J67" s="12" t="e">
        <f ca="1">_xll.Ask(USD_Holdings[[#This Row],[Symbol]])</f>
        <v>#NAME?</v>
      </c>
      <c r="K67" s="12"/>
      <c r="L67" s="12">
        <f>USD_Holdings[[#This Row],[Shares Held]]*USD_Holdings[[#This Row],[Purchase Price]]</f>
        <v>267388.01999999996</v>
      </c>
      <c r="M67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267388.01999999996</v>
      </c>
      <c r="N67" s="83">
        <f>USD_Holdings[[#This Row],[Adjusted Value]]-USD_Holdings[[#This Row],[Book value]]</f>
        <v>0</v>
      </c>
      <c r="O67" s="82">
        <f>USD_Holdings[[#This Row],[Gain/Loss $]]/USD_Holdings[[#This Row],[Book value]]</f>
        <v>0</v>
      </c>
      <c r="P67" s="82"/>
      <c r="Q67" s="82">
        <f>USD_Holdings[[#This Row],[Purchase Price]]*(1+USD_Holdings[[#This Row],[Stop Target]])</f>
        <v>16.739999999999998</v>
      </c>
      <c r="R67" s="64"/>
    </row>
    <row r="68" spans="2:18" s="13" customFormat="1" ht="25.15" hidden="1" customHeight="1" x14ac:dyDescent="0.25">
      <c r="B68" s="11" t="s">
        <v>1019</v>
      </c>
      <c r="C68" s="11" t="e">
        <f ca="1">_xll.TheSymbol(USD_Holdings[[#This Row],[Symbol]])</f>
        <v>#NAME?</v>
      </c>
      <c r="D68" s="11" t="s">
        <v>259</v>
      </c>
      <c r="E68" s="47">
        <v>43714</v>
      </c>
      <c r="F68" s="47">
        <v>43717</v>
      </c>
      <c r="G68" s="94">
        <v>15982</v>
      </c>
      <c r="H68" s="12">
        <v>16.899999999999999</v>
      </c>
      <c r="I68" s="12">
        <v>16.84</v>
      </c>
      <c r="J68" s="12" t="e">
        <f ca="1">_xll.Ask(USD_Holdings[[#This Row],[Symbol]])</f>
        <v>#NAME?</v>
      </c>
      <c r="K68" s="12"/>
      <c r="L68" s="12">
        <f>USD_Holdings[[#This Row],[Shares Held]]*USD_Holdings[[#This Row],[Purchase Price]]</f>
        <v>270095.8</v>
      </c>
      <c r="M68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269136.88</v>
      </c>
      <c r="N68" s="83">
        <f>USD_Holdings[[#This Row],[Adjusted Value]]-USD_Holdings[[#This Row],[Book value]]</f>
        <v>-958.9199999999837</v>
      </c>
      <c r="O68" s="82">
        <f>USD_Holdings[[#This Row],[Gain/Loss $]]/USD_Holdings[[#This Row],[Book value]]</f>
        <v>-3.5502958579881057E-3</v>
      </c>
      <c r="P68" s="82"/>
      <c r="Q68" s="82">
        <f>USD_Holdings[[#This Row],[Purchase Price]]*(1+USD_Holdings[[#This Row],[Stop Target]])</f>
        <v>16.899999999999999</v>
      </c>
      <c r="R68" s="64"/>
    </row>
    <row r="69" spans="2:18" s="13" customFormat="1" ht="25.15" hidden="1" customHeight="1" x14ac:dyDescent="0.25">
      <c r="B69" s="11" t="s">
        <v>819</v>
      </c>
      <c r="C69" s="11" t="e">
        <f ca="1">_xll.TheSymbol(USD_Holdings[[#This Row],[Symbol]])</f>
        <v>#NAME?</v>
      </c>
      <c r="D69" s="11" t="s">
        <v>259</v>
      </c>
      <c r="E69" s="47">
        <v>43713</v>
      </c>
      <c r="F69" s="47">
        <v>43713</v>
      </c>
      <c r="G69" s="94">
        <v>994</v>
      </c>
      <c r="H69" s="12">
        <v>272.70400000000001</v>
      </c>
      <c r="I69" s="12">
        <v>273.89</v>
      </c>
      <c r="J69" s="12" t="e">
        <f ca="1">_xll.Ask(USD_Holdings[[#This Row],[Symbol]])</f>
        <v>#NAME?</v>
      </c>
      <c r="K69" s="12"/>
      <c r="L69" s="12">
        <f>USD_Holdings[[#This Row],[Shares Held]]*USD_Holdings[[#This Row],[Purchase Price]]</f>
        <v>271067.77600000001</v>
      </c>
      <c r="M69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272246.65999999997</v>
      </c>
      <c r="N69" s="83">
        <f>USD_Holdings[[#This Row],[Adjusted Value]]-USD_Holdings[[#This Row],[Book value]]</f>
        <v>1178.8839999999618</v>
      </c>
      <c r="O69" s="82">
        <f>USD_Holdings[[#This Row],[Gain/Loss $]]/USD_Holdings[[#This Row],[Book value]]</f>
        <v>4.3490377845574746E-3</v>
      </c>
      <c r="P69" s="82"/>
      <c r="Q69" s="82">
        <f>USD_Holdings[[#This Row],[Purchase Price]]*(1+USD_Holdings[[#This Row],[Stop Target]])</f>
        <v>272.70400000000001</v>
      </c>
      <c r="R69" s="64"/>
    </row>
    <row r="70" spans="2:18" s="13" customFormat="1" ht="25.15" hidden="1" customHeight="1" x14ac:dyDescent="0.25">
      <c r="B70" s="11" t="s">
        <v>1019</v>
      </c>
      <c r="C70" s="11" t="e">
        <f ca="1">_xll.TheSymbol(USD_Holdings[[#This Row],[Symbol]])</f>
        <v>#NAME?</v>
      </c>
      <c r="D70" s="11" t="s">
        <v>259</v>
      </c>
      <c r="E70" s="47">
        <v>43713</v>
      </c>
      <c r="F70" s="47">
        <v>43714</v>
      </c>
      <c r="G70" s="94">
        <v>15540</v>
      </c>
      <c r="H70" s="12">
        <v>17.55</v>
      </c>
      <c r="I70" s="12">
        <v>17.38</v>
      </c>
      <c r="J70" s="12" t="e">
        <f ca="1">_xll.Ask(USD_Holdings[[#This Row],[Symbol]])</f>
        <v>#NAME?</v>
      </c>
      <c r="K70" s="12"/>
      <c r="L70" s="12">
        <f>USD_Holdings[[#This Row],[Shares Held]]*USD_Holdings[[#This Row],[Purchase Price]]</f>
        <v>272727</v>
      </c>
      <c r="M70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270085.2</v>
      </c>
      <c r="N70" s="83">
        <f>USD_Holdings[[#This Row],[Adjusted Value]]-USD_Holdings[[#This Row],[Book value]]</f>
        <v>-2641.7999999999884</v>
      </c>
      <c r="O70" s="82">
        <f>USD_Holdings[[#This Row],[Gain/Loss $]]/USD_Holdings[[#This Row],[Book value]]</f>
        <v>-9.6866096866096447E-3</v>
      </c>
      <c r="P70" s="82"/>
      <c r="Q70" s="82">
        <f>USD_Holdings[[#This Row],[Purchase Price]]*(1+USD_Holdings[[#This Row],[Stop Target]])</f>
        <v>17.55</v>
      </c>
      <c r="R70" s="64"/>
    </row>
    <row r="71" spans="2:18" s="13" customFormat="1" ht="25.15" hidden="1" customHeight="1" x14ac:dyDescent="0.25">
      <c r="B71" s="11" t="s">
        <v>1020</v>
      </c>
      <c r="C71" s="11" t="s">
        <v>1021</v>
      </c>
      <c r="D71" s="11" t="s">
        <v>379</v>
      </c>
      <c r="E71" s="47">
        <v>43712</v>
      </c>
      <c r="F71" s="47">
        <v>43712</v>
      </c>
      <c r="G71" s="94">
        <v>4244</v>
      </c>
      <c r="H71" s="12">
        <v>10.130000000000001</v>
      </c>
      <c r="I71" s="12">
        <v>9.859</v>
      </c>
      <c r="J71" s="12" t="e">
        <f ca="1">_xll.Ask(USD_Holdings[[#This Row],[Symbol]])</f>
        <v>#NAME?</v>
      </c>
      <c r="K71" s="12"/>
      <c r="L71" s="12">
        <f>USD_Holdings[[#This Row],[Shares Held]]*USD_Holdings[[#This Row],[Purchase Price]]</f>
        <v>42991.72</v>
      </c>
      <c r="M71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41841.595999999998</v>
      </c>
      <c r="N71" s="83">
        <f>USD_Holdings[[#This Row],[Adjusted Value]]-USD_Holdings[[#This Row],[Book value]]</f>
        <v>-1150.1240000000034</v>
      </c>
      <c r="O71" s="82">
        <f>USD_Holdings[[#This Row],[Gain/Loss $]]/USD_Holdings[[#This Row],[Book value]]</f>
        <v>-2.6752221125370266E-2</v>
      </c>
      <c r="P71" s="82"/>
      <c r="Q71" s="82">
        <f>USD_Holdings[[#This Row],[Purchase Price]]*(1+USD_Holdings[[#This Row],[Stop Target]])</f>
        <v>10.130000000000001</v>
      </c>
      <c r="R71" s="64"/>
    </row>
    <row r="72" spans="2:18" s="13" customFormat="1" ht="25.15" hidden="1" customHeight="1" x14ac:dyDescent="0.25">
      <c r="B72" s="11" t="s">
        <v>1020</v>
      </c>
      <c r="C72" s="11" t="s">
        <v>1021</v>
      </c>
      <c r="D72" s="11" t="s">
        <v>1017</v>
      </c>
      <c r="E72" s="47">
        <v>43712</v>
      </c>
      <c r="F72" s="47">
        <v>43725</v>
      </c>
      <c r="G72" s="94">
        <v>95</v>
      </c>
      <c r="H72" s="12">
        <v>10.119999999999999</v>
      </c>
      <c r="I72" s="12">
        <v>9.34</v>
      </c>
      <c r="J72" s="12" t="e">
        <f ca="1">_xll.Ask(USD_Holdings[[#This Row],[Symbol]])</f>
        <v>#NAME?</v>
      </c>
      <c r="K72" s="12"/>
      <c r="L72" s="12">
        <f>USD_Holdings[[#This Row],[Shares Held]]*USD_Holdings[[#This Row],[Purchase Price]]</f>
        <v>961.4</v>
      </c>
      <c r="M72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887.3</v>
      </c>
      <c r="N72" s="83">
        <f>USD_Holdings[[#This Row],[Adjusted Value]]-USD_Holdings[[#This Row],[Book value]]</f>
        <v>-74.100000000000023</v>
      </c>
      <c r="O72" s="82">
        <f>USD_Holdings[[#This Row],[Gain/Loss $]]/USD_Holdings[[#This Row],[Book value]]</f>
        <v>-7.7075098814229276E-2</v>
      </c>
      <c r="P72" s="82"/>
      <c r="Q72" s="82">
        <f>USD_Holdings[[#This Row],[Purchase Price]]*(1+USD_Holdings[[#This Row],[Stop Target]])</f>
        <v>10.119999999999999</v>
      </c>
      <c r="R72" s="64"/>
    </row>
    <row r="73" spans="2:18" s="13" customFormat="1" ht="25.15" hidden="1" customHeight="1" x14ac:dyDescent="0.25">
      <c r="B73" s="11" t="s">
        <v>1019</v>
      </c>
      <c r="C73" s="11" t="e">
        <f ca="1">_xll.TheSymbol(USD_Holdings[[#This Row],[Symbol]])</f>
        <v>#NAME?</v>
      </c>
      <c r="D73" s="11" t="s">
        <v>259</v>
      </c>
      <c r="E73" s="47">
        <v>43707</v>
      </c>
      <c r="F73" s="47">
        <v>43713</v>
      </c>
      <c r="G73" s="94">
        <v>15090</v>
      </c>
      <c r="H73" s="12">
        <v>17.170000000000002</v>
      </c>
      <c r="I73" s="12">
        <v>17.961400000000001</v>
      </c>
      <c r="J73" s="12" t="e">
        <f ca="1">_xll.Ask(USD_Holdings[[#This Row],[Symbol]])</f>
        <v>#NAME?</v>
      </c>
      <c r="K73" s="12"/>
      <c r="L73" s="12">
        <f>USD_Holdings[[#This Row],[Shares Held]]*USD_Holdings[[#This Row],[Purchase Price]]</f>
        <v>259095.30000000002</v>
      </c>
      <c r="M73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271037.52600000001</v>
      </c>
      <c r="N73" s="83">
        <f>USD_Holdings[[#This Row],[Adjusted Value]]-USD_Holdings[[#This Row],[Book value]]</f>
        <v>11942.225999999995</v>
      </c>
      <c r="O73" s="82">
        <f>USD_Holdings[[#This Row],[Gain/Loss $]]/USD_Holdings[[#This Row],[Book value]]</f>
        <v>4.6092020966802538E-2</v>
      </c>
      <c r="P73" s="82"/>
      <c r="Q73" s="82">
        <f>USD_Holdings[[#This Row],[Purchase Price]]*(1+USD_Holdings[[#This Row],[Stop Target]])</f>
        <v>17.170000000000002</v>
      </c>
      <c r="R73" s="64"/>
    </row>
    <row r="74" spans="2:18" s="13" customFormat="1" ht="25.15" hidden="1" customHeight="1" x14ac:dyDescent="0.25">
      <c r="B74" s="11" t="s">
        <v>1003</v>
      </c>
      <c r="C74" s="11" t="e">
        <f ca="1">_xll.TheSymbol(USD_Holdings[[#This Row],[Symbol]])</f>
        <v>#NAME?</v>
      </c>
      <c r="D74" s="11" t="s">
        <v>259</v>
      </c>
      <c r="E74" s="47">
        <v>43705</v>
      </c>
      <c r="F74" s="47">
        <v>43707</v>
      </c>
      <c r="G74" s="94">
        <v>8185</v>
      </c>
      <c r="H74" s="12">
        <v>30.65</v>
      </c>
      <c r="I74" s="12">
        <v>29.7501</v>
      </c>
      <c r="J74" s="12" t="e">
        <f ca="1">_xll.Ask(USD_Holdings[[#This Row],[Symbol]])</f>
        <v>#NAME?</v>
      </c>
      <c r="K74" s="12"/>
      <c r="L74" s="12">
        <f>USD_Holdings[[#This Row],[Shares Held]]*USD_Holdings[[#This Row],[Purchase Price]]</f>
        <v>250870.25</v>
      </c>
      <c r="M74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243504.56849999999</v>
      </c>
      <c r="N74" s="83">
        <f>USD_Holdings[[#This Row],[Adjusted Value]]-USD_Holdings[[#This Row],[Book value]]</f>
        <v>-7365.6815000000061</v>
      </c>
      <c r="O74" s="82">
        <f>USD_Holdings[[#This Row],[Gain/Loss $]]/USD_Holdings[[#This Row],[Book value]]</f>
        <v>-2.9360522022838523E-2</v>
      </c>
      <c r="P74" s="82"/>
      <c r="Q74" s="82">
        <f>USD_Holdings[[#This Row],[Purchase Price]]*(1+USD_Holdings[[#This Row],[Stop Target]])</f>
        <v>30.65</v>
      </c>
      <c r="R74" s="64"/>
    </row>
    <row r="75" spans="2:18" s="13" customFormat="1" ht="25.15" hidden="1" customHeight="1" x14ac:dyDescent="0.25">
      <c r="B75" s="11" t="s">
        <v>1012</v>
      </c>
      <c r="C75" s="11" t="e">
        <f ca="1">_xll.TheSymbol(USD_Holdings[[#This Row],[Symbol]])</f>
        <v>#NAME?</v>
      </c>
      <c r="D75" s="11" t="s">
        <v>1017</v>
      </c>
      <c r="E75" s="47">
        <v>43705</v>
      </c>
      <c r="F75" s="47">
        <v>43712</v>
      </c>
      <c r="G75" s="94">
        <v>31</v>
      </c>
      <c r="H75" s="12">
        <v>31.92</v>
      </c>
      <c r="I75" s="12">
        <v>31.33</v>
      </c>
      <c r="J75" s="12" t="e">
        <f ca="1">_xll.Ask(USD_Holdings[[#This Row],[Symbol]])</f>
        <v>#NAME?</v>
      </c>
      <c r="K75" s="12"/>
      <c r="L75" s="12">
        <f>USD_Holdings[[#This Row],[Shares Held]]*USD_Holdings[[#This Row],[Purchase Price]]</f>
        <v>989.5200000000001</v>
      </c>
      <c r="M75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971.2299999999999</v>
      </c>
      <c r="N75" s="83">
        <f>USD_Holdings[[#This Row],[Adjusted Value]]-USD_Holdings[[#This Row],[Book value]]</f>
        <v>-18.290000000000191</v>
      </c>
      <c r="O75" s="82">
        <f>USD_Holdings[[#This Row],[Gain/Loss $]]/USD_Holdings[[#This Row],[Book value]]</f>
        <v>-1.8483709273183147E-2</v>
      </c>
      <c r="P75" s="82"/>
      <c r="Q75" s="82">
        <f>USD_Holdings[[#This Row],[Purchase Price]]*(1+USD_Holdings[[#This Row],[Stop Target]])</f>
        <v>31.92</v>
      </c>
      <c r="R75" s="64"/>
    </row>
    <row r="76" spans="2:18" s="13" customFormat="1" ht="25.15" hidden="1" customHeight="1" x14ac:dyDescent="0.25">
      <c r="B76" s="11" t="s">
        <v>1003</v>
      </c>
      <c r="C76" s="11" t="e">
        <f ca="1">_xll.TheSymbol(USD_Holdings[[#This Row],[Symbol]])</f>
        <v>#NAME?</v>
      </c>
      <c r="D76" s="11" t="s">
        <v>259</v>
      </c>
      <c r="E76" s="47">
        <v>43705</v>
      </c>
      <c r="F76" s="47">
        <v>43707</v>
      </c>
      <c r="G76" s="94">
        <v>549</v>
      </c>
      <c r="H76" s="12">
        <v>30.379899999999999</v>
      </c>
      <c r="I76" s="12">
        <v>29.7501</v>
      </c>
      <c r="J76" s="12" t="e">
        <f ca="1">_xll.Ask(USD_Holdings[[#This Row],[Symbol]])</f>
        <v>#NAME?</v>
      </c>
      <c r="K76" s="12"/>
      <c r="L76" s="12">
        <f>USD_Holdings[[#This Row],[Shares Held]]*USD_Holdings[[#This Row],[Purchase Price]]</f>
        <v>16678.5651</v>
      </c>
      <c r="M76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16332.804899999999</v>
      </c>
      <c r="N76" s="83">
        <f>USD_Holdings[[#This Row],[Adjusted Value]]-USD_Holdings[[#This Row],[Book value]]</f>
        <v>-345.76020000000062</v>
      </c>
      <c r="O76" s="82">
        <f>USD_Holdings[[#This Row],[Gain/Loss $]]/USD_Holdings[[#This Row],[Book value]]</f>
        <v>-2.0730812148822119E-2</v>
      </c>
      <c r="P76" s="82"/>
      <c r="Q76" s="82">
        <f>USD_Holdings[[#This Row],[Purchase Price]]*(1+USD_Holdings[[#This Row],[Stop Target]])</f>
        <v>30.379899999999999</v>
      </c>
      <c r="R76" s="64"/>
    </row>
    <row r="77" spans="2:18" s="13" customFormat="1" ht="25.15" hidden="1" customHeight="1" x14ac:dyDescent="0.25">
      <c r="B77" s="11" t="s">
        <v>1012</v>
      </c>
      <c r="C77" s="11" t="e">
        <f ca="1">_xll.TheSymbol(USD_Holdings[[#This Row],[Symbol]])</f>
        <v>#NAME?</v>
      </c>
      <c r="D77" s="11" t="s">
        <v>379</v>
      </c>
      <c r="E77" s="47">
        <v>43704</v>
      </c>
      <c r="F77" s="47">
        <v>43712</v>
      </c>
      <c r="G77" s="94">
        <v>1370</v>
      </c>
      <c r="H77" s="12">
        <v>31.158799999999999</v>
      </c>
      <c r="I77" s="12">
        <v>31.375</v>
      </c>
      <c r="J77" s="12" t="e">
        <f ca="1">_xll.Ask(USD_Holdings[[#This Row],[Symbol]])</f>
        <v>#NAME?</v>
      </c>
      <c r="K77" s="12"/>
      <c r="L77" s="12">
        <f>USD_Holdings[[#This Row],[Shares Held]]*USD_Holdings[[#This Row],[Purchase Price]]</f>
        <v>42687.555999999997</v>
      </c>
      <c r="M77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42983.75</v>
      </c>
      <c r="N77" s="83">
        <f>USD_Holdings[[#This Row],[Adjusted Value]]-USD_Holdings[[#This Row],[Book value]]</f>
        <v>296.19400000000314</v>
      </c>
      <c r="O77" s="82">
        <f>USD_Holdings[[#This Row],[Gain/Loss $]]/USD_Holdings[[#This Row],[Book value]]</f>
        <v>6.9386497554463685E-3</v>
      </c>
      <c r="P77" s="82"/>
      <c r="Q77" s="82">
        <f>USD_Holdings[[#This Row],[Purchase Price]]*(1+USD_Holdings[[#This Row],[Stop Target]])</f>
        <v>31.158799999999999</v>
      </c>
      <c r="R77" s="64"/>
    </row>
    <row r="78" spans="2:18" s="13" customFormat="1" ht="25.15" hidden="1" customHeight="1" x14ac:dyDescent="0.25">
      <c r="B78" s="11" t="s">
        <v>1003</v>
      </c>
      <c r="C78" s="11" t="e">
        <f ca="1">_xll.TheSymbol(USD_Holdings[[#This Row],[Symbol]])</f>
        <v>#NAME?</v>
      </c>
      <c r="D78" s="11"/>
      <c r="E78" s="47">
        <v>43704</v>
      </c>
      <c r="F78" s="47">
        <v>43704</v>
      </c>
      <c r="G78" s="94">
        <v>8223</v>
      </c>
      <c r="H78" s="12">
        <v>30.419899999999998</v>
      </c>
      <c r="I78" s="12">
        <v>30.4513</v>
      </c>
      <c r="J78" s="12" t="e">
        <f ca="1">_xll.Ask(USD_Holdings[[#This Row],[Symbol]])</f>
        <v>#NAME?</v>
      </c>
      <c r="K78" s="12"/>
      <c r="L78" s="12">
        <f>USD_Holdings[[#This Row],[Shares Held]]*USD_Holdings[[#This Row],[Purchase Price]]</f>
        <v>250142.83769999997</v>
      </c>
      <c r="M78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250401.0399</v>
      </c>
      <c r="N78" s="83">
        <f>USD_Holdings[[#This Row],[Adjusted Value]]-USD_Holdings[[#This Row],[Book value]]</f>
        <v>258.20220000002882</v>
      </c>
      <c r="O78" s="82">
        <f>USD_Holdings[[#This Row],[Gain/Loss $]]/USD_Holdings[[#This Row],[Book value]]</f>
        <v>1.0322190408253646E-3</v>
      </c>
      <c r="P78" s="82"/>
      <c r="Q78" s="82">
        <f>USD_Holdings[[#This Row],[Purchase Price]]*(1+USD_Holdings[[#This Row],[Stop Target]])</f>
        <v>30.419899999999998</v>
      </c>
      <c r="R78" s="64"/>
    </row>
    <row r="79" spans="2:18" s="13" customFormat="1" ht="25.15" hidden="1" customHeight="1" x14ac:dyDescent="0.25">
      <c r="B79" s="11" t="s">
        <v>1003</v>
      </c>
      <c r="C79" s="11" t="e">
        <f ca="1">_xll.TheSymbol(USD_Holdings[[#This Row],[Symbol]])</f>
        <v>#NAME?</v>
      </c>
      <c r="D79" s="11"/>
      <c r="E79" s="47">
        <v>43703</v>
      </c>
      <c r="F79" s="47">
        <v>43703</v>
      </c>
      <c r="G79" s="94">
        <v>4133</v>
      </c>
      <c r="H79" s="12">
        <v>29.579799999999999</v>
      </c>
      <c r="I79" s="12">
        <v>29.67</v>
      </c>
      <c r="J79" s="12" t="e">
        <f ca="1">_xll.Ask(USD_Holdings[[#This Row],[Symbol]])</f>
        <v>#NAME?</v>
      </c>
      <c r="K79" s="12"/>
      <c r="L79" s="12">
        <f>USD_Holdings[[#This Row],[Shares Held]]*USD_Holdings[[#This Row],[Purchase Price]]</f>
        <v>122253.3134</v>
      </c>
      <c r="M79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122626.11</v>
      </c>
      <c r="N79" s="83">
        <f>USD_Holdings[[#This Row],[Adjusted Value]]-USD_Holdings[[#This Row],[Book value]]</f>
        <v>372.79660000000149</v>
      </c>
      <c r="O79" s="82">
        <f>USD_Holdings[[#This Row],[Gain/Loss $]]/USD_Holdings[[#This Row],[Book value]]</f>
        <v>3.0493782919424864E-3</v>
      </c>
      <c r="P79" s="82"/>
      <c r="Q79" s="82">
        <f>USD_Holdings[[#This Row],[Purchase Price]]*(1+USD_Holdings[[#This Row],[Stop Target]])</f>
        <v>29.579799999999999</v>
      </c>
      <c r="R79" s="64"/>
    </row>
    <row r="80" spans="2:18" s="13" customFormat="1" ht="25.15" hidden="1" customHeight="1" x14ac:dyDescent="0.25">
      <c r="B80" s="11" t="s">
        <v>1003</v>
      </c>
      <c r="C80" s="11" t="e">
        <f ca="1">_xll.TheSymbol(USD_Holdings[[#This Row],[Symbol]])</f>
        <v>#NAME?</v>
      </c>
      <c r="D80" s="11"/>
      <c r="E80" s="47">
        <v>43703</v>
      </c>
      <c r="F80" s="47">
        <v>43703</v>
      </c>
      <c r="G80" s="94">
        <v>4133</v>
      </c>
      <c r="H80" s="12">
        <v>29.549900000000001</v>
      </c>
      <c r="I80" s="12">
        <v>30.430800000000001</v>
      </c>
      <c r="J80" s="12" t="e">
        <f ca="1">_xll.Ask(USD_Holdings[[#This Row],[Symbol]])</f>
        <v>#NAME?</v>
      </c>
      <c r="K80" s="12"/>
      <c r="L80" s="12">
        <f>USD_Holdings[[#This Row],[Shares Held]]*USD_Holdings[[#This Row],[Purchase Price]]</f>
        <v>122129.73670000001</v>
      </c>
      <c r="M80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125770.4964</v>
      </c>
      <c r="N80" s="83">
        <f>USD_Holdings[[#This Row],[Adjusted Value]]-USD_Holdings[[#This Row],[Book value]]</f>
        <v>3640.7596999999951</v>
      </c>
      <c r="O80" s="82">
        <f>USD_Holdings[[#This Row],[Gain/Loss $]]/USD_Holdings[[#This Row],[Book value]]</f>
        <v>2.9810591575605967E-2</v>
      </c>
      <c r="P80" s="82"/>
      <c r="Q80" s="82">
        <f>USD_Holdings[[#This Row],[Purchase Price]]*(1+USD_Holdings[[#This Row],[Stop Target]])</f>
        <v>29.549900000000001</v>
      </c>
      <c r="R80" s="64"/>
    </row>
    <row r="81" spans="2:18" s="13" customFormat="1" ht="25.15" hidden="1" customHeight="1" x14ac:dyDescent="0.25">
      <c r="B81" s="11" t="s">
        <v>1003</v>
      </c>
      <c r="C81" s="11" t="e">
        <f ca="1">_xll.TheSymbol(USD_Holdings[[#This Row],[Symbol]])</f>
        <v>#NAME?</v>
      </c>
      <c r="D81" s="11"/>
      <c r="E81" s="47">
        <v>43703</v>
      </c>
      <c r="F81" s="47">
        <v>43703</v>
      </c>
      <c r="G81" s="94">
        <v>4060</v>
      </c>
      <c r="H81" s="12">
        <v>29.9696</v>
      </c>
      <c r="I81" s="12">
        <v>29.67</v>
      </c>
      <c r="J81" s="12" t="e">
        <f ca="1">_xll.Ask(USD_Holdings[[#This Row],[Symbol]])</f>
        <v>#NAME?</v>
      </c>
      <c r="K81" s="12"/>
      <c r="L81" s="12">
        <f>USD_Holdings[[#This Row],[Shares Held]]*USD_Holdings[[#This Row],[Purchase Price]]</f>
        <v>121676.576</v>
      </c>
      <c r="M81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120460.20000000001</v>
      </c>
      <c r="N81" s="83">
        <f>USD_Holdings[[#This Row],[Adjusted Value]]-USD_Holdings[[#This Row],[Book value]]</f>
        <v>-1216.3759999999893</v>
      </c>
      <c r="O81" s="82">
        <f>USD_Holdings[[#This Row],[Gain/Loss $]]/USD_Holdings[[#This Row],[Book value]]</f>
        <v>-9.99679675404401E-3</v>
      </c>
      <c r="P81" s="82"/>
      <c r="Q81" s="82">
        <f>USD_Holdings[[#This Row],[Purchase Price]]*(1+USD_Holdings[[#This Row],[Stop Target]])</f>
        <v>29.9696</v>
      </c>
      <c r="R81" s="64"/>
    </row>
    <row r="82" spans="2:18" s="13" customFormat="1" ht="25.15" hidden="1" customHeight="1" x14ac:dyDescent="0.25">
      <c r="B82" s="11" t="s">
        <v>856</v>
      </c>
      <c r="C82" s="11" t="e">
        <f ca="1">_xll.TheSymbol(USD_Holdings[[#This Row],[Symbol]])</f>
        <v>#NAME?</v>
      </c>
      <c r="D82" s="11"/>
      <c r="E82" s="47">
        <v>43700</v>
      </c>
      <c r="F82" s="47">
        <v>43703</v>
      </c>
      <c r="G82" s="94">
        <f>1686-843</f>
        <v>843</v>
      </c>
      <c r="H82" s="12">
        <v>144.03970000000001</v>
      </c>
      <c r="I82" s="12">
        <v>144.7208</v>
      </c>
      <c r="J82" s="12" t="e">
        <f ca="1">_xll.Ask(USD_Holdings[[#This Row],[Symbol]])</f>
        <v>#NAME?</v>
      </c>
      <c r="K82" s="12"/>
      <c r="L82" s="12">
        <f>USD_Holdings[[#This Row],[Shares Held]]*USD_Holdings[[#This Row],[Purchase Price]]</f>
        <v>121425.46710000001</v>
      </c>
      <c r="M82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121999.6344</v>
      </c>
      <c r="N82" s="83">
        <f>USD_Holdings[[#This Row],[Adjusted Value]]-USD_Holdings[[#This Row],[Book value]]</f>
        <v>574.16729999998643</v>
      </c>
      <c r="O82" s="82">
        <f>USD_Holdings[[#This Row],[Gain/Loss $]]/USD_Holdings[[#This Row],[Book value]]</f>
        <v>4.7285574740851578E-3</v>
      </c>
      <c r="P82" s="82"/>
      <c r="Q82" s="82">
        <f>USD_Holdings[[#This Row],[Purchase Price]]*(1+USD_Holdings[[#This Row],[Stop Target]])</f>
        <v>144.03970000000001</v>
      </c>
      <c r="R82" s="64"/>
    </row>
    <row r="83" spans="2:18" s="13" customFormat="1" ht="25.15" hidden="1" customHeight="1" x14ac:dyDescent="0.25">
      <c r="B83" s="11" t="s">
        <v>819</v>
      </c>
      <c r="C83" s="11" t="e">
        <f ca="1">_xll.TheSymbol(USD_Holdings[[#This Row],[Symbol]])</f>
        <v>#NAME?</v>
      </c>
      <c r="D83" s="11"/>
      <c r="E83" s="47">
        <v>43700</v>
      </c>
      <c r="F83" s="47">
        <v>43700</v>
      </c>
      <c r="G83" s="94">
        <v>899</v>
      </c>
      <c r="H83" s="12">
        <v>263.87990000000002</v>
      </c>
      <c r="I83" s="12">
        <v>263.87990000000002</v>
      </c>
      <c r="J83" s="12" t="e">
        <f ca="1">_xll.Ask(USD_Holdings[[#This Row],[Symbol]])</f>
        <v>#NAME?</v>
      </c>
      <c r="K83" s="12"/>
      <c r="L83" s="12">
        <f>USD_Holdings[[#This Row],[Shares Held]]*USD_Holdings[[#This Row],[Purchase Price]]</f>
        <v>237228.03010000003</v>
      </c>
      <c r="M83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237228.03010000003</v>
      </c>
      <c r="N83" s="83">
        <f>USD_Holdings[[#This Row],[Adjusted Value]]-USD_Holdings[[#This Row],[Book value]]</f>
        <v>0</v>
      </c>
      <c r="O83" s="82">
        <f>USD_Holdings[[#This Row],[Gain/Loss $]]/USD_Holdings[[#This Row],[Book value]]</f>
        <v>0</v>
      </c>
      <c r="P83" s="82"/>
      <c r="Q83" s="82">
        <f>USD_Holdings[[#This Row],[Purchase Price]]*(1+USD_Holdings[[#This Row],[Stop Target]])</f>
        <v>263.87990000000002</v>
      </c>
      <c r="R83" s="64"/>
    </row>
    <row r="84" spans="2:18" s="13" customFormat="1" ht="25.15" hidden="1" customHeight="1" x14ac:dyDescent="0.25">
      <c r="B84" s="11" t="s">
        <v>856</v>
      </c>
      <c r="C84" s="11" t="e">
        <f ca="1">_xll.TheSymbol(USD_Holdings[[#This Row],[Symbol]])</f>
        <v>#NAME?</v>
      </c>
      <c r="D84" s="11"/>
      <c r="E84" s="47">
        <v>43699</v>
      </c>
      <c r="F84" s="47">
        <v>43700</v>
      </c>
      <c r="G84" s="94">
        <v>1692</v>
      </c>
      <c r="H84" s="12">
        <v>141.70500000000001</v>
      </c>
      <c r="I84" s="12">
        <v>143.81010000000001</v>
      </c>
      <c r="J84" s="12" t="e">
        <f ca="1">_xll.Ask(USD_Holdings[[#This Row],[Symbol]])</f>
        <v>#NAME?</v>
      </c>
      <c r="K84" s="12"/>
      <c r="L84" s="12">
        <f>USD_Holdings[[#This Row],[Shares Held]]*USD_Holdings[[#This Row],[Purchase Price]]</f>
        <v>239764.86000000002</v>
      </c>
      <c r="M84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243326.68920000002</v>
      </c>
      <c r="N84" s="83">
        <f>USD_Holdings[[#This Row],[Adjusted Value]]-USD_Holdings[[#This Row],[Book value]]</f>
        <v>3561.8292000000074</v>
      </c>
      <c r="O84" s="82">
        <f>USD_Holdings[[#This Row],[Gain/Loss $]]/USD_Holdings[[#This Row],[Book value]]</f>
        <v>1.4855509685614511E-2</v>
      </c>
      <c r="P84" s="82"/>
      <c r="Q84" s="82">
        <f>USD_Holdings[[#This Row],[Purchase Price]]*(1+USD_Holdings[[#This Row],[Stop Target]])</f>
        <v>141.70500000000001</v>
      </c>
      <c r="R84" s="64"/>
    </row>
    <row r="85" spans="2:18" s="13" customFormat="1" ht="25.15" hidden="1" customHeight="1" x14ac:dyDescent="0.25">
      <c r="B85" s="11" t="s">
        <v>819</v>
      </c>
      <c r="C85" s="11" t="e">
        <f ca="1">_xll.TheSymbol(USD_Holdings[[#This Row],[Symbol]])</f>
        <v>#NAME?</v>
      </c>
      <c r="D85" s="11"/>
      <c r="E85" s="47">
        <v>43697</v>
      </c>
      <c r="F85" s="47">
        <v>43697</v>
      </c>
      <c r="G85" s="94">
        <v>899</v>
      </c>
      <c r="H85" s="12">
        <v>267.16300000000001</v>
      </c>
      <c r="I85" s="12">
        <v>267.16300000000001</v>
      </c>
      <c r="J85" s="12" t="e">
        <f ca="1">_xll.Ask(USD_Holdings[[#This Row],[Symbol]])</f>
        <v>#NAME?</v>
      </c>
      <c r="K85" s="12"/>
      <c r="L85" s="12">
        <f>USD_Holdings[[#This Row],[Shares Held]]*USD_Holdings[[#This Row],[Purchase Price]]</f>
        <v>240179.53700000001</v>
      </c>
      <c r="M85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240179.53700000001</v>
      </c>
      <c r="N85" s="83">
        <f>USD_Holdings[[#This Row],[Adjusted Value]]-USD_Holdings[[#This Row],[Book value]]</f>
        <v>0</v>
      </c>
      <c r="O85" s="82">
        <f>USD_Holdings[[#This Row],[Gain/Loss $]]/USD_Holdings[[#This Row],[Book value]]</f>
        <v>0</v>
      </c>
      <c r="P85" s="82"/>
      <c r="Q85" s="82">
        <f>USD_Holdings[[#This Row],[Purchase Price]]*(1+USD_Holdings[[#This Row],[Stop Target]])</f>
        <v>267.16300000000001</v>
      </c>
      <c r="R85" s="64"/>
    </row>
    <row r="86" spans="2:18" s="13" customFormat="1" ht="25.15" hidden="1" customHeight="1" x14ac:dyDescent="0.25">
      <c r="B86" s="11" t="s">
        <v>981</v>
      </c>
      <c r="C86" s="11" t="e">
        <f ca="1">_xll.TheSymbol(USD_Holdings[[#This Row],[Symbol]])</f>
        <v>#NAME?</v>
      </c>
      <c r="D86" s="11"/>
      <c r="E86" s="47">
        <v>43697</v>
      </c>
      <c r="F86" s="47">
        <v>43697</v>
      </c>
      <c r="G86" s="94">
        <v>3577</v>
      </c>
      <c r="H86" s="12">
        <v>67.13</v>
      </c>
      <c r="I86" s="12">
        <v>67.1601</v>
      </c>
      <c r="J86" s="12" t="e">
        <f ca="1">_xll.Ask(USD_Holdings[[#This Row],[Symbol]])</f>
        <v>#NAME?</v>
      </c>
      <c r="K86" s="12"/>
      <c r="L86" s="12">
        <f>USD_Holdings[[#This Row],[Shares Held]]*USD_Holdings[[#This Row],[Purchase Price]]</f>
        <v>240124.00999999998</v>
      </c>
      <c r="M86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240231.6777</v>
      </c>
      <c r="N86" s="83">
        <f>USD_Holdings[[#This Row],[Adjusted Value]]-USD_Holdings[[#This Row],[Book value]]</f>
        <v>107.66770000001998</v>
      </c>
      <c r="O86" s="82">
        <f>USD_Holdings[[#This Row],[Gain/Loss $]]/USD_Holdings[[#This Row],[Book value]]</f>
        <v>4.4838373305534912E-4</v>
      </c>
      <c r="P86" s="82"/>
      <c r="Q86" s="82">
        <f>USD_Holdings[[#This Row],[Purchase Price]]*(1+USD_Holdings[[#This Row],[Stop Target]])</f>
        <v>67.13</v>
      </c>
      <c r="R86" s="64"/>
    </row>
    <row r="87" spans="2:18" s="13" customFormat="1" ht="25.15" hidden="1" customHeight="1" x14ac:dyDescent="0.25">
      <c r="B87" s="11" t="s">
        <v>1003</v>
      </c>
      <c r="C87" s="11" t="e">
        <f ca="1">_xll.TheSymbol(USD_Holdings[[#This Row],[Symbol]])</f>
        <v>#NAME?</v>
      </c>
      <c r="D87" s="11"/>
      <c r="E87" s="47">
        <v>43696</v>
      </c>
      <c r="F87" s="47">
        <v>43696</v>
      </c>
      <c r="G87" s="94">
        <v>8450</v>
      </c>
      <c r="H87" s="12">
        <v>27.759699999999999</v>
      </c>
      <c r="I87" s="12">
        <v>28.148199999999999</v>
      </c>
      <c r="J87" s="12" t="e">
        <f ca="1">_xll.Ask(USD_Holdings[[#This Row],[Symbol]])</f>
        <v>#NAME?</v>
      </c>
      <c r="K87" s="12"/>
      <c r="L87" s="12">
        <f>USD_Holdings[[#This Row],[Shares Held]]*USD_Holdings[[#This Row],[Purchase Price]]</f>
        <v>234569.465</v>
      </c>
      <c r="M87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237852.28999999998</v>
      </c>
      <c r="N87" s="83">
        <f>USD_Holdings[[#This Row],[Adjusted Value]]-USD_Holdings[[#This Row],[Book value]]</f>
        <v>3282.8249999999825</v>
      </c>
      <c r="O87" s="82">
        <f>USD_Holdings[[#This Row],[Gain/Loss $]]/USD_Holdings[[#This Row],[Book value]]</f>
        <v>1.3995108016296932E-2</v>
      </c>
      <c r="P87" s="82"/>
      <c r="Q87" s="82">
        <f>USD_Holdings[[#This Row],[Purchase Price]]*(1+USD_Holdings[[#This Row],[Stop Target]])</f>
        <v>27.759699999999999</v>
      </c>
      <c r="R87" s="64"/>
    </row>
    <row r="88" spans="2:18" s="13" customFormat="1" ht="25.15" hidden="1" customHeight="1" x14ac:dyDescent="0.25">
      <c r="B88" s="11" t="s">
        <v>856</v>
      </c>
      <c r="C88" s="11" t="e">
        <f ca="1">_xll.TheSymbol(USD_Holdings[[#This Row],[Symbol]])</f>
        <v>#NAME?</v>
      </c>
      <c r="D88" s="11"/>
      <c r="E88" s="47">
        <v>43692</v>
      </c>
      <c r="F88" s="47">
        <v>43696</v>
      </c>
      <c r="G88" s="94">
        <v>1677</v>
      </c>
      <c r="H88" s="12">
        <v>142.91999999999999</v>
      </c>
      <c r="I88" s="12">
        <v>141.29</v>
      </c>
      <c r="J88" s="12" t="e">
        <f ca="1">_xll.Ask(USD_Holdings[[#This Row],[Symbol]])</f>
        <v>#NAME?</v>
      </c>
      <c r="K88" s="12"/>
      <c r="L88" s="12">
        <f>USD_Holdings[[#This Row],[Shares Held]]*USD_Holdings[[#This Row],[Purchase Price]]</f>
        <v>239676.83999999997</v>
      </c>
      <c r="M88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236943.33</v>
      </c>
      <c r="N88" s="83">
        <f>USD_Holdings[[#This Row],[Adjusted Value]]-USD_Holdings[[#This Row],[Book value]]</f>
        <v>-2733.5099999999802</v>
      </c>
      <c r="O88" s="82">
        <f>USD_Holdings[[#This Row],[Gain/Loss $]]/USD_Holdings[[#This Row],[Book value]]</f>
        <v>-1.1404981808004398E-2</v>
      </c>
      <c r="P88" s="82"/>
      <c r="Q88" s="82">
        <f>USD_Holdings[[#This Row],[Purchase Price]]*(1+USD_Holdings[[#This Row],[Stop Target]])</f>
        <v>142.91999999999999</v>
      </c>
      <c r="R88" s="64"/>
    </row>
    <row r="89" spans="2:18" s="13" customFormat="1" ht="25.15" hidden="1" customHeight="1" x14ac:dyDescent="0.25">
      <c r="B89" s="11" t="s">
        <v>1003</v>
      </c>
      <c r="C89" s="11" t="e">
        <f ca="1">_xll.TheSymbol(USD_Holdings[[#This Row],[Symbol]])</f>
        <v>#NAME?</v>
      </c>
      <c r="D89" s="11"/>
      <c r="E89" s="47">
        <v>43691</v>
      </c>
      <c r="F89" s="47">
        <v>43691</v>
      </c>
      <c r="G89" s="94">
        <v>4189</v>
      </c>
      <c r="H89" s="12">
        <v>28.869900000000001</v>
      </c>
      <c r="I89" s="12">
        <v>28.960100000000001</v>
      </c>
      <c r="J89" s="12" t="e">
        <f ca="1">_xll.Ask(USD_Holdings[[#This Row],[Symbol]])</f>
        <v>#NAME?</v>
      </c>
      <c r="K89" s="12"/>
      <c r="L89" s="12">
        <f>USD_Holdings[[#This Row],[Shares Held]]*USD_Holdings[[#This Row],[Purchase Price]]</f>
        <v>120936.0111</v>
      </c>
      <c r="M89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121313.85890000001</v>
      </c>
      <c r="N89" s="83">
        <f>USD_Holdings[[#This Row],[Adjusted Value]]-USD_Holdings[[#This Row],[Book value]]</f>
        <v>377.84780000000319</v>
      </c>
      <c r="O89" s="82">
        <f>USD_Holdings[[#This Row],[Gain/Loss $]]/USD_Holdings[[#This Row],[Book value]]</f>
        <v>3.1243613590625791E-3</v>
      </c>
      <c r="P89" s="82"/>
      <c r="Q89" s="82">
        <f>USD_Holdings[[#This Row],[Purchase Price]]*(1+USD_Holdings[[#This Row],[Stop Target]])</f>
        <v>28.869900000000001</v>
      </c>
      <c r="R89" s="64"/>
    </row>
    <row r="90" spans="2:18" s="13" customFormat="1" ht="25.15" hidden="1" customHeight="1" x14ac:dyDescent="0.25">
      <c r="B90" s="11" t="s">
        <v>1003</v>
      </c>
      <c r="C90" s="11" t="e">
        <f ca="1">_xll.TheSymbol(USD_Holdings[[#This Row],[Symbol]])</f>
        <v>#NAME?</v>
      </c>
      <c r="D90" s="11"/>
      <c r="E90" s="47">
        <v>43691</v>
      </c>
      <c r="F90" s="47">
        <v>43692</v>
      </c>
      <c r="G90" s="94">
        <v>8450</v>
      </c>
      <c r="H90" s="12">
        <v>28.819600000000001</v>
      </c>
      <c r="I90" s="12">
        <v>27.34</v>
      </c>
      <c r="J90" s="12" t="e">
        <f ca="1">_xll.Ask(USD_Holdings[[#This Row],[Symbol]])</f>
        <v>#NAME?</v>
      </c>
      <c r="K90" s="12"/>
      <c r="L90" s="12">
        <f>USD_Holdings[[#This Row],[Shares Held]]*USD_Holdings[[#This Row],[Purchase Price]]</f>
        <v>243525.62000000002</v>
      </c>
      <c r="M90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231023</v>
      </c>
      <c r="N90" s="83">
        <f>USD_Holdings[[#This Row],[Adjusted Value]]-USD_Holdings[[#This Row],[Book value]]</f>
        <v>-12502.620000000024</v>
      </c>
      <c r="O90" s="82">
        <f>USD_Holdings[[#This Row],[Gain/Loss $]]/USD_Holdings[[#This Row],[Book value]]</f>
        <v>-5.1340060236783398E-2</v>
      </c>
      <c r="P90" s="82"/>
      <c r="Q90" s="82">
        <f>USD_Holdings[[#This Row],[Purchase Price]]*(1+USD_Holdings[[#This Row],[Stop Target]])</f>
        <v>28.819600000000001</v>
      </c>
      <c r="R90" s="64"/>
    </row>
    <row r="91" spans="2:18" s="13" customFormat="1" ht="25.15" hidden="1" customHeight="1" x14ac:dyDescent="0.25">
      <c r="B91" s="11" t="s">
        <v>819</v>
      </c>
      <c r="C91" s="11" t="e">
        <f ca="1">_xll.TheSymbol(USD_Holdings[[#This Row],[Symbol]])</f>
        <v>#NAME?</v>
      </c>
      <c r="D91" s="11"/>
      <c r="E91" s="47">
        <v>43691</v>
      </c>
      <c r="F91" s="47">
        <v>43691</v>
      </c>
      <c r="G91" s="94">
        <v>928</v>
      </c>
      <c r="H91" s="12">
        <v>261.36</v>
      </c>
      <c r="I91" s="12">
        <v>262.11110000000002</v>
      </c>
      <c r="J91" s="12" t="e">
        <f ca="1">_xll.Ask(USD_Holdings[[#This Row],[Symbol]])</f>
        <v>#NAME?</v>
      </c>
      <c r="K91" s="12"/>
      <c r="L91" s="12">
        <f>USD_Holdings[[#This Row],[Shares Held]]*USD_Holdings[[#This Row],[Purchase Price]]</f>
        <v>242542.08000000002</v>
      </c>
      <c r="M91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243239.10080000001</v>
      </c>
      <c r="N91" s="83">
        <f>USD_Holdings[[#This Row],[Adjusted Value]]-USD_Holdings[[#This Row],[Book value]]</f>
        <v>697.02079999999842</v>
      </c>
      <c r="O91" s="82">
        <f>USD_Holdings[[#This Row],[Gain/Loss $]]/USD_Holdings[[#This Row],[Book value]]</f>
        <v>2.8738138965411627E-3</v>
      </c>
      <c r="P91" s="82"/>
      <c r="Q91" s="82">
        <f>USD_Holdings[[#This Row],[Purchase Price]]*(1+USD_Holdings[[#This Row],[Stop Target]])</f>
        <v>261.36</v>
      </c>
      <c r="R91" s="64"/>
    </row>
    <row r="92" spans="2:18" s="13" customFormat="1" ht="25.15" hidden="1" customHeight="1" x14ac:dyDescent="0.25">
      <c r="B92" s="11" t="s">
        <v>856</v>
      </c>
      <c r="C92" s="11" t="e">
        <f ca="1">_xll.TheSymbol(USD_Holdings[[#This Row],[Symbol]])</f>
        <v>#NAME?</v>
      </c>
      <c r="D92" s="11"/>
      <c r="E92" s="47">
        <v>43686</v>
      </c>
      <c r="F92" s="47">
        <v>43691</v>
      </c>
      <c r="G92" s="94">
        <f>1697-849</f>
        <v>848</v>
      </c>
      <c r="H92" s="12">
        <v>141.80000000000001</v>
      </c>
      <c r="I92" s="12">
        <v>143.5001</v>
      </c>
      <c r="J92" s="12" t="e">
        <f ca="1">_xll.Ask(USD_Holdings[[#This Row],[Symbol]])</f>
        <v>#NAME?</v>
      </c>
      <c r="K92" s="12"/>
      <c r="L92" s="12">
        <f>USD_Holdings[[#This Row],[Shares Held]]*USD_Holdings[[#This Row],[Purchase Price]]</f>
        <v>120246.40000000001</v>
      </c>
      <c r="M92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121688.0848</v>
      </c>
      <c r="N92" s="83">
        <f>USD_Holdings[[#This Row],[Adjusted Value]]-USD_Holdings[[#This Row],[Book value]]</f>
        <v>1441.6847999999882</v>
      </c>
      <c r="O92" s="82">
        <f>USD_Holdings[[#This Row],[Gain/Loss $]]/USD_Holdings[[#This Row],[Book value]]</f>
        <v>1.1989421720733327E-2</v>
      </c>
      <c r="P92" s="82"/>
      <c r="Q92" s="82">
        <f>USD_Holdings[[#This Row],[Purchase Price]]*(1+USD_Holdings[[#This Row],[Stop Target]])</f>
        <v>141.80000000000001</v>
      </c>
      <c r="R92" s="64"/>
    </row>
    <row r="93" spans="2:18" s="13" customFormat="1" ht="25.15" hidden="1" customHeight="1" x14ac:dyDescent="0.25">
      <c r="B93" s="11" t="s">
        <v>856</v>
      </c>
      <c r="C93" s="11" t="e">
        <f ca="1">_xll.TheSymbol(USD_Holdings[[#This Row],[Symbol]])</f>
        <v>#NAME?</v>
      </c>
      <c r="D93" s="11"/>
      <c r="E93" s="47">
        <v>43686</v>
      </c>
      <c r="F93" s="47">
        <v>43691</v>
      </c>
      <c r="G93" s="94">
        <v>849</v>
      </c>
      <c r="H93" s="12">
        <v>142.69999999999999</v>
      </c>
      <c r="I93" s="12">
        <v>142.69999999999999</v>
      </c>
      <c r="J93" s="12" t="e">
        <f ca="1">_xll.Ask(USD_Holdings[[#This Row],[Symbol]])</f>
        <v>#NAME?</v>
      </c>
      <c r="K93" s="12"/>
      <c r="L93" s="12">
        <f>USD_Holdings[[#This Row],[Shares Held]]*USD_Holdings[[#This Row],[Purchase Price]]</f>
        <v>121152.29999999999</v>
      </c>
      <c r="M93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121152.29999999999</v>
      </c>
      <c r="N93" s="83">
        <f>USD_Holdings[[#This Row],[Adjusted Value]]-USD_Holdings[[#This Row],[Book value]]</f>
        <v>0</v>
      </c>
      <c r="O93" s="82">
        <f>USD_Holdings[[#This Row],[Gain/Loss $]]/USD_Holdings[[#This Row],[Book value]]</f>
        <v>0</v>
      </c>
      <c r="P93" s="82"/>
      <c r="Q93" s="82">
        <f>USD_Holdings[[#This Row],[Purchase Price]]*(1+USD_Holdings[[#This Row],[Stop Target]])</f>
        <v>142.69999999999999</v>
      </c>
      <c r="R93" s="64"/>
    </row>
    <row r="94" spans="2:18" s="13" customFormat="1" ht="25.15" hidden="1" customHeight="1" x14ac:dyDescent="0.25">
      <c r="B94" s="11" t="s">
        <v>819</v>
      </c>
      <c r="C94" s="11" t="e">
        <f ca="1">_xll.TheSymbol(USD_Holdings[[#This Row],[Symbol]])</f>
        <v>#NAME?</v>
      </c>
      <c r="D94" s="11"/>
      <c r="E94" s="47">
        <v>43686</v>
      </c>
      <c r="F94" s="47">
        <v>43686</v>
      </c>
      <c r="G94" s="94">
        <v>895</v>
      </c>
      <c r="H94" s="12">
        <v>267.03989999999999</v>
      </c>
      <c r="I94" s="12">
        <v>267.98</v>
      </c>
      <c r="J94" s="12" t="e">
        <f ca="1">_xll.Ask(USD_Holdings[[#This Row],[Symbol]])</f>
        <v>#NAME?</v>
      </c>
      <c r="K94" s="12"/>
      <c r="L94" s="12">
        <f>USD_Holdings[[#This Row],[Shares Held]]*USD_Holdings[[#This Row],[Purchase Price]]</f>
        <v>239000.71049999999</v>
      </c>
      <c r="M94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239842.1</v>
      </c>
      <c r="N94" s="83">
        <f>USD_Holdings[[#This Row],[Adjusted Value]]-USD_Holdings[[#This Row],[Book value]]</f>
        <v>841.38950000001932</v>
      </c>
      <c r="O94" s="82">
        <f>USD_Holdings[[#This Row],[Gain/Loss $]]/USD_Holdings[[#This Row],[Book value]]</f>
        <v>3.5204476933972102E-3</v>
      </c>
      <c r="P94" s="82"/>
      <c r="Q94" s="82">
        <f>USD_Holdings[[#This Row],[Purchase Price]]*(1+USD_Holdings[[#This Row],[Stop Target]])</f>
        <v>267.03989999999999</v>
      </c>
      <c r="R94" s="64"/>
    </row>
    <row r="95" spans="2:18" s="13" customFormat="1" ht="25.15" hidden="1" customHeight="1" x14ac:dyDescent="0.25">
      <c r="B95" s="11" t="s">
        <v>856</v>
      </c>
      <c r="C95" s="11" t="e">
        <f ca="1">_xll.TheSymbol(USD_Holdings[[#This Row],[Symbol]])</f>
        <v>#NAME?</v>
      </c>
      <c r="D95" s="11"/>
      <c r="E95" s="47">
        <v>43684</v>
      </c>
      <c r="F95" s="47">
        <v>43686</v>
      </c>
      <c r="G95" s="94">
        <v>1685</v>
      </c>
      <c r="H95" s="12">
        <v>141.80000000000001</v>
      </c>
      <c r="I95" s="12">
        <v>141.5702</v>
      </c>
      <c r="J95" s="12" t="e">
        <f ca="1">_xll.Ask(USD_Holdings[[#This Row],[Symbol]])</f>
        <v>#NAME?</v>
      </c>
      <c r="K95" s="12"/>
      <c r="L95" s="12">
        <f>USD_Holdings[[#This Row],[Shares Held]]*USD_Holdings[[#This Row],[Purchase Price]]</f>
        <v>238933.00000000003</v>
      </c>
      <c r="M95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238545.78700000001</v>
      </c>
      <c r="N95" s="83">
        <f>USD_Holdings[[#This Row],[Adjusted Value]]-USD_Holdings[[#This Row],[Book value]]</f>
        <v>-387.21300000001793</v>
      </c>
      <c r="O95" s="82">
        <f>USD_Holdings[[#This Row],[Gain/Loss $]]/USD_Holdings[[#This Row],[Book value]]</f>
        <v>-1.6205923836390029E-3</v>
      </c>
      <c r="P95" s="82"/>
      <c r="Q95" s="82">
        <f>USD_Holdings[[#This Row],[Purchase Price]]*(1+USD_Holdings[[#This Row],[Stop Target]])</f>
        <v>141.80000000000001</v>
      </c>
      <c r="R95" s="64"/>
    </row>
    <row r="96" spans="2:18" s="13" customFormat="1" ht="25.15" hidden="1" customHeight="1" x14ac:dyDescent="0.25">
      <c r="B96" s="11" t="s">
        <v>856</v>
      </c>
      <c r="C96" s="11" t="e">
        <f ca="1">_xll.TheSymbol(USD_Holdings[[#This Row],[Symbol]])</f>
        <v>#NAME?</v>
      </c>
      <c r="D96" s="11"/>
      <c r="E96" s="47">
        <v>43682</v>
      </c>
      <c r="F96" s="47">
        <v>43682</v>
      </c>
      <c r="G96" s="94">
        <v>870</v>
      </c>
      <c r="H96" s="12">
        <v>138</v>
      </c>
      <c r="I96" s="12">
        <v>137.85</v>
      </c>
      <c r="J96" s="12" t="e">
        <f ca="1">_xll.Ask(USD_Holdings[[#This Row],[Symbol]])</f>
        <v>#NAME?</v>
      </c>
      <c r="K96" s="12"/>
      <c r="L96" s="12">
        <f>USD_Holdings[[#This Row],[Shares Held]]*USD_Holdings[[#This Row],[Purchase Price]]</f>
        <v>120060</v>
      </c>
      <c r="M96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119929.5</v>
      </c>
      <c r="N96" s="83">
        <f>USD_Holdings[[#This Row],[Adjusted Value]]-USD_Holdings[[#This Row],[Book value]]</f>
        <v>-130.5</v>
      </c>
      <c r="O96" s="82">
        <f>USD_Holdings[[#This Row],[Gain/Loss $]]/USD_Holdings[[#This Row],[Book value]]</f>
        <v>-1.0869565217391304E-3</v>
      </c>
      <c r="P96" s="82"/>
      <c r="Q96" s="82">
        <f>USD_Holdings[[#This Row],[Purchase Price]]*(1+USD_Holdings[[#This Row],[Stop Target]])</f>
        <v>138</v>
      </c>
      <c r="R96" s="64"/>
    </row>
    <row r="97" spans="2:18" s="13" customFormat="1" ht="25.15" hidden="1" customHeight="1" x14ac:dyDescent="0.25">
      <c r="B97" s="11" t="s">
        <v>990</v>
      </c>
      <c r="C97" s="11" t="e">
        <f ca="1">_xll.TheSymbol(USD_Holdings[[#This Row],[Symbol]])</f>
        <v>#NAME?</v>
      </c>
      <c r="D97" s="11"/>
      <c r="E97" s="47">
        <v>43682</v>
      </c>
      <c r="F97" s="47">
        <v>43682</v>
      </c>
      <c r="G97" s="94">
        <v>3235</v>
      </c>
      <c r="H97" s="12">
        <v>31.91</v>
      </c>
      <c r="I97" s="12">
        <v>32.549999999999997</v>
      </c>
      <c r="J97" s="12" t="e">
        <f ca="1">_xll.Ask(USD_Holdings[[#This Row],[Symbol]])</f>
        <v>#NAME?</v>
      </c>
      <c r="K97" s="12"/>
      <c r="L97" s="12">
        <f>USD_Holdings[[#This Row],[Shares Held]]*USD_Holdings[[#This Row],[Purchase Price]]</f>
        <v>103228.85</v>
      </c>
      <c r="M97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105299.24999999999</v>
      </c>
      <c r="N97" s="83">
        <f>USD_Holdings[[#This Row],[Adjusted Value]]-USD_Holdings[[#This Row],[Book value]]</f>
        <v>2070.3999999999796</v>
      </c>
      <c r="O97" s="82">
        <f>USD_Holdings[[#This Row],[Gain/Loss $]]/USD_Holdings[[#This Row],[Book value]]</f>
        <v>2.0056408649326032E-2</v>
      </c>
      <c r="P97" s="82"/>
      <c r="Q97" s="82">
        <f>USD_Holdings[[#This Row],[Purchase Price]]*(1+USD_Holdings[[#This Row],[Stop Target]])</f>
        <v>31.91</v>
      </c>
      <c r="R97" s="64"/>
    </row>
    <row r="98" spans="2:18" s="13" customFormat="1" ht="25.15" hidden="1" customHeight="1" x14ac:dyDescent="0.25">
      <c r="B98" s="11" t="s">
        <v>819</v>
      </c>
      <c r="C98" s="11" t="e">
        <f ca="1">_xll.TheSymbol(USD_Holdings[[#This Row],[Symbol]])</f>
        <v>#NAME?</v>
      </c>
      <c r="D98" s="11"/>
      <c r="E98" s="47">
        <v>43679</v>
      </c>
      <c r="F98" s="47">
        <v>43679</v>
      </c>
      <c r="G98" s="94">
        <v>860</v>
      </c>
      <c r="H98" s="12">
        <v>268.60500000000002</v>
      </c>
      <c r="I98" s="12">
        <v>268.3</v>
      </c>
      <c r="J98" s="12" t="e">
        <f ca="1">_xll.Ask(USD_Holdings[[#This Row],[Symbol]])</f>
        <v>#NAME?</v>
      </c>
      <c r="K98" s="12"/>
      <c r="L98" s="12">
        <f>USD_Holdings[[#This Row],[Shares Held]]*USD_Holdings[[#This Row],[Purchase Price]]</f>
        <v>231000.30000000002</v>
      </c>
      <c r="M98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230738</v>
      </c>
      <c r="N98" s="83">
        <f>USD_Holdings[[#This Row],[Adjusted Value]]-USD_Holdings[[#This Row],[Book value]]</f>
        <v>-262.30000000001746</v>
      </c>
      <c r="O98" s="82">
        <f>USD_Holdings[[#This Row],[Gain/Loss $]]/USD_Holdings[[#This Row],[Book value]]</f>
        <v>-1.1354963608273126E-3</v>
      </c>
      <c r="P98" s="82"/>
      <c r="Q98" s="82">
        <f>USD_Holdings[[#This Row],[Purchase Price]]*(1+USD_Holdings[[#This Row],[Stop Target]])</f>
        <v>268.60500000000002</v>
      </c>
      <c r="R98" s="64"/>
    </row>
    <row r="99" spans="2:18" s="13" customFormat="1" ht="25.15" hidden="1" customHeight="1" x14ac:dyDescent="0.25">
      <c r="B99" s="11" t="s">
        <v>856</v>
      </c>
      <c r="C99" s="11" t="e">
        <f ca="1">_xll.TheSymbol(USD_Holdings[[#This Row],[Symbol]])</f>
        <v>#NAME?</v>
      </c>
      <c r="D99" s="11"/>
      <c r="E99" s="47">
        <v>43677</v>
      </c>
      <c r="F99" s="47">
        <v>43679</v>
      </c>
      <c r="G99" s="94">
        <v>1696</v>
      </c>
      <c r="H99" s="12">
        <v>136.07</v>
      </c>
      <c r="I99" s="12">
        <v>136.07</v>
      </c>
      <c r="J99" s="12" t="e">
        <f ca="1">_xll.Ask(USD_Holdings[[#This Row],[Symbol]])</f>
        <v>#NAME?</v>
      </c>
      <c r="K99" s="12"/>
      <c r="L99" s="12">
        <f>USD_Holdings[[#This Row],[Shares Held]]*USD_Holdings[[#This Row],[Purchase Price]]</f>
        <v>230774.72</v>
      </c>
      <c r="M99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230774.72</v>
      </c>
      <c r="N99" s="83">
        <f>USD_Holdings[[#This Row],[Adjusted Value]]-USD_Holdings[[#This Row],[Book value]]</f>
        <v>0</v>
      </c>
      <c r="O99" s="82">
        <f>USD_Holdings[[#This Row],[Gain/Loss $]]/USD_Holdings[[#This Row],[Book value]]</f>
        <v>0</v>
      </c>
      <c r="P99" s="82"/>
      <c r="Q99" s="82">
        <f>USD_Holdings[[#This Row],[Purchase Price]]*(1+USD_Holdings[[#This Row],[Stop Target]])</f>
        <v>136.07</v>
      </c>
      <c r="R99" s="64"/>
    </row>
    <row r="100" spans="2:18" ht="25.15" customHeight="1" x14ac:dyDescent="0.25">
      <c r="B100" s="41" t="s">
        <v>49</v>
      </c>
      <c r="C100" s="41">
        <f ca="1">SUBTOTAL(103,USD_Holdings[Name])</f>
        <v>3</v>
      </c>
      <c r="D100" s="41"/>
      <c r="E100" s="41"/>
      <c r="F100" s="41"/>
      <c r="G100" s="68"/>
      <c r="H100" s="41"/>
      <c r="I100" s="41"/>
      <c r="J100" s="41"/>
      <c r="K100" s="41"/>
      <c r="L100" s="42"/>
      <c r="M100" s="42"/>
      <c r="N100" s="43"/>
      <c r="O100" s="78"/>
      <c r="P100" s="78"/>
      <c r="Q100" s="78"/>
      <c r="R100" s="41"/>
    </row>
    <row r="101" spans="2:18" ht="25.15" customHeight="1" x14ac:dyDescent="0.25">
      <c r="B101" s="41"/>
      <c r="C101" s="41"/>
      <c r="D101" s="41"/>
      <c r="E101" s="41"/>
      <c r="F101" s="41"/>
      <c r="G101" s="68"/>
      <c r="H101" s="41"/>
      <c r="I101" s="41"/>
      <c r="J101" s="41"/>
      <c r="K101" s="41"/>
      <c r="L101" s="41"/>
      <c r="M101" s="42"/>
      <c r="N101" s="42"/>
      <c r="O101" s="79"/>
      <c r="P101" s="79"/>
      <c r="Q101" s="79"/>
      <c r="R101" s="41"/>
    </row>
    <row r="102" spans="2:18" ht="25.15" customHeight="1" x14ac:dyDescent="0.25"/>
    <row r="103" spans="2:18" ht="25.15" customHeight="1" x14ac:dyDescent="0.25"/>
    <row r="104" spans="2:18" ht="25.15" customHeight="1" x14ac:dyDescent="0.25"/>
    <row r="105" spans="2:18" ht="25.15" customHeight="1" x14ac:dyDescent="0.25"/>
    <row r="106" spans="2:18" ht="25.15" customHeight="1" x14ac:dyDescent="0.25"/>
    <row r="107" spans="2:18" ht="25.15" customHeight="1" x14ac:dyDescent="0.25">
      <c r="I107" s="154"/>
      <c r="J107" s="154"/>
      <c r="K107" s="154"/>
      <c r="L107" s="154"/>
      <c r="M107" s="154"/>
      <c r="N107" s="154"/>
      <c r="O107" s="154"/>
      <c r="P107" s="154"/>
      <c r="Q107" s="154"/>
    </row>
    <row r="108" spans="2:18" ht="25.15" customHeight="1" x14ac:dyDescent="0.25">
      <c r="I108" s="154"/>
      <c r="J108" s="154"/>
      <c r="K108" s="154"/>
      <c r="L108" s="154"/>
      <c r="M108" s="154"/>
      <c r="N108" s="154"/>
      <c r="O108" s="154"/>
      <c r="P108" s="154"/>
      <c r="Q108" s="154"/>
    </row>
    <row r="109" spans="2:18" ht="25.15" customHeight="1" x14ac:dyDescent="0.25"/>
    <row r="110" spans="2:18" ht="25.15" customHeight="1" x14ac:dyDescent="0.25"/>
    <row r="111" spans="2:18" ht="25.15" customHeight="1" x14ac:dyDescent="0.25"/>
    <row r="112" spans="2:18" ht="25.15" customHeight="1" x14ac:dyDescent="0.25"/>
    <row r="113" ht="25.15" customHeight="1" x14ac:dyDescent="0.25"/>
    <row r="114" ht="25.15" customHeight="1" x14ac:dyDescent="0.25"/>
    <row r="115" ht="25.15" customHeight="1" x14ac:dyDescent="0.25"/>
    <row r="116" ht="25.15" customHeight="1" x14ac:dyDescent="0.25"/>
    <row r="117" ht="25.15" customHeight="1" x14ac:dyDescent="0.25"/>
    <row r="118" ht="25.15" customHeight="1" x14ac:dyDescent="0.25"/>
    <row r="119" ht="25.15" customHeight="1" x14ac:dyDescent="0.25"/>
    <row r="120" ht="25.15" customHeight="1" x14ac:dyDescent="0.25"/>
    <row r="121" ht="25.15" customHeight="1" x14ac:dyDescent="0.25"/>
    <row r="122" ht="25.15" customHeight="1" x14ac:dyDescent="0.25"/>
    <row r="123" ht="25.15" customHeight="1" x14ac:dyDescent="0.25"/>
    <row r="124" ht="25.15" customHeight="1" x14ac:dyDescent="0.25"/>
    <row r="125" ht="25.15" customHeight="1" x14ac:dyDescent="0.25"/>
    <row r="126" ht="25.15" customHeight="1" x14ac:dyDescent="0.25"/>
    <row r="127" ht="25.15" customHeight="1" x14ac:dyDescent="0.25"/>
    <row r="128" ht="25.15" customHeight="1" x14ac:dyDescent="0.25"/>
    <row r="129" ht="25.15" customHeight="1" x14ac:dyDescent="0.25"/>
    <row r="130" ht="25.15" customHeight="1" x14ac:dyDescent="0.25"/>
    <row r="131" ht="25.15" customHeight="1" x14ac:dyDescent="0.25"/>
    <row r="132" ht="25.15" customHeight="1" x14ac:dyDescent="0.25"/>
    <row r="133" ht="25.15" customHeight="1" x14ac:dyDescent="0.25"/>
    <row r="134" ht="25.15" customHeight="1" x14ac:dyDescent="0.25"/>
    <row r="135" ht="25.15" customHeight="1" x14ac:dyDescent="0.25"/>
    <row r="136" ht="25.15" customHeight="1" x14ac:dyDescent="0.25"/>
    <row r="137" ht="25.15" customHeight="1" x14ac:dyDescent="0.25"/>
    <row r="138" ht="25.15" customHeight="1" x14ac:dyDescent="0.25"/>
    <row r="139" ht="25.15" customHeight="1" x14ac:dyDescent="0.25"/>
    <row r="140" ht="25.15" customHeight="1" x14ac:dyDescent="0.25"/>
    <row r="141" ht="25.15" customHeight="1" x14ac:dyDescent="0.25"/>
    <row r="142" ht="25.15" customHeight="1" x14ac:dyDescent="0.25"/>
    <row r="143" ht="25.15" customHeight="1" x14ac:dyDescent="0.25"/>
    <row r="144" ht="25.15" customHeight="1" x14ac:dyDescent="0.25"/>
    <row r="145" ht="25.15" customHeight="1" x14ac:dyDescent="0.25"/>
    <row r="146" ht="25.15" customHeight="1" x14ac:dyDescent="0.25"/>
    <row r="147" ht="25.15" customHeight="1" x14ac:dyDescent="0.25"/>
    <row r="148" ht="25.15" customHeight="1" x14ac:dyDescent="0.25"/>
    <row r="149" ht="25.15" customHeight="1" x14ac:dyDescent="0.25"/>
    <row r="150" ht="25.15" customHeight="1" x14ac:dyDescent="0.25"/>
    <row r="151" ht="25.15" customHeight="1" x14ac:dyDescent="0.25"/>
    <row r="152" ht="25.15" customHeight="1" x14ac:dyDescent="0.25"/>
    <row r="153" ht="25.15" customHeight="1" x14ac:dyDescent="0.25"/>
    <row r="154" ht="25.15" customHeight="1" x14ac:dyDescent="0.25"/>
    <row r="155" ht="25.15" customHeight="1" x14ac:dyDescent="0.25"/>
    <row r="156" ht="25.15" customHeight="1" x14ac:dyDescent="0.25"/>
    <row r="157" ht="25.15" customHeight="1" x14ac:dyDescent="0.25"/>
    <row r="158" ht="25.15" customHeight="1" x14ac:dyDescent="0.25"/>
    <row r="159" ht="25.15" customHeight="1" x14ac:dyDescent="0.25"/>
    <row r="160" ht="25.15" customHeight="1" x14ac:dyDescent="0.25"/>
    <row r="161" ht="25.15" customHeight="1" x14ac:dyDescent="0.25"/>
    <row r="162" ht="25.15" customHeight="1" x14ac:dyDescent="0.25"/>
    <row r="163" ht="25.15" customHeight="1" x14ac:dyDescent="0.25"/>
    <row r="164" ht="25.15" customHeight="1" x14ac:dyDescent="0.25"/>
    <row r="165" ht="25.15" customHeight="1" x14ac:dyDescent="0.25"/>
    <row r="166" ht="25.15" customHeight="1" x14ac:dyDescent="0.25"/>
    <row r="167" ht="25.15" customHeight="1" x14ac:dyDescent="0.25"/>
    <row r="168" ht="25.15" customHeight="1" x14ac:dyDescent="0.25"/>
    <row r="169" ht="25.15" customHeight="1" x14ac:dyDescent="0.25"/>
    <row r="170" ht="25.15" customHeight="1" x14ac:dyDescent="0.25"/>
    <row r="171" ht="25.15" customHeight="1" x14ac:dyDescent="0.25"/>
    <row r="172" ht="25.15" customHeight="1" x14ac:dyDescent="0.25"/>
    <row r="173" ht="25.15" customHeight="1" x14ac:dyDescent="0.25"/>
    <row r="174" ht="25.15" customHeight="1" x14ac:dyDescent="0.25"/>
    <row r="175" ht="25.15" customHeight="1" x14ac:dyDescent="0.25"/>
    <row r="176" ht="25.15" customHeight="1" x14ac:dyDescent="0.25"/>
    <row r="177" ht="25.15" customHeight="1" x14ac:dyDescent="0.25"/>
    <row r="178" ht="25.15" customHeight="1" x14ac:dyDescent="0.25"/>
    <row r="179" ht="25.15" customHeight="1" x14ac:dyDescent="0.25"/>
    <row r="180" ht="25.15" customHeight="1" x14ac:dyDescent="0.25"/>
    <row r="181" ht="25.15" customHeight="1" x14ac:dyDescent="0.25"/>
    <row r="182" ht="25.15" customHeight="1" x14ac:dyDescent="0.25"/>
    <row r="183" ht="25.15" customHeight="1" x14ac:dyDescent="0.25"/>
    <row r="184" ht="25.15" customHeight="1" x14ac:dyDescent="0.25"/>
    <row r="185" ht="25.15" customHeight="1" x14ac:dyDescent="0.25"/>
    <row r="186" ht="25.15" customHeight="1" x14ac:dyDescent="0.25"/>
    <row r="187" ht="25.15" customHeight="1" x14ac:dyDescent="0.25"/>
    <row r="188" ht="25.15" customHeight="1" x14ac:dyDescent="0.25"/>
    <row r="189" ht="25.15" customHeight="1" x14ac:dyDescent="0.25"/>
    <row r="190" ht="25.15" customHeight="1" x14ac:dyDescent="0.25"/>
    <row r="191" ht="25.15" customHeight="1" x14ac:dyDescent="0.25"/>
    <row r="192" ht="25.15" customHeight="1" x14ac:dyDescent="0.25"/>
    <row r="193" ht="25.15" customHeight="1" x14ac:dyDescent="0.25"/>
    <row r="194" ht="25.15" customHeight="1" x14ac:dyDescent="0.25"/>
    <row r="195" ht="25.15" customHeight="1" x14ac:dyDescent="0.25"/>
    <row r="196" ht="25.15" customHeight="1" x14ac:dyDescent="0.25"/>
    <row r="197" ht="25.15" customHeight="1" x14ac:dyDescent="0.25"/>
    <row r="198" ht="25.15" customHeight="1" x14ac:dyDescent="0.25"/>
    <row r="199" ht="25.15" customHeight="1" x14ac:dyDescent="0.25"/>
    <row r="200" ht="25.15" customHeight="1" x14ac:dyDescent="0.25"/>
    <row r="201" ht="25.15" customHeight="1" x14ac:dyDescent="0.25"/>
    <row r="202" ht="25.15" customHeight="1" x14ac:dyDescent="0.25"/>
    <row r="203" ht="25.15" customHeight="1" x14ac:dyDescent="0.25"/>
    <row r="204" ht="25.15" customHeight="1" x14ac:dyDescent="0.25"/>
    <row r="205" ht="25.15" customHeight="1" x14ac:dyDescent="0.25"/>
    <row r="206" ht="25.15" customHeight="1" x14ac:dyDescent="0.25"/>
    <row r="207" ht="25.15" customHeight="1" x14ac:dyDescent="0.25"/>
    <row r="208" ht="25.15" customHeight="1" x14ac:dyDescent="0.25"/>
    <row r="209" ht="25.15" customHeight="1" x14ac:dyDescent="0.25"/>
    <row r="210" ht="25.15" customHeight="1" x14ac:dyDescent="0.25"/>
    <row r="211" ht="25.15" customHeight="1" x14ac:dyDescent="0.25"/>
    <row r="212" ht="25.15" customHeight="1" x14ac:dyDescent="0.25"/>
    <row r="213" ht="25.15" customHeight="1" x14ac:dyDescent="0.25"/>
    <row r="214" ht="25.15" customHeight="1" x14ac:dyDescent="0.25"/>
    <row r="215" ht="25.15" customHeight="1" x14ac:dyDescent="0.25"/>
    <row r="216" ht="25.15" customHeight="1" x14ac:dyDescent="0.25"/>
    <row r="217" ht="25.15" customHeight="1" x14ac:dyDescent="0.25"/>
    <row r="218" ht="25.15" customHeight="1" x14ac:dyDescent="0.25"/>
    <row r="219" ht="25.15" customHeight="1" x14ac:dyDescent="0.25"/>
    <row r="220" ht="25.15" customHeight="1" x14ac:dyDescent="0.25"/>
    <row r="221" ht="25.15" customHeight="1" x14ac:dyDescent="0.25"/>
    <row r="222" ht="25.15" customHeight="1" x14ac:dyDescent="0.25"/>
    <row r="223" ht="25.15" customHeight="1" x14ac:dyDescent="0.25"/>
    <row r="224" ht="25.15" customHeight="1" x14ac:dyDescent="0.25"/>
    <row r="225" ht="25.15" customHeight="1" x14ac:dyDescent="0.25"/>
    <row r="226" ht="25.15" customHeight="1" x14ac:dyDescent="0.25"/>
    <row r="227" ht="25.15" customHeight="1" x14ac:dyDescent="0.25"/>
    <row r="228" ht="25.15" customHeight="1" x14ac:dyDescent="0.25"/>
    <row r="229" ht="25.15" customHeight="1" x14ac:dyDescent="0.25"/>
    <row r="230" ht="25.15" customHeight="1" x14ac:dyDescent="0.25"/>
    <row r="231" ht="25.15" customHeight="1" x14ac:dyDescent="0.25"/>
    <row r="232" ht="25.15" customHeight="1" x14ac:dyDescent="0.25"/>
    <row r="233" ht="25.15" customHeight="1" x14ac:dyDescent="0.25"/>
    <row r="234" ht="25.15" customHeight="1" x14ac:dyDescent="0.25"/>
    <row r="235" ht="25.15" customHeight="1" x14ac:dyDescent="0.25"/>
    <row r="236" ht="25.15" customHeight="1" x14ac:dyDescent="0.25"/>
    <row r="237" ht="25.15" customHeight="1" x14ac:dyDescent="0.25"/>
    <row r="238" ht="25.15" customHeight="1" x14ac:dyDescent="0.25"/>
    <row r="239" ht="25.15" customHeight="1" x14ac:dyDescent="0.25"/>
    <row r="240" ht="25.15" customHeight="1" x14ac:dyDescent="0.25"/>
    <row r="241" ht="25.15" customHeight="1" x14ac:dyDescent="0.25"/>
    <row r="242" ht="25.15" customHeight="1" x14ac:dyDescent="0.25"/>
    <row r="243" ht="25.15" customHeight="1" x14ac:dyDescent="0.25"/>
    <row r="244" ht="25.15" customHeight="1" x14ac:dyDescent="0.25"/>
    <row r="245" ht="25.15" customHeight="1" x14ac:dyDescent="0.25"/>
    <row r="246" ht="25.15" customHeight="1" x14ac:dyDescent="0.25"/>
    <row r="247" ht="25.15" customHeight="1" x14ac:dyDescent="0.25"/>
    <row r="248" ht="25.15" customHeight="1" x14ac:dyDescent="0.25"/>
    <row r="249" ht="25.15" customHeight="1" x14ac:dyDescent="0.25"/>
    <row r="250" ht="25.15" customHeight="1" x14ac:dyDescent="0.25"/>
    <row r="251" ht="25.15" customHeight="1" x14ac:dyDescent="0.25"/>
    <row r="252" ht="25.15" customHeight="1" x14ac:dyDescent="0.25"/>
    <row r="253" ht="25.15" customHeight="1" x14ac:dyDescent="0.25"/>
    <row r="254" ht="25.15" customHeight="1" x14ac:dyDescent="0.25"/>
    <row r="255" ht="25.15" customHeight="1" x14ac:dyDescent="0.25"/>
    <row r="256" ht="25.15" customHeight="1" x14ac:dyDescent="0.25"/>
    <row r="257" ht="25.15" customHeight="1" x14ac:dyDescent="0.25"/>
    <row r="258" ht="25.15" customHeight="1" x14ac:dyDescent="0.25"/>
    <row r="259" ht="25.15" customHeight="1" x14ac:dyDescent="0.25"/>
    <row r="260" ht="25.15" customHeight="1" x14ac:dyDescent="0.25"/>
    <row r="261" ht="25.15" customHeight="1" x14ac:dyDescent="0.25"/>
    <row r="262" ht="25.15" customHeight="1" x14ac:dyDescent="0.25"/>
    <row r="263" ht="25.15" customHeight="1" x14ac:dyDescent="0.25"/>
    <row r="264" ht="25.15" customHeight="1" x14ac:dyDescent="0.25"/>
    <row r="265" ht="25.15" customHeight="1" x14ac:dyDescent="0.25"/>
    <row r="266" ht="25.15" customHeight="1" x14ac:dyDescent="0.25"/>
    <row r="267" ht="25.15" customHeight="1" x14ac:dyDescent="0.25"/>
    <row r="268" ht="25.15" customHeight="1" x14ac:dyDescent="0.25"/>
    <row r="269" ht="25.15" customHeight="1" x14ac:dyDescent="0.25"/>
    <row r="270" ht="25.15" customHeight="1" x14ac:dyDescent="0.25"/>
    <row r="271" ht="25.15" customHeight="1" x14ac:dyDescent="0.25"/>
    <row r="272" ht="25.15" customHeight="1" x14ac:dyDescent="0.25"/>
    <row r="273" ht="25.15" customHeight="1" x14ac:dyDescent="0.25"/>
    <row r="274" ht="25.15" customHeight="1" x14ac:dyDescent="0.25"/>
    <row r="275" ht="25.15" customHeight="1" x14ac:dyDescent="0.25"/>
    <row r="276" ht="25.15" customHeight="1" x14ac:dyDescent="0.25"/>
    <row r="277" ht="25.15" customHeight="1" x14ac:dyDescent="0.25"/>
    <row r="278" ht="25.15" customHeight="1" x14ac:dyDescent="0.25"/>
    <row r="279" ht="25.15" customHeight="1" x14ac:dyDescent="0.25"/>
    <row r="280" ht="25.15" customHeight="1" x14ac:dyDescent="0.25"/>
    <row r="281" ht="25.15" customHeight="1" x14ac:dyDescent="0.25"/>
    <row r="282" ht="25.15" customHeight="1" x14ac:dyDescent="0.25"/>
    <row r="283" ht="25.15" customHeight="1" x14ac:dyDescent="0.25"/>
    <row r="284" ht="25.15" customHeight="1" x14ac:dyDescent="0.25"/>
    <row r="285" ht="25.15" customHeight="1" x14ac:dyDescent="0.25"/>
    <row r="286" ht="25.15" customHeight="1" x14ac:dyDescent="0.25"/>
    <row r="287" ht="25.15" customHeight="1" x14ac:dyDescent="0.25"/>
    <row r="288" ht="25.15" customHeight="1" x14ac:dyDescent="0.25"/>
    <row r="289" ht="25.15" customHeight="1" x14ac:dyDescent="0.25"/>
    <row r="290" ht="25.15" customHeight="1" x14ac:dyDescent="0.25"/>
    <row r="291" ht="25.15" customHeight="1" x14ac:dyDescent="0.25"/>
    <row r="292" ht="25.15" customHeight="1" x14ac:dyDescent="0.25"/>
    <row r="293" ht="25.15" customHeight="1" x14ac:dyDescent="0.25"/>
    <row r="294" ht="25.15" customHeight="1" x14ac:dyDescent="0.25"/>
    <row r="295" ht="25.15" customHeight="1" x14ac:dyDescent="0.25"/>
    <row r="296" ht="25.15" customHeight="1" x14ac:dyDescent="0.25"/>
    <row r="297" ht="25.15" customHeight="1" x14ac:dyDescent="0.25"/>
    <row r="298" ht="25.15" customHeight="1" x14ac:dyDescent="0.25"/>
    <row r="299" ht="25.15" customHeight="1" x14ac:dyDescent="0.25"/>
    <row r="300" ht="25.15" customHeight="1" x14ac:dyDescent="0.25"/>
    <row r="301" ht="25.15" customHeight="1" x14ac:dyDescent="0.25"/>
    <row r="302" ht="25.15" customHeight="1" x14ac:dyDescent="0.25"/>
    <row r="303" ht="25.15" customHeight="1" x14ac:dyDescent="0.25"/>
    <row r="304" ht="25.15" customHeight="1" x14ac:dyDescent="0.25"/>
    <row r="305" ht="25.15" customHeight="1" x14ac:dyDescent="0.25"/>
    <row r="306" ht="25.15" customHeight="1" x14ac:dyDescent="0.25"/>
    <row r="307" ht="25.15" customHeight="1" x14ac:dyDescent="0.25"/>
    <row r="308" ht="25.15" customHeight="1" x14ac:dyDescent="0.25"/>
    <row r="309" ht="25.15" customHeight="1" x14ac:dyDescent="0.25"/>
    <row r="310" ht="25.15" customHeight="1" x14ac:dyDescent="0.25"/>
    <row r="311" ht="25.15" customHeight="1" x14ac:dyDescent="0.25"/>
    <row r="312" ht="25.15" customHeight="1" x14ac:dyDescent="0.25"/>
    <row r="313" ht="25.15" customHeight="1" x14ac:dyDescent="0.25"/>
    <row r="314" ht="25.15" customHeight="1" x14ac:dyDescent="0.25"/>
    <row r="315" ht="25.15" customHeight="1" x14ac:dyDescent="0.25"/>
    <row r="316" ht="25.15" customHeight="1" x14ac:dyDescent="0.25"/>
    <row r="317" ht="25.15" customHeight="1" x14ac:dyDescent="0.25"/>
    <row r="318" ht="25.15" customHeight="1" x14ac:dyDescent="0.25"/>
    <row r="319" ht="25.15" customHeight="1" x14ac:dyDescent="0.25"/>
    <row r="320" ht="25.15" customHeight="1" x14ac:dyDescent="0.25"/>
    <row r="321" ht="25.15" customHeight="1" x14ac:dyDescent="0.25"/>
    <row r="322" ht="25.15" customHeight="1" x14ac:dyDescent="0.25"/>
    <row r="323" ht="25.15" customHeight="1" x14ac:dyDescent="0.25"/>
    <row r="324" ht="25.15" customHeight="1" x14ac:dyDescent="0.25"/>
    <row r="325" ht="25.15" customHeight="1" x14ac:dyDescent="0.25"/>
    <row r="326" ht="25.15" customHeight="1" x14ac:dyDescent="0.25"/>
    <row r="327" ht="25.15" customHeight="1" x14ac:dyDescent="0.25"/>
    <row r="328" ht="25.15" customHeight="1" x14ac:dyDescent="0.25"/>
    <row r="329" ht="25.15" customHeight="1" x14ac:dyDescent="0.25"/>
    <row r="330" ht="25.15" customHeight="1" x14ac:dyDescent="0.25"/>
    <row r="331" ht="25.15" customHeight="1" x14ac:dyDescent="0.25"/>
    <row r="332" ht="25.15" customHeight="1" x14ac:dyDescent="0.25"/>
    <row r="333" ht="25.15" customHeight="1" x14ac:dyDescent="0.25"/>
    <row r="334" ht="25.15" customHeight="1" x14ac:dyDescent="0.25"/>
    <row r="335" ht="25.15" customHeight="1" x14ac:dyDescent="0.25"/>
    <row r="336" ht="25.15" customHeight="1" x14ac:dyDescent="0.25"/>
    <row r="337" ht="25.15" customHeight="1" x14ac:dyDescent="0.25"/>
    <row r="338" ht="25.15" customHeight="1" x14ac:dyDescent="0.25"/>
  </sheetData>
  <conditionalFormatting sqref="B79:B99 E83:I99 E82 C82:D99 B5:R18 J19:R99 B19:B77 C19:I81">
    <cfRule type="expression" dxfId="172" priority="34" stopIfTrue="1">
      <formula>$F5=""</formula>
    </cfRule>
  </conditionalFormatting>
  <conditionalFormatting sqref="G82:H82">
    <cfRule type="expression" dxfId="171" priority="8" stopIfTrue="1">
      <formula>$F82=""</formula>
    </cfRule>
  </conditionalFormatting>
  <conditionalFormatting sqref="I82">
    <cfRule type="expression" dxfId="170" priority="7" stopIfTrue="1">
      <formula>$F82=""</formula>
    </cfRule>
  </conditionalFormatting>
  <conditionalFormatting sqref="F82">
    <cfRule type="expression" dxfId="169" priority="6" stopIfTrue="1">
      <formula>$F82=""</formula>
    </cfRule>
  </conditionalFormatting>
  <conditionalFormatting sqref="B78">
    <cfRule type="expression" dxfId="168" priority="3" stopIfTrue="1">
      <formula>$F78=""</formula>
    </cfRule>
  </conditionalFormatting>
  <dataValidations count="1">
    <dataValidation type="list" allowBlank="1" showInputMessage="1" showErrorMessage="1" sqref="D5:D99" xr:uid="{0D405576-B911-4804-8A28-B730A091A0DA}">
      <formula1>"QT RRSP CAD,QT RRSP USD,RRSP USD,RRSP CAD,RESP CAD,TFSA CAD,TFSA USD"</formula1>
    </dataValidation>
  </dataValidations>
  <pageMargins left="0.7" right="0.7" top="0.75" bottom="0.75" header="0.3" footer="0.3"/>
  <pageSetup scale="21" fitToHeight="0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  <pageSetUpPr fitToPage="1"/>
  </sheetPr>
  <dimension ref="B1:Q630"/>
  <sheetViews>
    <sheetView showGridLines="0" zoomScaleNormal="100" workbookViewId="0">
      <selection activeCell="B7" sqref="B7"/>
    </sheetView>
  </sheetViews>
  <sheetFormatPr defaultRowHeight="14.25" x14ac:dyDescent="0.25"/>
  <cols>
    <col min="1" max="1" width="0.85546875" customWidth="1"/>
    <col min="3" max="3" width="23.85546875" bestFit="1" customWidth="1"/>
    <col min="4" max="4" width="12.140625" customWidth="1"/>
    <col min="5" max="6" width="8.5703125" style="109" customWidth="1"/>
    <col min="7" max="7" width="8.5703125" style="110" customWidth="1"/>
    <col min="8" max="9" width="8.5703125" customWidth="1"/>
    <col min="10" max="10" width="8.5703125" style="111" customWidth="1"/>
    <col min="11" max="11" width="8.5703125" style="100" customWidth="1"/>
    <col min="12" max="13" width="9.5703125" customWidth="1"/>
    <col min="14" max="14" width="8.85546875" style="100" hidden="1" customWidth="1"/>
    <col min="15" max="17" width="8.85546875" hidden="1" customWidth="1"/>
  </cols>
  <sheetData>
    <row r="1" spans="2:17" ht="5.0999999999999996" customHeight="1" x14ac:dyDescent="0.25"/>
    <row r="2" spans="2:17" s="1" customFormat="1" ht="18" customHeight="1" x14ac:dyDescent="0.25">
      <c r="B2" s="17" t="s">
        <v>479</v>
      </c>
      <c r="E2" s="72"/>
      <c r="F2" s="72"/>
      <c r="G2" s="96"/>
      <c r="H2" s="3"/>
      <c r="I2" s="6"/>
      <c r="J2" s="98"/>
      <c r="K2" s="104"/>
      <c r="L2" s="7"/>
      <c r="M2" s="7"/>
      <c r="N2" s="101"/>
    </row>
    <row r="3" spans="2:17" s="1" customFormat="1" ht="4.5" customHeight="1" x14ac:dyDescent="0.25">
      <c r="E3" s="73"/>
      <c r="F3" s="72"/>
      <c r="G3" s="96"/>
      <c r="H3" s="3"/>
      <c r="I3" s="6"/>
      <c r="J3" s="98"/>
      <c r="K3" s="104"/>
      <c r="L3" s="5"/>
      <c r="M3" s="5"/>
      <c r="N3" s="101"/>
    </row>
    <row r="4" spans="2:17" s="52" customFormat="1" ht="45" customHeight="1" x14ac:dyDescent="0.25">
      <c r="B4" s="52" t="s">
        <v>411</v>
      </c>
      <c r="C4" s="52" t="s">
        <v>1</v>
      </c>
      <c r="D4" s="52" t="s">
        <v>168</v>
      </c>
      <c r="E4" s="112" t="s">
        <v>169</v>
      </c>
      <c r="F4" s="112" t="s">
        <v>170</v>
      </c>
      <c r="G4" s="113" t="s">
        <v>11</v>
      </c>
      <c r="H4" s="52" t="s">
        <v>389</v>
      </c>
      <c r="I4" s="52" t="s">
        <v>409</v>
      </c>
      <c r="J4" s="69" t="s">
        <v>695</v>
      </c>
      <c r="K4" s="105" t="s">
        <v>650</v>
      </c>
      <c r="L4" s="52" t="s">
        <v>10</v>
      </c>
      <c r="M4" s="52" t="s">
        <v>1061</v>
      </c>
      <c r="N4" s="102" t="s">
        <v>702</v>
      </c>
      <c r="O4" s="52" t="s">
        <v>400</v>
      </c>
      <c r="P4" s="52" t="s">
        <v>410</v>
      </c>
      <c r="Q4" s="52" t="s">
        <v>388</v>
      </c>
    </row>
    <row r="5" spans="2:17" s="53" customFormat="1" ht="25.15" customHeight="1" x14ac:dyDescent="0.25">
      <c r="B5" s="11" t="s">
        <v>786</v>
      </c>
      <c r="C5" s="11" t="str">
        <f>VLOOKUP(Companies[[#This Row],[Symbol]],Morningstar,MATCH("Name",Morningstar_Cols,EXACT_MATCH),EXACT_MATCH)</f>
        <v>Advance Auto Parts Inc</v>
      </c>
      <c r="D5" s="114">
        <f>VLOOKUP(Companies[[#This Row],[Symbol]],Morningstar,MATCH("mil$ Market Cap",Morningstar_Cols,0),0)</f>
        <v>7545.57</v>
      </c>
      <c r="E5" s="115">
        <f>VLOOKUP(Companies[[#This Row],[Symbol]],Morningstar,MATCH("% Total Return 3 Month",Morningstar_Cols,EXACT_MATCH),EXACT_MATCH)/100</f>
        <v>-0.30030000000000001</v>
      </c>
      <c r="F5" s="115">
        <f>VLOOKUP(Companies[[#This Row],[Symbol]],Morningstar,MATCH("% Total Return 12 Month",Morningstar_Cols,EXACT_MATCH),EXACT_MATCH)/100</f>
        <v>-0.29350000000000004</v>
      </c>
      <c r="G5" s="116">
        <f>VLOOKUP(Companies[[#This Row],[Symbol]],Morningstar,MATCH("Price/Sales",Morningstar_Cols,EXACT_MATCH),EXACT_MATCH)</f>
        <v>0.8</v>
      </c>
      <c r="H5" s="117">
        <f>VLOOKUP(Companies[[#This Row],[Symbol]],Morningstar,MATCH("Price/Fair Value",Morningstar_Cols,EXACT_MATCH),EXACT_MATCH)</f>
        <v>0.61</v>
      </c>
      <c r="I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5" s="107">
        <f>VLOOKUP(Companies[[#This Row],[Symbol]],Morningstar,MATCH("% Dividend Yield TTM",Morningstar_Cols,EXACT_MATCH),EXACT_MATCH)/100</f>
        <v>2.2000000000000001E-3</v>
      </c>
      <c r="K5" s="119" t="str">
        <f>IFERROR(LOOKUP(2,1/(GrowthCurves[Ticker]=Companies[[#This Row],[Symbol]]),GrowthCurves[Metric]),"")</f>
        <v>3</v>
      </c>
      <c r="L5" s="94">
        <f>RatingDefault+SUM(Companies[[#This Row],[CurvePoints]:[PFVPoints]])</f>
        <v>6</v>
      </c>
      <c r="M5" s="94"/>
      <c r="N5" s="103">
        <f>IF(Companies[[#This Row],[Growth Curve]]&lt;&gt;"",Companies[[#This Row],[Growth Curve]]-3,0)</f>
        <v>0</v>
      </c>
      <c r="O5" s="53">
        <f>IF(Companies[[#This Row],[PSR]]&gt;2,-1,IF(Companies[[#This Row],[PSR]]&lt;1,1,0))</f>
        <v>1</v>
      </c>
      <c r="P5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5" s="53">
        <f>IF(Companies[[#This Row],[PFV]]&lt;0.75,2,IF(Companies[[#This Row],[PFV]]&lt;0.95,1,IF(Companies[[#This Row],[PFV]]&gt;1.25,-2,IF(Companies[[#This Row],[PFV]]&gt;1.15,-1,0))))</f>
        <v>2</v>
      </c>
    </row>
    <row r="6" spans="2:17" s="53" customFormat="1" ht="25.15" customHeight="1" x14ac:dyDescent="0.25">
      <c r="B6" s="52" t="s">
        <v>579</v>
      </c>
      <c r="C6" s="11" t="str">
        <f>VLOOKUP(Companies[[#This Row],[Symbol]],Morningstar,MATCH("Name",Morningstar_Cols,EXACT_MATCH),EXACT_MATCH)</f>
        <v>Ambev SA ADR</v>
      </c>
      <c r="D6" s="114">
        <f>VLOOKUP(Companies[[#This Row],[Symbol]],Morningstar,MATCH("mil$ Market Cap",Morningstar_Cols,0),0)</f>
        <v>38129.29</v>
      </c>
      <c r="E6" s="115">
        <f>VLOOKUP(Companies[[#This Row],[Symbol]],Morningstar,MATCH("% Total Return 3 Month",Morningstar_Cols,EXACT_MATCH),EXACT_MATCH)/100</f>
        <v>-0.40240000000000004</v>
      </c>
      <c r="F6" s="115">
        <f>VLOOKUP(Companies[[#This Row],[Symbol]],Morningstar,MATCH("% Total Return 12 Month",Morningstar_Cols,EXACT_MATCH),EXACT_MATCH)/100</f>
        <v>-0.38079999999999997</v>
      </c>
      <c r="G6" s="116">
        <f>VLOOKUP(Companies[[#This Row],[Symbol]],Morningstar,MATCH("Price/Sales",Morningstar_Cols,EXACT_MATCH),EXACT_MATCH)</f>
        <v>3.69</v>
      </c>
      <c r="H6" s="117">
        <f>VLOOKUP(Companies[[#This Row],[Symbol]],Morningstar,MATCH("Price/Fair Value",Morningstar_Cols,EXACT_MATCH),EXACT_MATCH)</f>
        <v>0.53</v>
      </c>
      <c r="I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6" s="107">
        <f>VLOOKUP(Companies[[#This Row],[Symbol]],Morningstar,MATCH("% Dividend Yield TTM",Morningstar_Cols,EXACT_MATCH),EXACT_MATCH)/100</f>
        <v>4.6300000000000001E-2</v>
      </c>
      <c r="K6" s="119" t="str">
        <f>IFERROR(LOOKUP(2,1/(GrowthCurves[Ticker]=Companies[[#This Row],[Symbol]]),GrowthCurves[Metric]),"")</f>
        <v>2</v>
      </c>
      <c r="L6" s="94">
        <f>RatingDefault+SUM(Companies[[#This Row],[CurvePoints]:[PFVPoints]])</f>
        <v>4</v>
      </c>
      <c r="M6" s="94"/>
      <c r="N6" s="102">
        <f>IF(Companies[[#This Row],[Growth Curve]]&lt;&gt;"",Companies[[#This Row],[Growth Curve]]-3,0)</f>
        <v>-1</v>
      </c>
      <c r="O6" s="52">
        <f>IF(Companies[[#This Row],[PSR]]&gt;2,-1,IF(Companies[[#This Row],[PSR]]&lt;1,1,0))</f>
        <v>-1</v>
      </c>
      <c r="P6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6" s="53">
        <f>IF(Companies[[#This Row],[PFV]]&lt;0.75,2,IF(Companies[[#This Row],[PFV]]&lt;0.95,1,IF(Companies[[#This Row],[PFV]]&gt;1.25,-2,IF(Companies[[#This Row],[PFV]]&gt;1.15,-1,0))))</f>
        <v>2</v>
      </c>
    </row>
    <row r="7" spans="2:17" s="53" customFormat="1" ht="25.15" customHeight="1" x14ac:dyDescent="0.25">
      <c r="B7" s="52" t="s">
        <v>717</v>
      </c>
      <c r="C7" s="11" t="str">
        <f>VLOOKUP(Companies[[#This Row],[Symbol]],Morningstar,MATCH("Name",Morningstar_Cols,EXACT_MATCH),EXACT_MATCH)</f>
        <v>ABM Industries Inc</v>
      </c>
      <c r="D7" s="114">
        <f>VLOOKUP(Companies[[#This Row],[Symbol]],Morningstar,MATCH("mil$ Market Cap",Morningstar_Cols,0),0)</f>
        <v>1743.07</v>
      </c>
      <c r="E7" s="115">
        <f>VLOOKUP(Companies[[#This Row],[Symbol]],Morningstar,MATCH("% Total Return 3 Month",Morningstar_Cols,EXACT_MATCH),EXACT_MATCH)/100</f>
        <v>-0.35820000000000002</v>
      </c>
      <c r="F7" s="115">
        <f>VLOOKUP(Companies[[#This Row],[Symbol]],Morningstar,MATCH("% Total Return 12 Month",Morningstar_Cols,EXACT_MATCH),EXACT_MATCH)/100</f>
        <v>-0.25170000000000003</v>
      </c>
      <c r="G7" s="116">
        <f>VLOOKUP(Companies[[#This Row],[Symbol]],Morningstar,MATCH("Price/Sales",Morningstar_Cols,EXACT_MATCH),EXACT_MATCH)</f>
        <v>0.27</v>
      </c>
      <c r="H7" s="117">
        <f>VLOOKUP(Companies[[#This Row],[Symbol]],Morningstar,MATCH("Price/Fair Value",Morningstar_Cols,EXACT_MATCH),EXACT_MATCH)</f>
        <v>0.65</v>
      </c>
      <c r="I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7" s="107">
        <f>VLOOKUP(Companies[[#This Row],[Symbol]],Morningstar,MATCH("% Dividend Yield TTM",Morningstar_Cols,EXACT_MATCH),EXACT_MATCH)/100</f>
        <v>0.03</v>
      </c>
      <c r="K7" s="119" t="str">
        <f>IFERROR(LOOKUP(2,1/(GrowthCurves[Ticker]=Companies[[#This Row],[Symbol]]),GrowthCurves[Metric]),"")</f>
        <v>2</v>
      </c>
      <c r="L7" s="94">
        <f>RatingDefault+SUM(Companies[[#This Row],[CurvePoints]:[PFVPoints]])</f>
        <v>5</v>
      </c>
      <c r="M7" s="94"/>
      <c r="N7" s="102">
        <f>IF(Companies[[#This Row],[Growth Curve]]&lt;&gt;"",Companies[[#This Row],[Growth Curve]]-3,0)</f>
        <v>-1</v>
      </c>
      <c r="O7" s="52">
        <f>IF(Companies[[#This Row],[PSR]]&gt;2,-1,IF(Companies[[#This Row],[PSR]]&lt;1,1,0))</f>
        <v>1</v>
      </c>
      <c r="P7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7" s="53">
        <f>IF(Companies[[#This Row],[PFV]]&lt;0.75,2,IF(Companies[[#This Row],[PFV]]&lt;0.95,1,IF(Companies[[#This Row],[PFV]]&gt;1.25,-2,IF(Companies[[#This Row],[PFV]]&gt;1.15,-1,0))))</f>
        <v>2</v>
      </c>
    </row>
    <row r="8" spans="2:17" s="53" customFormat="1" ht="25.15" customHeight="1" x14ac:dyDescent="0.25">
      <c r="B8" s="52" t="s">
        <v>13</v>
      </c>
      <c r="C8" s="11" t="str">
        <f>VLOOKUP(Companies[[#This Row],[Symbol]],Morningstar,MATCH("Name",Morningstar_Cols,EXACT_MATCH),EXACT_MATCH)</f>
        <v>Aluminum Corporation of China Ltd ADR</v>
      </c>
      <c r="D8" s="114">
        <f>VLOOKUP(Companies[[#This Row],[Symbol]],Morningstar,MATCH("mil$ Market Cap",Morningstar_Cols,0),0)</f>
        <v>7057.57</v>
      </c>
      <c r="E8" s="115">
        <f>VLOOKUP(Companies[[#This Row],[Symbol]],Morningstar,MATCH("% Total Return 3 Month",Morningstar_Cols,EXACT_MATCH),EXACT_MATCH)/100</f>
        <v>-0.34899999999999998</v>
      </c>
      <c r="F8" s="115">
        <f>VLOOKUP(Companies[[#This Row],[Symbol]],Morningstar,MATCH("% Total Return 12 Month",Morningstar_Cols,EXACT_MATCH),EXACT_MATCH)/100</f>
        <v>-0.44850000000000001</v>
      </c>
      <c r="G8" s="116">
        <f>VLOOKUP(Companies[[#This Row],[Symbol]],Morningstar,MATCH("Price/Sales",Morningstar_Cols,EXACT_MATCH),EXACT_MATCH)</f>
        <v>0.13</v>
      </c>
      <c r="H8" s="117">
        <f>VLOOKUP(Companies[[#This Row],[Symbol]],Morningstar,MATCH("Price/Fair Value",Morningstar_Cols,EXACT_MATCH),EXACT_MATCH)</f>
        <v>0.76</v>
      </c>
      <c r="I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8" s="107">
        <f>VLOOKUP(Companies[[#This Row],[Symbol]],Morningstar,MATCH("% Dividend Yield TTM",Morningstar_Cols,EXACT_MATCH),EXACT_MATCH)/100</f>
        <v>0</v>
      </c>
      <c r="K8" s="119" t="str">
        <f>IFERROR(LOOKUP(2,1/(GrowthCurves[Ticker]=Companies[[#This Row],[Symbol]]),GrowthCurves[Metric]),"")</f>
        <v>2</v>
      </c>
      <c r="L8" s="94">
        <f>RatingDefault+SUM(Companies[[#This Row],[CurvePoints]:[PFVPoints]])</f>
        <v>3</v>
      </c>
      <c r="M8" s="94"/>
      <c r="N8" s="102">
        <f>IF(Companies[[#This Row],[Growth Curve]]&lt;&gt;"",Companies[[#This Row],[Growth Curve]]-3,0)</f>
        <v>-1</v>
      </c>
      <c r="O8" s="52">
        <f>IF(Companies[[#This Row],[PSR]]&gt;2,-1,IF(Companies[[#This Row],[PSR]]&lt;1,1,0))</f>
        <v>1</v>
      </c>
      <c r="P8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8" s="53">
        <f>IF(Companies[[#This Row],[PFV]]&lt;0.75,2,IF(Companies[[#This Row],[PFV]]&lt;0.95,1,IF(Companies[[#This Row],[PFV]]&gt;1.25,-2,IF(Companies[[#This Row],[PFV]]&gt;1.15,-1,0))))</f>
        <v>1</v>
      </c>
    </row>
    <row r="9" spans="2:17" s="53" customFormat="1" ht="25.15" customHeight="1" x14ac:dyDescent="0.25">
      <c r="B9" s="52" t="s">
        <v>77</v>
      </c>
      <c r="C9" s="11" t="str">
        <f>VLOOKUP(Companies[[#This Row],[Symbol]],Morningstar,MATCH("Name",Morningstar_Cols,EXACT_MATCH),EXACT_MATCH)</f>
        <v>Adient PLC</v>
      </c>
      <c r="D9" s="114">
        <f>VLOOKUP(Companies[[#This Row],[Symbol]],Morningstar,MATCH("mil$ Market Cap",Morningstar_Cols,0),0)</f>
        <v>1215.57</v>
      </c>
      <c r="E9" s="115">
        <f>VLOOKUP(Companies[[#This Row],[Symbol]],Morningstar,MATCH("% Total Return 3 Month",Morningstar_Cols,EXACT_MATCH),EXACT_MATCH)/100</f>
        <v>-0.46200000000000002</v>
      </c>
      <c r="F9" s="115">
        <f>VLOOKUP(Companies[[#This Row],[Symbol]],Morningstar,MATCH("% Total Return 12 Month",Morningstar_Cols,EXACT_MATCH),EXACT_MATCH)/100</f>
        <v>-0.1197</v>
      </c>
      <c r="G9" s="116">
        <f>VLOOKUP(Companies[[#This Row],[Symbol]],Morningstar,MATCH("Price/Sales",Morningstar_Cols,EXACT_MATCH),EXACT_MATCH)</f>
        <v>0.08</v>
      </c>
      <c r="H9" s="117">
        <f>VLOOKUP(Companies[[#This Row],[Symbol]],Morningstar,MATCH("Price/Fair Value",Morningstar_Cols,EXACT_MATCH),EXACT_MATCH)</f>
        <v>0.22</v>
      </c>
      <c r="I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9" s="107">
        <f>VLOOKUP(Companies[[#This Row],[Symbol]],Morningstar,MATCH("% Dividend Yield TTM",Morningstar_Cols,EXACT_MATCH),EXACT_MATCH)/100</f>
        <v>0</v>
      </c>
      <c r="K9" s="119" t="str">
        <f>IFERROR(LOOKUP(2,1/(GrowthCurves[Ticker]=Companies[[#This Row],[Symbol]]),GrowthCurves[Metric]),"")</f>
        <v>1</v>
      </c>
      <c r="L9" s="94">
        <f>RatingDefault+SUM(Companies[[#This Row],[CurvePoints]:[PFVPoints]])</f>
        <v>3</v>
      </c>
      <c r="M9" s="94"/>
      <c r="N9" s="102">
        <f>IF(Companies[[#This Row],[Growth Curve]]&lt;&gt;"",Companies[[#This Row],[Growth Curve]]-3,0)</f>
        <v>-2</v>
      </c>
      <c r="O9" s="52">
        <f>IF(Companies[[#This Row],[PSR]]&gt;2,-1,IF(Companies[[#This Row],[PSR]]&lt;1,1,0))</f>
        <v>1</v>
      </c>
      <c r="P9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9" s="53">
        <f>IF(Companies[[#This Row],[PFV]]&lt;0.75,2,IF(Companies[[#This Row],[PFV]]&lt;0.95,1,IF(Companies[[#This Row],[PFV]]&gt;1.25,-2,IF(Companies[[#This Row],[PFV]]&gt;1.15,-1,0))))</f>
        <v>2</v>
      </c>
    </row>
    <row r="10" spans="2:17" s="53" customFormat="1" ht="25.15" customHeight="1" x14ac:dyDescent="0.25">
      <c r="B10" s="52" t="s">
        <v>94</v>
      </c>
      <c r="C10" s="11" t="str">
        <f>VLOOKUP(Companies[[#This Row],[Symbol]],Morningstar,MATCH("Name",Morningstar_Cols,EXACT_MATCH),EXACT_MATCH)</f>
        <v>American Equity Investment Life Holding Co</v>
      </c>
      <c r="D10" s="114">
        <f>VLOOKUP(Companies[[#This Row],[Symbol]],Morningstar,MATCH("mil$ Market Cap",Morningstar_Cols,0),0)</f>
        <v>1646.9</v>
      </c>
      <c r="E10" s="115">
        <f>VLOOKUP(Companies[[#This Row],[Symbol]],Morningstar,MATCH("% Total Return 3 Month",Morningstar_Cols,EXACT_MATCH),EXACT_MATCH)/100</f>
        <v>-0.4476</v>
      </c>
      <c r="F10" s="115">
        <f>VLOOKUP(Companies[[#This Row],[Symbol]],Morningstar,MATCH("% Total Return 12 Month",Morningstar_Cols,EXACT_MATCH),EXACT_MATCH)/100</f>
        <v>-0.43280000000000002</v>
      </c>
      <c r="G10" s="116">
        <f>VLOOKUP(Companies[[#This Row],[Symbol]],Morningstar,MATCH("Price/Sales",Morningstar_Cols,EXACT_MATCH),EXACT_MATCH)</f>
        <v>0.82</v>
      </c>
      <c r="H10" s="117">
        <f>VLOOKUP(Companies[[#This Row],[Symbol]],Morningstar,MATCH("Price/Fair Value",Morningstar_Cols,EXACT_MATCH),EXACT_MATCH)</f>
        <v>0.56000000000000005</v>
      </c>
      <c r="I1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10" s="107">
        <f>VLOOKUP(Companies[[#This Row],[Symbol]],Morningstar,MATCH("% Dividend Yield TTM",Morningstar_Cols,EXACT_MATCH),EXACT_MATCH)/100</f>
        <v>1.8000000000000002E-2</v>
      </c>
      <c r="K10" s="119" t="str">
        <f>IFERROR(LOOKUP(2,1/(GrowthCurves[Ticker]=Companies[[#This Row],[Symbol]]),GrowthCurves[Metric]),"")</f>
        <v/>
      </c>
      <c r="L10" s="94">
        <f>RatingDefault+SUM(Companies[[#This Row],[CurvePoints]:[PFVPoints]])</f>
        <v>5</v>
      </c>
      <c r="M10" s="94"/>
      <c r="N10" s="102">
        <f>IF(Companies[[#This Row],[Growth Curve]]&lt;&gt;"",Companies[[#This Row],[Growth Curve]]-3,0)</f>
        <v>0</v>
      </c>
      <c r="O10" s="52">
        <f>IF(Companies[[#This Row],[PSR]]&gt;2,-1,IF(Companies[[#This Row],[PSR]]&lt;1,1,0))</f>
        <v>1</v>
      </c>
      <c r="P10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0" s="53">
        <f>IF(Companies[[#This Row],[PFV]]&lt;0.75,2,IF(Companies[[#This Row],[PFV]]&lt;0.95,1,IF(Companies[[#This Row],[PFV]]&gt;1.25,-2,IF(Companies[[#This Row],[PFV]]&gt;1.15,-1,0))))</f>
        <v>2</v>
      </c>
    </row>
    <row r="11" spans="2:17" s="53" customFormat="1" ht="25.15" customHeight="1" x14ac:dyDescent="0.25">
      <c r="B11" s="52" t="s">
        <v>357</v>
      </c>
      <c r="C11" s="11" t="str">
        <f>VLOOKUP(Companies[[#This Row],[Symbol]],Morningstar,MATCH("Name",Morningstar_Cols,EXACT_MATCH),EXACT_MATCH)</f>
        <v>Allergan PLC</v>
      </c>
      <c r="D11" s="114">
        <f>VLOOKUP(Companies[[#This Row],[Symbol]],Morningstar,MATCH("mil$ Market Cap",Morningstar_Cols,0),0)</f>
        <v>60149.79</v>
      </c>
      <c r="E11" s="115">
        <f>VLOOKUP(Companies[[#This Row],[Symbol]],Morningstar,MATCH("% Total Return 3 Month",Morningstar_Cols,EXACT_MATCH),EXACT_MATCH)/100</f>
        <v>-6.88E-2</v>
      </c>
      <c r="F11" s="115">
        <f>VLOOKUP(Companies[[#This Row],[Symbol]],Morningstar,MATCH("% Total Return 12 Month",Morningstar_Cols,EXACT_MATCH),EXACT_MATCH)/100</f>
        <v>0.20149999999999998</v>
      </c>
      <c r="G11" s="116">
        <f>VLOOKUP(Companies[[#This Row],[Symbol]],Morningstar,MATCH("Price/Sales",Morningstar_Cols,EXACT_MATCH),EXACT_MATCH)</f>
        <v>3.74</v>
      </c>
      <c r="H11" s="117">
        <f>VLOOKUP(Companies[[#This Row],[Symbol]],Morningstar,MATCH("Price/Fair Value",Morningstar_Cols,EXACT_MATCH),EXACT_MATCH)</f>
        <v>0.83</v>
      </c>
      <c r="I1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1" s="107">
        <f>VLOOKUP(Companies[[#This Row],[Symbol]],Morningstar,MATCH("% Dividend Yield TTM",Morningstar_Cols,EXACT_MATCH),EXACT_MATCH)/100</f>
        <v>1.7000000000000001E-2</v>
      </c>
      <c r="K11" s="119" t="str">
        <f>IFERROR(LOOKUP(2,1/(GrowthCurves[Ticker]=Companies[[#This Row],[Symbol]]),GrowthCurves[Metric]),"")</f>
        <v>1</v>
      </c>
      <c r="L11" s="94">
        <f>RatingDefault+SUM(Companies[[#This Row],[CurvePoints]:[PFVPoints]])</f>
        <v>2</v>
      </c>
      <c r="M11" s="94"/>
      <c r="N11" s="102">
        <f>IF(Companies[[#This Row],[Growth Curve]]&lt;&gt;"",Companies[[#This Row],[Growth Curve]]-3,0)</f>
        <v>-2</v>
      </c>
      <c r="O11" s="52">
        <f>IF(Companies[[#This Row],[PSR]]&gt;2,-1,IF(Companies[[#This Row],[PSR]]&lt;1,1,0))</f>
        <v>-1</v>
      </c>
      <c r="P11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1" s="53">
        <f>IF(Companies[[#This Row],[PFV]]&lt;0.75,2,IF(Companies[[#This Row],[PFV]]&lt;0.95,1,IF(Companies[[#This Row],[PFV]]&gt;1.25,-2,IF(Companies[[#This Row],[PFV]]&gt;1.15,-1,0))))</f>
        <v>1</v>
      </c>
    </row>
    <row r="12" spans="2:17" s="53" customFormat="1" ht="25.15" customHeight="1" x14ac:dyDescent="0.25">
      <c r="B12" s="52" t="s">
        <v>719</v>
      </c>
      <c r="C12" s="11" t="str">
        <f>VLOOKUP(Companies[[#This Row],[Symbol]],Morningstar,MATCH("Name",Morningstar_Cols,EXACT_MATCH),EXACT_MATCH)</f>
        <v>Argan Inc</v>
      </c>
      <c r="D12" s="114">
        <f>VLOOKUP(Companies[[#This Row],[Symbol]],Morningstar,MATCH("mil$ Market Cap",Morningstar_Cols,0),0)</f>
        <v>561.24</v>
      </c>
      <c r="E12" s="115">
        <f>VLOOKUP(Companies[[#This Row],[Symbol]],Morningstar,MATCH("% Total Return 3 Month",Morningstar_Cols,EXACT_MATCH),EXACT_MATCH)/100</f>
        <v>-0.12539999999999998</v>
      </c>
      <c r="F12" s="115">
        <f>VLOOKUP(Companies[[#This Row],[Symbol]],Morningstar,MATCH("% Total Return 12 Month",Morningstar_Cols,EXACT_MATCH),EXACT_MATCH)/100</f>
        <v>-0.32270000000000004</v>
      </c>
      <c r="G12" s="116">
        <f>VLOOKUP(Companies[[#This Row],[Symbol]],Morningstar,MATCH("Price/Sales",Morningstar_Cols,EXACT_MATCH),EXACT_MATCH)</f>
        <v>2.17</v>
      </c>
      <c r="H12" s="117">
        <f>VLOOKUP(Companies[[#This Row],[Symbol]],Morningstar,MATCH("Price/Fair Value",Morningstar_Cols,EXACT_MATCH),EXACT_MATCH)</f>
        <v>0.82</v>
      </c>
      <c r="I1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2" s="107">
        <f>VLOOKUP(Companies[[#This Row],[Symbol]],Morningstar,MATCH("% Dividend Yield TTM",Morningstar_Cols,EXACT_MATCH),EXACT_MATCH)/100</f>
        <v>3.15E-2</v>
      </c>
      <c r="K12" s="119" t="str">
        <f>IFERROR(LOOKUP(2,1/(GrowthCurves[Ticker]=Companies[[#This Row],[Symbol]]),GrowthCurves[Metric]),"")</f>
        <v>3</v>
      </c>
      <c r="L12" s="94">
        <f>RatingDefault+SUM(Companies[[#This Row],[CurvePoints]:[PFVPoints]])</f>
        <v>4</v>
      </c>
      <c r="M12" s="94"/>
      <c r="N12" s="102">
        <f>IF(Companies[[#This Row],[Growth Curve]]&lt;&gt;"",Companies[[#This Row],[Growth Curve]]-3,0)</f>
        <v>0</v>
      </c>
      <c r="O12" s="52">
        <f>IF(Companies[[#This Row],[PSR]]&gt;2,-1,IF(Companies[[#This Row],[PSR]]&lt;1,1,0))</f>
        <v>-1</v>
      </c>
      <c r="P12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2" s="53">
        <f>IF(Companies[[#This Row],[PFV]]&lt;0.75,2,IF(Companies[[#This Row],[PFV]]&lt;0.95,1,IF(Companies[[#This Row],[PFV]]&gt;1.25,-2,IF(Companies[[#This Row],[PFV]]&gt;1.15,-1,0))))</f>
        <v>1</v>
      </c>
    </row>
    <row r="13" spans="2:17" s="53" customFormat="1" ht="25.15" customHeight="1" x14ac:dyDescent="0.25">
      <c r="B13" s="52" t="s">
        <v>581</v>
      </c>
      <c r="C13" s="11" t="str">
        <f>VLOOKUP(Companies[[#This Row],[Symbol]],Morningstar,MATCH("Name",Morningstar_Cols,EXACT_MATCH),EXACT_MATCH)</f>
        <v>American International Group Inc</v>
      </c>
      <c r="D13" s="114">
        <f>VLOOKUP(Companies[[#This Row],[Symbol]],Morningstar,MATCH("mil$ Market Cap",Morningstar_Cols,0),0)</f>
        <v>23679.42</v>
      </c>
      <c r="E13" s="115">
        <f>VLOOKUP(Companies[[#This Row],[Symbol]],Morningstar,MATCH("% Total Return 3 Month",Morningstar_Cols,EXACT_MATCH),EXACT_MATCH)/100</f>
        <v>-0.49700000000000005</v>
      </c>
      <c r="F13" s="115">
        <f>VLOOKUP(Companies[[#This Row],[Symbol]],Morningstar,MATCH("% Total Return 12 Month",Morningstar_Cols,EXACT_MATCH),EXACT_MATCH)/100</f>
        <v>-0.374</v>
      </c>
      <c r="G13" s="116">
        <f>VLOOKUP(Companies[[#This Row],[Symbol]],Morningstar,MATCH("Price/Sales",Morningstar_Cols,EXACT_MATCH),EXACT_MATCH)</f>
        <v>0.49</v>
      </c>
      <c r="H13" s="117">
        <f>VLOOKUP(Companies[[#This Row],[Symbol]],Morningstar,MATCH("Price/Fair Value",Morningstar_Cols,EXACT_MATCH),EXACT_MATCH)</f>
        <v>0.36</v>
      </c>
      <c r="I1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3" s="107">
        <f>VLOOKUP(Companies[[#This Row],[Symbol]],Morningstar,MATCH("% Dividend Yield TTM",Morningstar_Cols,EXACT_MATCH),EXACT_MATCH)/100</f>
        <v>4.99E-2</v>
      </c>
      <c r="K13" s="119" t="str">
        <f>IFERROR(LOOKUP(2,1/(GrowthCurves[Ticker]=Companies[[#This Row],[Symbol]]),GrowthCurves[Metric]),"")</f>
        <v>2</v>
      </c>
      <c r="L13" s="94">
        <f>RatingDefault+SUM(Companies[[#This Row],[CurvePoints]:[PFVPoints]])</f>
        <v>5</v>
      </c>
      <c r="M13" s="94"/>
      <c r="N13" s="102">
        <f>IF(Companies[[#This Row],[Growth Curve]]&lt;&gt;"",Companies[[#This Row],[Growth Curve]]-3,0)</f>
        <v>-1</v>
      </c>
      <c r="O13" s="52">
        <f>IF(Companies[[#This Row],[PSR]]&gt;2,-1,IF(Companies[[#This Row],[PSR]]&lt;1,1,0))</f>
        <v>1</v>
      </c>
      <c r="P13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3" s="53">
        <f>IF(Companies[[#This Row],[PFV]]&lt;0.75,2,IF(Companies[[#This Row],[PFV]]&lt;0.95,1,IF(Companies[[#This Row],[PFV]]&gt;1.25,-2,IF(Companies[[#This Row],[PFV]]&gt;1.15,-1,0))))</f>
        <v>2</v>
      </c>
    </row>
    <row r="14" spans="2:17" s="53" customFormat="1" ht="25.15" customHeight="1" x14ac:dyDescent="0.25">
      <c r="B14" s="52" t="s">
        <v>869</v>
      </c>
      <c r="C14" s="11" t="str">
        <f>VLOOKUP(Companies[[#This Row],[Symbol]],Morningstar,MATCH("Name",Morningstar_Cols,EXACT_MATCH),EXACT_MATCH)</f>
        <v>Alexion Pharmaceuticals Inc</v>
      </c>
      <c r="D14" s="114">
        <f>VLOOKUP(Companies[[#This Row],[Symbol]],Morningstar,MATCH("mil$ Market Cap",Morningstar_Cols,0),0)</f>
        <v>17824.98</v>
      </c>
      <c r="E14" s="115">
        <f>VLOOKUP(Companies[[#This Row],[Symbol]],Morningstar,MATCH("% Total Return 3 Month",Morningstar_Cols,EXACT_MATCH),EXACT_MATCH)/100</f>
        <v>-0.318</v>
      </c>
      <c r="F14" s="115">
        <f>VLOOKUP(Companies[[#This Row],[Symbol]],Morningstar,MATCH("% Total Return 12 Month",Morningstar_Cols,EXACT_MATCH),EXACT_MATCH)/100</f>
        <v>-0.42880000000000001</v>
      </c>
      <c r="G14" s="116">
        <f>VLOOKUP(Companies[[#This Row],[Symbol]],Morningstar,MATCH("Price/Sales",Morningstar_Cols,EXACT_MATCH),EXACT_MATCH)</f>
        <v>3.63</v>
      </c>
      <c r="H14" s="117">
        <f>VLOOKUP(Companies[[#This Row],[Symbol]],Morningstar,MATCH("Price/Fair Value",Morningstar_Cols,EXACT_MATCH),EXACT_MATCH)</f>
        <v>0.52</v>
      </c>
      <c r="I1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4" s="107">
        <f>VLOOKUP(Companies[[#This Row],[Symbol]],Morningstar,MATCH("% Dividend Yield TTM",Morningstar_Cols,EXACT_MATCH),EXACT_MATCH)/100</f>
        <v>0</v>
      </c>
      <c r="K14" s="119" t="str">
        <f>IFERROR(LOOKUP(2,1/(GrowthCurves[Ticker]=Companies[[#This Row],[Symbol]]),GrowthCurves[Metric]),"")</f>
        <v>3</v>
      </c>
      <c r="L14" s="94">
        <f>RatingDefault+SUM(Companies[[#This Row],[CurvePoints]:[PFVPoints]])</f>
        <v>5</v>
      </c>
      <c r="M14" s="94"/>
      <c r="N14" s="102">
        <f>IF(Companies[[#This Row],[Growth Curve]]&lt;&gt;"",Companies[[#This Row],[Growth Curve]]-3,0)</f>
        <v>0</v>
      </c>
      <c r="O14" s="52">
        <f>IF(Companies[[#This Row],[PSR]]&gt;2,-1,IF(Companies[[#This Row],[PSR]]&lt;1,1,0))</f>
        <v>-1</v>
      </c>
      <c r="P14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4" s="53">
        <f>IF(Companies[[#This Row],[PFV]]&lt;0.75,2,IF(Companies[[#This Row],[PFV]]&lt;0.95,1,IF(Companies[[#This Row],[PFV]]&gt;1.25,-2,IF(Companies[[#This Row],[PFV]]&gt;1.15,-1,0))))</f>
        <v>2</v>
      </c>
    </row>
    <row r="15" spans="2:17" s="53" customFormat="1" ht="25.15" customHeight="1" x14ac:dyDescent="0.25">
      <c r="B15" s="52" t="s">
        <v>263</v>
      </c>
      <c r="C15" s="11" t="str">
        <f>VLOOKUP(Companies[[#This Row],[Symbol]],Morningstar,MATCH("Name",Morningstar_Cols,EXACT_MATCH),EXACT_MATCH)</f>
        <v>Apollo Medical Holdings Inc</v>
      </c>
      <c r="D15" s="114">
        <f>VLOOKUP(Companies[[#This Row],[Symbol]],Morningstar,MATCH("mil$ Market Cap",Morningstar_Cols,0),0)</f>
        <v>656.62</v>
      </c>
      <c r="E15" s="115">
        <f>VLOOKUP(Companies[[#This Row],[Symbol]],Morningstar,MATCH("% Total Return 3 Month",Morningstar_Cols,EXACT_MATCH),EXACT_MATCH)/100</f>
        <v>-0.30430000000000001</v>
      </c>
      <c r="F15" s="115">
        <f>VLOOKUP(Companies[[#This Row],[Symbol]],Morningstar,MATCH("% Total Return 12 Month",Morningstar_Cols,EXACT_MATCH),EXACT_MATCH)/100</f>
        <v>-0.34329999999999999</v>
      </c>
      <c r="G15" s="116">
        <f>VLOOKUP(Companies[[#This Row],[Symbol]],Morningstar,MATCH("Price/Sales",Morningstar_Cols,EXACT_MATCH),EXACT_MATCH)</f>
        <v>0.96</v>
      </c>
      <c r="H15" s="117">
        <f>VLOOKUP(Companies[[#This Row],[Symbol]],Morningstar,MATCH("Price/Fair Value",Morningstar_Cols,EXACT_MATCH),EXACT_MATCH)</f>
        <v>0.67</v>
      </c>
      <c r="I1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5" s="107">
        <f>VLOOKUP(Companies[[#This Row],[Symbol]],Morningstar,MATCH("% Dividend Yield TTM",Morningstar_Cols,EXACT_MATCH),EXACT_MATCH)/100</f>
        <v>0</v>
      </c>
      <c r="K15" s="119" t="str">
        <f>IFERROR(LOOKUP(2,1/(GrowthCurves[Ticker]=Companies[[#This Row],[Symbol]]),GrowthCurves[Metric]),"")</f>
        <v>4</v>
      </c>
      <c r="L15" s="94">
        <f>RatingDefault+SUM(Companies[[#This Row],[CurvePoints]:[PFVPoints]])</f>
        <v>7</v>
      </c>
      <c r="M15" s="94"/>
      <c r="N15" s="102">
        <f>IF(Companies[[#This Row],[Growth Curve]]&lt;&gt;"",Companies[[#This Row],[Growth Curve]]-3,0)</f>
        <v>1</v>
      </c>
      <c r="O15" s="52">
        <f>IF(Companies[[#This Row],[PSR]]&gt;2,-1,IF(Companies[[#This Row],[PSR]]&lt;1,1,0))</f>
        <v>1</v>
      </c>
      <c r="P15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5" s="53">
        <f>IF(Companies[[#This Row],[PFV]]&lt;0.75,2,IF(Companies[[#This Row],[PFV]]&lt;0.95,1,IF(Companies[[#This Row],[PFV]]&gt;1.25,-2,IF(Companies[[#This Row],[PFV]]&gt;1.15,-1,0))))</f>
        <v>2</v>
      </c>
    </row>
    <row r="16" spans="2:17" s="53" customFormat="1" ht="25.15" customHeight="1" x14ac:dyDescent="0.25">
      <c r="B16" s="52" t="s">
        <v>264</v>
      </c>
      <c r="C16" s="11" t="str">
        <f>VLOOKUP(Companies[[#This Row],[Symbol]],Morningstar,MATCH("Name",Morningstar_Cols,EXACT_MATCH),EXACT_MATCH)</f>
        <v>Ameresco Inc Class A</v>
      </c>
      <c r="D16" s="114">
        <f>VLOOKUP(Companies[[#This Row],[Symbol]],Morningstar,MATCH("mil$ Market Cap",Morningstar_Cols,0),0)</f>
        <v>750.98</v>
      </c>
      <c r="E16" s="115">
        <f>VLOOKUP(Companies[[#This Row],[Symbol]],Morningstar,MATCH("% Total Return 3 Month",Morningstar_Cols,EXACT_MATCH),EXACT_MATCH)/100</f>
        <v>-2.3799999999999998E-2</v>
      </c>
      <c r="F16" s="115">
        <f>VLOOKUP(Companies[[#This Row],[Symbol]],Morningstar,MATCH("% Total Return 12 Month",Morningstar_Cols,EXACT_MATCH),EXACT_MATCH)/100</f>
        <v>-1.29E-2</v>
      </c>
      <c r="G16" s="116">
        <f>VLOOKUP(Companies[[#This Row],[Symbol]],Morningstar,MATCH("Price/Sales",Morningstar_Cols,EXACT_MATCH),EXACT_MATCH)</f>
        <v>0.87</v>
      </c>
      <c r="H16" s="117">
        <f>VLOOKUP(Companies[[#This Row],[Symbol]],Morningstar,MATCH("Price/Fair Value",Morningstar_Cols,EXACT_MATCH),EXACT_MATCH)</f>
        <v>0.72</v>
      </c>
      <c r="I1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6" s="107">
        <f>VLOOKUP(Companies[[#This Row],[Symbol]],Morningstar,MATCH("% Dividend Yield TTM",Morningstar_Cols,EXACT_MATCH),EXACT_MATCH)/100</f>
        <v>0</v>
      </c>
      <c r="K16" s="119" t="str">
        <f>IFERROR(LOOKUP(2,1/(GrowthCurves[Ticker]=Companies[[#This Row],[Symbol]]),GrowthCurves[Metric]),"")</f>
        <v/>
      </c>
      <c r="L16" s="94">
        <f>RatingDefault+SUM(Companies[[#This Row],[CurvePoints]:[PFVPoints]])</f>
        <v>6</v>
      </c>
      <c r="M16" s="94"/>
      <c r="N16" s="102">
        <f>IF(Companies[[#This Row],[Growth Curve]]&lt;&gt;"",Companies[[#This Row],[Growth Curve]]-3,0)</f>
        <v>0</v>
      </c>
      <c r="O16" s="52">
        <f>IF(Companies[[#This Row],[PSR]]&gt;2,-1,IF(Companies[[#This Row],[PSR]]&lt;1,1,0))</f>
        <v>1</v>
      </c>
      <c r="P16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6" s="53">
        <f>IF(Companies[[#This Row],[PFV]]&lt;0.75,2,IF(Companies[[#This Row],[PFV]]&lt;0.95,1,IF(Companies[[#This Row],[PFV]]&gt;1.25,-2,IF(Companies[[#This Row],[PFV]]&gt;1.15,-1,0))))</f>
        <v>2</v>
      </c>
    </row>
    <row r="17" spans="2:17" s="53" customFormat="1" ht="25.15" customHeight="1" x14ac:dyDescent="0.25">
      <c r="B17" s="52" t="s">
        <v>265</v>
      </c>
      <c r="C17" s="11" t="str">
        <f>VLOOKUP(Companies[[#This Row],[Symbol]],Morningstar,MATCH("Name",Morningstar_Cols,EXACT_MATCH),EXACT_MATCH)</f>
        <v>Abercrombie &amp; Fitch Co Class A</v>
      </c>
      <c r="D17" s="114">
        <f>VLOOKUP(Companies[[#This Row],[Symbol]],Morningstar,MATCH("mil$ Market Cap",Morningstar_Cols,0),0)</f>
        <v>690.02</v>
      </c>
      <c r="E17" s="115">
        <f>VLOOKUP(Companies[[#This Row],[Symbol]],Morningstar,MATCH("% Total Return 3 Month",Morningstar_Cols,EXACT_MATCH),EXACT_MATCH)/100</f>
        <v>-0.40770000000000001</v>
      </c>
      <c r="F17" s="115">
        <f>VLOOKUP(Companies[[#This Row],[Symbol]],Morningstar,MATCH("% Total Return 12 Month",Morningstar_Cols,EXACT_MATCH),EXACT_MATCH)/100</f>
        <v>-0.59299999999999997</v>
      </c>
      <c r="G17" s="116">
        <f>VLOOKUP(Companies[[#This Row],[Symbol]],Morningstar,MATCH("Price/Sales",Morningstar_Cols,EXACT_MATCH),EXACT_MATCH)</f>
        <v>0.2</v>
      </c>
      <c r="H17" s="117">
        <f>VLOOKUP(Companies[[#This Row],[Symbol]],Morningstar,MATCH("Price/Fair Value",Morningstar_Cols,EXACT_MATCH),EXACT_MATCH)</f>
        <v>0.4</v>
      </c>
      <c r="I1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17" s="107">
        <f>VLOOKUP(Companies[[#This Row],[Symbol]],Morningstar,MATCH("% Dividend Yield TTM",Morningstar_Cols,EXACT_MATCH),EXACT_MATCH)/100</f>
        <v>7.9399999999999998E-2</v>
      </c>
      <c r="K17" s="119" t="str">
        <f>IFERROR(LOOKUP(2,1/(GrowthCurves[Ticker]=Companies[[#This Row],[Symbol]]),GrowthCurves[Metric]),"")</f>
        <v>1</v>
      </c>
      <c r="L17" s="94">
        <f>RatingDefault+SUM(Companies[[#This Row],[CurvePoints]:[PFVPoints]])</f>
        <v>3</v>
      </c>
      <c r="M17" s="94"/>
      <c r="N17" s="102">
        <f>IF(Companies[[#This Row],[Growth Curve]]&lt;&gt;"",Companies[[#This Row],[Growth Curve]]-3,0)</f>
        <v>-2</v>
      </c>
      <c r="O17" s="52">
        <f>IF(Companies[[#This Row],[PSR]]&gt;2,-1,IF(Companies[[#This Row],[PSR]]&lt;1,1,0))</f>
        <v>1</v>
      </c>
      <c r="P17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7" s="53">
        <f>IF(Companies[[#This Row],[PFV]]&lt;0.75,2,IF(Companies[[#This Row],[PFV]]&lt;0.95,1,IF(Companies[[#This Row],[PFV]]&gt;1.25,-2,IF(Companies[[#This Row],[PFV]]&gt;1.15,-1,0))))</f>
        <v>2</v>
      </c>
    </row>
    <row r="18" spans="2:17" s="53" customFormat="1" ht="25.15" customHeight="1" x14ac:dyDescent="0.25">
      <c r="B18" s="11" t="s">
        <v>122</v>
      </c>
      <c r="C18" s="11" t="str">
        <f>VLOOKUP(Companies[[#This Row],[Symbol]],Morningstar,MATCH("Name",Morningstar_Cols,EXACT_MATCH),EXACT_MATCH)</f>
        <v>Anthem Inc</v>
      </c>
      <c r="D18" s="114">
        <f>VLOOKUP(Companies[[#This Row],[Symbol]],Morningstar,MATCH("mil$ Market Cap",Morningstar_Cols,0),0)</f>
        <v>65540.960000000006</v>
      </c>
      <c r="E18" s="115">
        <f>VLOOKUP(Companies[[#This Row],[Symbol]],Morningstar,MATCH("% Total Return 3 Month",Morningstar_Cols,EXACT_MATCH),EXACT_MATCH)/100</f>
        <v>-9.9199999999999997E-2</v>
      </c>
      <c r="F18" s="115">
        <f>VLOOKUP(Companies[[#This Row],[Symbol]],Morningstar,MATCH("% Total Return 12 Month",Morningstar_Cols,EXACT_MATCH),EXACT_MATCH)/100</f>
        <v>-0.1265</v>
      </c>
      <c r="G18" s="116">
        <f>VLOOKUP(Companies[[#This Row],[Symbol]],Morningstar,MATCH("Price/Sales",Morningstar_Cols,EXACT_MATCH),EXACT_MATCH)</f>
        <v>0.65</v>
      </c>
      <c r="H18" s="117">
        <f>VLOOKUP(Companies[[#This Row],[Symbol]],Morningstar,MATCH("Price/Fair Value",Morningstar_Cols,EXACT_MATCH),EXACT_MATCH)</f>
        <v>0.74</v>
      </c>
      <c r="I1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8" s="107">
        <f>VLOOKUP(Companies[[#This Row],[Symbol]],Morningstar,MATCH("% Dividend Yield TTM",Morningstar_Cols,EXACT_MATCH),EXACT_MATCH)/100</f>
        <v>1.2500000000000001E-2</v>
      </c>
      <c r="K18" s="119" t="str">
        <f>IFERROR(LOOKUP(2,1/(GrowthCurves[Ticker]=Companies[[#This Row],[Symbol]]),GrowthCurves[Metric]),"")</f>
        <v>4</v>
      </c>
      <c r="L18" s="94">
        <f>RatingDefault+SUM(Companies[[#This Row],[CurvePoints]:[PFVPoints]])</f>
        <v>8</v>
      </c>
      <c r="M18" s="94"/>
      <c r="N18" s="103">
        <f>IF(Companies[[#This Row],[Growth Curve]]&lt;&gt;"",Companies[[#This Row],[Growth Curve]]-3,0)</f>
        <v>1</v>
      </c>
      <c r="O18" s="53">
        <f>IF(Companies[[#This Row],[PSR]]&gt;2,-1,IF(Companies[[#This Row],[PSR]]&lt;1,1,0))</f>
        <v>1</v>
      </c>
      <c r="P18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8" s="53">
        <f>IF(Companies[[#This Row],[PFV]]&lt;0.75,2,IF(Companies[[#This Row],[PFV]]&lt;0.95,1,IF(Companies[[#This Row],[PFV]]&gt;1.25,-2,IF(Companies[[#This Row],[PFV]]&gt;1.15,-1,0))))</f>
        <v>2</v>
      </c>
    </row>
    <row r="19" spans="2:17" s="53" customFormat="1" ht="25.15" customHeight="1" x14ac:dyDescent="0.25">
      <c r="B19" s="52" t="s">
        <v>655</v>
      </c>
      <c r="C19" s="11" t="str">
        <f>VLOOKUP(Companies[[#This Row],[Symbol]],Morningstar,MATCH("Name",Morningstar_Cols,EXACT_MATCH),EXACT_MATCH)</f>
        <v>Blue Apron Holdings Inc Class A</v>
      </c>
      <c r="D19" s="114">
        <f>VLOOKUP(Companies[[#This Row],[Symbol]],Morningstar,MATCH("mil$ Market Cap",Morningstar_Cols,0),0)</f>
        <v>30.38</v>
      </c>
      <c r="E19" s="115">
        <f>VLOOKUP(Companies[[#This Row],[Symbol]],Morningstar,MATCH("% Total Return 3 Month",Morningstar_Cols,EXACT_MATCH),EXACT_MATCH)/100</f>
        <v>-0.67280000000000006</v>
      </c>
      <c r="F19" s="115">
        <f>VLOOKUP(Companies[[#This Row],[Symbol]],Morningstar,MATCH("% Total Return 12 Month",Morningstar_Cols,EXACT_MATCH),EXACT_MATCH)/100</f>
        <v>-0.84360000000000002</v>
      </c>
      <c r="G19" s="116">
        <f>VLOOKUP(Companies[[#This Row],[Symbol]],Morningstar,MATCH("Price/Sales",Morningstar_Cols,EXACT_MATCH),EXACT_MATCH)</f>
        <v>7.0000000000000007E-2</v>
      </c>
      <c r="H19" s="117">
        <f>VLOOKUP(Companies[[#This Row],[Symbol]],Morningstar,MATCH("Price/Fair Value",Morningstar_Cols,EXACT_MATCH),EXACT_MATCH)</f>
        <v>0.34</v>
      </c>
      <c r="I1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19" s="107">
        <f>VLOOKUP(Companies[[#This Row],[Symbol]],Morningstar,MATCH("% Dividend Yield TTM",Morningstar_Cols,EXACT_MATCH),EXACT_MATCH)/100</f>
        <v>0</v>
      </c>
      <c r="K19" s="119" t="str">
        <f>IFERROR(LOOKUP(2,1/(GrowthCurves[Ticker]=Companies[[#This Row],[Symbol]]),GrowthCurves[Metric]),"")</f>
        <v>1</v>
      </c>
      <c r="L19" s="94">
        <f>RatingDefault+SUM(Companies[[#This Row],[CurvePoints]:[PFVPoints]])</f>
        <v>3</v>
      </c>
      <c r="M19" s="94"/>
      <c r="N19" s="102">
        <f>IF(Companies[[#This Row],[Growth Curve]]&lt;&gt;"",Companies[[#This Row],[Growth Curve]]-3,0)</f>
        <v>-2</v>
      </c>
      <c r="O19" s="52">
        <f>IF(Companies[[#This Row],[PSR]]&gt;2,-1,IF(Companies[[#This Row],[PSR]]&lt;1,1,0))</f>
        <v>1</v>
      </c>
      <c r="P19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9" s="53">
        <f>IF(Companies[[#This Row],[PFV]]&lt;0.75,2,IF(Companies[[#This Row],[PFV]]&lt;0.95,1,IF(Companies[[#This Row],[PFV]]&gt;1.25,-2,IF(Companies[[#This Row],[PFV]]&gt;1.15,-1,0))))</f>
        <v>2</v>
      </c>
    </row>
    <row r="20" spans="2:17" s="53" customFormat="1" ht="25.15" customHeight="1" x14ac:dyDescent="0.25">
      <c r="B20" s="11" t="s">
        <v>314</v>
      </c>
      <c r="C20" s="11" t="str">
        <f>VLOOKUP(Companies[[#This Row],[Symbol]],Morningstar,MATCH("Name",Morningstar_Cols,EXACT_MATCH),EXACT_MATCH)</f>
        <v>ArcBest Corp</v>
      </c>
      <c r="D20" s="114">
        <f>VLOOKUP(Companies[[#This Row],[Symbol]],Morningstar,MATCH("mil$ Market Cap",Morningstar_Cols,0),0)</f>
        <v>457.43</v>
      </c>
      <c r="E20" s="115">
        <f>VLOOKUP(Companies[[#This Row],[Symbol]],Morningstar,MATCH("% Total Return 3 Month",Morningstar_Cols,EXACT_MATCH),EXACT_MATCH)/100</f>
        <v>-0.38219999999999998</v>
      </c>
      <c r="F20" s="115">
        <f>VLOOKUP(Companies[[#This Row],[Symbol]],Morningstar,MATCH("% Total Return 12 Month",Morningstar_Cols,EXACT_MATCH),EXACT_MATCH)/100</f>
        <v>-0.47009999999999996</v>
      </c>
      <c r="G20" s="116">
        <f>VLOOKUP(Companies[[#This Row],[Symbol]],Morningstar,MATCH("Price/Sales",Morningstar_Cols,EXACT_MATCH),EXACT_MATCH)</f>
        <v>0.15</v>
      </c>
      <c r="H20" s="117">
        <f>VLOOKUP(Companies[[#This Row],[Symbol]],Morningstar,MATCH("Price/Fair Value",Morningstar_Cols,EXACT_MATCH),EXACT_MATCH)</f>
        <v>0.62</v>
      </c>
      <c r="I2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0" s="107">
        <f>VLOOKUP(Companies[[#This Row],[Symbol]],Morningstar,MATCH("% Dividend Yield TTM",Morningstar_Cols,EXACT_MATCH),EXACT_MATCH)/100</f>
        <v>1.83E-2</v>
      </c>
      <c r="K20" s="119" t="str">
        <f>IFERROR(LOOKUP(2,1/(GrowthCurves[Ticker]=Companies[[#This Row],[Symbol]]),GrowthCurves[Metric]),"")</f>
        <v>1</v>
      </c>
      <c r="L20" s="94">
        <f>RatingDefault+SUM(Companies[[#This Row],[CurvePoints]:[PFVPoints]])</f>
        <v>4</v>
      </c>
      <c r="M20" s="94"/>
      <c r="N20" s="103">
        <f>IF(Companies[[#This Row],[Growth Curve]]&lt;&gt;"",Companies[[#This Row],[Growth Curve]]-3,0)</f>
        <v>-2</v>
      </c>
      <c r="O20" s="53">
        <f>IF(Companies[[#This Row],[PSR]]&gt;2,-1,IF(Companies[[#This Row],[PSR]]&lt;1,1,0))</f>
        <v>1</v>
      </c>
      <c r="P20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0" s="53">
        <f>IF(Companies[[#This Row],[PFV]]&lt;0.75,2,IF(Companies[[#This Row],[PFV]]&lt;0.95,1,IF(Companies[[#This Row],[PFV]]&gt;1.25,-2,IF(Companies[[#This Row],[PFV]]&gt;1.15,-1,0))))</f>
        <v>2</v>
      </c>
    </row>
    <row r="21" spans="2:17" s="53" customFormat="1" ht="25.15" customHeight="1" x14ac:dyDescent="0.25">
      <c r="B21" s="52" t="s">
        <v>721</v>
      </c>
      <c r="C21" s="11" t="str">
        <f>VLOOKUP(Companies[[#This Row],[Symbol]],Morningstar,MATCH("Name",Morningstar_Cols,EXACT_MATCH),EXACT_MATCH)</f>
        <v>Arconic Inc</v>
      </c>
      <c r="D21" s="114">
        <f>VLOOKUP(Companies[[#This Row],[Symbol]],Morningstar,MATCH("mil$ Market Cap",Morningstar_Cols,0),0)</f>
        <v>8790.2999999999993</v>
      </c>
      <c r="E21" s="115">
        <f>VLOOKUP(Companies[[#This Row],[Symbol]],Morningstar,MATCH("% Total Return 3 Month",Morningstar_Cols,EXACT_MATCH),EXACT_MATCH)/100</f>
        <v>-0.37070000000000003</v>
      </c>
      <c r="F21" s="115">
        <f>VLOOKUP(Companies[[#This Row],[Symbol]],Morningstar,MATCH("% Total Return 12 Month",Morningstar_Cols,EXACT_MATCH),EXACT_MATCH)/100</f>
        <v>5.7800000000000004E-2</v>
      </c>
      <c r="G21" s="116">
        <f>VLOOKUP(Companies[[#This Row],[Symbol]],Morningstar,MATCH("Price/Sales",Morningstar_Cols,EXACT_MATCH),EXACT_MATCH)</f>
        <v>0.66</v>
      </c>
      <c r="H21" s="117">
        <f>VLOOKUP(Companies[[#This Row],[Symbol]],Morningstar,MATCH("Price/Fair Value",Morningstar_Cols,EXACT_MATCH),EXACT_MATCH)</f>
        <v>0.81</v>
      </c>
      <c r="I2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1" s="107">
        <f>VLOOKUP(Companies[[#This Row],[Symbol]],Morningstar,MATCH("% Dividend Yield TTM",Morningstar_Cols,EXACT_MATCH),EXACT_MATCH)/100</f>
        <v>4.0000000000000001E-3</v>
      </c>
      <c r="K21" s="119" t="str">
        <f>IFERROR(LOOKUP(2,1/(GrowthCurves[Ticker]=Companies[[#This Row],[Symbol]]),GrowthCurves[Metric]),"")</f>
        <v>3</v>
      </c>
      <c r="L21" s="94">
        <f>RatingDefault+SUM(Companies[[#This Row],[CurvePoints]:[PFVPoints]])</f>
        <v>5</v>
      </c>
      <c r="M21" s="94"/>
      <c r="N21" s="102">
        <f>IF(Companies[[#This Row],[Growth Curve]]&lt;&gt;"",Companies[[#This Row],[Growth Curve]]-3,0)</f>
        <v>0</v>
      </c>
      <c r="O21" s="52">
        <f>IF(Companies[[#This Row],[PSR]]&gt;2,-1,IF(Companies[[#This Row],[PSR]]&lt;1,1,0))</f>
        <v>1</v>
      </c>
      <c r="P21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1" s="53">
        <f>IF(Companies[[#This Row],[PFV]]&lt;0.75,2,IF(Companies[[#This Row],[PFV]]&lt;0.95,1,IF(Companies[[#This Row],[PFV]]&gt;1.25,-2,IF(Companies[[#This Row],[PFV]]&gt;1.15,-1,0))))</f>
        <v>1</v>
      </c>
    </row>
    <row r="22" spans="2:17" s="53" customFormat="1" ht="25.15" customHeight="1" x14ac:dyDescent="0.25">
      <c r="B22" s="11" t="s">
        <v>14</v>
      </c>
      <c r="C22" s="11" t="str">
        <f>VLOOKUP(Companies[[#This Row],[Symbol]],Morningstar,MATCH("Name",Morningstar_Cols,EXACT_MATCH),EXACT_MATCH)</f>
        <v>AdvanSix Inc</v>
      </c>
      <c r="D22" s="114">
        <f>VLOOKUP(Companies[[#This Row],[Symbol]],Morningstar,MATCH("mil$ Market Cap",Morningstar_Cols,0),0)</f>
        <v>271.05</v>
      </c>
      <c r="E22" s="115">
        <f>VLOOKUP(Companies[[#This Row],[Symbol]],Morningstar,MATCH("% Total Return 3 Month",Morningstar_Cols,EXACT_MATCH),EXACT_MATCH)/100</f>
        <v>-0.57979999999999998</v>
      </c>
      <c r="F22" s="115">
        <f>VLOOKUP(Companies[[#This Row],[Symbol]],Morningstar,MATCH("% Total Return 12 Month",Morningstar_Cols,EXACT_MATCH),EXACT_MATCH)/100</f>
        <v>-0.7256999999999999</v>
      </c>
      <c r="G22" s="116">
        <f>VLOOKUP(Companies[[#This Row],[Symbol]],Morningstar,MATCH("Price/Sales",Morningstar_Cols,EXACT_MATCH),EXACT_MATCH)</f>
        <v>0.22</v>
      </c>
      <c r="H22" s="117">
        <f>VLOOKUP(Companies[[#This Row],[Symbol]],Morningstar,MATCH("Price/Fair Value",Morningstar_Cols,EXACT_MATCH),EXACT_MATCH)</f>
        <v>0.42</v>
      </c>
      <c r="I2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2" s="107">
        <f>VLOOKUP(Companies[[#This Row],[Symbol]],Morningstar,MATCH("% Dividend Yield TTM",Morningstar_Cols,EXACT_MATCH),EXACT_MATCH)/100</f>
        <v>0</v>
      </c>
      <c r="K22" s="119" t="str">
        <f>IFERROR(LOOKUP(2,1/(GrowthCurves[Ticker]=Companies[[#This Row],[Symbol]]),GrowthCurves[Metric]),"")</f>
        <v>2</v>
      </c>
      <c r="L22" s="94">
        <f>RatingDefault+SUM(Companies[[#This Row],[CurvePoints]:[PFVPoints]])</f>
        <v>5</v>
      </c>
      <c r="M22" s="94"/>
      <c r="N22" s="103">
        <f>IF(Companies[[#This Row],[Growth Curve]]&lt;&gt;"",Companies[[#This Row],[Growth Curve]]-3,0)</f>
        <v>-1</v>
      </c>
      <c r="O22" s="53">
        <f>IF(Companies[[#This Row],[PSR]]&gt;2,-1,IF(Companies[[#This Row],[PSR]]&lt;1,1,0))</f>
        <v>1</v>
      </c>
      <c r="P22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2" s="53">
        <f>IF(Companies[[#This Row],[PFV]]&lt;0.75,2,IF(Companies[[#This Row],[PFV]]&lt;0.95,1,IF(Companies[[#This Row],[PFV]]&gt;1.25,-2,IF(Companies[[#This Row],[PFV]]&gt;1.15,-1,0))))</f>
        <v>2</v>
      </c>
    </row>
    <row r="23" spans="2:17" s="53" customFormat="1" ht="25.15" customHeight="1" x14ac:dyDescent="0.25">
      <c r="B23" s="11" t="s">
        <v>318</v>
      </c>
      <c r="C23" s="11" t="str">
        <f>VLOOKUP(Companies[[#This Row],[Symbol]],Morningstar,MATCH("Name",Morningstar_Cols,EXACT_MATCH),EXACT_MATCH)</f>
        <v>Ascena Retail Group Inc</v>
      </c>
      <c r="D23" s="114">
        <f>VLOOKUP(Companies[[#This Row],[Symbol]],Morningstar,MATCH("mil$ Market Cap",Morningstar_Cols,0),0)</f>
        <v>16.13</v>
      </c>
      <c r="E23" s="115">
        <f>VLOOKUP(Companies[[#This Row],[Symbol]],Morningstar,MATCH("% Total Return 3 Month",Morningstar_Cols,EXACT_MATCH),EXACT_MATCH)/100</f>
        <v>-0.84209999999999996</v>
      </c>
      <c r="F23" s="115">
        <f>VLOOKUP(Companies[[#This Row],[Symbol]],Morningstar,MATCH("% Total Return 12 Month",Morningstar_Cols,EXACT_MATCH),EXACT_MATCH)/100</f>
        <v>-0.96349999999999991</v>
      </c>
      <c r="G23" s="116">
        <f>VLOOKUP(Companies[[#This Row],[Symbol]],Morningstar,MATCH("Price/Sales",Morningstar_Cols,EXACT_MATCH),EXACT_MATCH)</f>
        <v>0</v>
      </c>
      <c r="H23" s="117">
        <f>VLOOKUP(Companies[[#This Row],[Symbol]],Morningstar,MATCH("Price/Fair Value",Morningstar_Cols,EXACT_MATCH),EXACT_MATCH)</f>
        <v>0.39</v>
      </c>
      <c r="I2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F</v>
      </c>
      <c r="J23" s="107">
        <f>VLOOKUP(Companies[[#This Row],[Symbol]],Morningstar,MATCH("% Dividend Yield TTM",Morningstar_Cols,EXACT_MATCH),EXACT_MATCH)/100</f>
        <v>0</v>
      </c>
      <c r="K23" s="119" t="str">
        <f>IFERROR(LOOKUP(2,1/(GrowthCurves[Ticker]=Companies[[#This Row],[Symbol]]),GrowthCurves[Metric]),"")</f>
        <v/>
      </c>
      <c r="L23" s="94">
        <f>RatingDefault+SUM(Companies[[#This Row],[CurvePoints]:[PFVPoints]])</f>
        <v>4</v>
      </c>
      <c r="M23" s="94"/>
      <c r="N23" s="103">
        <f>IF(Companies[[#This Row],[Growth Curve]]&lt;&gt;"",Companies[[#This Row],[Growth Curve]]-3,0)</f>
        <v>0</v>
      </c>
      <c r="O23" s="53">
        <f>IF(Companies[[#This Row],[PSR]]&gt;2,-1,IF(Companies[[#This Row],[PSR]]&lt;1,1,0))</f>
        <v>1</v>
      </c>
      <c r="P23" s="53">
        <f>IF(Companies[[#This Row],[Financial Health]]&lt;&gt;"",IF(Companies[[#This Row],[Financial Health]]="F",-2,IF(Companies[[#This Row],[Financial Health]]&gt;"C",-1,IF(Companies[[#This Row],[Financial Health]]&lt;"C",1,0))),-1)</f>
        <v>-2</v>
      </c>
      <c r="Q23" s="53">
        <f>IF(Companies[[#This Row],[PFV]]&lt;0.75,2,IF(Companies[[#This Row],[PFV]]&lt;0.95,1,IF(Companies[[#This Row],[PFV]]&gt;1.25,-2,IF(Companies[[#This Row],[PFV]]&gt;1.15,-1,0))))</f>
        <v>2</v>
      </c>
    </row>
    <row r="24" spans="2:17" s="53" customFormat="1" ht="25.15" customHeight="1" x14ac:dyDescent="0.25">
      <c r="B24" s="11" t="s">
        <v>905</v>
      </c>
      <c r="C24" s="11" t="str">
        <f>VLOOKUP(Companies[[#This Row],[Symbol]],Morningstar,MATCH("Name",Morningstar_Cols,EXACT_MATCH),EXACT_MATCH)</f>
        <v>Athena Neurosciences</v>
      </c>
      <c r="D24" s="114">
        <f>VLOOKUP(Companies[[#This Row],[Symbol]],Morningstar,MATCH("mil$ Market Cap",Morningstar_Cols,0),0)</f>
        <v>0</v>
      </c>
      <c r="E24" s="115">
        <f>VLOOKUP(Companies[[#This Row],[Symbol]],Morningstar,MATCH("% Total Return 3 Month",Morningstar_Cols,EXACT_MATCH),EXACT_MATCH)/100</f>
        <v>0</v>
      </c>
      <c r="F24" s="115">
        <f>VLOOKUP(Companies[[#This Row],[Symbol]],Morningstar,MATCH("% Total Return 12 Month",Morningstar_Cols,EXACT_MATCH),EXACT_MATCH)/100</f>
        <v>0</v>
      </c>
      <c r="G24" s="116">
        <f>VLOOKUP(Companies[[#This Row],[Symbol]],Morningstar,MATCH("Price/Sales",Morningstar_Cols,EXACT_MATCH),EXACT_MATCH)</f>
        <v>0</v>
      </c>
      <c r="H24" s="117">
        <f>VLOOKUP(Companies[[#This Row],[Symbol]],Morningstar,MATCH("Price/Fair Value",Morningstar_Cols,EXACT_MATCH),EXACT_MATCH)</f>
        <v>0</v>
      </c>
      <c r="I2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24" s="107">
        <f>VLOOKUP(Companies[[#This Row],[Symbol]],Morningstar,MATCH("% Dividend Yield TTM",Morningstar_Cols,EXACT_MATCH),EXACT_MATCH)/100</f>
        <v>0</v>
      </c>
      <c r="K24" s="119" t="str">
        <f>IFERROR(LOOKUP(2,1/(GrowthCurves[Ticker]=Companies[[#This Row],[Symbol]]),GrowthCurves[Metric]),"")</f>
        <v>1</v>
      </c>
      <c r="L24" s="94">
        <f>RatingDefault+SUM(Companies[[#This Row],[CurvePoints]:[PFVPoints]])</f>
        <v>3</v>
      </c>
      <c r="M24" s="94"/>
      <c r="N24" s="103">
        <f>IF(Companies[[#This Row],[Growth Curve]]&lt;&gt;"",Companies[[#This Row],[Growth Curve]]-3,0)</f>
        <v>-2</v>
      </c>
      <c r="O24" s="53">
        <f>IF(Companies[[#This Row],[PSR]]&gt;2,-1,IF(Companies[[#This Row],[PSR]]&lt;1,1,0))</f>
        <v>1</v>
      </c>
      <c r="P24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4" s="53">
        <f>IF(Companies[[#This Row],[PFV]]&lt;0.75,2,IF(Companies[[#This Row],[PFV]]&lt;0.95,1,IF(Companies[[#This Row],[PFV]]&gt;1.25,-2,IF(Companies[[#This Row],[PFV]]&gt;1.15,-1,0))))</f>
        <v>2</v>
      </c>
    </row>
    <row r="25" spans="2:17" s="53" customFormat="1" ht="25.15" customHeight="1" x14ac:dyDescent="0.25">
      <c r="B25" s="11" t="s">
        <v>151</v>
      </c>
      <c r="C25" s="11" t="str">
        <f>VLOOKUP(Companies[[#This Row],[Symbol]],Morningstar,MATCH("Name",Morningstar_Cols,EXACT_MATCH),EXACT_MATCH)</f>
        <v>Allegheny Technologies Inc</v>
      </c>
      <c r="D25" s="114">
        <f>VLOOKUP(Companies[[#This Row],[Symbol]],Morningstar,MATCH("mil$ Market Cap",Morningstar_Cols,0),0)</f>
        <v>1269.05</v>
      </c>
      <c r="E25" s="115">
        <f>VLOOKUP(Companies[[#This Row],[Symbol]],Morningstar,MATCH("% Total Return 3 Month",Morningstar_Cols,EXACT_MATCH),EXACT_MATCH)/100</f>
        <v>-0.57140000000000002</v>
      </c>
      <c r="F25" s="115">
        <f>VLOOKUP(Companies[[#This Row],[Symbol]],Morningstar,MATCH("% Total Return 12 Month",Morningstar_Cols,EXACT_MATCH),EXACT_MATCH)/100</f>
        <v>-0.6139</v>
      </c>
      <c r="G25" s="116">
        <f>VLOOKUP(Companies[[#This Row],[Symbol]],Morningstar,MATCH("Price/Sales",Morningstar_Cols,EXACT_MATCH),EXACT_MATCH)</f>
        <v>0.36</v>
      </c>
      <c r="H25" s="117">
        <f>VLOOKUP(Companies[[#This Row],[Symbol]],Morningstar,MATCH("Price/Fair Value",Morningstar_Cols,EXACT_MATCH),EXACT_MATCH)</f>
        <v>0.37</v>
      </c>
      <c r="I2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5" s="107">
        <f>VLOOKUP(Companies[[#This Row],[Symbol]],Morningstar,MATCH("% Dividend Yield TTM",Morningstar_Cols,EXACT_MATCH),EXACT_MATCH)/100</f>
        <v>0</v>
      </c>
      <c r="K25" s="119" t="str">
        <f>IFERROR(LOOKUP(2,1/(GrowthCurves[Ticker]=Companies[[#This Row],[Symbol]]),GrowthCurves[Metric]),"")</f>
        <v>3</v>
      </c>
      <c r="L25" s="94">
        <f>RatingDefault+SUM(Companies[[#This Row],[CurvePoints]:[PFVPoints]])</f>
        <v>6</v>
      </c>
      <c r="M25" s="94"/>
      <c r="N25" s="103">
        <f>IF(Companies[[#This Row],[Growth Curve]]&lt;&gt;"",Companies[[#This Row],[Growth Curve]]-3,0)</f>
        <v>0</v>
      </c>
      <c r="O25" s="53">
        <f>IF(Companies[[#This Row],[PSR]]&gt;2,-1,IF(Companies[[#This Row],[PSR]]&lt;1,1,0))</f>
        <v>1</v>
      </c>
      <c r="P25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5" s="53">
        <f>IF(Companies[[#This Row],[PFV]]&lt;0.75,2,IF(Companies[[#This Row],[PFV]]&lt;0.95,1,IF(Companies[[#This Row],[PFV]]&gt;1.25,-2,IF(Companies[[#This Row],[PFV]]&gt;1.15,-1,0))))</f>
        <v>2</v>
      </c>
    </row>
    <row r="26" spans="2:17" s="53" customFormat="1" ht="25.15" customHeight="1" x14ac:dyDescent="0.25">
      <c r="B26" s="52" t="s">
        <v>723</v>
      </c>
      <c r="C26" s="11" t="str">
        <f>VLOOKUP(Companies[[#This Row],[Symbol]],Morningstar,MATCH("Name",Morningstar_Cols,EXACT_MATCH),EXACT_MATCH)</f>
        <v>Altice USA Inc Class A</v>
      </c>
      <c r="D26" s="114">
        <f>VLOOKUP(Companies[[#This Row],[Symbol]],Morningstar,MATCH("mil$ Market Cap",Morningstar_Cols,0),0)</f>
        <v>13400.51</v>
      </c>
      <c r="E26" s="115">
        <f>VLOOKUP(Companies[[#This Row],[Symbol]],Morningstar,MATCH("% Total Return 3 Month",Morningstar_Cols,EXACT_MATCH),EXACT_MATCH)/100</f>
        <v>-0.2145</v>
      </c>
      <c r="F26" s="115">
        <f>VLOOKUP(Companies[[#This Row],[Symbol]],Morningstar,MATCH("% Total Return 12 Month",Morningstar_Cols,EXACT_MATCH),EXACT_MATCH)/100</f>
        <v>-6.1999999999999998E-3</v>
      </c>
      <c r="G26" s="116">
        <f>VLOOKUP(Companies[[#This Row],[Symbol]],Morningstar,MATCH("Price/Sales",Morningstar_Cols,EXACT_MATCH),EXACT_MATCH)</f>
        <v>1.44</v>
      </c>
      <c r="H26" s="117">
        <f>VLOOKUP(Companies[[#This Row],[Symbol]],Morningstar,MATCH("Price/Fair Value",Morningstar_Cols,EXACT_MATCH),EXACT_MATCH)</f>
        <v>0.81</v>
      </c>
      <c r="I2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6" s="107">
        <f>VLOOKUP(Companies[[#This Row],[Symbol]],Morningstar,MATCH("% Dividend Yield TTM",Morningstar_Cols,EXACT_MATCH),EXACT_MATCH)/100</f>
        <v>0</v>
      </c>
      <c r="K26" s="119" t="str">
        <f>IFERROR(LOOKUP(2,1/(GrowthCurves[Ticker]=Companies[[#This Row],[Symbol]]),GrowthCurves[Metric]),"")</f>
        <v>3</v>
      </c>
      <c r="L26" s="94">
        <f>RatingDefault+SUM(Companies[[#This Row],[CurvePoints]:[PFVPoints]])</f>
        <v>4</v>
      </c>
      <c r="M26" s="94"/>
      <c r="N26" s="102">
        <f>IF(Companies[[#This Row],[Growth Curve]]&lt;&gt;"",Companies[[#This Row],[Growth Curve]]-3,0)</f>
        <v>0</v>
      </c>
      <c r="O26" s="52">
        <f>IF(Companies[[#This Row],[PSR]]&gt;2,-1,IF(Companies[[#This Row],[PSR]]&lt;1,1,0))</f>
        <v>0</v>
      </c>
      <c r="P26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6" s="53">
        <f>IF(Companies[[#This Row],[PFV]]&lt;0.75,2,IF(Companies[[#This Row],[PFV]]&lt;0.95,1,IF(Companies[[#This Row],[PFV]]&gt;1.25,-2,IF(Companies[[#This Row],[PFV]]&gt;1.15,-1,0))))</f>
        <v>1</v>
      </c>
    </row>
    <row r="27" spans="2:17" s="53" customFormat="1" ht="25.15" customHeight="1" x14ac:dyDescent="0.25">
      <c r="B27" s="52" t="s">
        <v>865</v>
      </c>
      <c r="C27" s="11" t="str">
        <f>VLOOKUP(Companies[[#This Row],[Symbol]],Morningstar,MATCH("Name",Morningstar_Cols,EXACT_MATCH),EXACT_MATCH)</f>
        <v>Broadcom Inc</v>
      </c>
      <c r="D27" s="114">
        <f>VLOOKUP(Companies[[#This Row],[Symbol]],Morningstar,MATCH("mil$ Market Cap",Morningstar_Cols,0),0)</f>
        <v>81900.990000000005</v>
      </c>
      <c r="E27" s="115">
        <f>VLOOKUP(Companies[[#This Row],[Symbol]],Morningstar,MATCH("% Total Return 3 Month",Morningstar_Cols,EXACT_MATCH),EXACT_MATCH)/100</f>
        <v>-0.32270000000000004</v>
      </c>
      <c r="F27" s="115">
        <f>VLOOKUP(Companies[[#This Row],[Symbol]],Morningstar,MATCH("% Total Return 12 Month",Morningstar_Cols,EXACT_MATCH),EXACT_MATCH)/100</f>
        <v>-0.14710000000000001</v>
      </c>
      <c r="G27" s="116">
        <f>VLOOKUP(Companies[[#This Row],[Symbol]],Morningstar,MATCH("Price/Sales",Morningstar_Cols,EXACT_MATCH),EXACT_MATCH)</f>
        <v>3.8</v>
      </c>
      <c r="H27" s="117">
        <f>VLOOKUP(Companies[[#This Row],[Symbol]],Morningstar,MATCH("Price/Fair Value",Morningstar_Cols,EXACT_MATCH),EXACT_MATCH)</f>
        <v>0.66</v>
      </c>
      <c r="I2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7" s="107">
        <f>VLOOKUP(Companies[[#This Row],[Symbol]],Morningstar,MATCH("% Dividend Yield TTM",Morningstar_Cols,EXACT_MATCH),EXACT_MATCH)/100</f>
        <v>5.1200000000000002E-2</v>
      </c>
      <c r="K27" s="119" t="str">
        <f>IFERROR(LOOKUP(2,1/(GrowthCurves[Ticker]=Companies[[#This Row],[Symbol]]),GrowthCurves[Metric]),"")</f>
        <v/>
      </c>
      <c r="L27" s="94">
        <f>RatingDefault+SUM(Companies[[#This Row],[CurvePoints]:[PFVPoints]])</f>
        <v>5</v>
      </c>
      <c r="M27" s="94"/>
      <c r="N27" s="102">
        <f>IF(Companies[[#This Row],[Growth Curve]]&lt;&gt;"",Companies[[#This Row],[Growth Curve]]-3,0)</f>
        <v>0</v>
      </c>
      <c r="O27" s="52">
        <f>IF(Companies[[#This Row],[PSR]]&gt;2,-1,IF(Companies[[#This Row],[PSR]]&lt;1,1,0))</f>
        <v>-1</v>
      </c>
      <c r="P27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7" s="53">
        <f>IF(Companies[[#This Row],[PFV]]&lt;0.75,2,IF(Companies[[#This Row],[PFV]]&lt;0.95,1,IF(Companies[[#This Row],[PFV]]&gt;1.25,-2,IF(Companies[[#This Row],[PFV]]&gt;1.15,-1,0))))</f>
        <v>2</v>
      </c>
    </row>
    <row r="28" spans="2:17" s="53" customFormat="1" ht="25.15" customHeight="1" x14ac:dyDescent="0.25">
      <c r="B28" s="11" t="s">
        <v>171</v>
      </c>
      <c r="C28" s="11" t="str">
        <f>VLOOKUP(Companies[[#This Row],[Symbol]],Morningstar,MATCH("Name",Morningstar_Cols,EXACT_MATCH),EXACT_MATCH)</f>
        <v>Anixter International Inc</v>
      </c>
      <c r="D28" s="114">
        <f>VLOOKUP(Companies[[#This Row],[Symbol]],Morningstar,MATCH("mil$ Market Cap",Morningstar_Cols,0),0)</f>
        <v>3002.33</v>
      </c>
      <c r="E28" s="115">
        <f>VLOOKUP(Companies[[#This Row],[Symbol]],Morningstar,MATCH("% Total Return 3 Month",Morningstar_Cols,EXACT_MATCH),EXACT_MATCH)/100</f>
        <v>-2.3599999999999999E-2</v>
      </c>
      <c r="F28" s="115">
        <f>VLOOKUP(Companies[[#This Row],[Symbol]],Morningstar,MATCH("% Total Return 12 Month",Morningstar_Cols,EXACT_MATCH),EXACT_MATCH)/100</f>
        <v>0.53510000000000002</v>
      </c>
      <c r="G28" s="116">
        <f>VLOOKUP(Companies[[#This Row],[Symbol]],Morningstar,MATCH("Price/Sales",Morningstar_Cols,EXACT_MATCH),EXACT_MATCH)</f>
        <v>0.34</v>
      </c>
      <c r="H28" s="117">
        <f>VLOOKUP(Companies[[#This Row],[Symbol]],Morningstar,MATCH("Price/Fair Value",Morningstar_Cols,EXACT_MATCH),EXACT_MATCH)</f>
        <v>0.79</v>
      </c>
      <c r="I2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8" s="107">
        <f>VLOOKUP(Companies[[#This Row],[Symbol]],Morningstar,MATCH("% Dividend Yield TTM",Morningstar_Cols,EXACT_MATCH),EXACT_MATCH)/100</f>
        <v>0</v>
      </c>
      <c r="K28" s="119" t="str">
        <f>IFERROR(LOOKUP(2,1/(GrowthCurves[Ticker]=Companies[[#This Row],[Symbol]]),GrowthCurves[Metric]),"")</f>
        <v>2</v>
      </c>
      <c r="L28" s="94">
        <f>RatingDefault+SUM(Companies[[#This Row],[CurvePoints]:[PFVPoints]])</f>
        <v>5</v>
      </c>
      <c r="M28" s="94"/>
      <c r="N28" s="103">
        <f>IF(Companies[[#This Row],[Growth Curve]]&lt;&gt;"",Companies[[#This Row],[Growth Curve]]-3,0)</f>
        <v>-1</v>
      </c>
      <c r="O28" s="53">
        <f>IF(Companies[[#This Row],[PSR]]&gt;2,-1,IF(Companies[[#This Row],[PSR]]&lt;1,1,0))</f>
        <v>1</v>
      </c>
      <c r="P28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8" s="53">
        <f>IF(Companies[[#This Row],[PFV]]&lt;0.75,2,IF(Companies[[#This Row],[PFV]]&lt;0.95,1,IF(Companies[[#This Row],[PFV]]&gt;1.25,-2,IF(Companies[[#This Row],[PFV]]&gt;1.15,-1,0))))</f>
        <v>1</v>
      </c>
    </row>
    <row r="29" spans="2:17" s="53" customFormat="1" ht="25.15" customHeight="1" x14ac:dyDescent="0.25">
      <c r="B29" s="52" t="s">
        <v>224</v>
      </c>
      <c r="C29" s="11" t="str">
        <f>VLOOKUP(Companies[[#This Row],[Symbol]],Morningstar,MATCH("Name",Morningstar_Cols,EXACT_MATCH),EXACT_MATCH)</f>
        <v>Boeing Co</v>
      </c>
      <c r="D29" s="114">
        <f>VLOOKUP(Companies[[#This Row],[Symbol]],Morningstar,MATCH("mil$ Market Cap",Morningstar_Cols,0),0)</f>
        <v>95771.07</v>
      </c>
      <c r="E29" s="115">
        <f>VLOOKUP(Companies[[#This Row],[Symbol]],Morningstar,MATCH("% Total Return 3 Month",Morningstar_Cols,EXACT_MATCH),EXACT_MATCH)/100</f>
        <v>-0.54689999999999994</v>
      </c>
      <c r="F29" s="115">
        <f>VLOOKUP(Companies[[#This Row],[Symbol]],Morningstar,MATCH("% Total Return 12 Month",Morningstar_Cols,EXACT_MATCH),EXACT_MATCH)/100</f>
        <v>-0.56559999999999999</v>
      </c>
      <c r="G29" s="116">
        <f>VLOOKUP(Companies[[#This Row],[Symbol]],Morningstar,MATCH("Price/Sales",Morningstar_Cols,EXACT_MATCH),EXACT_MATCH)</f>
        <v>1.25</v>
      </c>
      <c r="H29" s="117">
        <f>VLOOKUP(Companies[[#This Row],[Symbol]],Morningstar,MATCH("Price/Fair Value",Morningstar_Cols,EXACT_MATCH),EXACT_MATCH)</f>
        <v>0.49</v>
      </c>
      <c r="I2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9" s="107">
        <f>VLOOKUP(Companies[[#This Row],[Symbol]],Morningstar,MATCH("% Dividend Yield TTM",Morningstar_Cols,EXACT_MATCH),EXACT_MATCH)/100</f>
        <v>5.3099999999999994E-2</v>
      </c>
      <c r="K29" s="119" t="str">
        <f>IFERROR(LOOKUP(2,1/(GrowthCurves[Ticker]=Companies[[#This Row],[Symbol]]),GrowthCurves[Metric]),"")</f>
        <v/>
      </c>
      <c r="L29" s="94">
        <f>RatingDefault+SUM(Companies[[#This Row],[CurvePoints]:[PFVPoints]])</f>
        <v>5</v>
      </c>
      <c r="M29" s="94"/>
      <c r="N29" s="102">
        <f>IF(Companies[[#This Row],[Growth Curve]]&lt;&gt;"",Companies[[#This Row],[Growth Curve]]-3,0)</f>
        <v>0</v>
      </c>
      <c r="O29" s="52">
        <f>IF(Companies[[#This Row],[PSR]]&gt;2,-1,IF(Companies[[#This Row],[PSR]]&lt;1,1,0))</f>
        <v>0</v>
      </c>
      <c r="P29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9" s="53">
        <f>IF(Companies[[#This Row],[PFV]]&lt;0.75,2,IF(Companies[[#This Row],[PFV]]&lt;0.95,1,IF(Companies[[#This Row],[PFV]]&gt;1.25,-2,IF(Companies[[#This Row],[PFV]]&gt;1.15,-1,0))))</f>
        <v>2</v>
      </c>
    </row>
    <row r="30" spans="2:17" s="53" customFormat="1" ht="25.15" customHeight="1" x14ac:dyDescent="0.25">
      <c r="B30" s="11" t="s">
        <v>87</v>
      </c>
      <c r="C30" s="11" t="str">
        <f>VLOOKUP(Companies[[#This Row],[Symbol]],Morningstar,MATCH("Name",Morningstar_Cols,EXACT_MATCH),EXACT_MATCH)</f>
        <v>Braskem SA ADR repr Class A</v>
      </c>
      <c r="D30" s="114">
        <f>VLOOKUP(Companies[[#This Row],[Symbol]],Morningstar,MATCH("mil$ Market Cap",Morningstar_Cols,0),0)</f>
        <v>3752.96</v>
      </c>
      <c r="E30" s="115">
        <f>VLOOKUP(Companies[[#This Row],[Symbol]],Morningstar,MATCH("% Total Return 3 Month",Morningstar_Cols,EXACT_MATCH),EXACT_MATCH)/100</f>
        <v>-0.51149999999999995</v>
      </c>
      <c r="F30" s="115">
        <f>VLOOKUP(Companies[[#This Row],[Symbol]],Morningstar,MATCH("% Total Return 12 Month",Morningstar_Cols,EXACT_MATCH),EXACT_MATCH)/100</f>
        <v>-0.74069999999999991</v>
      </c>
      <c r="G30" s="116">
        <f>VLOOKUP(Companies[[#This Row],[Symbol]],Morningstar,MATCH("Price/Sales",Morningstar_Cols,EXACT_MATCH),EXACT_MATCH)</f>
        <v>0.28000000000000003</v>
      </c>
      <c r="H30" s="117">
        <f>VLOOKUP(Companies[[#This Row],[Symbol]],Morningstar,MATCH("Price/Fair Value",Morningstar_Cols,EXACT_MATCH),EXACT_MATCH)</f>
        <v>0.51</v>
      </c>
      <c r="I3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30" s="107">
        <f>VLOOKUP(Companies[[#This Row],[Symbol]],Morningstar,MATCH("% Dividend Yield TTM",Morningstar_Cols,EXACT_MATCH),EXACT_MATCH)/100</f>
        <v>5.7999999999999996E-2</v>
      </c>
      <c r="K30" s="119" t="str">
        <f>IFERROR(LOOKUP(2,1/(GrowthCurves[Ticker]=Companies[[#This Row],[Symbol]]),GrowthCurves[Metric]),"")</f>
        <v>3</v>
      </c>
      <c r="L30" s="94">
        <f>RatingDefault+SUM(Companies[[#This Row],[CurvePoints]:[PFVPoints]])</f>
        <v>5</v>
      </c>
      <c r="M30" s="94"/>
      <c r="N30" s="103">
        <f>IF(Companies[[#This Row],[Growth Curve]]&lt;&gt;"",Companies[[#This Row],[Growth Curve]]-3,0)</f>
        <v>0</v>
      </c>
      <c r="O30" s="53">
        <f>IF(Companies[[#This Row],[PSR]]&gt;2,-1,IF(Companies[[#This Row],[PSR]]&lt;1,1,0))</f>
        <v>1</v>
      </c>
      <c r="P30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30" s="53">
        <f>IF(Companies[[#This Row],[PFV]]&lt;0.75,2,IF(Companies[[#This Row],[PFV]]&lt;0.95,1,IF(Companies[[#This Row],[PFV]]&gt;1.25,-2,IF(Companies[[#This Row],[PFV]]&gt;1.15,-1,0))))</f>
        <v>2</v>
      </c>
    </row>
    <row r="31" spans="2:17" s="53" customFormat="1" ht="25.15" customHeight="1" x14ac:dyDescent="0.25">
      <c r="B31" s="11" t="s">
        <v>285</v>
      </c>
      <c r="C31" s="11" t="str">
        <f>VLOOKUP(Companies[[#This Row],[Symbol]],Morningstar,MATCH("Name",Morningstar_Cols,EXACT_MATCH),EXACT_MATCH)</f>
        <v>Barrett Business Services Inc</v>
      </c>
      <c r="D31" s="114">
        <f>VLOOKUP(Companies[[#This Row],[Symbol]],Morningstar,MATCH("mil$ Market Cap",Morningstar_Cols,0),0)</f>
        <v>372.51</v>
      </c>
      <c r="E31" s="115">
        <f>VLOOKUP(Companies[[#This Row],[Symbol]],Morningstar,MATCH("% Total Return 3 Month",Morningstar_Cols,EXACT_MATCH),EXACT_MATCH)/100</f>
        <v>-0.47130000000000005</v>
      </c>
      <c r="F31" s="115">
        <f>VLOOKUP(Companies[[#This Row],[Symbol]],Morningstar,MATCH("% Total Return 12 Month",Morningstar_Cols,EXACT_MATCH),EXACT_MATCH)/100</f>
        <v>-0.38469999999999999</v>
      </c>
      <c r="G31" s="116">
        <f>VLOOKUP(Companies[[#This Row],[Symbol]],Morningstar,MATCH("Price/Sales",Morningstar_Cols,EXACT_MATCH),EXACT_MATCH)</f>
        <v>0.4</v>
      </c>
      <c r="H31" s="117">
        <f>VLOOKUP(Companies[[#This Row],[Symbol]],Morningstar,MATCH("Price/Fair Value",Morningstar_Cols,EXACT_MATCH),EXACT_MATCH)</f>
        <v>0.56000000000000005</v>
      </c>
      <c r="I3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31" s="107">
        <f>VLOOKUP(Companies[[#This Row],[Symbol]],Morningstar,MATCH("% Dividend Yield TTM",Morningstar_Cols,EXACT_MATCH),EXACT_MATCH)/100</f>
        <v>2.4E-2</v>
      </c>
      <c r="K31" s="119" t="str">
        <f>IFERROR(LOOKUP(2,1/(GrowthCurves[Ticker]=Companies[[#This Row],[Symbol]]),GrowthCurves[Metric]),"")</f>
        <v>3</v>
      </c>
      <c r="L31" s="94">
        <f>RatingDefault+SUM(Companies[[#This Row],[CurvePoints]:[PFVPoints]])</f>
        <v>6</v>
      </c>
      <c r="M31" s="94"/>
      <c r="N31" s="103">
        <f>IF(Companies[[#This Row],[Growth Curve]]&lt;&gt;"",Companies[[#This Row],[Growth Curve]]-3,0)</f>
        <v>0</v>
      </c>
      <c r="O31" s="53">
        <f>IF(Companies[[#This Row],[PSR]]&gt;2,-1,IF(Companies[[#This Row],[PSR]]&lt;1,1,0))</f>
        <v>1</v>
      </c>
      <c r="P31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31" s="53">
        <f>IF(Companies[[#This Row],[PFV]]&lt;0.75,2,IF(Companies[[#This Row],[PFV]]&lt;0.95,1,IF(Companies[[#This Row],[PFV]]&gt;1.25,-2,IF(Companies[[#This Row],[PFV]]&gt;1.15,-1,0))))</f>
        <v>2</v>
      </c>
    </row>
    <row r="32" spans="2:17" s="53" customFormat="1" ht="25.15" customHeight="1" x14ac:dyDescent="0.25">
      <c r="B32" s="11" t="s">
        <v>212</v>
      </c>
      <c r="C32" s="11" t="str">
        <f>VLOOKUP(Companies[[#This Row],[Symbol]],Morningstar,MATCH("Name",Morningstar_Cols,EXACT_MATCH),EXACT_MATCH)</f>
        <v>BBX Capital Corp Class A</v>
      </c>
      <c r="D32" s="114">
        <f>VLOOKUP(Companies[[#This Row],[Symbol]],Morningstar,MATCH("mil$ Market Cap",Morningstar_Cols,0),0)</f>
        <v>217.55</v>
      </c>
      <c r="E32" s="115">
        <f>VLOOKUP(Companies[[#This Row],[Symbol]],Morningstar,MATCH("% Total Return 3 Month",Morningstar_Cols,EXACT_MATCH),EXACT_MATCH)/100</f>
        <v>-0.54859999999999998</v>
      </c>
      <c r="F32" s="115">
        <f>VLOOKUP(Companies[[#This Row],[Symbol]],Morningstar,MATCH("% Total Return 12 Month",Morningstar_Cols,EXACT_MATCH),EXACT_MATCH)/100</f>
        <v>-0.65540000000000009</v>
      </c>
      <c r="G32" s="116">
        <f>VLOOKUP(Companies[[#This Row],[Symbol]],Morningstar,MATCH("Price/Sales",Morningstar_Cols,EXACT_MATCH),EXACT_MATCH)</f>
        <v>0.25</v>
      </c>
      <c r="H32" s="117">
        <f>VLOOKUP(Companies[[#This Row],[Symbol]],Morningstar,MATCH("Price/Fair Value",Morningstar_Cols,EXACT_MATCH),EXACT_MATCH)</f>
        <v>0.44</v>
      </c>
      <c r="I3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32" s="107">
        <f>VLOOKUP(Companies[[#This Row],[Symbol]],Morningstar,MATCH("% Dividend Yield TTM",Morningstar_Cols,EXACT_MATCH),EXACT_MATCH)/100</f>
        <v>2.3799999999999998E-2</v>
      </c>
      <c r="K32" s="119" t="str">
        <f>IFERROR(LOOKUP(2,1/(GrowthCurves[Ticker]=Companies[[#This Row],[Symbol]]),GrowthCurves[Metric]),"")</f>
        <v/>
      </c>
      <c r="L32" s="94">
        <f>RatingDefault+SUM(Companies[[#This Row],[CurvePoints]:[PFVPoints]])</f>
        <v>5</v>
      </c>
      <c r="M32" s="94"/>
      <c r="N32" s="103">
        <f>IF(Companies[[#This Row],[Growth Curve]]&lt;&gt;"",Companies[[#This Row],[Growth Curve]]-3,0)</f>
        <v>0</v>
      </c>
      <c r="O32" s="53">
        <f>IF(Companies[[#This Row],[PSR]]&gt;2,-1,IF(Companies[[#This Row],[PSR]]&lt;1,1,0))</f>
        <v>1</v>
      </c>
      <c r="P32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32" s="53">
        <f>IF(Companies[[#This Row],[PFV]]&lt;0.75,2,IF(Companies[[#This Row],[PFV]]&lt;0.95,1,IF(Companies[[#This Row],[PFV]]&gt;1.25,-2,IF(Companies[[#This Row],[PFV]]&gt;1.15,-1,0))))</f>
        <v>2</v>
      </c>
    </row>
    <row r="33" spans="2:17" s="53" customFormat="1" ht="25.15" customHeight="1" x14ac:dyDescent="0.25">
      <c r="B33" s="11" t="s">
        <v>251</v>
      </c>
      <c r="C33" s="11" t="str">
        <f>VLOOKUP(Companies[[#This Row],[Symbol]],Morningstar,MATCH("Name",Morningstar_Cols,EXACT_MATCH),EXACT_MATCH)</f>
        <v>Best Buy Co Inc</v>
      </c>
      <c r="D33" s="114">
        <f>VLOOKUP(Companies[[#This Row],[Symbol]],Morningstar,MATCH("mil$ Market Cap",Morningstar_Cols,0),0)</f>
        <v>14755.49</v>
      </c>
      <c r="E33" s="115">
        <f>VLOOKUP(Companies[[#This Row],[Symbol]],Morningstar,MATCH("% Total Return 3 Month",Morningstar_Cols,EXACT_MATCH),EXACT_MATCH)/100</f>
        <v>-0.34499999999999997</v>
      </c>
      <c r="F33" s="115">
        <f>VLOOKUP(Companies[[#This Row],[Symbol]],Morningstar,MATCH("% Total Return 12 Month",Morningstar_Cols,EXACT_MATCH),EXACT_MATCH)/100</f>
        <v>-0.1661</v>
      </c>
      <c r="G33" s="116">
        <f>VLOOKUP(Companies[[#This Row],[Symbol]],Morningstar,MATCH("Price/Sales",Morningstar_Cols,EXACT_MATCH),EXACT_MATCH)</f>
        <v>0.35</v>
      </c>
      <c r="H33" s="117">
        <f>VLOOKUP(Companies[[#This Row],[Symbol]],Morningstar,MATCH("Price/Fair Value",Morningstar_Cols,EXACT_MATCH),EXACT_MATCH)</f>
        <v>0.84</v>
      </c>
      <c r="I3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33" s="107">
        <f>VLOOKUP(Companies[[#This Row],[Symbol]],Morningstar,MATCH("% Dividend Yield TTM",Morningstar_Cols,EXACT_MATCH),EXACT_MATCH)/100</f>
        <v>3.61E-2</v>
      </c>
      <c r="K33" s="119" t="str">
        <f>IFERROR(LOOKUP(2,1/(GrowthCurves[Ticker]=Companies[[#This Row],[Symbol]]),GrowthCurves[Metric]),"")</f>
        <v>1</v>
      </c>
      <c r="L33" s="94">
        <f>RatingDefault+SUM(Companies[[#This Row],[CurvePoints]:[PFVPoints]])</f>
        <v>3</v>
      </c>
      <c r="M33" s="94"/>
      <c r="N33" s="103">
        <f>IF(Companies[[#This Row],[Growth Curve]]&lt;&gt;"",Companies[[#This Row],[Growth Curve]]-3,0)</f>
        <v>-2</v>
      </c>
      <c r="O33" s="53">
        <f>IF(Companies[[#This Row],[PSR]]&gt;2,-1,IF(Companies[[#This Row],[PSR]]&lt;1,1,0))</f>
        <v>1</v>
      </c>
      <c r="P33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33" s="53">
        <f>IF(Companies[[#This Row],[PFV]]&lt;0.75,2,IF(Companies[[#This Row],[PFV]]&lt;0.95,1,IF(Companies[[#This Row],[PFV]]&gt;1.25,-2,IF(Companies[[#This Row],[PFV]]&gt;1.15,-1,0))))</f>
        <v>1</v>
      </c>
    </row>
    <row r="34" spans="2:17" s="53" customFormat="1" ht="25.15" customHeight="1" x14ac:dyDescent="0.25">
      <c r="B34" s="11" t="s">
        <v>88</v>
      </c>
      <c r="C34" s="11" t="str">
        <f>VLOOKUP(Companies[[#This Row],[Symbol]],Morningstar,MATCH("Name",Morningstar_Cols,EXACT_MATCH),EXACT_MATCH)</f>
        <v>Boise Cascade Co</v>
      </c>
      <c r="D34" s="114">
        <f>VLOOKUP(Companies[[#This Row],[Symbol]],Morningstar,MATCH("mil$ Market Cap",Morningstar_Cols,0),0)</f>
        <v>1037.07</v>
      </c>
      <c r="E34" s="115">
        <f>VLOOKUP(Companies[[#This Row],[Symbol]],Morningstar,MATCH("% Total Return 3 Month",Morningstar_Cols,EXACT_MATCH),EXACT_MATCH)/100</f>
        <v>-0.35259999999999997</v>
      </c>
      <c r="F34" s="115">
        <f>VLOOKUP(Companies[[#This Row],[Symbol]],Morningstar,MATCH("% Total Return 12 Month",Morningstar_Cols,EXACT_MATCH),EXACT_MATCH)/100</f>
        <v>-6.7299999999999999E-2</v>
      </c>
      <c r="G34" s="116">
        <f>VLOOKUP(Companies[[#This Row],[Symbol]],Morningstar,MATCH("Price/Sales",Morningstar_Cols,EXACT_MATCH),EXACT_MATCH)</f>
        <v>0.23</v>
      </c>
      <c r="H34" s="117">
        <f>VLOOKUP(Companies[[#This Row],[Symbol]],Morningstar,MATCH("Price/Fair Value",Morningstar_Cols,EXACT_MATCH),EXACT_MATCH)</f>
        <v>0.72</v>
      </c>
      <c r="I3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34" s="107">
        <f>VLOOKUP(Companies[[#This Row],[Symbol]],Morningstar,MATCH("% Dividend Yield TTM",Morningstar_Cols,EXACT_MATCH),EXACT_MATCH)/100</f>
        <v>1.5600000000000001E-2</v>
      </c>
      <c r="K34" s="119" t="str">
        <f>IFERROR(LOOKUP(2,1/(GrowthCurves[Ticker]=Companies[[#This Row],[Symbol]]),GrowthCurves[Metric]),"")</f>
        <v>1</v>
      </c>
      <c r="L34" s="94">
        <f>RatingDefault+SUM(Companies[[#This Row],[CurvePoints]:[PFVPoints]])</f>
        <v>4</v>
      </c>
      <c r="M34" s="94"/>
      <c r="N34" s="103">
        <f>IF(Companies[[#This Row],[Growth Curve]]&lt;&gt;"",Companies[[#This Row],[Growth Curve]]-3,0)</f>
        <v>-2</v>
      </c>
      <c r="O34" s="53">
        <f>IF(Companies[[#This Row],[PSR]]&gt;2,-1,IF(Companies[[#This Row],[PSR]]&lt;1,1,0))</f>
        <v>1</v>
      </c>
      <c r="P34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34" s="53">
        <f>IF(Companies[[#This Row],[PFV]]&lt;0.75,2,IF(Companies[[#This Row],[PFV]]&lt;0.95,1,IF(Companies[[#This Row],[PFV]]&gt;1.25,-2,IF(Companies[[#This Row],[PFV]]&gt;1.15,-1,0))))</f>
        <v>2</v>
      </c>
    </row>
    <row r="35" spans="2:17" s="53" customFormat="1" ht="25.15" customHeight="1" x14ac:dyDescent="0.25">
      <c r="B35" s="52" t="s">
        <v>711</v>
      </c>
      <c r="C35" s="11" t="str">
        <f>VLOOKUP(Companies[[#This Row],[Symbol]],Morningstar,MATCH("Name",Morningstar_Cols,EXACT_MATCH),EXACT_MATCH)</f>
        <v>Briggs &amp; Stratton Corp</v>
      </c>
      <c r="D35" s="114">
        <f>VLOOKUP(Companies[[#This Row],[Symbol]],Morningstar,MATCH("mil$ Market Cap",Morningstar_Cols,0),0)</f>
        <v>97.28</v>
      </c>
      <c r="E35" s="115">
        <f>VLOOKUP(Companies[[#This Row],[Symbol]],Morningstar,MATCH("% Total Return 3 Month",Morningstar_Cols,EXACT_MATCH),EXACT_MATCH)/100</f>
        <v>-0.56720000000000004</v>
      </c>
      <c r="F35" s="115">
        <f>VLOOKUP(Companies[[#This Row],[Symbol]],Morningstar,MATCH("% Total Return 12 Month",Morningstar_Cols,EXACT_MATCH),EXACT_MATCH)/100</f>
        <v>-0.79150000000000009</v>
      </c>
      <c r="G35" s="116">
        <f>VLOOKUP(Companies[[#This Row],[Symbol]],Morningstar,MATCH("Price/Sales",Morningstar_Cols,EXACT_MATCH),EXACT_MATCH)</f>
        <v>0.05</v>
      </c>
      <c r="H35" s="117">
        <f>VLOOKUP(Companies[[#This Row],[Symbol]],Morningstar,MATCH("Price/Fair Value",Morningstar_Cols,EXACT_MATCH),EXACT_MATCH)</f>
        <v>0.41</v>
      </c>
      <c r="I3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F</v>
      </c>
      <c r="J35" s="107">
        <f>VLOOKUP(Companies[[#This Row],[Symbol]],Morningstar,MATCH("% Dividend Yield TTM",Morningstar_Cols,EXACT_MATCH),EXACT_MATCH)/100</f>
        <v>0.16739999999999999</v>
      </c>
      <c r="K35" s="119" t="str">
        <f>IFERROR(LOOKUP(2,1/(GrowthCurves[Ticker]=Companies[[#This Row],[Symbol]]),GrowthCurves[Metric]),"")</f>
        <v>2</v>
      </c>
      <c r="L35" s="94">
        <f>RatingDefault+SUM(Companies[[#This Row],[CurvePoints]:[PFVPoints]])</f>
        <v>3</v>
      </c>
      <c r="M35" s="94"/>
      <c r="N35" s="102">
        <f>IF(Companies[[#This Row],[Growth Curve]]&lt;&gt;"",Companies[[#This Row],[Growth Curve]]-3,0)</f>
        <v>-1</v>
      </c>
      <c r="O35" s="52">
        <f>IF(Companies[[#This Row],[PSR]]&gt;2,-1,IF(Companies[[#This Row],[PSR]]&lt;1,1,0))</f>
        <v>1</v>
      </c>
      <c r="P35" s="52">
        <f>IF(Companies[[#This Row],[Financial Health]]&lt;&gt;"",IF(Companies[[#This Row],[Financial Health]]="F",-2,IF(Companies[[#This Row],[Financial Health]]&gt;"C",-1,IF(Companies[[#This Row],[Financial Health]]&lt;"C",1,0))),-1)</f>
        <v>-2</v>
      </c>
      <c r="Q35" s="53">
        <f>IF(Companies[[#This Row],[PFV]]&lt;0.75,2,IF(Companies[[#This Row],[PFV]]&lt;0.95,1,IF(Companies[[#This Row],[PFV]]&gt;1.25,-2,IF(Companies[[#This Row],[PFV]]&gt;1.15,-1,0))))</f>
        <v>2</v>
      </c>
    </row>
    <row r="36" spans="2:17" s="53" customFormat="1" ht="25.15" customHeight="1" x14ac:dyDescent="0.25">
      <c r="B36" s="11" t="s">
        <v>649</v>
      </c>
      <c r="C36" s="11" t="str">
        <f>VLOOKUP(Companies[[#This Row],[Symbol]],Morningstar,MATCH("Name",Morningstar_Cols,EXACT_MATCH),EXACT_MATCH)</f>
        <v>Biogen Inc</v>
      </c>
      <c r="D36" s="114">
        <f>VLOOKUP(Companies[[#This Row],[Symbol]],Morningstar,MATCH("mil$ Market Cap",Morningstar_Cols,0),0)</f>
        <v>50871.95</v>
      </c>
      <c r="E36" s="115">
        <f>VLOOKUP(Companies[[#This Row],[Symbol]],Morningstar,MATCH("% Total Return 3 Month",Morningstar_Cols,EXACT_MATCH),EXACT_MATCH)/100</f>
        <v>-8.5000000000000006E-2</v>
      </c>
      <c r="F36" s="115">
        <f>VLOOKUP(Companies[[#This Row],[Symbol]],Morningstar,MATCH("% Total Return 12 Month",Morningstar_Cols,EXACT_MATCH),EXACT_MATCH)/100</f>
        <v>-0.14019999999999999</v>
      </c>
      <c r="G36" s="116">
        <f>VLOOKUP(Companies[[#This Row],[Symbol]],Morningstar,MATCH("Price/Sales",Morningstar_Cols,EXACT_MATCH),EXACT_MATCH)</f>
        <v>3.8</v>
      </c>
      <c r="H36" s="117">
        <f>VLOOKUP(Companies[[#This Row],[Symbol]],Morningstar,MATCH("Price/Fair Value",Morningstar_Cols,EXACT_MATCH),EXACT_MATCH)</f>
        <v>0.69</v>
      </c>
      <c r="I3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36" s="107">
        <f>VLOOKUP(Companies[[#This Row],[Symbol]],Morningstar,MATCH("% Dividend Yield TTM",Morningstar_Cols,EXACT_MATCH),EXACT_MATCH)/100</f>
        <v>0</v>
      </c>
      <c r="K36" s="119" t="str">
        <f>IFERROR(LOOKUP(2,1/(GrowthCurves[Ticker]=Companies[[#This Row],[Symbol]]),GrowthCurves[Metric]),"")</f>
        <v>3</v>
      </c>
      <c r="L36" s="94">
        <f>RatingDefault+SUM(Companies[[#This Row],[CurvePoints]:[PFVPoints]])</f>
        <v>5</v>
      </c>
      <c r="M36" s="94"/>
      <c r="N36" s="103">
        <f>IF(Companies[[#This Row],[Growth Curve]]&lt;&gt;"",Companies[[#This Row],[Growth Curve]]-3,0)</f>
        <v>0</v>
      </c>
      <c r="O36" s="53">
        <f>IF(Companies[[#This Row],[PSR]]&gt;2,-1,IF(Companies[[#This Row],[PSR]]&lt;1,1,0))</f>
        <v>-1</v>
      </c>
      <c r="P36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36" s="53">
        <f>IF(Companies[[#This Row],[PFV]]&lt;0.75,2,IF(Companies[[#This Row],[PFV]]&lt;0.95,1,IF(Companies[[#This Row],[PFV]]&gt;1.25,-2,IF(Companies[[#This Row],[PFV]]&gt;1.15,-1,0))))</f>
        <v>2</v>
      </c>
    </row>
    <row r="37" spans="2:17" s="53" customFormat="1" ht="25.15" customHeight="1" x14ac:dyDescent="0.25">
      <c r="B37" s="52" t="s">
        <v>657</v>
      </c>
      <c r="C37" s="11" t="str">
        <f>VLOOKUP(Companies[[#This Row],[Symbol]],Morningstar,MATCH("Name",Morningstar_Cols,EXACT_MATCH),EXACT_MATCH)</f>
        <v>Brookdale Senior Living Inc</v>
      </c>
      <c r="D37" s="114">
        <f>VLOOKUP(Companies[[#This Row],[Symbol]],Morningstar,MATCH("mil$ Market Cap",Morningstar_Cols,0),0)</f>
        <v>607.14</v>
      </c>
      <c r="E37" s="115">
        <f>VLOOKUP(Companies[[#This Row],[Symbol]],Morningstar,MATCH("% Total Return 3 Month",Morningstar_Cols,EXACT_MATCH),EXACT_MATCH)/100</f>
        <v>-0.5202</v>
      </c>
      <c r="F37" s="115">
        <f>VLOOKUP(Companies[[#This Row],[Symbol]],Morningstar,MATCH("% Total Return 12 Month",Morningstar_Cols,EXACT_MATCH),EXACT_MATCH)/100</f>
        <v>-0.52839999999999998</v>
      </c>
      <c r="G37" s="116">
        <f>VLOOKUP(Companies[[#This Row],[Symbol]],Morningstar,MATCH("Price/Sales",Morningstar_Cols,EXACT_MATCH),EXACT_MATCH)</f>
        <v>0.15</v>
      </c>
      <c r="H37" s="117">
        <f>VLOOKUP(Companies[[#This Row],[Symbol]],Morningstar,MATCH("Price/Fair Value",Morningstar_Cols,EXACT_MATCH),EXACT_MATCH)</f>
        <v>0.41</v>
      </c>
      <c r="I3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37" s="107">
        <f>VLOOKUP(Companies[[#This Row],[Symbol]],Morningstar,MATCH("% Dividend Yield TTM",Morningstar_Cols,EXACT_MATCH),EXACT_MATCH)/100</f>
        <v>0</v>
      </c>
      <c r="K37" s="119" t="str">
        <f>IFERROR(LOOKUP(2,1/(GrowthCurves[Ticker]=Companies[[#This Row],[Symbol]]),GrowthCurves[Metric]),"")</f>
        <v>2</v>
      </c>
      <c r="L37" s="94">
        <f>RatingDefault+SUM(Companies[[#This Row],[CurvePoints]:[PFVPoints]])</f>
        <v>5</v>
      </c>
      <c r="M37" s="94"/>
      <c r="N37" s="102">
        <f>IF(Companies[[#This Row],[Growth Curve]]&lt;&gt;"",Companies[[#This Row],[Growth Curve]]-3,0)</f>
        <v>-1</v>
      </c>
      <c r="O37" s="52">
        <f>IF(Companies[[#This Row],[PSR]]&gt;2,-1,IF(Companies[[#This Row],[PSR]]&lt;1,1,0))</f>
        <v>1</v>
      </c>
      <c r="P37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37" s="53">
        <f>IF(Companies[[#This Row],[PFV]]&lt;0.75,2,IF(Companies[[#This Row],[PFV]]&lt;0.95,1,IF(Companies[[#This Row],[PFV]]&gt;1.25,-2,IF(Companies[[#This Row],[PFV]]&gt;1.15,-1,0))))</f>
        <v>2</v>
      </c>
    </row>
    <row r="38" spans="2:17" s="53" customFormat="1" ht="25.15" customHeight="1" x14ac:dyDescent="0.25">
      <c r="B38" s="11" t="s">
        <v>218</v>
      </c>
      <c r="C38" s="11" t="str">
        <f>VLOOKUP(Companies[[#This Row],[Symbol]],Morningstar,MATCH("Name",Morningstar_Cols,EXACT_MATCH),EXACT_MATCH)</f>
        <v>TopBuild Corp</v>
      </c>
      <c r="D38" s="114">
        <f>VLOOKUP(Companies[[#This Row],[Symbol]],Morningstar,MATCH("mil$ Market Cap",Morningstar_Cols,0),0)</f>
        <v>2614.13</v>
      </c>
      <c r="E38" s="115">
        <f>VLOOKUP(Companies[[#This Row],[Symbol]],Morningstar,MATCH("% Total Return 3 Month",Morningstar_Cols,EXACT_MATCH),EXACT_MATCH)/100</f>
        <v>-0.28170000000000001</v>
      </c>
      <c r="F38" s="115">
        <f>VLOOKUP(Companies[[#This Row],[Symbol]],Morningstar,MATCH("% Total Return 12 Month",Morningstar_Cols,EXACT_MATCH),EXACT_MATCH)/100</f>
        <v>0.1691</v>
      </c>
      <c r="G38" s="116">
        <f>VLOOKUP(Companies[[#This Row],[Symbol]],Morningstar,MATCH("Price/Sales",Morningstar_Cols,EXACT_MATCH),EXACT_MATCH)</f>
        <v>1.02</v>
      </c>
      <c r="H38" s="117">
        <f>VLOOKUP(Companies[[#This Row],[Symbol]],Morningstar,MATCH("Price/Fair Value",Morningstar_Cols,EXACT_MATCH),EXACT_MATCH)</f>
        <v>0.71</v>
      </c>
      <c r="I3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38" s="107">
        <f>VLOOKUP(Companies[[#This Row],[Symbol]],Morningstar,MATCH("% Dividend Yield TTM",Morningstar_Cols,EXACT_MATCH),EXACT_MATCH)/100</f>
        <v>0</v>
      </c>
      <c r="K38" s="119" t="str">
        <f>IFERROR(LOOKUP(2,1/(GrowthCurves[Ticker]=Companies[[#This Row],[Symbol]]),GrowthCurves[Metric]),"")</f>
        <v>1</v>
      </c>
      <c r="L38" s="94">
        <f>RatingDefault+SUM(Companies[[#This Row],[CurvePoints]:[PFVPoints]])</f>
        <v>4</v>
      </c>
      <c r="M38" s="94"/>
      <c r="N38" s="103">
        <f>IF(Companies[[#This Row],[Growth Curve]]&lt;&gt;"",Companies[[#This Row],[Growth Curve]]-3,0)</f>
        <v>-2</v>
      </c>
      <c r="O38" s="53">
        <f>IF(Companies[[#This Row],[PSR]]&gt;2,-1,IF(Companies[[#This Row],[PSR]]&lt;1,1,0))</f>
        <v>0</v>
      </c>
      <c r="P38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38" s="53">
        <f>IF(Companies[[#This Row],[PFV]]&lt;0.75,2,IF(Companies[[#This Row],[PFV]]&lt;0.95,1,IF(Companies[[#This Row],[PFV]]&gt;1.25,-2,IF(Companies[[#This Row],[PFV]]&gt;1.15,-1,0))))</f>
        <v>2</v>
      </c>
    </row>
    <row r="39" spans="2:17" s="53" customFormat="1" ht="25.15" customHeight="1" x14ac:dyDescent="0.25">
      <c r="B39" s="11" t="s">
        <v>202</v>
      </c>
      <c r="C39" s="11" t="str">
        <f>VLOOKUP(Companies[[#This Row],[Symbol]],Morningstar,MATCH("Name",Morningstar_Cols,EXACT_MATCH),EXACT_MATCH)</f>
        <v>Builders FirstSource Inc</v>
      </c>
      <c r="D39" s="114">
        <f>VLOOKUP(Companies[[#This Row],[Symbol]],Morningstar,MATCH("mil$ Market Cap",Morningstar_Cols,0),0)</f>
        <v>1746.6</v>
      </c>
      <c r="E39" s="115">
        <f>VLOOKUP(Companies[[#This Row],[Symbol]],Morningstar,MATCH("% Total Return 3 Month",Morningstar_Cols,EXACT_MATCH),EXACT_MATCH)/100</f>
        <v>-0.41659999999999997</v>
      </c>
      <c r="F39" s="115">
        <f>VLOOKUP(Companies[[#This Row],[Symbol]],Morningstar,MATCH("% Total Return 12 Month",Morningstar_Cols,EXACT_MATCH),EXACT_MATCH)/100</f>
        <v>7.0300000000000001E-2</v>
      </c>
      <c r="G39" s="116">
        <f>VLOOKUP(Companies[[#This Row],[Symbol]],Morningstar,MATCH("Price/Sales",Morningstar_Cols,EXACT_MATCH),EXACT_MATCH)</f>
        <v>0.24</v>
      </c>
      <c r="H39" s="117">
        <f>VLOOKUP(Companies[[#This Row],[Symbol]],Morningstar,MATCH("Price/Fair Value",Morningstar_Cols,EXACT_MATCH),EXACT_MATCH)</f>
        <v>0.53</v>
      </c>
      <c r="I3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39" s="107">
        <f>VLOOKUP(Companies[[#This Row],[Symbol]],Morningstar,MATCH("% Dividend Yield TTM",Morningstar_Cols,EXACT_MATCH),EXACT_MATCH)/100</f>
        <v>0</v>
      </c>
      <c r="K39" s="119" t="str">
        <f>IFERROR(LOOKUP(2,1/(GrowthCurves[Ticker]=Companies[[#This Row],[Symbol]]),GrowthCurves[Metric]),"")</f>
        <v>2</v>
      </c>
      <c r="L39" s="94">
        <f>RatingDefault+SUM(Companies[[#This Row],[CurvePoints]:[PFVPoints]])</f>
        <v>5</v>
      </c>
      <c r="M39" s="94"/>
      <c r="N39" s="103">
        <f>IF(Companies[[#This Row],[Growth Curve]]&lt;&gt;"",Companies[[#This Row],[Growth Curve]]-3,0)</f>
        <v>-1</v>
      </c>
      <c r="O39" s="53">
        <f>IF(Companies[[#This Row],[PSR]]&gt;2,-1,IF(Companies[[#This Row],[PSR]]&lt;1,1,0))</f>
        <v>1</v>
      </c>
      <c r="P39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39" s="53">
        <f>IF(Companies[[#This Row],[PFV]]&lt;0.75,2,IF(Companies[[#This Row],[PFV]]&lt;0.95,1,IF(Companies[[#This Row],[PFV]]&gt;1.25,-2,IF(Companies[[#This Row],[PFV]]&gt;1.15,-1,0))))</f>
        <v>2</v>
      </c>
    </row>
    <row r="40" spans="2:17" s="53" customFormat="1" ht="25.15" customHeight="1" x14ac:dyDescent="0.25">
      <c r="B40" s="52" t="s">
        <v>583</v>
      </c>
      <c r="C40" s="11" t="str">
        <f>VLOOKUP(Companies[[#This Row],[Symbol]],Morningstar,MATCH("Name",Morningstar_Cols,EXACT_MATCH),EXACT_MATCH)</f>
        <v>BlackRock Inc</v>
      </c>
      <c r="D40" s="114">
        <f>VLOOKUP(Companies[[#This Row],[Symbol]],Morningstar,MATCH("mil$ Market Cap",Morningstar_Cols,0),0)</f>
        <v>62418.94</v>
      </c>
      <c r="E40" s="115">
        <f>VLOOKUP(Companies[[#This Row],[Symbol]],Morningstar,MATCH("% Total Return 3 Month",Morningstar_Cols,EXACT_MATCH),EXACT_MATCH)/100</f>
        <v>-0.22359999999999999</v>
      </c>
      <c r="F40" s="115">
        <f>VLOOKUP(Companies[[#This Row],[Symbol]],Morningstar,MATCH("% Total Return 12 Month",Morningstar_Cols,EXACT_MATCH),EXACT_MATCH)/100</f>
        <v>-6.5700000000000008E-2</v>
      </c>
      <c r="G40" s="116">
        <f>VLOOKUP(Companies[[#This Row],[Symbol]],Morningstar,MATCH("Price/Sales",Morningstar_Cols,EXACT_MATCH),EXACT_MATCH)</f>
        <v>4.34</v>
      </c>
      <c r="H40" s="117">
        <f>VLOOKUP(Companies[[#This Row],[Symbol]],Morningstar,MATCH("Price/Fair Value",Morningstar_Cols,EXACT_MATCH),EXACT_MATCH)</f>
        <v>0.7</v>
      </c>
      <c r="I4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40" s="107">
        <f>VLOOKUP(Companies[[#This Row],[Symbol]],Morningstar,MATCH("% Dividend Yield TTM",Morningstar_Cols,EXACT_MATCH),EXACT_MATCH)/100</f>
        <v>3.5000000000000003E-2</v>
      </c>
      <c r="K40" s="119" t="str">
        <f>IFERROR(LOOKUP(2,1/(GrowthCurves[Ticker]=Companies[[#This Row],[Symbol]]),GrowthCurves[Metric]),"")</f>
        <v/>
      </c>
      <c r="L40" s="94">
        <f>RatingDefault+SUM(Companies[[#This Row],[CurvePoints]:[PFVPoints]])</f>
        <v>5</v>
      </c>
      <c r="M40" s="94"/>
      <c r="N40" s="102">
        <f>IF(Companies[[#This Row],[Growth Curve]]&lt;&gt;"",Companies[[#This Row],[Growth Curve]]-3,0)</f>
        <v>0</v>
      </c>
      <c r="O40" s="52">
        <f>IF(Companies[[#This Row],[PSR]]&gt;2,-1,IF(Companies[[#This Row],[PSR]]&lt;1,1,0))</f>
        <v>-1</v>
      </c>
      <c r="P40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40" s="53">
        <f>IF(Companies[[#This Row],[PFV]]&lt;0.75,2,IF(Companies[[#This Row],[PFV]]&lt;0.95,1,IF(Companies[[#This Row],[PFV]]&gt;1.25,-2,IF(Companies[[#This Row],[PFV]]&gt;1.15,-1,0))))</f>
        <v>2</v>
      </c>
    </row>
    <row r="41" spans="2:17" s="53" customFormat="1" ht="25.15" customHeight="1" x14ac:dyDescent="0.25">
      <c r="B41" s="52" t="s">
        <v>1270</v>
      </c>
      <c r="C41" s="11" t="str">
        <f>VLOOKUP(Companies[[#This Row],[Symbol]],Morningstar,MATCH("Name",Morningstar_Cols,EXACT_MATCH),EXACT_MATCH)</f>
        <v>Bayerische Motoren Werke AG ADR</v>
      </c>
      <c r="D41" s="114">
        <f>VLOOKUP(Companies[[#This Row],[Symbol]],Morningstar,MATCH("mil$ Market Cap",Morningstar_Cols,0),0)</f>
        <v>33048.82</v>
      </c>
      <c r="E41" s="115">
        <f>VLOOKUP(Companies[[#This Row],[Symbol]],Morningstar,MATCH("% Total Return 3 Month",Morningstar_Cols,EXACT_MATCH),EXACT_MATCH)/100</f>
        <v>-0.40060000000000001</v>
      </c>
      <c r="F41" s="115">
        <f>VLOOKUP(Companies[[#This Row],[Symbol]],Morningstar,MATCH("% Total Return 12 Month",Morningstar_Cols,EXACT_MATCH),EXACT_MATCH)/100</f>
        <v>-0.34639999999999999</v>
      </c>
      <c r="G41" s="116">
        <f>VLOOKUP(Companies[[#This Row],[Symbol]],Morningstar,MATCH("Price/Sales",Morningstar_Cols,EXACT_MATCH),EXACT_MATCH)</f>
        <v>0.3</v>
      </c>
      <c r="H41" s="117">
        <f>VLOOKUP(Companies[[#This Row],[Symbol]],Morningstar,MATCH("Price/Fair Value",Morningstar_Cols,EXACT_MATCH),EXACT_MATCH)</f>
        <v>0.39</v>
      </c>
      <c r="I4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41" s="107">
        <f>VLOOKUP(Companies[[#This Row],[Symbol]],Morningstar,MATCH("% Dividend Yield TTM",Morningstar_Cols,EXACT_MATCH),EXACT_MATCH)/100</f>
        <v>7.8100000000000003E-2</v>
      </c>
      <c r="K41" s="119" t="str">
        <f>IFERROR(LOOKUP(2,1/(GrowthCurves[Ticker]=Companies[[#This Row],[Symbol]]),GrowthCurves[Metric]),"")</f>
        <v>1</v>
      </c>
      <c r="L41" s="94">
        <f>RatingDefault+SUM(Companies[[#This Row],[CurvePoints]:[PFVPoints]])</f>
        <v>4</v>
      </c>
      <c r="M41" s="94"/>
      <c r="N41" s="102">
        <f>IF(Companies[[#This Row],[Growth Curve]]&lt;&gt;"",Companies[[#This Row],[Growth Curve]]-3,0)</f>
        <v>-2</v>
      </c>
      <c r="O41" s="52">
        <f>IF(Companies[[#This Row],[PSR]]&gt;2,-1,IF(Companies[[#This Row],[PSR]]&lt;1,1,0))</f>
        <v>1</v>
      </c>
      <c r="P41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41" s="53">
        <f>IF(Companies[[#This Row],[PFV]]&lt;0.75,2,IF(Companies[[#This Row],[PFV]]&lt;0.95,1,IF(Companies[[#This Row],[PFV]]&gt;1.25,-2,IF(Companies[[#This Row],[PFV]]&gt;1.15,-1,0))))</f>
        <v>2</v>
      </c>
    </row>
    <row r="42" spans="2:17" s="53" customFormat="1" ht="25.15" customHeight="1" x14ac:dyDescent="0.25">
      <c r="B42" s="11" t="s">
        <v>848</v>
      </c>
      <c r="C42" s="11" t="str">
        <f>VLOOKUP(Companies[[#This Row],[Symbol]],Morningstar,MATCH("Name",Morningstar_Cols,EXACT_MATCH),EXACT_MATCH)</f>
        <v>Vanguard Total Bond Market ETF</v>
      </c>
      <c r="D42" s="114">
        <f>VLOOKUP(Companies[[#This Row],[Symbol]],Morningstar,MATCH("mil$ Market Cap",Morningstar_Cols,0),0)</f>
        <v>0</v>
      </c>
      <c r="E42" s="115">
        <f>VLOOKUP(Companies[[#This Row],[Symbol]],Morningstar,MATCH("% Total Return 3 Month",Morningstar_Cols,EXACT_MATCH),EXACT_MATCH)/100</f>
        <v>-3.5400000000000001E-2</v>
      </c>
      <c r="F42" s="115">
        <f>VLOOKUP(Companies[[#This Row],[Symbol]],Morningstar,MATCH("% Total Return 12 Month",Morningstar_Cols,EXACT_MATCH),EXACT_MATCH)/100</f>
        <v>2.9399999999999999E-2</v>
      </c>
      <c r="G42" s="116">
        <f>VLOOKUP(Companies[[#This Row],[Symbol]],Morningstar,MATCH("Price/Sales",Morningstar_Cols,EXACT_MATCH),EXACT_MATCH)</f>
        <v>0</v>
      </c>
      <c r="H42" s="117">
        <f>VLOOKUP(Companies[[#This Row],[Symbol]],Morningstar,MATCH("Price/Fair Value",Morningstar_Cols,EXACT_MATCH),EXACT_MATCH)</f>
        <v>0</v>
      </c>
      <c r="I4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42" s="107">
        <f>VLOOKUP(Companies[[#This Row],[Symbol]],Morningstar,MATCH("% Dividend Yield TTM",Morningstar_Cols,EXACT_MATCH),EXACT_MATCH)/100</f>
        <v>2.6099999999999998E-2</v>
      </c>
      <c r="K42" s="119" t="str">
        <f>IFERROR(LOOKUP(2,1/(GrowthCurves[Ticker]=Companies[[#This Row],[Symbol]]),GrowthCurves[Metric]),"")</f>
        <v/>
      </c>
      <c r="L42" s="94">
        <f>RatingDefault+SUM(Companies[[#This Row],[CurvePoints]:[PFVPoints]])</f>
        <v>5</v>
      </c>
      <c r="M42" s="94"/>
      <c r="N42" s="103">
        <f>IF(Companies[[#This Row],[Growth Curve]]&lt;&gt;"",Companies[[#This Row],[Growth Curve]]-3,0)</f>
        <v>0</v>
      </c>
      <c r="O42" s="53">
        <f>IF(Companies[[#This Row],[PSR]]&gt;2,-1,IF(Companies[[#This Row],[PSR]]&lt;1,1,0))</f>
        <v>1</v>
      </c>
      <c r="P42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42" s="53">
        <f>IF(Companies[[#This Row],[PFV]]&lt;0.75,2,IF(Companies[[#This Row],[PFV]]&lt;0.95,1,IF(Companies[[#This Row],[PFV]]&gt;1.25,-2,IF(Companies[[#This Row],[PFV]]&gt;1.15,-1,0))))</f>
        <v>2</v>
      </c>
    </row>
    <row r="43" spans="2:17" s="53" customFormat="1" ht="25.15" customHeight="1" x14ac:dyDescent="0.25">
      <c r="B43" s="52" t="s">
        <v>266</v>
      </c>
      <c r="C43" s="11" t="str">
        <f>VLOOKUP(Companies[[#This Row],[Symbol]],Morningstar,MATCH("Name",Morningstar_Cols,EXACT_MATCH),EXACT_MATCH)</f>
        <v>Boot Barn Holdings Inc</v>
      </c>
      <c r="D43" s="114">
        <f>VLOOKUP(Companies[[#This Row],[Symbol]],Morningstar,MATCH("mil$ Market Cap",Morningstar_Cols,0),0)</f>
        <v>572.27</v>
      </c>
      <c r="E43" s="115">
        <f>VLOOKUP(Companies[[#This Row],[Symbol]],Morningstar,MATCH("% Total Return 3 Month",Morningstar_Cols,EXACT_MATCH),EXACT_MATCH)/100</f>
        <v>-0.55909999999999993</v>
      </c>
      <c r="F43" s="115">
        <f>VLOOKUP(Companies[[#This Row],[Symbol]],Morningstar,MATCH("% Total Return 12 Month",Morningstar_Cols,EXACT_MATCH),EXACT_MATCH)/100</f>
        <v>-0.32619999999999999</v>
      </c>
      <c r="G43" s="116">
        <f>VLOOKUP(Companies[[#This Row],[Symbol]],Morningstar,MATCH("Price/Sales",Morningstar_Cols,EXACT_MATCH),EXACT_MATCH)</f>
        <v>0.68</v>
      </c>
      <c r="H43" s="117">
        <f>VLOOKUP(Companies[[#This Row],[Symbol]],Morningstar,MATCH("Price/Fair Value",Morningstar_Cols,EXACT_MATCH),EXACT_MATCH)</f>
        <v>0.5</v>
      </c>
      <c r="I4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43" s="107">
        <f>VLOOKUP(Companies[[#This Row],[Symbol]],Morningstar,MATCH("% Dividend Yield TTM",Morningstar_Cols,EXACT_MATCH),EXACT_MATCH)/100</f>
        <v>0</v>
      </c>
      <c r="K43" s="119" t="str">
        <f>IFERROR(LOOKUP(2,1/(GrowthCurves[Ticker]=Companies[[#This Row],[Symbol]]),GrowthCurves[Metric]),"")</f>
        <v>1</v>
      </c>
      <c r="L43" s="94">
        <f>RatingDefault+SUM(Companies[[#This Row],[CurvePoints]:[PFVPoints]])</f>
        <v>4</v>
      </c>
      <c r="M43" s="94"/>
      <c r="N43" s="102">
        <f>IF(Companies[[#This Row],[Growth Curve]]&lt;&gt;"",Companies[[#This Row],[Growth Curve]]-3,0)</f>
        <v>-2</v>
      </c>
      <c r="O43" s="52">
        <f>IF(Companies[[#This Row],[PSR]]&gt;2,-1,IF(Companies[[#This Row],[PSR]]&lt;1,1,0))</f>
        <v>1</v>
      </c>
      <c r="P43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43" s="53">
        <f>IF(Companies[[#This Row],[PFV]]&lt;0.75,2,IF(Companies[[#This Row],[PFV]]&lt;0.95,1,IF(Companies[[#This Row],[PFV]]&gt;1.25,-2,IF(Companies[[#This Row],[PFV]]&gt;1.15,-1,0))))</f>
        <v>2</v>
      </c>
    </row>
    <row r="44" spans="2:17" s="53" customFormat="1" ht="25.15" customHeight="1" x14ac:dyDescent="0.25">
      <c r="B44" s="52" t="s">
        <v>585</v>
      </c>
      <c r="C44" s="11" t="str">
        <f>VLOOKUP(Companies[[#This Row],[Symbol]],Morningstar,MATCH("Name",Morningstar_Cols,EXACT_MATCH),EXACT_MATCH)</f>
        <v>Berkshire Hathaway Inc A</v>
      </c>
      <c r="D44" s="114">
        <f>VLOOKUP(Companies[[#This Row],[Symbol]],Morningstar,MATCH("mil$ Market Cap",Morningstar_Cols,0),0)</f>
        <v>448250.97</v>
      </c>
      <c r="E44" s="115">
        <f>VLOOKUP(Companies[[#This Row],[Symbol]],Morningstar,MATCH("% Total Return 3 Month",Morningstar_Cols,EXACT_MATCH),EXACT_MATCH)/100</f>
        <v>-0.19719999999999999</v>
      </c>
      <c r="F44" s="115">
        <f>VLOOKUP(Companies[[#This Row],[Symbol]],Morningstar,MATCH("% Total Return 12 Month",Morningstar_Cols,EXACT_MATCH),EXACT_MATCH)/100</f>
        <v>-0.106</v>
      </c>
      <c r="G44" s="116">
        <f>VLOOKUP(Companies[[#This Row],[Symbol]],Morningstar,MATCH("Price/Sales",Morningstar_Cols,EXACT_MATCH),EXACT_MATCH)</f>
        <v>1.4</v>
      </c>
      <c r="H44" s="117">
        <f>VLOOKUP(Companies[[#This Row],[Symbol]],Morningstar,MATCH("Price/Fair Value",Morningstar_Cols,EXACT_MATCH),EXACT_MATCH)</f>
        <v>0.74</v>
      </c>
      <c r="I4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A</v>
      </c>
      <c r="J44" s="107">
        <f>VLOOKUP(Companies[[#This Row],[Symbol]],Morningstar,MATCH("% Dividend Yield TTM",Morningstar_Cols,EXACT_MATCH),EXACT_MATCH)/100</f>
        <v>0</v>
      </c>
      <c r="K44" s="119" t="str">
        <f>IFERROR(LOOKUP(2,1/(GrowthCurves[Ticker]=Companies[[#This Row],[Symbol]]),GrowthCurves[Metric]),"")</f>
        <v/>
      </c>
      <c r="L44" s="94">
        <f>RatingDefault+SUM(Companies[[#This Row],[CurvePoints]:[PFVPoints]])</f>
        <v>6</v>
      </c>
      <c r="M44" s="94"/>
      <c r="N44" s="102">
        <f>IF(Companies[[#This Row],[Growth Curve]]&lt;&gt;"",Companies[[#This Row],[Growth Curve]]-3,0)</f>
        <v>0</v>
      </c>
      <c r="O44" s="52">
        <f>IF(Companies[[#This Row],[PSR]]&gt;2,-1,IF(Companies[[#This Row],[PSR]]&lt;1,1,0))</f>
        <v>0</v>
      </c>
      <c r="P44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44" s="53">
        <f>IF(Companies[[#This Row],[PFV]]&lt;0.75,2,IF(Companies[[#This Row],[PFV]]&lt;0.95,1,IF(Companies[[#This Row],[PFV]]&gt;1.25,-2,IF(Companies[[#This Row],[PFV]]&gt;1.15,-1,0))))</f>
        <v>2</v>
      </c>
    </row>
    <row r="45" spans="2:17" s="53" customFormat="1" ht="25.15" customHeight="1" x14ac:dyDescent="0.25">
      <c r="B45" s="52" t="s">
        <v>587</v>
      </c>
      <c r="C45" s="11" t="str">
        <f>VLOOKUP(Companies[[#This Row],[Symbol]],Morningstar,MATCH("Name",Morningstar_Cols,EXACT_MATCH),EXACT_MATCH)</f>
        <v>Berkshire Hathaway Inc B</v>
      </c>
      <c r="D45" s="114">
        <f>VLOOKUP(Companies[[#This Row],[Symbol]],Morningstar,MATCH("mil$ Market Cap",Morningstar_Cols,0),0)</f>
        <v>456544.67</v>
      </c>
      <c r="E45" s="115">
        <f>VLOOKUP(Companies[[#This Row],[Symbol]],Morningstar,MATCH("% Total Return 3 Month",Morningstar_Cols,EXACT_MATCH),EXACT_MATCH)/100</f>
        <v>-0.22109999999999999</v>
      </c>
      <c r="F45" s="115">
        <f>VLOOKUP(Companies[[#This Row],[Symbol]],Morningstar,MATCH("% Total Return 12 Month",Morningstar_Cols,EXACT_MATCH),EXACT_MATCH)/100</f>
        <v>-0.13100000000000001</v>
      </c>
      <c r="G45" s="116">
        <f>VLOOKUP(Companies[[#This Row],[Symbol]],Morningstar,MATCH("Price/Sales",Morningstar_Cols,EXACT_MATCH),EXACT_MATCH)</f>
        <v>1.39</v>
      </c>
      <c r="H45" s="117">
        <f>VLOOKUP(Companies[[#This Row],[Symbol]],Morningstar,MATCH("Price/Fair Value",Morningstar_Cols,EXACT_MATCH),EXACT_MATCH)</f>
        <v>0.73</v>
      </c>
      <c r="I4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A</v>
      </c>
      <c r="J45" s="107">
        <f>VLOOKUP(Companies[[#This Row],[Symbol]],Morningstar,MATCH("% Dividend Yield TTM",Morningstar_Cols,EXACT_MATCH),EXACT_MATCH)/100</f>
        <v>0</v>
      </c>
      <c r="K45" s="119" t="str">
        <f>IFERROR(LOOKUP(2,1/(GrowthCurves[Ticker]=Companies[[#This Row],[Symbol]]),GrowthCurves[Metric]),"")</f>
        <v/>
      </c>
      <c r="L45" s="94">
        <f>RatingDefault+SUM(Companies[[#This Row],[CurvePoints]:[PFVPoints]])</f>
        <v>6</v>
      </c>
      <c r="M45" s="94"/>
      <c r="N45" s="102">
        <f>IF(Companies[[#This Row],[Growth Curve]]&lt;&gt;"",Companies[[#This Row],[Growth Curve]]-3,0)</f>
        <v>0</v>
      </c>
      <c r="O45" s="52">
        <f>IF(Companies[[#This Row],[PSR]]&gt;2,-1,IF(Companies[[#This Row],[PSR]]&lt;1,1,0))</f>
        <v>0</v>
      </c>
      <c r="P45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45" s="53">
        <f>IF(Companies[[#This Row],[PFV]]&lt;0.75,2,IF(Companies[[#This Row],[PFV]]&lt;0.95,1,IF(Companies[[#This Row],[PFV]]&gt;1.25,-2,IF(Companies[[#This Row],[PFV]]&gt;1.15,-1,0))))</f>
        <v>2</v>
      </c>
    </row>
    <row r="46" spans="2:17" s="53" customFormat="1" ht="25.15" customHeight="1" x14ac:dyDescent="0.25">
      <c r="B46" s="11" t="s">
        <v>591</v>
      </c>
      <c r="C46" s="11" t="str">
        <f>VLOOKUP(Companies[[#This Row],[Symbol]],Morningstar,MATCH("Name",Morningstar_Cols,EXACT_MATCH),EXACT_MATCH)</f>
        <v>British American Tobacco PLC ADR</v>
      </c>
      <c r="D46" s="114">
        <f>VLOOKUP(Companies[[#This Row],[Symbol]],Morningstar,MATCH("mil$ Market Cap",Morningstar_Cols,0),0)</f>
        <v>76931.839999999997</v>
      </c>
      <c r="E46" s="115">
        <f>VLOOKUP(Companies[[#This Row],[Symbol]],Morningstar,MATCH("% Total Return 3 Month",Morningstar_Cols,EXACT_MATCH),EXACT_MATCH)/100</f>
        <v>-0.11779999999999999</v>
      </c>
      <c r="F46" s="115">
        <f>VLOOKUP(Companies[[#This Row],[Symbol]],Morningstar,MATCH("% Total Return 12 Month",Morningstar_Cols,EXACT_MATCH),EXACT_MATCH)/100</f>
        <v>-8.8399999999999992E-2</v>
      </c>
      <c r="G46" s="116">
        <f>VLOOKUP(Companies[[#This Row],[Symbol]],Morningstar,MATCH("Price/Sales",Morningstar_Cols,EXACT_MATCH),EXACT_MATCH)</f>
        <v>2.37</v>
      </c>
      <c r="H46" s="117">
        <f>VLOOKUP(Companies[[#This Row],[Symbol]],Morningstar,MATCH("Price/Fair Value",Morningstar_Cols,EXACT_MATCH),EXACT_MATCH)</f>
        <v>0.59</v>
      </c>
      <c r="I4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46" s="107">
        <f>VLOOKUP(Companies[[#This Row],[Symbol]],Morningstar,MATCH("% Dividend Yield TTM",Morningstar_Cols,EXACT_MATCH),EXACT_MATCH)/100</f>
        <v>7.5800000000000006E-2</v>
      </c>
      <c r="K46" s="119" t="str">
        <f>IFERROR(LOOKUP(2,1/(GrowthCurves[Ticker]=Companies[[#This Row],[Symbol]]),GrowthCurves[Metric]),"")</f>
        <v>1</v>
      </c>
      <c r="L46" s="94">
        <f>RatingDefault+SUM(Companies[[#This Row],[CurvePoints]:[PFVPoints]])</f>
        <v>1</v>
      </c>
      <c r="M46" s="94"/>
      <c r="N46" s="103">
        <f>IF(Companies[[#This Row],[Growth Curve]]&lt;&gt;"",Companies[[#This Row],[Growth Curve]]-3,0)</f>
        <v>-2</v>
      </c>
      <c r="O46" s="53">
        <f>IF(Companies[[#This Row],[PSR]]&gt;2,-1,IF(Companies[[#This Row],[PSR]]&lt;1,1,0))</f>
        <v>-1</v>
      </c>
      <c r="P46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46" s="53">
        <f>IF(Companies[[#This Row],[PFV]]&lt;0.75,2,IF(Companies[[#This Row],[PFV]]&lt;0.95,1,IF(Companies[[#This Row],[PFV]]&gt;1.25,-2,IF(Companies[[#This Row],[PFV]]&gt;1.15,-1,0))))</f>
        <v>2</v>
      </c>
    </row>
    <row r="47" spans="2:17" s="53" customFormat="1" ht="25.15" customHeight="1" x14ac:dyDescent="0.25">
      <c r="B47" s="11" t="s">
        <v>368</v>
      </c>
      <c r="C47" s="11" t="str">
        <f>VLOOKUP(Companies[[#This Row],[Symbol]],Morningstar,MATCH("Name",Morningstar_Cols,EXACT_MATCH),EXACT_MATCH)</f>
        <v>Peabody Energy Corp</v>
      </c>
      <c r="D47" s="114">
        <f>VLOOKUP(Companies[[#This Row],[Symbol]],Morningstar,MATCH("mil$ Market Cap",Morningstar_Cols,0),0)</f>
        <v>295.20999999999998</v>
      </c>
      <c r="E47" s="115">
        <f>VLOOKUP(Companies[[#This Row],[Symbol]],Morningstar,MATCH("% Total Return 3 Month",Morningstar_Cols,EXACT_MATCH),EXACT_MATCH)/100</f>
        <v>-0.74529999999999996</v>
      </c>
      <c r="F47" s="115">
        <f>VLOOKUP(Companies[[#This Row],[Symbol]],Morningstar,MATCH("% Total Return 12 Month",Morningstar_Cols,EXACT_MATCH),EXACT_MATCH)/100</f>
        <v>-0.89680000000000004</v>
      </c>
      <c r="G47" s="116">
        <f>VLOOKUP(Companies[[#This Row],[Symbol]],Morningstar,MATCH("Price/Sales",Morningstar_Cols,EXACT_MATCH),EXACT_MATCH)</f>
        <v>7.0000000000000007E-2</v>
      </c>
      <c r="H47" s="117">
        <f>VLOOKUP(Companies[[#This Row],[Symbol]],Morningstar,MATCH("Price/Fair Value",Morningstar_Cols,EXACT_MATCH),EXACT_MATCH)</f>
        <v>0.42</v>
      </c>
      <c r="I4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F</v>
      </c>
      <c r="J47" s="107">
        <f>VLOOKUP(Companies[[#This Row],[Symbol]],Morningstar,MATCH("% Dividend Yield TTM",Morningstar_Cols,EXACT_MATCH),EXACT_MATCH)/100</f>
        <v>0.21710000000000002</v>
      </c>
      <c r="K47" s="119" t="str">
        <f>IFERROR(LOOKUP(2,1/(GrowthCurves[Ticker]=Companies[[#This Row],[Symbol]]),GrowthCurves[Metric]),"")</f>
        <v>1</v>
      </c>
      <c r="L47" s="94">
        <f>RatingDefault+SUM(Companies[[#This Row],[CurvePoints]:[PFVPoints]])</f>
        <v>2</v>
      </c>
      <c r="M47" s="94"/>
      <c r="N47" s="103">
        <f>IF(Companies[[#This Row],[Growth Curve]]&lt;&gt;"",Companies[[#This Row],[Growth Curve]]-3,0)</f>
        <v>-2</v>
      </c>
      <c r="O47" s="53">
        <f>IF(Companies[[#This Row],[PSR]]&gt;2,-1,IF(Companies[[#This Row],[PSR]]&lt;1,1,0))</f>
        <v>1</v>
      </c>
      <c r="P47" s="53">
        <f>IF(Companies[[#This Row],[Financial Health]]&lt;&gt;"",IF(Companies[[#This Row],[Financial Health]]="F",-2,IF(Companies[[#This Row],[Financial Health]]&gt;"C",-1,IF(Companies[[#This Row],[Financial Health]]&lt;"C",1,0))),-1)</f>
        <v>-2</v>
      </c>
      <c r="Q47" s="53">
        <f>IF(Companies[[#This Row],[PFV]]&lt;0.75,2,IF(Companies[[#This Row],[PFV]]&lt;0.95,1,IF(Companies[[#This Row],[PFV]]&gt;1.25,-2,IF(Companies[[#This Row],[PFV]]&gt;1.15,-1,0))))</f>
        <v>2</v>
      </c>
    </row>
    <row r="48" spans="2:17" s="53" customFormat="1" ht="25.15" customHeight="1" x14ac:dyDescent="0.25">
      <c r="B48" s="11" t="s">
        <v>593</v>
      </c>
      <c r="C48" s="11" t="str">
        <f>VLOOKUP(Companies[[#This Row],[Symbol]],Morningstar,MATCH("Name",Morningstar_Cols,EXACT_MATCH),EXACT_MATCH)</f>
        <v>Anheuser-Busch InBev SA/NV ADR</v>
      </c>
      <c r="D48" s="114">
        <f>VLOOKUP(Companies[[#This Row],[Symbol]],Morningstar,MATCH("mil$ Market Cap",Morningstar_Cols,0),0)</f>
        <v>80481.8</v>
      </c>
      <c r="E48" s="115">
        <f>VLOOKUP(Companies[[#This Row],[Symbol]],Morningstar,MATCH("% Total Return 3 Month",Morningstar_Cols,EXACT_MATCH),EXACT_MATCH)/100</f>
        <v>-0.43409999999999999</v>
      </c>
      <c r="F48" s="115">
        <f>VLOOKUP(Companies[[#This Row],[Symbol]],Morningstar,MATCH("% Total Return 12 Month",Morningstar_Cols,EXACT_MATCH),EXACT_MATCH)/100</f>
        <v>-0.42979999999999996</v>
      </c>
      <c r="G48" s="116">
        <f>VLOOKUP(Companies[[#This Row],[Symbol]],Morningstar,MATCH("Price/Sales",Morningstar_Cols,EXACT_MATCH),EXACT_MATCH)</f>
        <v>1.68</v>
      </c>
      <c r="H48" s="117">
        <f>VLOOKUP(Companies[[#This Row],[Symbol]],Morningstar,MATCH("Price/Fair Value",Morningstar_Cols,EXACT_MATCH),EXACT_MATCH)</f>
        <v>0.4</v>
      </c>
      <c r="I4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48" s="107">
        <f>VLOOKUP(Companies[[#This Row],[Symbol]],Morningstar,MATCH("% Dividend Yield TTM",Morningstar_Cols,EXACT_MATCH),EXACT_MATCH)/100</f>
        <v>4.5599999999999995E-2</v>
      </c>
      <c r="K48" s="119" t="str">
        <f>IFERROR(LOOKUP(2,1/(GrowthCurves[Ticker]=Companies[[#This Row],[Symbol]]),GrowthCurves[Metric]),"")</f>
        <v>1</v>
      </c>
      <c r="L48" s="94">
        <f>RatingDefault+SUM(Companies[[#This Row],[CurvePoints]:[PFVPoints]])</f>
        <v>3</v>
      </c>
      <c r="M48" s="94"/>
      <c r="N48" s="103">
        <f>IF(Companies[[#This Row],[Growth Curve]]&lt;&gt;"",Companies[[#This Row],[Growth Curve]]-3,0)</f>
        <v>-2</v>
      </c>
      <c r="O48" s="53">
        <f>IF(Companies[[#This Row],[PSR]]&gt;2,-1,IF(Companies[[#This Row],[PSR]]&lt;1,1,0))</f>
        <v>0</v>
      </c>
      <c r="P48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48" s="53">
        <f>IF(Companies[[#This Row],[PFV]]&lt;0.75,2,IF(Companies[[#This Row],[PFV]]&lt;0.95,1,IF(Companies[[#This Row],[PFV]]&gt;1.25,-2,IF(Companies[[#This Row],[PFV]]&gt;1.15,-1,0))))</f>
        <v>2</v>
      </c>
    </row>
    <row r="49" spans="2:17" s="53" customFormat="1" ht="25.15" customHeight="1" x14ac:dyDescent="0.25">
      <c r="B49" s="52" t="s">
        <v>595</v>
      </c>
      <c r="C49" s="11" t="str">
        <f>VLOOKUP(Companies[[#This Row],[Symbol]],Morningstar,MATCH("Name",Morningstar_Cols,EXACT_MATCH),EXACT_MATCH)</f>
        <v>Boston Properties Inc</v>
      </c>
      <c r="D49" s="114">
        <f>VLOOKUP(Companies[[#This Row],[Symbol]],Morningstar,MATCH("mil$ Market Cap",Morningstar_Cols,0),0)</f>
        <v>17938.259999999998</v>
      </c>
      <c r="E49" s="115">
        <f>VLOOKUP(Companies[[#This Row],[Symbol]],Morningstar,MATCH("% Total Return 3 Month",Morningstar_Cols,EXACT_MATCH),EXACT_MATCH)/100</f>
        <v>-0.16469999999999999</v>
      </c>
      <c r="F49" s="115">
        <f>VLOOKUP(Companies[[#This Row],[Symbol]],Morningstar,MATCH("% Total Return 12 Month",Morningstar_Cols,EXACT_MATCH),EXACT_MATCH)/100</f>
        <v>-0.14279999999999998</v>
      </c>
      <c r="G49" s="116">
        <f>VLOOKUP(Companies[[#This Row],[Symbol]],Morningstar,MATCH("Price/Sales",Morningstar_Cols,EXACT_MATCH),EXACT_MATCH)</f>
        <v>6.05</v>
      </c>
      <c r="H49" s="117">
        <f>VLOOKUP(Companies[[#This Row],[Symbol]],Morningstar,MATCH("Price/Fair Value",Morningstar_Cols,EXACT_MATCH),EXACT_MATCH)</f>
        <v>0.85</v>
      </c>
      <c r="I4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49" s="107">
        <f>VLOOKUP(Companies[[#This Row],[Symbol]],Morningstar,MATCH("% Dividend Yield TTM",Morningstar_Cols,EXACT_MATCH),EXACT_MATCH)/100</f>
        <v>3.4200000000000001E-2</v>
      </c>
      <c r="K49" s="119" t="str">
        <f>IFERROR(LOOKUP(2,1/(GrowthCurves[Ticker]=Companies[[#This Row],[Symbol]]),GrowthCurves[Metric]),"")</f>
        <v>4</v>
      </c>
      <c r="L49" s="94">
        <f>RatingDefault+SUM(Companies[[#This Row],[CurvePoints]:[PFVPoints]])</f>
        <v>5</v>
      </c>
      <c r="M49" s="94"/>
      <c r="N49" s="102">
        <f>IF(Companies[[#This Row],[Growth Curve]]&lt;&gt;"",Companies[[#This Row],[Growth Curve]]-3,0)</f>
        <v>1</v>
      </c>
      <c r="O49" s="52">
        <f>IF(Companies[[#This Row],[PSR]]&gt;2,-1,IF(Companies[[#This Row],[PSR]]&lt;1,1,0))</f>
        <v>-1</v>
      </c>
      <c r="P49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49" s="53">
        <f>IF(Companies[[#This Row],[PFV]]&lt;0.75,2,IF(Companies[[#This Row],[PFV]]&lt;0.95,1,IF(Companies[[#This Row],[PFV]]&gt;1.25,-2,IF(Companies[[#This Row],[PFV]]&gt;1.15,-1,0))))</f>
        <v>1</v>
      </c>
    </row>
    <row r="50" spans="2:17" s="53" customFormat="1" ht="25.15" customHeight="1" x14ac:dyDescent="0.25">
      <c r="B50" s="11" t="s">
        <v>33</v>
      </c>
      <c r="C50" s="11" t="str">
        <f>VLOOKUP(Companies[[#This Row],[Symbol]],Morningstar,MATCH("Name",Morningstar_Cols,EXACT_MATCH),EXACT_MATCH)</f>
        <v>Beazer Homes USA Inc</v>
      </c>
      <c r="D50" s="114">
        <f>VLOOKUP(Companies[[#This Row],[Symbol]],Morningstar,MATCH("mil$ Market Cap",Morningstar_Cols,0),0)</f>
        <v>250.76</v>
      </c>
      <c r="E50" s="115">
        <f>VLOOKUP(Companies[[#This Row],[Symbol]],Morningstar,MATCH("% Total Return 3 Month",Morningstar_Cols,EXACT_MATCH),EXACT_MATCH)/100</f>
        <v>-0.50060000000000004</v>
      </c>
      <c r="F50" s="115">
        <f>VLOOKUP(Companies[[#This Row],[Symbol]],Morningstar,MATCH("% Total Return 12 Month",Morningstar_Cols,EXACT_MATCH),EXACT_MATCH)/100</f>
        <v>-0.35340000000000005</v>
      </c>
      <c r="G50" s="116">
        <f>VLOOKUP(Companies[[#This Row],[Symbol]],Morningstar,MATCH("Price/Sales",Morningstar_Cols,EXACT_MATCH),EXACT_MATCH)</f>
        <v>0.11</v>
      </c>
      <c r="H50" s="117">
        <f>VLOOKUP(Companies[[#This Row],[Symbol]],Morningstar,MATCH("Price/Fair Value",Morningstar_Cols,EXACT_MATCH),EXACT_MATCH)</f>
        <v>0.44</v>
      </c>
      <c r="I5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50" s="107">
        <f>VLOOKUP(Companies[[#This Row],[Symbol]],Morningstar,MATCH("% Dividend Yield TTM",Morningstar_Cols,EXACT_MATCH),EXACT_MATCH)/100</f>
        <v>0</v>
      </c>
      <c r="K50" s="119" t="str">
        <f>IFERROR(LOOKUP(2,1/(GrowthCurves[Ticker]=Companies[[#This Row],[Symbol]]),GrowthCurves[Metric]),"")</f>
        <v>3</v>
      </c>
      <c r="L50" s="94">
        <f>RatingDefault+SUM(Companies[[#This Row],[CurvePoints]:[PFVPoints]])</f>
        <v>5</v>
      </c>
      <c r="M50" s="94"/>
      <c r="N50" s="103">
        <f>IF(Companies[[#This Row],[Growth Curve]]&lt;&gt;"",Companies[[#This Row],[Growth Curve]]-3,0)</f>
        <v>0</v>
      </c>
      <c r="O50" s="53">
        <f>IF(Companies[[#This Row],[PSR]]&gt;2,-1,IF(Companies[[#This Row],[PSR]]&lt;1,1,0))</f>
        <v>1</v>
      </c>
      <c r="P50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50" s="53">
        <f>IF(Companies[[#This Row],[PFV]]&lt;0.75,2,IF(Companies[[#This Row],[PFV]]&lt;0.95,1,IF(Companies[[#This Row],[PFV]]&gt;1.25,-2,IF(Companies[[#This Row],[PFV]]&gt;1.15,-1,0))))</f>
        <v>2</v>
      </c>
    </row>
    <row r="51" spans="2:17" s="53" customFormat="1" ht="25.15" customHeight="1" x14ac:dyDescent="0.25">
      <c r="B51" s="11" t="s">
        <v>654</v>
      </c>
      <c r="C51" s="11" t="str">
        <f>VLOOKUP(Companies[[#This Row],[Symbol]],Morningstar,MATCH("Name",Morningstar_Cols,EXACT_MATCH),EXACT_MATCH)</f>
        <v>Cardinal Health Inc</v>
      </c>
      <c r="D51" s="114">
        <f>VLOOKUP(Companies[[#This Row],[Symbol]],Morningstar,MATCH("mil$ Market Cap",Morningstar_Cols,0),0)</f>
        <v>13298.15</v>
      </c>
      <c r="E51" s="115">
        <f>VLOOKUP(Companies[[#This Row],[Symbol]],Morningstar,MATCH("% Total Return 3 Month",Morningstar_Cols,EXACT_MATCH),EXACT_MATCH)/100</f>
        <v>-0.2157</v>
      </c>
      <c r="F51" s="115">
        <f>VLOOKUP(Companies[[#This Row],[Symbol]],Morningstar,MATCH("% Total Return 12 Month",Morningstar_Cols,EXACT_MATCH),EXACT_MATCH)/100</f>
        <v>-0.1018</v>
      </c>
      <c r="G51" s="116">
        <f>VLOOKUP(Companies[[#This Row],[Symbol]],Morningstar,MATCH("Price/Sales",Morningstar_Cols,EXACT_MATCH),EXACT_MATCH)</f>
        <v>0.09</v>
      </c>
      <c r="H51" s="117">
        <f>VLOOKUP(Companies[[#This Row],[Symbol]],Morningstar,MATCH("Price/Fair Value",Morningstar_Cols,EXACT_MATCH),EXACT_MATCH)</f>
        <v>0.76</v>
      </c>
      <c r="I5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51" s="107">
        <f>VLOOKUP(Companies[[#This Row],[Symbol]],Morningstar,MATCH("% Dividend Yield TTM",Morningstar_Cols,EXACT_MATCH),EXACT_MATCH)/100</f>
        <v>4.53E-2</v>
      </c>
      <c r="K51" s="119" t="str">
        <f>IFERROR(LOOKUP(2,1/(GrowthCurves[Ticker]=Companies[[#This Row],[Symbol]]),GrowthCurves[Metric]),"")</f>
        <v>4</v>
      </c>
      <c r="L51" s="94">
        <f>RatingDefault+SUM(Companies[[#This Row],[CurvePoints]:[PFVPoints]])</f>
        <v>6</v>
      </c>
      <c r="M51" s="94"/>
      <c r="N51" s="103">
        <f>IF(Companies[[#This Row],[Growth Curve]]&lt;&gt;"",Companies[[#This Row],[Growth Curve]]-3,0)</f>
        <v>1</v>
      </c>
      <c r="O51" s="53">
        <f>IF(Companies[[#This Row],[PSR]]&gt;2,-1,IF(Companies[[#This Row],[PSR]]&lt;1,1,0))</f>
        <v>1</v>
      </c>
      <c r="P51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51" s="53">
        <f>IF(Companies[[#This Row],[PFV]]&lt;0.75,2,IF(Companies[[#This Row],[PFV]]&lt;0.95,1,IF(Companies[[#This Row],[PFV]]&gt;1.25,-2,IF(Companies[[#This Row],[PFV]]&gt;1.15,-1,0))))</f>
        <v>1</v>
      </c>
    </row>
    <row r="52" spans="2:17" s="53" customFormat="1" ht="25.15" customHeight="1" x14ac:dyDescent="0.25">
      <c r="B52" s="52" t="s">
        <v>713</v>
      </c>
      <c r="C52" s="11" t="str">
        <f>VLOOKUP(Companies[[#This Row],[Symbol]],Morningstar,MATCH("Name",Morningstar_Cols,EXACT_MATCH),EXACT_MATCH)</f>
        <v>CrossAmerica Partners LP</v>
      </c>
      <c r="D52" s="114">
        <f>VLOOKUP(Companies[[#This Row],[Symbol]],Morningstar,MATCH("mil$ Market Cap",Morningstar_Cols,0),0)</f>
        <v>465.38</v>
      </c>
      <c r="E52" s="115">
        <f>VLOOKUP(Companies[[#This Row],[Symbol]],Morningstar,MATCH("% Total Return 3 Month",Morningstar_Cols,EXACT_MATCH),EXACT_MATCH)/100</f>
        <v>-0.23670000000000002</v>
      </c>
      <c r="F52" s="115">
        <f>VLOOKUP(Companies[[#This Row],[Symbol]],Morningstar,MATCH("% Total Return 12 Month",Morningstar_Cols,EXACT_MATCH),EXACT_MATCH)/100</f>
        <v>-0.1585</v>
      </c>
      <c r="G52" s="116">
        <f>VLOOKUP(Companies[[#This Row],[Symbol]],Morningstar,MATCH("Price/Sales",Morningstar_Cols,EXACT_MATCH),EXACT_MATCH)</f>
        <v>0.2</v>
      </c>
      <c r="H52" s="117">
        <f>VLOOKUP(Companies[[#This Row],[Symbol]],Morningstar,MATCH("Price/Fair Value",Morningstar_Cols,EXACT_MATCH),EXACT_MATCH)</f>
        <v>0.68</v>
      </c>
      <c r="I5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52" s="107">
        <f>VLOOKUP(Companies[[#This Row],[Symbol]],Morningstar,MATCH("% Dividend Yield TTM",Morningstar_Cols,EXACT_MATCH),EXACT_MATCH)/100</f>
        <v>0.1673</v>
      </c>
      <c r="K52" s="119" t="str">
        <f>IFERROR(LOOKUP(2,1/(GrowthCurves[Ticker]=Companies[[#This Row],[Symbol]]),GrowthCurves[Metric]),"")</f>
        <v>1</v>
      </c>
      <c r="L52" s="94">
        <f>RatingDefault+SUM(Companies[[#This Row],[CurvePoints]:[PFVPoints]])</f>
        <v>4</v>
      </c>
      <c r="M52" s="94"/>
      <c r="N52" s="102">
        <f>IF(Companies[[#This Row],[Growth Curve]]&lt;&gt;"",Companies[[#This Row],[Growth Curve]]-3,0)</f>
        <v>-2</v>
      </c>
      <c r="O52" s="52">
        <f>IF(Companies[[#This Row],[PSR]]&gt;2,-1,IF(Companies[[#This Row],[PSR]]&lt;1,1,0))</f>
        <v>1</v>
      </c>
      <c r="P52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52" s="53">
        <f>IF(Companies[[#This Row],[PFV]]&lt;0.75,2,IF(Companies[[#This Row],[PFV]]&lt;0.95,1,IF(Companies[[#This Row],[PFV]]&gt;1.25,-2,IF(Companies[[#This Row],[PFV]]&gt;1.15,-1,0))))</f>
        <v>2</v>
      </c>
    </row>
    <row r="53" spans="2:17" s="53" customFormat="1" ht="25.15" customHeight="1" x14ac:dyDescent="0.25">
      <c r="B53" s="11" t="s">
        <v>441</v>
      </c>
      <c r="C53" s="11" t="str">
        <f>VLOOKUP(Companies[[#This Row],[Symbol]],Morningstar,MATCH("Name",Morningstar_Cols,EXACT_MATCH),EXACT_MATCH)</f>
        <v>Cameco Corp</v>
      </c>
      <c r="D53" s="114">
        <f>VLOOKUP(Companies[[#This Row],[Symbol]],Morningstar,MATCH("mil$ Market Cap",Morningstar_Cols,0),0)</f>
        <v>2654.35</v>
      </c>
      <c r="E53" s="115">
        <f>VLOOKUP(Companies[[#This Row],[Symbol]],Morningstar,MATCH("% Total Return 3 Month",Morningstar_Cols,EXACT_MATCH),EXACT_MATCH)/100</f>
        <v>-0.30530000000000002</v>
      </c>
      <c r="F53" s="115">
        <f>VLOOKUP(Companies[[#This Row],[Symbol]],Morningstar,MATCH("% Total Return 12 Month",Morningstar_Cols,EXACT_MATCH),EXACT_MATCH)/100</f>
        <v>-0.45380000000000004</v>
      </c>
      <c r="G53" s="116">
        <f>VLOOKUP(Companies[[#This Row],[Symbol]],Morningstar,MATCH("Price/Sales",Morningstar_Cols,EXACT_MATCH),EXACT_MATCH)</f>
        <v>1.94</v>
      </c>
      <c r="H53" s="117">
        <f>VLOOKUP(Companies[[#This Row],[Symbol]],Morningstar,MATCH("Price/Fair Value",Morningstar_Cols,EXACT_MATCH),EXACT_MATCH)</f>
        <v>0.43</v>
      </c>
      <c r="I5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53" s="107">
        <f>VLOOKUP(Companies[[#This Row],[Symbol]],Morningstar,MATCH("% Dividend Yield TTM",Morningstar_Cols,EXACT_MATCH),EXACT_MATCH)/100</f>
        <v>9.3999999999999986E-3</v>
      </c>
      <c r="K53" s="119" t="str">
        <f>IFERROR(LOOKUP(2,1/(GrowthCurves[Ticker]=Companies[[#This Row],[Symbol]]),GrowthCurves[Metric]),"")</f>
        <v>4</v>
      </c>
      <c r="L53" s="94">
        <f>RatingDefault+SUM(Companies[[#This Row],[CurvePoints]:[PFVPoints]])</f>
        <v>5</v>
      </c>
      <c r="M53" s="94"/>
      <c r="N53" s="103">
        <f>IF(Companies[[#This Row],[Growth Curve]]&lt;&gt;"",Companies[[#This Row],[Growth Curve]]-3,0)</f>
        <v>1</v>
      </c>
      <c r="O53" s="53">
        <f>IF(Companies[[#This Row],[PSR]]&gt;2,-1,IF(Companies[[#This Row],[PSR]]&lt;1,1,0))</f>
        <v>0</v>
      </c>
      <c r="P53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53" s="53">
        <f>IF(Companies[[#This Row],[PFV]]&lt;0.75,2,IF(Companies[[#This Row],[PFV]]&lt;0.95,1,IF(Companies[[#This Row],[PFV]]&gt;1.25,-2,IF(Companies[[#This Row],[PFV]]&gt;1.15,-1,0))))</f>
        <v>2</v>
      </c>
    </row>
    <row r="54" spans="2:17" s="53" customFormat="1" ht="25.15" customHeight="1" x14ac:dyDescent="0.25">
      <c r="B54" s="52" t="s">
        <v>727</v>
      </c>
      <c r="C54" s="11" t="str">
        <f>VLOOKUP(Companies[[#This Row],[Symbol]],Morningstar,MATCH("Name",Morningstar_Cols,EXACT_MATCH),EXACT_MATCH)</f>
        <v>Crown Holdings Inc</v>
      </c>
      <c r="D54" s="114">
        <f>VLOOKUP(Companies[[#This Row],[Symbol]],Morningstar,MATCH("mil$ Market Cap",Morningstar_Cols,0),0)</f>
        <v>7884.56</v>
      </c>
      <c r="E54" s="115">
        <f>VLOOKUP(Companies[[#This Row],[Symbol]],Morningstar,MATCH("% Total Return 3 Month",Morningstar_Cols,EXACT_MATCH),EXACT_MATCH)/100</f>
        <v>-0.2397</v>
      </c>
      <c r="F54" s="115">
        <f>VLOOKUP(Companies[[#This Row],[Symbol]],Morningstar,MATCH("% Total Return 12 Month",Morningstar_Cols,EXACT_MATCH),EXACT_MATCH)/100</f>
        <v>-3.8E-3</v>
      </c>
      <c r="G54" s="116">
        <f>VLOOKUP(Companies[[#This Row],[Symbol]],Morningstar,MATCH("Price/Sales",Morningstar_Cols,EXACT_MATCH),EXACT_MATCH)</f>
        <v>0.67</v>
      </c>
      <c r="H54" s="117">
        <f>VLOOKUP(Companies[[#This Row],[Symbol]],Morningstar,MATCH("Price/Fair Value",Morningstar_Cols,EXACT_MATCH),EXACT_MATCH)</f>
        <v>0.95</v>
      </c>
      <c r="I5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54" s="107">
        <f>VLOOKUP(Companies[[#This Row],[Symbol]],Morningstar,MATCH("% Dividend Yield TTM",Morningstar_Cols,EXACT_MATCH),EXACT_MATCH)/100</f>
        <v>0</v>
      </c>
      <c r="K54" s="119" t="str">
        <f>IFERROR(LOOKUP(2,1/(GrowthCurves[Ticker]=Companies[[#This Row],[Symbol]]),GrowthCurves[Metric]),"")</f>
        <v>5</v>
      </c>
      <c r="L54" s="94">
        <f>RatingDefault+SUM(Companies[[#This Row],[CurvePoints]:[PFVPoints]])</f>
        <v>6</v>
      </c>
      <c r="M54" s="94"/>
      <c r="N54" s="102">
        <f>IF(Companies[[#This Row],[Growth Curve]]&lt;&gt;"",Companies[[#This Row],[Growth Curve]]-3,0)</f>
        <v>2</v>
      </c>
      <c r="O54" s="52">
        <f>IF(Companies[[#This Row],[PSR]]&gt;2,-1,IF(Companies[[#This Row],[PSR]]&lt;1,1,0))</f>
        <v>1</v>
      </c>
      <c r="P54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54" s="53">
        <f>IF(Companies[[#This Row],[PFV]]&lt;0.75,2,IF(Companies[[#This Row],[PFV]]&lt;0.95,1,IF(Companies[[#This Row],[PFV]]&gt;1.25,-2,IF(Companies[[#This Row],[PFV]]&gt;1.15,-1,0))))</f>
        <v>0</v>
      </c>
    </row>
    <row r="55" spans="2:17" s="53" customFormat="1" ht="25.15" customHeight="1" x14ac:dyDescent="0.25">
      <c r="B55" s="52" t="s">
        <v>866</v>
      </c>
      <c r="C55" s="11" t="str">
        <f>VLOOKUP(Companies[[#This Row],[Symbol]],Morningstar,MATCH("Name",Morningstar_Cols,EXACT_MATCH),EXACT_MATCH)</f>
        <v>Celgene Corp</v>
      </c>
      <c r="D55" s="114">
        <f>VLOOKUP(Companies[[#This Row],[Symbol]],Morningstar,MATCH("mil$ Market Cap",Morningstar_Cols,0),0)</f>
        <v>0</v>
      </c>
      <c r="E55" s="115">
        <f>VLOOKUP(Companies[[#This Row],[Symbol]],Morningstar,MATCH("% Total Return 3 Month",Morningstar_Cols,EXACT_MATCH),EXACT_MATCH)/100</f>
        <v>0</v>
      </c>
      <c r="F55" s="115">
        <f>VLOOKUP(Companies[[#This Row],[Symbol]],Morningstar,MATCH("% Total Return 12 Month",Morningstar_Cols,EXACT_MATCH),EXACT_MATCH)/100</f>
        <v>0</v>
      </c>
      <c r="G55" s="116">
        <f>VLOOKUP(Companies[[#This Row],[Symbol]],Morningstar,MATCH("Price/Sales",Morningstar_Cols,EXACT_MATCH),EXACT_MATCH)</f>
        <v>0</v>
      </c>
      <c r="H55" s="117">
        <f>VLOOKUP(Companies[[#This Row],[Symbol]],Morningstar,MATCH("Price/Fair Value",Morningstar_Cols,EXACT_MATCH),EXACT_MATCH)</f>
        <v>0</v>
      </c>
      <c r="I5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55" s="107">
        <f>VLOOKUP(Companies[[#This Row],[Symbol]],Morningstar,MATCH("% Dividend Yield TTM",Morningstar_Cols,EXACT_MATCH),EXACT_MATCH)/100</f>
        <v>0</v>
      </c>
      <c r="K55" s="119" t="str">
        <f>IFERROR(LOOKUP(2,1/(GrowthCurves[Ticker]=Companies[[#This Row],[Symbol]]),GrowthCurves[Metric]),"")</f>
        <v>1</v>
      </c>
      <c r="L55" s="94">
        <f>RatingDefault+SUM(Companies[[#This Row],[CurvePoints]:[PFVPoints]])</f>
        <v>3</v>
      </c>
      <c r="M55" s="94"/>
      <c r="N55" s="102">
        <f>IF(Companies[[#This Row],[Growth Curve]]&lt;&gt;"",Companies[[#This Row],[Growth Curve]]-3,0)</f>
        <v>-2</v>
      </c>
      <c r="O55" s="52">
        <f>IF(Companies[[#This Row],[PSR]]&gt;2,-1,IF(Companies[[#This Row],[PSR]]&lt;1,1,0))</f>
        <v>1</v>
      </c>
      <c r="P55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55" s="53">
        <f>IF(Companies[[#This Row],[PFV]]&lt;0.75,2,IF(Companies[[#This Row],[PFV]]&lt;0.95,1,IF(Companies[[#This Row],[PFV]]&gt;1.25,-2,IF(Companies[[#This Row],[PFV]]&gt;1.15,-1,0))))</f>
        <v>2</v>
      </c>
    </row>
    <row r="56" spans="2:17" s="53" customFormat="1" ht="25.15" customHeight="1" x14ac:dyDescent="0.25">
      <c r="B56" s="11" t="s">
        <v>15</v>
      </c>
      <c r="C56" s="11" t="str">
        <f>VLOOKUP(Companies[[#This Row],[Symbol]],Morningstar,MATCH("Name",Morningstar_Cols,EXACT_MATCH),EXACT_MATCH)</f>
        <v>Century Aluminum Co</v>
      </c>
      <c r="D56" s="114">
        <f>VLOOKUP(Companies[[#This Row],[Symbol]],Morningstar,MATCH("mil$ Market Cap",Morningstar_Cols,0),0)</f>
        <v>441.92</v>
      </c>
      <c r="E56" s="115">
        <f>VLOOKUP(Companies[[#This Row],[Symbol]],Morningstar,MATCH("% Total Return 3 Month",Morningstar_Cols,EXACT_MATCH),EXACT_MATCH)/100</f>
        <v>-0.35460000000000003</v>
      </c>
      <c r="F56" s="115">
        <f>VLOOKUP(Companies[[#This Row],[Symbol]],Morningstar,MATCH("% Total Return 12 Month",Morningstar_Cols,EXACT_MATCH),EXACT_MATCH)/100</f>
        <v>-0.38140000000000002</v>
      </c>
      <c r="G56" s="116">
        <f>VLOOKUP(Companies[[#This Row],[Symbol]],Morningstar,MATCH("Price/Sales",Morningstar_Cols,EXACT_MATCH),EXACT_MATCH)</f>
        <v>0.24</v>
      </c>
      <c r="H56" s="117">
        <f>VLOOKUP(Companies[[#This Row],[Symbol]],Morningstar,MATCH("Price/Fair Value",Morningstar_Cols,EXACT_MATCH),EXACT_MATCH)</f>
        <v>0.44</v>
      </c>
      <c r="I5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56" s="107">
        <f>VLOOKUP(Companies[[#This Row],[Symbol]],Morningstar,MATCH("% Dividend Yield TTM",Morningstar_Cols,EXACT_MATCH),EXACT_MATCH)/100</f>
        <v>0</v>
      </c>
      <c r="K56" s="119" t="str">
        <f>IFERROR(LOOKUP(2,1/(GrowthCurves[Ticker]=Companies[[#This Row],[Symbol]]),GrowthCurves[Metric]),"")</f>
        <v>1</v>
      </c>
      <c r="L56" s="94">
        <f>RatingDefault+SUM(Companies[[#This Row],[CurvePoints]:[PFVPoints]])</f>
        <v>4</v>
      </c>
      <c r="M56" s="94"/>
      <c r="N56" s="103">
        <f>IF(Companies[[#This Row],[Growth Curve]]&lt;&gt;"",Companies[[#This Row],[Growth Curve]]-3,0)</f>
        <v>-2</v>
      </c>
      <c r="O56" s="53">
        <f>IF(Companies[[#This Row],[PSR]]&gt;2,-1,IF(Companies[[#This Row],[PSR]]&lt;1,1,0))</f>
        <v>1</v>
      </c>
      <c r="P56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56" s="53">
        <f>IF(Companies[[#This Row],[PFV]]&lt;0.75,2,IF(Companies[[#This Row],[PFV]]&lt;0.95,1,IF(Companies[[#This Row],[PFV]]&gt;1.25,-2,IF(Companies[[#This Row],[PFV]]&gt;1.15,-1,0))))</f>
        <v>2</v>
      </c>
    </row>
    <row r="57" spans="2:17" s="53" customFormat="1" ht="25.15" customHeight="1" x14ac:dyDescent="0.25">
      <c r="B57" s="11" t="s">
        <v>204</v>
      </c>
      <c r="C57" s="11" t="str">
        <f>VLOOKUP(Companies[[#This Row],[Symbol]],Morningstar,MATCH("Name",Morningstar_Cols,EXACT_MATCH),EXACT_MATCH)</f>
        <v>The Carlyle Group Inc</v>
      </c>
      <c r="D57" s="114">
        <f>VLOOKUP(Companies[[#This Row],[Symbol]],Morningstar,MATCH("mil$ Market Cap",Morningstar_Cols,0),0)</f>
        <v>12769.78</v>
      </c>
      <c r="E57" s="115">
        <f>VLOOKUP(Companies[[#This Row],[Symbol]],Morningstar,MATCH("% Total Return 3 Month",Morningstar_Cols,EXACT_MATCH),EXACT_MATCH)/100</f>
        <v>-0.29570000000000002</v>
      </c>
      <c r="F57" s="115">
        <f>VLOOKUP(Companies[[#This Row],[Symbol]],Morningstar,MATCH("% Total Return 12 Month",Morningstar_Cols,EXACT_MATCH),EXACT_MATCH)/100</f>
        <v>0.22020000000000001</v>
      </c>
      <c r="G57" s="116">
        <f>VLOOKUP(Companies[[#This Row],[Symbol]],Morningstar,MATCH("Price/Sales",Morningstar_Cols,EXACT_MATCH),EXACT_MATCH)</f>
        <v>1</v>
      </c>
      <c r="H57" s="117">
        <f>VLOOKUP(Companies[[#This Row],[Symbol]],Morningstar,MATCH("Price/Fair Value",Morningstar_Cols,EXACT_MATCH),EXACT_MATCH)</f>
        <v>0.73</v>
      </c>
      <c r="I5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57" s="107">
        <f>VLOOKUP(Companies[[#This Row],[Symbol]],Morningstar,MATCH("% Dividend Yield TTM",Morningstar_Cols,EXACT_MATCH),EXACT_MATCH)/100</f>
        <v>5.6799999999999996E-2</v>
      </c>
      <c r="K57" s="119" t="str">
        <f>IFERROR(LOOKUP(2,1/(GrowthCurves[Ticker]=Companies[[#This Row],[Symbol]]),GrowthCurves[Metric]),"")</f>
        <v/>
      </c>
      <c r="L57" s="94">
        <f>RatingDefault+SUM(Companies[[#This Row],[CurvePoints]:[PFVPoints]])</f>
        <v>5</v>
      </c>
      <c r="M57" s="94"/>
      <c r="N57" s="103">
        <f>IF(Companies[[#This Row],[Growth Curve]]&lt;&gt;"",Companies[[#This Row],[Growth Curve]]-3,0)</f>
        <v>0</v>
      </c>
      <c r="O57" s="53">
        <f>IF(Companies[[#This Row],[PSR]]&gt;2,-1,IF(Companies[[#This Row],[PSR]]&lt;1,1,0))</f>
        <v>0</v>
      </c>
      <c r="P57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57" s="53">
        <f>IF(Companies[[#This Row],[PFV]]&lt;0.75,2,IF(Companies[[#This Row],[PFV]]&lt;0.95,1,IF(Companies[[#This Row],[PFV]]&gt;1.25,-2,IF(Companies[[#This Row],[PFV]]&gt;1.15,-1,0))))</f>
        <v>2</v>
      </c>
    </row>
    <row r="58" spans="2:17" s="53" customFormat="1" ht="25.15" customHeight="1" x14ac:dyDescent="0.25">
      <c r="B58" s="11" t="s">
        <v>281</v>
      </c>
      <c r="C58" s="11" t="str">
        <f>VLOOKUP(Companies[[#This Row],[Symbol]],Morningstar,MATCH("Name",Morningstar_Cols,EXACT_MATCH),EXACT_MATCH)</f>
        <v>The Chefs' Warehouse Inc</v>
      </c>
      <c r="D58" s="114">
        <f>VLOOKUP(Companies[[#This Row],[Symbol]],Morningstar,MATCH("mil$ Market Cap",Morningstar_Cols,0),0)</f>
        <v>538.55999999999995</v>
      </c>
      <c r="E58" s="115">
        <f>VLOOKUP(Companies[[#This Row],[Symbol]],Morningstar,MATCH("% Total Return 3 Month",Morningstar_Cols,EXACT_MATCH),EXACT_MATCH)/100</f>
        <v>-0.53380000000000005</v>
      </c>
      <c r="F58" s="115">
        <f>VLOOKUP(Companies[[#This Row],[Symbol]],Morningstar,MATCH("% Total Return 12 Month",Morningstar_Cols,EXACT_MATCH),EXACT_MATCH)/100</f>
        <v>-0.46429999999999999</v>
      </c>
      <c r="G58" s="116">
        <f>VLOOKUP(Companies[[#This Row],[Symbol]],Morningstar,MATCH("Price/Sales",Morningstar_Cols,EXACT_MATCH),EXACT_MATCH)</f>
        <v>0.34</v>
      </c>
      <c r="H58" s="117">
        <f>VLOOKUP(Companies[[#This Row],[Symbol]],Morningstar,MATCH("Price/Fair Value",Morningstar_Cols,EXACT_MATCH),EXACT_MATCH)</f>
        <v>0.53</v>
      </c>
      <c r="I5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58" s="107">
        <f>VLOOKUP(Companies[[#This Row],[Symbol]],Morningstar,MATCH("% Dividend Yield TTM",Morningstar_Cols,EXACT_MATCH),EXACT_MATCH)/100</f>
        <v>0</v>
      </c>
      <c r="K58" s="119" t="str">
        <f>IFERROR(LOOKUP(2,1/(GrowthCurves[Ticker]=Companies[[#This Row],[Symbol]]),GrowthCurves[Metric]),"")</f>
        <v/>
      </c>
      <c r="L58" s="94">
        <f>RatingDefault+SUM(Companies[[#This Row],[CurvePoints]:[PFVPoints]])</f>
        <v>6</v>
      </c>
      <c r="M58" s="94"/>
      <c r="N58" s="103">
        <f>IF(Companies[[#This Row],[Growth Curve]]&lt;&gt;"",Companies[[#This Row],[Growth Curve]]-3,0)</f>
        <v>0</v>
      </c>
      <c r="O58" s="53">
        <f>IF(Companies[[#This Row],[PSR]]&gt;2,-1,IF(Companies[[#This Row],[PSR]]&lt;1,1,0))</f>
        <v>1</v>
      </c>
      <c r="P58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58" s="53">
        <f>IF(Companies[[#This Row],[PFV]]&lt;0.75,2,IF(Companies[[#This Row],[PFV]]&lt;0.95,1,IF(Companies[[#This Row],[PFV]]&gt;1.25,-2,IF(Companies[[#This Row],[PFV]]&gt;1.15,-1,0))))</f>
        <v>2</v>
      </c>
    </row>
    <row r="59" spans="2:17" s="53" customFormat="1" ht="25.15" customHeight="1" x14ac:dyDescent="0.25">
      <c r="B59" s="11" t="s">
        <v>729</v>
      </c>
      <c r="C59" s="11" t="str">
        <f>VLOOKUP(Companies[[#This Row],[Symbol]],Morningstar,MATCH("Name",Morningstar_Cols,EXACT_MATCH),EXACT_MATCH)</f>
        <v>Civitas Solutions Inc</v>
      </c>
      <c r="D59" s="114">
        <f>VLOOKUP(Companies[[#This Row],[Symbol]],Morningstar,MATCH("mil$ Market Cap",Morningstar_Cols,0),0)</f>
        <v>0</v>
      </c>
      <c r="E59" s="115">
        <f>VLOOKUP(Companies[[#This Row],[Symbol]],Morningstar,MATCH("% Total Return 3 Month",Morningstar_Cols,EXACT_MATCH),EXACT_MATCH)/100</f>
        <v>0</v>
      </c>
      <c r="F59" s="115">
        <f>VLOOKUP(Companies[[#This Row],[Symbol]],Morningstar,MATCH("% Total Return 12 Month",Morningstar_Cols,EXACT_MATCH),EXACT_MATCH)/100</f>
        <v>0</v>
      </c>
      <c r="G59" s="116">
        <f>VLOOKUP(Companies[[#This Row],[Symbol]],Morningstar,MATCH("Price/Sales",Morningstar_Cols,EXACT_MATCH),EXACT_MATCH)</f>
        <v>0</v>
      </c>
      <c r="H59" s="117">
        <f>VLOOKUP(Companies[[#This Row],[Symbol]],Morningstar,MATCH("Price/Fair Value",Morningstar_Cols,EXACT_MATCH),EXACT_MATCH)</f>
        <v>0</v>
      </c>
      <c r="I5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59" s="107">
        <f>VLOOKUP(Companies[[#This Row],[Symbol]],Morningstar,MATCH("% Dividend Yield TTM",Morningstar_Cols,EXACT_MATCH),EXACT_MATCH)/100</f>
        <v>0</v>
      </c>
      <c r="K59" s="119" t="str">
        <f>IFERROR(LOOKUP(2,1/(GrowthCurves[Ticker]=Companies[[#This Row],[Symbol]]),GrowthCurves[Metric]),"")</f>
        <v>2</v>
      </c>
      <c r="L59" s="94">
        <f>RatingDefault+SUM(Companies[[#This Row],[CurvePoints]:[PFVPoints]])</f>
        <v>4</v>
      </c>
      <c r="M59" s="94"/>
      <c r="N59" s="103">
        <f>IF(Companies[[#This Row],[Growth Curve]]&lt;&gt;"",Companies[[#This Row],[Growth Curve]]-3,0)</f>
        <v>-1</v>
      </c>
      <c r="O59" s="53">
        <f>IF(Companies[[#This Row],[PSR]]&gt;2,-1,IF(Companies[[#This Row],[PSR]]&lt;1,1,0))</f>
        <v>1</v>
      </c>
      <c r="P59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59" s="53">
        <f>IF(Companies[[#This Row],[PFV]]&lt;0.75,2,IF(Companies[[#This Row],[PFV]]&lt;0.95,1,IF(Companies[[#This Row],[PFV]]&gt;1.25,-2,IF(Companies[[#This Row],[PFV]]&gt;1.15,-1,0))))</f>
        <v>2</v>
      </c>
    </row>
    <row r="60" spans="2:17" s="53" customFormat="1" ht="25.15" customHeight="1" x14ac:dyDescent="0.25">
      <c r="B60" s="11" t="s">
        <v>597</v>
      </c>
      <c r="C60" s="11" t="str">
        <f>VLOOKUP(Companies[[#This Row],[Symbol]],Morningstar,MATCH("Name",Morningstar_Cols,EXACT_MATCH),EXACT_MATCH)</f>
        <v>Colgate-Palmolive Co</v>
      </c>
      <c r="D60" s="114">
        <f>VLOOKUP(Companies[[#This Row],[Symbol]],Morningstar,MATCH("mil$ Market Cap",Morningstar_Cols,0),0)</f>
        <v>57526.400000000001</v>
      </c>
      <c r="E60" s="115">
        <f>VLOOKUP(Companies[[#This Row],[Symbol]],Morningstar,MATCH("% Total Return 3 Month",Morningstar_Cols,EXACT_MATCH),EXACT_MATCH)/100</f>
        <v>-4.3299999999999998E-2</v>
      </c>
      <c r="F60" s="115">
        <f>VLOOKUP(Companies[[#This Row],[Symbol]],Morningstar,MATCH("% Total Return 12 Month",Morningstar_Cols,EXACT_MATCH),EXACT_MATCH)/100</f>
        <v>-2E-3</v>
      </c>
      <c r="G60" s="116">
        <f>VLOOKUP(Companies[[#This Row],[Symbol]],Morningstar,MATCH("Price/Sales",Morningstar_Cols,EXACT_MATCH),EXACT_MATCH)</f>
        <v>3.7</v>
      </c>
      <c r="H60" s="117">
        <f>VLOOKUP(Companies[[#This Row],[Symbol]],Morningstar,MATCH("Price/Fair Value",Morningstar_Cols,EXACT_MATCH),EXACT_MATCH)</f>
        <v>0.96</v>
      </c>
      <c r="I6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A</v>
      </c>
      <c r="J60" s="107">
        <f>VLOOKUP(Companies[[#This Row],[Symbol]],Morningstar,MATCH("% Dividend Yield TTM",Morningstar_Cols,EXACT_MATCH),EXACT_MATCH)/100</f>
        <v>2.69E-2</v>
      </c>
      <c r="K60" s="119" t="str">
        <f>IFERROR(LOOKUP(2,1/(GrowthCurves[Ticker]=Companies[[#This Row],[Symbol]]),GrowthCurves[Metric]),"")</f>
        <v/>
      </c>
      <c r="L60" s="94">
        <f>RatingDefault+SUM(Companies[[#This Row],[CurvePoints]:[PFVPoints]])</f>
        <v>3</v>
      </c>
      <c r="M60" s="94"/>
      <c r="N60" s="103">
        <f>IF(Companies[[#This Row],[Growth Curve]]&lt;&gt;"",Companies[[#This Row],[Growth Curve]]-3,0)</f>
        <v>0</v>
      </c>
      <c r="O60" s="53">
        <f>IF(Companies[[#This Row],[PSR]]&gt;2,-1,IF(Companies[[#This Row],[PSR]]&lt;1,1,0))</f>
        <v>-1</v>
      </c>
      <c r="P60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60" s="53">
        <f>IF(Companies[[#This Row],[PFV]]&lt;0.75,2,IF(Companies[[#This Row],[PFV]]&lt;0.95,1,IF(Companies[[#This Row],[PFV]]&gt;1.25,-2,IF(Companies[[#This Row],[PFV]]&gt;1.15,-1,0))))</f>
        <v>0</v>
      </c>
    </row>
    <row r="61" spans="2:17" s="53" customFormat="1" ht="25.15" customHeight="1" x14ac:dyDescent="0.25">
      <c r="B61" s="52" t="s">
        <v>1272</v>
      </c>
      <c r="C61" s="11" t="str">
        <f>VLOOKUP(Companies[[#This Row],[Symbol]],Morningstar,MATCH("Name",Morningstar_Cols,EXACT_MATCH),EXACT_MATCH)</f>
        <v>Core Laboratories NV</v>
      </c>
      <c r="D61" s="114">
        <f>VLOOKUP(Companies[[#This Row],[Symbol]],Morningstar,MATCH("mil$ Market Cap",Morningstar_Cols,0),0)</f>
        <v>376.01</v>
      </c>
      <c r="E61" s="115">
        <f>VLOOKUP(Companies[[#This Row],[Symbol]],Morningstar,MATCH("% Total Return 3 Month",Morningstar_Cols,EXACT_MATCH),EXACT_MATCH)/100</f>
        <v>-0.8175</v>
      </c>
      <c r="F61" s="115">
        <f>VLOOKUP(Companies[[#This Row],[Symbol]],Morningstar,MATCH("% Total Return 12 Month",Morningstar_Cols,EXACT_MATCH),EXACT_MATCH)/100</f>
        <v>-0.85349999999999993</v>
      </c>
      <c r="G61" s="116">
        <f>VLOOKUP(Companies[[#This Row],[Symbol]],Morningstar,MATCH("Price/Sales",Morningstar_Cols,EXACT_MATCH),EXACT_MATCH)</f>
        <v>0.56999999999999995</v>
      </c>
      <c r="H61" s="117">
        <f>VLOOKUP(Companies[[#This Row],[Symbol]],Morningstar,MATCH("Price/Fair Value",Morningstar_Cols,EXACT_MATCH),EXACT_MATCH)</f>
        <v>0.16</v>
      </c>
      <c r="I6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61" s="107">
        <f>VLOOKUP(Companies[[#This Row],[Symbol]],Morningstar,MATCH("% Dividend Yield TTM",Morningstar_Cols,EXACT_MATCH),EXACT_MATCH)/100</f>
        <v>0.23569999999999999</v>
      </c>
      <c r="K61" s="119" t="str">
        <f>IFERROR(LOOKUP(2,1/(GrowthCurves[Ticker]=Companies[[#This Row],[Symbol]]),GrowthCurves[Metric]),"")</f>
        <v>1</v>
      </c>
      <c r="L61" s="94">
        <f>RatingDefault+SUM(Companies[[#This Row],[CurvePoints]:[PFVPoints]])</f>
        <v>3</v>
      </c>
      <c r="M61" s="94"/>
      <c r="N61" s="102">
        <f>IF(Companies[[#This Row],[Growth Curve]]&lt;&gt;"",Companies[[#This Row],[Growth Curve]]-3,0)</f>
        <v>-2</v>
      </c>
      <c r="O61" s="52">
        <f>IF(Companies[[#This Row],[PSR]]&gt;2,-1,IF(Companies[[#This Row],[PSR]]&lt;1,1,0))</f>
        <v>1</v>
      </c>
      <c r="P61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61" s="53">
        <f>IF(Companies[[#This Row],[PFV]]&lt;0.75,2,IF(Companies[[#This Row],[PFV]]&lt;0.95,1,IF(Companies[[#This Row],[PFV]]&gt;1.25,-2,IF(Companies[[#This Row],[PFV]]&gt;1.15,-1,0))))</f>
        <v>2</v>
      </c>
    </row>
    <row r="62" spans="2:17" s="53" customFormat="1" ht="25.15" customHeight="1" x14ac:dyDescent="0.25">
      <c r="B62" s="11" t="s">
        <v>16</v>
      </c>
      <c r="C62" s="11" t="str">
        <f>VLOOKUP(Companies[[#This Row],[Symbol]],Morningstar,MATCH("Name",Morningstar_Cols,EXACT_MATCH),EXACT_MATCH)</f>
        <v>Calumet Specialty Products Partners LP</v>
      </c>
      <c r="D62" s="114">
        <f>VLOOKUP(Companies[[#This Row],[Symbol]],Morningstar,MATCH("mil$ Market Cap",Morningstar_Cols,0),0)</f>
        <v>142.13</v>
      </c>
      <c r="E62" s="115">
        <f>VLOOKUP(Companies[[#This Row],[Symbol]],Morningstar,MATCH("% Total Return 3 Month",Morningstar_Cols,EXACT_MATCH),EXACT_MATCH)/100</f>
        <v>-0.48780000000000001</v>
      </c>
      <c r="F62" s="115">
        <f>VLOOKUP(Companies[[#This Row],[Symbol]],Morningstar,MATCH("% Total Return 12 Month",Morningstar_Cols,EXACT_MATCH),EXACT_MATCH)/100</f>
        <v>-0.5413</v>
      </c>
      <c r="G62" s="116">
        <f>VLOOKUP(Companies[[#This Row],[Symbol]],Morningstar,MATCH("Price/Sales",Morningstar_Cols,EXACT_MATCH),EXACT_MATCH)</f>
        <v>0.04</v>
      </c>
      <c r="H62" s="117">
        <f>VLOOKUP(Companies[[#This Row],[Symbol]],Morningstar,MATCH("Price/Fair Value",Morningstar_Cols,EXACT_MATCH),EXACT_MATCH)</f>
        <v>0.45</v>
      </c>
      <c r="I6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62" s="107">
        <f>VLOOKUP(Companies[[#This Row],[Symbol]],Morningstar,MATCH("% Dividend Yield TTM",Morningstar_Cols,EXACT_MATCH),EXACT_MATCH)/100</f>
        <v>0</v>
      </c>
      <c r="K62" s="119" t="str">
        <f>IFERROR(LOOKUP(2,1/(GrowthCurves[Ticker]=Companies[[#This Row],[Symbol]]),GrowthCurves[Metric]),"")</f>
        <v>1</v>
      </c>
      <c r="L62" s="94">
        <f>RatingDefault+SUM(Companies[[#This Row],[CurvePoints]:[PFVPoints]])</f>
        <v>3</v>
      </c>
      <c r="M62" s="94"/>
      <c r="N62" s="103">
        <f>IF(Companies[[#This Row],[Growth Curve]]&lt;&gt;"",Companies[[#This Row],[Growth Curve]]-3,0)</f>
        <v>-2</v>
      </c>
      <c r="O62" s="53">
        <f>IF(Companies[[#This Row],[PSR]]&gt;2,-1,IF(Companies[[#This Row],[PSR]]&lt;1,1,0))</f>
        <v>1</v>
      </c>
      <c r="P62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62" s="53">
        <f>IF(Companies[[#This Row],[PFV]]&lt;0.75,2,IF(Companies[[#This Row],[PFV]]&lt;0.95,1,IF(Companies[[#This Row],[PFV]]&gt;1.25,-2,IF(Companies[[#This Row],[PFV]]&gt;1.15,-1,0))))</f>
        <v>2</v>
      </c>
    </row>
    <row r="63" spans="2:17" s="53" customFormat="1" ht="25.15" customHeight="1" x14ac:dyDescent="0.25">
      <c r="B63" s="11" t="s">
        <v>660</v>
      </c>
      <c r="C63" s="11" t="str">
        <f>VLOOKUP(Companies[[#This Row],[Symbol]],Morningstar,MATCH("Name",Morningstar_Cols,EXACT_MATCH),EXACT_MATCH)</f>
        <v>Clean Energy Fuels Corp</v>
      </c>
      <c r="D63" s="114">
        <f>VLOOKUP(Companies[[#This Row],[Symbol]],Morningstar,MATCH("mil$ Market Cap",Morningstar_Cols,0),0)</f>
        <v>293.98</v>
      </c>
      <c r="E63" s="115">
        <f>VLOOKUP(Companies[[#This Row],[Symbol]],Morningstar,MATCH("% Total Return 3 Month",Morningstar_Cols,EXACT_MATCH),EXACT_MATCH)/100</f>
        <v>-0.45450000000000002</v>
      </c>
      <c r="F63" s="115">
        <f>VLOOKUP(Companies[[#This Row],[Symbol]],Morningstar,MATCH("% Total Return 12 Month",Morningstar_Cols,EXACT_MATCH),EXACT_MATCH)/100</f>
        <v>-0.5242</v>
      </c>
      <c r="G63" s="116">
        <f>VLOOKUP(Companies[[#This Row],[Symbol]],Morningstar,MATCH("Price/Sales",Morningstar_Cols,EXACT_MATCH),EXACT_MATCH)</f>
        <v>0.86</v>
      </c>
      <c r="H63" s="117">
        <f>VLOOKUP(Companies[[#This Row],[Symbol]],Morningstar,MATCH("Price/Fair Value",Morningstar_Cols,EXACT_MATCH),EXACT_MATCH)</f>
        <v>0.54</v>
      </c>
      <c r="I6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63" s="107">
        <f>VLOOKUP(Companies[[#This Row],[Symbol]],Morningstar,MATCH("% Dividend Yield TTM",Morningstar_Cols,EXACT_MATCH),EXACT_MATCH)/100</f>
        <v>0</v>
      </c>
      <c r="K63" s="119" t="str">
        <f>IFERROR(LOOKUP(2,1/(GrowthCurves[Ticker]=Companies[[#This Row],[Symbol]]),GrowthCurves[Metric]),"")</f>
        <v/>
      </c>
      <c r="L63" s="94">
        <f>RatingDefault+SUM(Companies[[#This Row],[CurvePoints]:[PFVPoints]])</f>
        <v>6</v>
      </c>
      <c r="M63" s="94"/>
      <c r="N63" s="103">
        <f>IF(Companies[[#This Row],[Growth Curve]]&lt;&gt;"",Companies[[#This Row],[Growth Curve]]-3,0)</f>
        <v>0</v>
      </c>
      <c r="O63" s="53">
        <f>IF(Companies[[#This Row],[PSR]]&gt;2,-1,IF(Companies[[#This Row],[PSR]]&lt;1,1,0))</f>
        <v>1</v>
      </c>
      <c r="P63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63" s="53">
        <f>IF(Companies[[#This Row],[PFV]]&lt;0.75,2,IF(Companies[[#This Row],[PFV]]&lt;0.95,1,IF(Companies[[#This Row],[PFV]]&gt;1.25,-2,IF(Companies[[#This Row],[PFV]]&gt;1.15,-1,0))))</f>
        <v>2</v>
      </c>
    </row>
    <row r="64" spans="2:17" s="53" customFormat="1" ht="25.15" customHeight="1" x14ac:dyDescent="0.25">
      <c r="B64" s="11" t="s">
        <v>731</v>
      </c>
      <c r="C64" s="11" t="str">
        <f>VLOOKUP(Companies[[#This Row],[Symbol]],Morningstar,MATCH("Name",Morningstar_Cols,EXACT_MATCH),EXACT_MATCH)</f>
        <v>Colony Capital Inc Class A</v>
      </c>
      <c r="D64" s="114">
        <f>VLOOKUP(Companies[[#This Row],[Symbol]],Morningstar,MATCH("mil$ Market Cap",Morningstar_Cols,0),0)</f>
        <v>1106.3399999999999</v>
      </c>
      <c r="E64" s="115">
        <f>VLOOKUP(Companies[[#This Row],[Symbol]],Morningstar,MATCH("% Total Return 3 Month",Morningstar_Cols,EXACT_MATCH),EXACT_MATCH)/100</f>
        <v>-0.53359999999999996</v>
      </c>
      <c r="F64" s="115">
        <f>VLOOKUP(Companies[[#This Row],[Symbol]],Morningstar,MATCH("% Total Return 12 Month",Morningstar_Cols,EXACT_MATCH),EXACT_MATCH)/100</f>
        <v>-0.53469999999999995</v>
      </c>
      <c r="G64" s="116">
        <f>VLOOKUP(Companies[[#This Row],[Symbol]],Morningstar,MATCH("Price/Sales",Morningstar_Cols,EXACT_MATCH),EXACT_MATCH)</f>
        <v>0.47</v>
      </c>
      <c r="H64" s="117">
        <f>VLOOKUP(Companies[[#This Row],[Symbol]],Morningstar,MATCH("Price/Fair Value",Morningstar_Cols,EXACT_MATCH),EXACT_MATCH)</f>
        <v>0.42</v>
      </c>
      <c r="I6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64" s="107">
        <f>VLOOKUP(Companies[[#This Row],[Symbol]],Morningstar,MATCH("% Dividend Yield TTM",Morningstar_Cols,EXACT_MATCH),EXACT_MATCH)/100</f>
        <v>0.2157</v>
      </c>
      <c r="K64" s="119" t="str">
        <f>IFERROR(LOOKUP(2,1/(GrowthCurves[Ticker]=Companies[[#This Row],[Symbol]]),GrowthCurves[Metric]),"")</f>
        <v/>
      </c>
      <c r="L64" s="94">
        <f>RatingDefault+SUM(Companies[[#This Row],[CurvePoints]:[PFVPoints]])</f>
        <v>5</v>
      </c>
      <c r="M64" s="94"/>
      <c r="N64" s="103">
        <f>IF(Companies[[#This Row],[Growth Curve]]&lt;&gt;"",Companies[[#This Row],[Growth Curve]]-3,0)</f>
        <v>0</v>
      </c>
      <c r="O64" s="53">
        <f>IF(Companies[[#This Row],[PSR]]&gt;2,-1,IF(Companies[[#This Row],[PSR]]&lt;1,1,0))</f>
        <v>1</v>
      </c>
      <c r="P64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64" s="53">
        <f>IF(Companies[[#This Row],[PFV]]&lt;0.75,2,IF(Companies[[#This Row],[PFV]]&lt;0.95,1,IF(Companies[[#This Row],[PFV]]&gt;1.25,-2,IF(Companies[[#This Row],[PFV]]&gt;1.15,-1,0))))</f>
        <v>2</v>
      </c>
    </row>
    <row r="65" spans="2:17" s="53" customFormat="1" ht="25.15" customHeight="1" x14ac:dyDescent="0.25">
      <c r="B65" s="52" t="s">
        <v>210</v>
      </c>
      <c r="C65" s="11" t="str">
        <f>VLOOKUP(Companies[[#This Row],[Symbol]],Morningstar,MATCH("Name",Morningstar_Cols,EXACT_MATCH),EXACT_MATCH)</f>
        <v>Celsion Corp</v>
      </c>
      <c r="D65" s="114">
        <f>VLOOKUP(Companies[[#This Row],[Symbol]],Morningstar,MATCH("mil$ Market Cap",Morningstar_Cols,0),0)</f>
        <v>25.05</v>
      </c>
      <c r="E65" s="115">
        <f>VLOOKUP(Companies[[#This Row],[Symbol]],Morningstar,MATCH("% Total Return 3 Month",Morningstar_Cols,EXACT_MATCH),EXACT_MATCH)/100</f>
        <v>-0.40619999999999995</v>
      </c>
      <c r="F65" s="115">
        <f>VLOOKUP(Companies[[#This Row],[Symbol]],Morningstar,MATCH("% Total Return 12 Month",Morningstar_Cols,EXACT_MATCH),EXACT_MATCH)/100</f>
        <v>-0.6008</v>
      </c>
      <c r="G65" s="116">
        <f>VLOOKUP(Companies[[#This Row],[Symbol]],Morningstar,MATCH("Price/Sales",Morningstar_Cols,EXACT_MATCH),EXACT_MATCH)</f>
        <v>35.85</v>
      </c>
      <c r="H65" s="117">
        <f>VLOOKUP(Companies[[#This Row],[Symbol]],Morningstar,MATCH("Price/Fair Value",Morningstar_Cols,EXACT_MATCH),EXACT_MATCH)</f>
        <v>0.42</v>
      </c>
      <c r="I6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65" s="107">
        <f>VLOOKUP(Companies[[#This Row],[Symbol]],Morningstar,MATCH("% Dividend Yield TTM",Morningstar_Cols,EXACT_MATCH),EXACT_MATCH)/100</f>
        <v>0</v>
      </c>
      <c r="K65" s="119" t="str">
        <f>IFERROR(LOOKUP(2,1/(GrowthCurves[Ticker]=Companies[[#This Row],[Symbol]]),GrowthCurves[Metric]),"")</f>
        <v>1</v>
      </c>
      <c r="L65" s="94">
        <f>RatingDefault+SUM(Companies[[#This Row],[CurvePoints]:[PFVPoints]])</f>
        <v>2</v>
      </c>
      <c r="M65" s="94"/>
      <c r="N65" s="102">
        <f>IF(Companies[[#This Row],[Growth Curve]]&lt;&gt;"",Companies[[#This Row],[Growth Curve]]-3,0)</f>
        <v>-2</v>
      </c>
      <c r="O65" s="52">
        <f>IF(Companies[[#This Row],[PSR]]&gt;2,-1,IF(Companies[[#This Row],[PSR]]&lt;1,1,0))</f>
        <v>-1</v>
      </c>
      <c r="P65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65" s="53">
        <f>IF(Companies[[#This Row],[PFV]]&lt;0.75,2,IF(Companies[[#This Row],[PFV]]&lt;0.95,1,IF(Companies[[#This Row],[PFV]]&gt;1.25,-2,IF(Companies[[#This Row],[PFV]]&gt;1.15,-1,0))))</f>
        <v>2</v>
      </c>
    </row>
    <row r="66" spans="2:17" s="53" customFormat="1" ht="25.15" customHeight="1" x14ac:dyDescent="0.25">
      <c r="B66" s="11" t="s">
        <v>599</v>
      </c>
      <c r="C66" s="11" t="str">
        <f>VLOOKUP(Companies[[#This Row],[Symbol]],Morningstar,MATCH("Name",Morningstar_Cols,EXACT_MATCH),EXACT_MATCH)</f>
        <v>Clorox Co</v>
      </c>
      <c r="D66" s="114">
        <f>VLOOKUP(Companies[[#This Row],[Symbol]],Morningstar,MATCH("mil$ Market Cap",Morningstar_Cols,0),0)</f>
        <v>20121.02</v>
      </c>
      <c r="E66" s="115">
        <f>VLOOKUP(Companies[[#This Row],[Symbol]],Morningstar,MATCH("% Total Return 3 Month",Morningstar_Cols,EXACT_MATCH),EXACT_MATCH)/100</f>
        <v>4.9299999999999997E-2</v>
      </c>
      <c r="F66" s="115">
        <f>VLOOKUP(Companies[[#This Row],[Symbol]],Morningstar,MATCH("% Total Return 12 Month",Morningstar_Cols,EXACT_MATCH),EXACT_MATCH)/100</f>
        <v>2.29E-2</v>
      </c>
      <c r="G66" s="116">
        <f>VLOOKUP(Companies[[#This Row],[Symbol]],Morningstar,MATCH("Price/Sales",Morningstar_Cols,EXACT_MATCH),EXACT_MATCH)</f>
        <v>3.36</v>
      </c>
      <c r="H66" s="117">
        <f>VLOOKUP(Companies[[#This Row],[Symbol]],Morningstar,MATCH("Price/Fair Value",Morningstar_Cols,EXACT_MATCH),EXACT_MATCH)</f>
        <v>1.1599999999999999</v>
      </c>
      <c r="I6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A</v>
      </c>
      <c r="J66" s="107">
        <f>VLOOKUP(Companies[[#This Row],[Symbol]],Morningstar,MATCH("% Dividend Yield TTM",Morningstar_Cols,EXACT_MATCH),EXACT_MATCH)/100</f>
        <v>2.6099999999999998E-2</v>
      </c>
      <c r="K66" s="119" t="str">
        <f>IFERROR(LOOKUP(2,1/(GrowthCurves[Ticker]=Companies[[#This Row],[Symbol]]),GrowthCurves[Metric]),"")</f>
        <v/>
      </c>
      <c r="L66" s="94">
        <f>RatingDefault+SUM(Companies[[#This Row],[CurvePoints]:[PFVPoints]])</f>
        <v>2</v>
      </c>
      <c r="M66" s="94"/>
      <c r="N66" s="103">
        <f>IF(Companies[[#This Row],[Growth Curve]]&lt;&gt;"",Companies[[#This Row],[Growth Curve]]-3,0)</f>
        <v>0</v>
      </c>
      <c r="O66" s="53">
        <f>IF(Companies[[#This Row],[PSR]]&gt;2,-1,IF(Companies[[#This Row],[PSR]]&lt;1,1,0))</f>
        <v>-1</v>
      </c>
      <c r="P66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66" s="53">
        <f>IF(Companies[[#This Row],[PFV]]&lt;0.75,2,IF(Companies[[#This Row],[PFV]]&lt;0.95,1,IF(Companies[[#This Row],[PFV]]&gt;1.25,-2,IF(Companies[[#This Row],[PFV]]&gt;1.15,-1,0))))</f>
        <v>-1</v>
      </c>
    </row>
    <row r="67" spans="2:17" s="53" customFormat="1" ht="25.15" customHeight="1" x14ac:dyDescent="0.25">
      <c r="B67" s="11" t="s">
        <v>601</v>
      </c>
      <c r="C67" s="11" t="str">
        <f>VLOOKUP(Companies[[#This Row],[Symbol]],Morningstar,MATCH("Name",Morningstar_Cols,EXACT_MATCH),EXACT_MATCH)</f>
        <v>Comcast Corp Class A</v>
      </c>
      <c r="D67" s="114">
        <f>VLOOKUP(Companies[[#This Row],[Symbol]],Morningstar,MATCH("mil$ Market Cap",Morningstar_Cols,0),0)</f>
        <v>168189.1</v>
      </c>
      <c r="E67" s="115">
        <f>VLOOKUP(Companies[[#This Row],[Symbol]],Morningstar,MATCH("% Total Return 3 Month",Morningstar_Cols,EXACT_MATCH),EXACT_MATCH)/100</f>
        <v>-0.1827</v>
      </c>
      <c r="F67" s="115">
        <f>VLOOKUP(Companies[[#This Row],[Symbol]],Morningstar,MATCH("% Total Return 12 Month",Morningstar_Cols,EXACT_MATCH),EXACT_MATCH)/100</f>
        <v>-9.3900000000000011E-2</v>
      </c>
      <c r="G67" s="116">
        <f>VLOOKUP(Companies[[#This Row],[Symbol]],Morningstar,MATCH("Price/Sales",Morningstar_Cols,EXACT_MATCH),EXACT_MATCH)</f>
        <v>1.56</v>
      </c>
      <c r="H67" s="117">
        <f>VLOOKUP(Companies[[#This Row],[Symbol]],Morningstar,MATCH("Price/Fair Value",Morningstar_Cols,EXACT_MATCH),EXACT_MATCH)</f>
        <v>0.75</v>
      </c>
      <c r="I6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67" s="107">
        <f>VLOOKUP(Companies[[#This Row],[Symbol]],Morningstar,MATCH("% Dividend Yield TTM",Morningstar_Cols,EXACT_MATCH),EXACT_MATCH)/100</f>
        <v>2.4E-2</v>
      </c>
      <c r="K67" s="119" t="str">
        <f>IFERROR(LOOKUP(2,1/(GrowthCurves[Ticker]=Companies[[#This Row],[Symbol]]),GrowthCurves[Metric]),"")</f>
        <v/>
      </c>
      <c r="L67" s="94">
        <f>RatingDefault+SUM(Companies[[#This Row],[CurvePoints]:[PFVPoints]])</f>
        <v>5</v>
      </c>
      <c r="M67" s="94"/>
      <c r="N67" s="103">
        <f>IF(Companies[[#This Row],[Growth Curve]]&lt;&gt;"",Companies[[#This Row],[Growth Curve]]-3,0)</f>
        <v>0</v>
      </c>
      <c r="O67" s="53">
        <f>IF(Companies[[#This Row],[PSR]]&gt;2,-1,IF(Companies[[#This Row],[PSR]]&lt;1,1,0))</f>
        <v>0</v>
      </c>
      <c r="P67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67" s="53">
        <f>IF(Companies[[#This Row],[PFV]]&lt;0.75,2,IF(Companies[[#This Row],[PFV]]&lt;0.95,1,IF(Companies[[#This Row],[PFV]]&gt;1.25,-2,IF(Companies[[#This Row],[PFV]]&gt;1.15,-1,0))))</f>
        <v>1</v>
      </c>
    </row>
    <row r="68" spans="2:17" s="53" customFormat="1" ht="25.15" customHeight="1" x14ac:dyDescent="0.25">
      <c r="B68" s="11" t="s">
        <v>576</v>
      </c>
      <c r="C68" s="11" t="str">
        <f>VLOOKUP(Companies[[#This Row],[Symbol]],Morningstar,MATCH("Name",Morningstar_Cols,EXACT_MATCH),EXACT_MATCH)</f>
        <v>Compass Minerals International Inc</v>
      </c>
      <c r="D68" s="114">
        <f>VLOOKUP(Companies[[#This Row],[Symbol]],Morningstar,MATCH("mil$ Market Cap",Morningstar_Cols,0),0)</f>
        <v>1414.99</v>
      </c>
      <c r="E68" s="115">
        <f>VLOOKUP(Companies[[#This Row],[Symbol]],Morningstar,MATCH("% Total Return 3 Month",Morningstar_Cols,EXACT_MATCH),EXACT_MATCH)/100</f>
        <v>-0.30829999999999996</v>
      </c>
      <c r="F68" s="115">
        <f>VLOOKUP(Companies[[#This Row],[Symbol]],Morningstar,MATCH("% Total Return 12 Month",Morningstar_Cols,EXACT_MATCH),EXACT_MATCH)/100</f>
        <v>-0.1661</v>
      </c>
      <c r="G68" s="116">
        <f>VLOOKUP(Companies[[#This Row],[Symbol]],Morningstar,MATCH("Price/Sales",Morningstar_Cols,EXACT_MATCH),EXACT_MATCH)</f>
        <v>0.95</v>
      </c>
      <c r="H68" s="117">
        <f>VLOOKUP(Companies[[#This Row],[Symbol]],Morningstar,MATCH("Price/Fair Value",Morningstar_Cols,EXACT_MATCH),EXACT_MATCH)</f>
        <v>0.52</v>
      </c>
      <c r="I6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68" s="107">
        <f>VLOOKUP(Companies[[#This Row],[Symbol]],Morningstar,MATCH("% Dividend Yield TTM",Morningstar_Cols,EXACT_MATCH),EXACT_MATCH)/100</f>
        <v>7.2599999999999998E-2</v>
      </c>
      <c r="K68" s="119" t="str">
        <f>IFERROR(LOOKUP(2,1/(GrowthCurves[Ticker]=Companies[[#This Row],[Symbol]]),GrowthCurves[Metric]),"")</f>
        <v>1</v>
      </c>
      <c r="L68" s="94">
        <f>RatingDefault+SUM(Companies[[#This Row],[CurvePoints]:[PFVPoints]])</f>
        <v>4</v>
      </c>
      <c r="M68" s="94"/>
      <c r="N68" s="103">
        <f>IF(Companies[[#This Row],[Growth Curve]]&lt;&gt;"",Companies[[#This Row],[Growth Curve]]-3,0)</f>
        <v>-2</v>
      </c>
      <c r="O68" s="53">
        <f>IF(Companies[[#This Row],[PSR]]&gt;2,-1,IF(Companies[[#This Row],[PSR]]&lt;1,1,0))</f>
        <v>1</v>
      </c>
      <c r="P68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68" s="53">
        <f>IF(Companies[[#This Row],[PFV]]&lt;0.75,2,IF(Companies[[#This Row],[PFV]]&lt;0.95,1,IF(Companies[[#This Row],[PFV]]&gt;1.25,-2,IF(Companies[[#This Row],[PFV]]&gt;1.15,-1,0))))</f>
        <v>2</v>
      </c>
    </row>
    <row r="69" spans="2:17" s="53" customFormat="1" ht="25.15" customHeight="1" x14ac:dyDescent="0.25">
      <c r="B69" s="11" t="s">
        <v>17</v>
      </c>
      <c r="C69" s="11" t="str">
        <f>VLOOKUP(Companies[[#This Row],[Symbol]],Morningstar,MATCH("Name",Morningstar_Cols,EXACT_MATCH),EXACT_MATCH)</f>
        <v>Comtech Telecommunications Corp</v>
      </c>
      <c r="D69" s="114">
        <f>VLOOKUP(Companies[[#This Row],[Symbol]],Morningstar,MATCH("mil$ Market Cap",Morningstar_Cols,0),0)</f>
        <v>445.94</v>
      </c>
      <c r="E69" s="115">
        <f>VLOOKUP(Companies[[#This Row],[Symbol]],Morningstar,MATCH("% Total Return 3 Month",Morningstar_Cols,EXACT_MATCH),EXACT_MATCH)/100</f>
        <v>-0.48670000000000002</v>
      </c>
      <c r="F69" s="115">
        <f>VLOOKUP(Companies[[#This Row],[Symbol]],Morningstar,MATCH("% Total Return 12 Month",Morningstar_Cols,EXACT_MATCH),EXACT_MATCH)/100</f>
        <v>-0.19620000000000001</v>
      </c>
      <c r="G69" s="116">
        <f>VLOOKUP(Companies[[#This Row],[Symbol]],Morningstar,MATCH("Price/Sales",Morningstar_Cols,EXACT_MATCH),EXACT_MATCH)</f>
        <v>0.66</v>
      </c>
      <c r="H69" s="117">
        <f>VLOOKUP(Companies[[#This Row],[Symbol]],Morningstar,MATCH("Price/Fair Value",Morningstar_Cols,EXACT_MATCH),EXACT_MATCH)</f>
        <v>0.56999999999999995</v>
      </c>
      <c r="I6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69" s="107">
        <f>VLOOKUP(Companies[[#This Row],[Symbol]],Morningstar,MATCH("% Dividend Yield TTM",Morningstar_Cols,EXACT_MATCH),EXACT_MATCH)/100</f>
        <v>2.2499999999999999E-2</v>
      </c>
      <c r="K69" s="119" t="str">
        <f>IFERROR(LOOKUP(2,1/(GrowthCurves[Ticker]=Companies[[#This Row],[Symbol]]),GrowthCurves[Metric]),"")</f>
        <v/>
      </c>
      <c r="L69" s="94">
        <f>RatingDefault+SUM(Companies[[#This Row],[CurvePoints]:[PFVPoints]])</f>
        <v>6</v>
      </c>
      <c r="M69" s="94"/>
      <c r="N69" s="103">
        <f>IF(Companies[[#This Row],[Growth Curve]]&lt;&gt;"",Companies[[#This Row],[Growth Curve]]-3,0)</f>
        <v>0</v>
      </c>
      <c r="O69" s="53">
        <f>IF(Companies[[#This Row],[PSR]]&gt;2,-1,IF(Companies[[#This Row],[PSR]]&lt;1,1,0))</f>
        <v>1</v>
      </c>
      <c r="P69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69" s="53">
        <f>IF(Companies[[#This Row],[PFV]]&lt;0.75,2,IF(Companies[[#This Row],[PFV]]&lt;0.95,1,IF(Companies[[#This Row],[PFV]]&gt;1.25,-2,IF(Companies[[#This Row],[PFV]]&gt;1.15,-1,0))))</f>
        <v>2</v>
      </c>
    </row>
    <row r="70" spans="2:17" s="53" customFormat="1" ht="25.15" customHeight="1" x14ac:dyDescent="0.25">
      <c r="B70" s="11" t="s">
        <v>184</v>
      </c>
      <c r="C70" s="11" t="str">
        <f>VLOOKUP(Companies[[#This Row],[Symbol]],Morningstar,MATCH("Name",Morningstar_Cols,EXACT_MATCH),EXACT_MATCH)</f>
        <v>Centene Corp</v>
      </c>
      <c r="D70" s="114">
        <f>VLOOKUP(Companies[[#This Row],[Symbol]],Morningstar,MATCH("mil$ Market Cap",Morningstar_Cols,0),0)</f>
        <v>35097.58</v>
      </c>
      <c r="E70" s="115">
        <f>VLOOKUP(Companies[[#This Row],[Symbol]],Morningstar,MATCH("% Total Return 3 Month",Morningstar_Cols,EXACT_MATCH),EXACT_MATCH)/100</f>
        <v>-2.3799999999999998E-2</v>
      </c>
      <c r="F70" s="115">
        <f>VLOOKUP(Companies[[#This Row],[Symbol]],Morningstar,MATCH("% Total Return 12 Month",Morningstar_Cols,EXACT_MATCH),EXACT_MATCH)/100</f>
        <v>-1.9699999999999999E-2</v>
      </c>
      <c r="G70" s="116">
        <f>VLOOKUP(Companies[[#This Row],[Symbol]],Morningstar,MATCH("Price/Sales",Morningstar_Cols,EXACT_MATCH),EXACT_MATCH)</f>
        <v>0.34</v>
      </c>
      <c r="H70" s="117">
        <f>VLOOKUP(Companies[[#This Row],[Symbol]],Morningstar,MATCH("Price/Fair Value",Morningstar_Cols,EXACT_MATCH),EXACT_MATCH)</f>
        <v>0.85</v>
      </c>
      <c r="I7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70" s="107">
        <f>VLOOKUP(Companies[[#This Row],[Symbol]],Morningstar,MATCH("% Dividend Yield TTM",Morningstar_Cols,EXACT_MATCH),EXACT_MATCH)/100</f>
        <v>0</v>
      </c>
      <c r="K70" s="119" t="str">
        <f>IFERROR(LOOKUP(2,1/(GrowthCurves[Ticker]=Companies[[#This Row],[Symbol]]),GrowthCurves[Metric]),"")</f>
        <v/>
      </c>
      <c r="L70" s="94">
        <f>RatingDefault+SUM(Companies[[#This Row],[CurvePoints]:[PFVPoints]])</f>
        <v>5</v>
      </c>
      <c r="M70" s="94"/>
      <c r="N70" s="103">
        <f>IF(Companies[[#This Row],[Growth Curve]]&lt;&gt;"",Companies[[#This Row],[Growth Curve]]-3,0)</f>
        <v>0</v>
      </c>
      <c r="O70" s="53">
        <f>IF(Companies[[#This Row],[PSR]]&gt;2,-1,IF(Companies[[#This Row],[PSR]]&lt;1,1,0))</f>
        <v>1</v>
      </c>
      <c r="P70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70" s="53">
        <f>IF(Companies[[#This Row],[PFV]]&lt;0.75,2,IF(Companies[[#This Row],[PFV]]&lt;0.95,1,IF(Companies[[#This Row],[PFV]]&gt;1.25,-2,IF(Companies[[#This Row],[PFV]]&gt;1.15,-1,0))))</f>
        <v>1</v>
      </c>
    </row>
    <row r="71" spans="2:17" s="53" customFormat="1" ht="25.15" customHeight="1" x14ac:dyDescent="0.25">
      <c r="B71" s="11" t="s">
        <v>127</v>
      </c>
      <c r="C71" s="11" t="str">
        <f>VLOOKUP(Companies[[#This Row],[Symbol]],Morningstar,MATCH("Name",Morningstar_Cols,EXACT_MATCH),EXACT_MATCH)</f>
        <v>CNH Industrial NV</v>
      </c>
      <c r="D71" s="114">
        <f>VLOOKUP(Companies[[#This Row],[Symbol]],Morningstar,MATCH("mil$ Market Cap",Morningstar_Cols,0),0)</f>
        <v>9896.73</v>
      </c>
      <c r="E71" s="115">
        <f>VLOOKUP(Companies[[#This Row],[Symbol]],Morningstar,MATCH("% Total Return 3 Month",Morningstar_Cols,EXACT_MATCH),EXACT_MATCH)/100</f>
        <v>-0.40630000000000005</v>
      </c>
      <c r="F71" s="115">
        <f>VLOOKUP(Companies[[#This Row],[Symbol]],Morningstar,MATCH("% Total Return 12 Month",Morningstar_Cols,EXACT_MATCH),EXACT_MATCH)/100</f>
        <v>-0.37770000000000004</v>
      </c>
      <c r="G71" s="116">
        <f>VLOOKUP(Companies[[#This Row],[Symbol]],Morningstar,MATCH("Price/Sales",Morningstar_Cols,EXACT_MATCH),EXACT_MATCH)</f>
        <v>0.36</v>
      </c>
      <c r="H71" s="117">
        <f>VLOOKUP(Companies[[#This Row],[Symbol]],Morningstar,MATCH("Price/Fair Value",Morningstar_Cols,EXACT_MATCH),EXACT_MATCH)</f>
        <v>0.64</v>
      </c>
      <c r="I7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71" s="107">
        <f>VLOOKUP(Companies[[#This Row],[Symbol]],Morningstar,MATCH("% Dividend Yield TTM",Morningstar_Cols,EXACT_MATCH),EXACT_MATCH)/100</f>
        <v>3.1600000000000003E-2</v>
      </c>
      <c r="K71" s="119" t="str">
        <f>IFERROR(LOOKUP(2,1/(GrowthCurves[Ticker]=Companies[[#This Row],[Symbol]]),GrowthCurves[Metric]),"")</f>
        <v/>
      </c>
      <c r="L71" s="94">
        <f>RatingDefault+SUM(Companies[[#This Row],[CurvePoints]:[PFVPoints]])</f>
        <v>6</v>
      </c>
      <c r="M71" s="94"/>
      <c r="N71" s="103">
        <f>IF(Companies[[#This Row],[Growth Curve]]&lt;&gt;"",Companies[[#This Row],[Growth Curve]]-3,0)</f>
        <v>0</v>
      </c>
      <c r="O71" s="53">
        <f>IF(Companies[[#This Row],[PSR]]&gt;2,-1,IF(Companies[[#This Row],[PSR]]&lt;1,1,0))</f>
        <v>1</v>
      </c>
      <c r="P71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71" s="53">
        <f>IF(Companies[[#This Row],[PFV]]&lt;0.75,2,IF(Companies[[#This Row],[PFV]]&lt;0.95,1,IF(Companies[[#This Row],[PFV]]&gt;1.25,-2,IF(Companies[[#This Row],[PFV]]&gt;1.15,-1,0))))</f>
        <v>2</v>
      </c>
    </row>
    <row r="72" spans="2:17" s="53" customFormat="1" ht="25.15" customHeight="1" x14ac:dyDescent="0.25">
      <c r="B72" s="11" t="s">
        <v>732</v>
      </c>
      <c r="C72" s="11" t="str">
        <f>VLOOKUP(Companies[[#This Row],[Symbol]],Morningstar,MATCH("Name",Morningstar_Cols,EXACT_MATCH),EXACT_MATCH)</f>
        <v>Consolidated Communications Holdings Inc</v>
      </c>
      <c r="D72" s="114">
        <f>VLOOKUP(Companies[[#This Row],[Symbol]],Morningstar,MATCH("mil$ Market Cap",Morningstar_Cols,0),0)</f>
        <v>388.55</v>
      </c>
      <c r="E72" s="115">
        <f>VLOOKUP(Companies[[#This Row],[Symbol]],Morningstar,MATCH("% Total Return 3 Month",Morningstar_Cols,EXACT_MATCH),EXACT_MATCH)/100</f>
        <v>0.50700000000000001</v>
      </c>
      <c r="F72" s="115">
        <f>VLOOKUP(Companies[[#This Row],[Symbol]],Morningstar,MATCH("% Total Return 12 Month",Morningstar_Cols,EXACT_MATCH),EXACT_MATCH)/100</f>
        <v>-0.43790000000000001</v>
      </c>
      <c r="G72" s="116">
        <f>VLOOKUP(Companies[[#This Row],[Symbol]],Morningstar,MATCH("Price/Sales",Morningstar_Cols,EXACT_MATCH),EXACT_MATCH)</f>
        <v>0.28999999999999998</v>
      </c>
      <c r="H72" s="117">
        <f>VLOOKUP(Companies[[#This Row],[Symbol]],Morningstar,MATCH("Price/Fair Value",Morningstar_Cols,EXACT_MATCH),EXACT_MATCH)</f>
        <v>0.61</v>
      </c>
      <c r="I7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72" s="107">
        <f>VLOOKUP(Companies[[#This Row],[Symbol]],Morningstar,MATCH("% Dividend Yield TTM",Morningstar_Cols,EXACT_MATCH),EXACT_MATCH)/100</f>
        <v>7.2000000000000008E-2</v>
      </c>
      <c r="K72" s="119" t="str">
        <f>IFERROR(LOOKUP(2,1/(GrowthCurves[Ticker]=Companies[[#This Row],[Symbol]]),GrowthCurves[Metric]),"")</f>
        <v>5</v>
      </c>
      <c r="L72" s="94">
        <f>RatingDefault+SUM(Companies[[#This Row],[CurvePoints]:[PFVPoints]])</f>
        <v>7</v>
      </c>
      <c r="M72" s="94"/>
      <c r="N72" s="103">
        <f>IF(Companies[[#This Row],[Growth Curve]]&lt;&gt;"",Companies[[#This Row],[Growth Curve]]-3,0)</f>
        <v>2</v>
      </c>
      <c r="O72" s="53">
        <f>IF(Companies[[#This Row],[PSR]]&gt;2,-1,IF(Companies[[#This Row],[PSR]]&lt;1,1,0))</f>
        <v>1</v>
      </c>
      <c r="P72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72" s="53">
        <f>IF(Companies[[#This Row],[PFV]]&lt;0.75,2,IF(Companies[[#This Row],[PFV]]&lt;0.95,1,IF(Companies[[#This Row],[PFV]]&gt;1.25,-2,IF(Companies[[#This Row],[PFV]]&gt;1.15,-1,0))))</f>
        <v>2</v>
      </c>
    </row>
    <row r="73" spans="2:17" s="53" customFormat="1" ht="25.15" customHeight="1" x14ac:dyDescent="0.25">
      <c r="B73" s="11" t="s">
        <v>604</v>
      </c>
      <c r="C73" s="11" t="str">
        <f>VLOOKUP(Companies[[#This Row],[Symbol]],Morningstar,MATCH("Name",Morningstar_Cols,EXACT_MATCH),EXACT_MATCH)</f>
        <v>Capital One Financial Corp</v>
      </c>
      <c r="D73" s="114">
        <f>VLOOKUP(Companies[[#This Row],[Symbol]],Morningstar,MATCH("mil$ Market Cap",Morningstar_Cols,0),0)</f>
        <v>31911.74</v>
      </c>
      <c r="E73" s="115">
        <f>VLOOKUP(Companies[[#This Row],[Symbol]],Morningstar,MATCH("% Total Return 3 Month",Morningstar_Cols,EXACT_MATCH),EXACT_MATCH)/100</f>
        <v>-0.38450000000000001</v>
      </c>
      <c r="F73" s="115">
        <f>VLOOKUP(Companies[[#This Row],[Symbol]],Morningstar,MATCH("% Total Return 12 Month",Morningstar_Cols,EXACT_MATCH),EXACT_MATCH)/100</f>
        <v>-0.21359999999999998</v>
      </c>
      <c r="G73" s="116">
        <f>VLOOKUP(Companies[[#This Row],[Symbol]],Morningstar,MATCH("Price/Sales",Morningstar_Cols,EXACT_MATCH),EXACT_MATCH)</f>
        <v>1.17</v>
      </c>
      <c r="H73" s="117">
        <f>VLOOKUP(Companies[[#This Row],[Symbol]],Morningstar,MATCH("Price/Fair Value",Morningstar_Cols,EXACT_MATCH),EXACT_MATCH)</f>
        <v>0.51</v>
      </c>
      <c r="I7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73" s="107">
        <f>VLOOKUP(Companies[[#This Row],[Symbol]],Morningstar,MATCH("% Dividend Yield TTM",Morningstar_Cols,EXACT_MATCH),EXACT_MATCH)/100</f>
        <v>2.5099999999999997E-2</v>
      </c>
      <c r="K73" s="119" t="str">
        <f>IFERROR(LOOKUP(2,1/(GrowthCurves[Ticker]=Companies[[#This Row],[Symbol]]),GrowthCurves[Metric]),"")</f>
        <v>2</v>
      </c>
      <c r="L73" s="94">
        <f>RatingDefault+SUM(Companies[[#This Row],[CurvePoints]:[PFVPoints]])</f>
        <v>4</v>
      </c>
      <c r="M73" s="94"/>
      <c r="N73" s="103">
        <f>IF(Companies[[#This Row],[Growth Curve]]&lt;&gt;"",Companies[[#This Row],[Growth Curve]]-3,0)</f>
        <v>-1</v>
      </c>
      <c r="O73" s="53">
        <f>IF(Companies[[#This Row],[PSR]]&gt;2,-1,IF(Companies[[#This Row],[PSR]]&lt;1,1,0))</f>
        <v>0</v>
      </c>
      <c r="P73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73" s="53">
        <f>IF(Companies[[#This Row],[PFV]]&lt;0.75,2,IF(Companies[[#This Row],[PFV]]&lt;0.95,1,IF(Companies[[#This Row],[PFV]]&gt;1.25,-2,IF(Companies[[#This Row],[PFV]]&gt;1.15,-1,0))))</f>
        <v>2</v>
      </c>
    </row>
    <row r="74" spans="2:17" s="53" customFormat="1" ht="25.15" customHeight="1" x14ac:dyDescent="0.25">
      <c r="B74" s="11" t="s">
        <v>734</v>
      </c>
      <c r="C74" s="11" t="str">
        <f>VLOOKUP(Companies[[#This Row],[Symbol]],Morningstar,MATCH("Name",Morningstar_Cols,EXACT_MATCH),EXACT_MATCH)</f>
        <v>Coca-Cola Consolidated Inc</v>
      </c>
      <c r="D74" s="114">
        <f>VLOOKUP(Companies[[#This Row],[Symbol]],Morningstar,MATCH("mil$ Market Cap",Morningstar_Cols,0),0)</f>
        <v>1535.34</v>
      </c>
      <c r="E74" s="115">
        <f>VLOOKUP(Companies[[#This Row],[Symbol]],Morningstar,MATCH("% Total Return 3 Month",Morningstar_Cols,EXACT_MATCH),EXACT_MATCH)/100</f>
        <v>-0.25370000000000004</v>
      </c>
      <c r="F74" s="115">
        <f>VLOOKUP(Companies[[#This Row],[Symbol]],Morningstar,MATCH("% Total Return 12 Month",Morningstar_Cols,EXACT_MATCH),EXACT_MATCH)/100</f>
        <v>-0.19760000000000003</v>
      </c>
      <c r="G74" s="116">
        <f>VLOOKUP(Companies[[#This Row],[Symbol]],Morningstar,MATCH("Price/Sales",Morningstar_Cols,EXACT_MATCH),EXACT_MATCH)</f>
        <v>0.52</v>
      </c>
      <c r="H74" s="117">
        <f>VLOOKUP(Companies[[#This Row],[Symbol]],Morningstar,MATCH("Price/Fair Value",Morningstar_Cols,EXACT_MATCH),EXACT_MATCH)</f>
        <v>0.65</v>
      </c>
      <c r="I7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74" s="107">
        <f>VLOOKUP(Companies[[#This Row],[Symbol]],Morningstar,MATCH("% Dividend Yield TTM",Morningstar_Cols,EXACT_MATCH),EXACT_MATCH)/100</f>
        <v>4.8999999999999998E-3</v>
      </c>
      <c r="K74" s="119" t="str">
        <f>IFERROR(LOOKUP(2,1/(GrowthCurves[Ticker]=Companies[[#This Row],[Symbol]]),GrowthCurves[Metric]),"")</f>
        <v>5</v>
      </c>
      <c r="L74" s="94">
        <f>RatingDefault+SUM(Companies[[#This Row],[CurvePoints]:[PFVPoints]])</f>
        <v>8</v>
      </c>
      <c r="M74" s="94"/>
      <c r="N74" s="103">
        <f>IF(Companies[[#This Row],[Growth Curve]]&lt;&gt;"",Companies[[#This Row],[Growth Curve]]-3,0)</f>
        <v>2</v>
      </c>
      <c r="O74" s="53">
        <f>IF(Companies[[#This Row],[PSR]]&gt;2,-1,IF(Companies[[#This Row],[PSR]]&lt;1,1,0))</f>
        <v>1</v>
      </c>
      <c r="P74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74" s="53">
        <f>IF(Companies[[#This Row],[PFV]]&lt;0.75,2,IF(Companies[[#This Row],[PFV]]&lt;0.95,1,IF(Companies[[#This Row],[PFV]]&gt;1.25,-2,IF(Companies[[#This Row],[PFV]]&gt;1.15,-1,0))))</f>
        <v>2</v>
      </c>
    </row>
    <row r="75" spans="2:17" s="53" customFormat="1" ht="25.15" customHeight="1" x14ac:dyDescent="0.25">
      <c r="B75" s="11" t="s">
        <v>21</v>
      </c>
      <c r="C75" s="11" t="str">
        <f>VLOOKUP(Companies[[#This Row],[Symbol]],Morningstar,MATCH("Name",Morningstar_Cols,EXACT_MATCH),EXACT_MATCH)</f>
        <v>Conn's Inc</v>
      </c>
      <c r="D75" s="114">
        <f>VLOOKUP(Companies[[#This Row],[Symbol]],Morningstar,MATCH("mil$ Market Cap",Morningstar_Cols,0),0)</f>
        <v>160.41</v>
      </c>
      <c r="E75" s="115">
        <f>VLOOKUP(Companies[[#This Row],[Symbol]],Morningstar,MATCH("% Total Return 3 Month",Morningstar_Cols,EXACT_MATCH),EXACT_MATCH)/100</f>
        <v>-0.65459999999999996</v>
      </c>
      <c r="F75" s="115">
        <f>VLOOKUP(Companies[[#This Row],[Symbol]],Morningstar,MATCH("% Total Return 12 Month",Morningstar_Cols,EXACT_MATCH),EXACT_MATCH)/100</f>
        <v>-0.80709999999999993</v>
      </c>
      <c r="G75" s="116">
        <f>VLOOKUP(Companies[[#This Row],[Symbol]],Morningstar,MATCH("Price/Sales",Morningstar_Cols,EXACT_MATCH),EXACT_MATCH)</f>
        <v>0.15</v>
      </c>
      <c r="H75" s="117">
        <f>VLOOKUP(Companies[[#This Row],[Symbol]],Morningstar,MATCH("Price/Fair Value",Morningstar_Cols,EXACT_MATCH),EXACT_MATCH)</f>
        <v>0.45</v>
      </c>
      <c r="I7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75" s="107">
        <f>VLOOKUP(Companies[[#This Row],[Symbol]],Morningstar,MATCH("% Dividend Yield TTM",Morningstar_Cols,EXACT_MATCH),EXACT_MATCH)/100</f>
        <v>0</v>
      </c>
      <c r="K75" s="119" t="str">
        <f>IFERROR(LOOKUP(2,1/(GrowthCurves[Ticker]=Companies[[#This Row],[Symbol]]),GrowthCurves[Metric]),"")</f>
        <v>1</v>
      </c>
      <c r="L75" s="94">
        <f>RatingDefault+SUM(Companies[[#This Row],[CurvePoints]:[PFVPoints]])</f>
        <v>3</v>
      </c>
      <c r="M75" s="94"/>
      <c r="N75" s="103">
        <f>IF(Companies[[#This Row],[Growth Curve]]&lt;&gt;"",Companies[[#This Row],[Growth Curve]]-3,0)</f>
        <v>-2</v>
      </c>
      <c r="O75" s="53">
        <f>IF(Companies[[#This Row],[PSR]]&gt;2,-1,IF(Companies[[#This Row],[PSR]]&lt;1,1,0))</f>
        <v>1</v>
      </c>
      <c r="P75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75" s="53">
        <f>IF(Companies[[#This Row],[PFV]]&lt;0.75,2,IF(Companies[[#This Row],[PFV]]&lt;0.95,1,IF(Companies[[#This Row],[PFV]]&gt;1.25,-2,IF(Companies[[#This Row],[PFV]]&gt;1.15,-1,0))))</f>
        <v>2</v>
      </c>
    </row>
    <row r="76" spans="2:17" s="53" customFormat="1" ht="25.15" customHeight="1" x14ac:dyDescent="0.25">
      <c r="B76" s="11" t="s">
        <v>735</v>
      </c>
      <c r="C76" s="11" t="str">
        <f>VLOOKUP(Companies[[#This Row],[Symbol]],Morningstar,MATCH("Name",Morningstar_Cols,EXACT_MATCH),EXACT_MATCH)</f>
        <v>Core-Mark Holding Co Inc</v>
      </c>
      <c r="D76" s="114">
        <f>VLOOKUP(Companies[[#This Row],[Symbol]],Morningstar,MATCH("mil$ Market Cap",Morningstar_Cols,0),0)</f>
        <v>1031.47</v>
      </c>
      <c r="E76" s="115">
        <f>VLOOKUP(Companies[[#This Row],[Symbol]],Morningstar,MATCH("% Total Return 3 Month",Morningstar_Cols,EXACT_MATCH),EXACT_MATCH)/100</f>
        <v>-9.1199999999999989E-2</v>
      </c>
      <c r="F76" s="115">
        <f>VLOOKUP(Companies[[#This Row],[Symbol]],Morningstar,MATCH("% Total Return 12 Month",Morningstar_Cols,EXACT_MATCH),EXACT_MATCH)/100</f>
        <v>-0.37020000000000003</v>
      </c>
      <c r="G76" s="116">
        <f>VLOOKUP(Companies[[#This Row],[Symbol]],Morningstar,MATCH("Price/Sales",Morningstar_Cols,EXACT_MATCH),EXACT_MATCH)</f>
        <v>0.06</v>
      </c>
      <c r="H76" s="117">
        <f>VLOOKUP(Companies[[#This Row],[Symbol]],Morningstar,MATCH("Price/Fair Value",Morningstar_Cols,EXACT_MATCH),EXACT_MATCH)</f>
        <v>0.56000000000000005</v>
      </c>
      <c r="I7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76" s="107">
        <f>VLOOKUP(Companies[[#This Row],[Symbol]],Morningstar,MATCH("% Dividend Yield TTM",Morningstar_Cols,EXACT_MATCH),EXACT_MATCH)/100</f>
        <v>1.9099999999999999E-2</v>
      </c>
      <c r="K76" s="119" t="str">
        <f>IFERROR(LOOKUP(2,1/(GrowthCurves[Ticker]=Companies[[#This Row],[Symbol]]),GrowthCurves[Metric]),"")</f>
        <v>1</v>
      </c>
      <c r="L76" s="94">
        <f>RatingDefault+SUM(Companies[[#This Row],[CurvePoints]:[PFVPoints]])</f>
        <v>4</v>
      </c>
      <c r="M76" s="94"/>
      <c r="N76" s="103">
        <f>IF(Companies[[#This Row],[Growth Curve]]&lt;&gt;"",Companies[[#This Row],[Growth Curve]]-3,0)</f>
        <v>-2</v>
      </c>
      <c r="O76" s="53">
        <f>IF(Companies[[#This Row],[PSR]]&gt;2,-1,IF(Companies[[#This Row],[PSR]]&lt;1,1,0))</f>
        <v>1</v>
      </c>
      <c r="P76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76" s="53">
        <f>IF(Companies[[#This Row],[PFV]]&lt;0.75,2,IF(Companies[[#This Row],[PFV]]&lt;0.95,1,IF(Companies[[#This Row],[PFV]]&gt;1.25,-2,IF(Companies[[#This Row],[PFV]]&gt;1.15,-1,0))))</f>
        <v>2</v>
      </c>
    </row>
    <row r="77" spans="2:17" s="53" customFormat="1" ht="25.15" customHeight="1" x14ac:dyDescent="0.25">
      <c r="B77" s="11" t="s">
        <v>902</v>
      </c>
      <c r="C77" s="11" t="str">
        <f>VLOOKUP(Companies[[#This Row],[Symbol]],Morningstar,MATCH("Name",Morningstar_Cols,EXACT_MATCH),EXACT_MATCH)</f>
        <v>Coty Inc Class A</v>
      </c>
      <c r="D77" s="114">
        <f>VLOOKUP(Companies[[#This Row],[Symbol]],Morningstar,MATCH("mil$ Market Cap",Morningstar_Cols,0),0)</f>
        <v>5407.52</v>
      </c>
      <c r="E77" s="115">
        <f>VLOOKUP(Companies[[#This Row],[Symbol]],Morningstar,MATCH("% Total Return 3 Month",Morningstar_Cols,EXACT_MATCH),EXACT_MATCH)/100</f>
        <v>-0.44939999999999997</v>
      </c>
      <c r="F77" s="115">
        <f>VLOOKUP(Companies[[#This Row],[Symbol]],Morningstar,MATCH("% Total Return 12 Month",Morningstar_Cols,EXACT_MATCH),EXACT_MATCH)/100</f>
        <v>-0.37560000000000004</v>
      </c>
      <c r="G77" s="116">
        <f>VLOOKUP(Companies[[#This Row],[Symbol]],Morningstar,MATCH("Price/Sales",Morningstar_Cols,EXACT_MATCH),EXACT_MATCH)</f>
        <v>0.64</v>
      </c>
      <c r="H77" s="117">
        <f>VLOOKUP(Companies[[#This Row],[Symbol]],Morningstar,MATCH("Price/Fair Value",Morningstar_Cols,EXACT_MATCH),EXACT_MATCH)</f>
        <v>0.76</v>
      </c>
      <c r="I7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77" s="107">
        <f>VLOOKUP(Companies[[#This Row],[Symbol]],Morningstar,MATCH("% Dividend Yield TTM",Morningstar_Cols,EXACT_MATCH),EXACT_MATCH)/100</f>
        <v>7.9399999999999998E-2</v>
      </c>
      <c r="K77" s="119" t="str">
        <f>IFERROR(LOOKUP(2,1/(GrowthCurves[Ticker]=Companies[[#This Row],[Symbol]]),GrowthCurves[Metric]),"")</f>
        <v>1</v>
      </c>
      <c r="L77" s="94">
        <f>RatingDefault+SUM(Companies[[#This Row],[CurvePoints]:[PFVPoints]])</f>
        <v>3</v>
      </c>
      <c r="M77" s="94"/>
      <c r="N77" s="103">
        <f>IF(Companies[[#This Row],[Growth Curve]]&lt;&gt;"",Companies[[#This Row],[Growth Curve]]-3,0)</f>
        <v>-2</v>
      </c>
      <c r="O77" s="53">
        <f>IF(Companies[[#This Row],[PSR]]&gt;2,-1,IF(Companies[[#This Row],[PSR]]&lt;1,1,0))</f>
        <v>1</v>
      </c>
      <c r="P77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77" s="53">
        <f>IF(Companies[[#This Row],[PFV]]&lt;0.75,2,IF(Companies[[#This Row],[PFV]]&lt;0.95,1,IF(Companies[[#This Row],[PFV]]&gt;1.25,-2,IF(Companies[[#This Row],[PFV]]&gt;1.15,-1,0))))</f>
        <v>1</v>
      </c>
    </row>
    <row r="78" spans="2:17" s="53" customFormat="1" ht="25.15" customHeight="1" x14ac:dyDescent="0.25">
      <c r="B78" s="11" t="s">
        <v>311</v>
      </c>
      <c r="C78" s="11" t="str">
        <f>VLOOKUP(Companies[[#This Row],[Symbol]],Morningstar,MATCH("Name",Morningstar_Cols,EXACT_MATCH),EXACT_MATCH)</f>
        <v>California Resources Corp</v>
      </c>
      <c r="D78" s="114">
        <f>VLOOKUP(Companies[[#This Row],[Symbol]],Morningstar,MATCH("mil$ Market Cap",Morningstar_Cols,0),0)</f>
        <v>146.06</v>
      </c>
      <c r="E78" s="115">
        <f>VLOOKUP(Companies[[#This Row],[Symbol]],Morningstar,MATCH("% Total Return 3 Month",Morningstar_Cols,EXACT_MATCH),EXACT_MATCH)/100</f>
        <v>-0.65930000000000011</v>
      </c>
      <c r="F78" s="115">
        <f>VLOOKUP(Companies[[#This Row],[Symbol]],Morningstar,MATCH("% Total Return 12 Month",Morningstar_Cols,EXACT_MATCH),EXACT_MATCH)/100</f>
        <v>-0.8701000000000001</v>
      </c>
      <c r="G78" s="116">
        <f>VLOOKUP(Companies[[#This Row],[Symbol]],Morningstar,MATCH("Price/Sales",Morningstar_Cols,EXACT_MATCH),EXACT_MATCH)</f>
        <v>0.05</v>
      </c>
      <c r="H78" s="117">
        <f>VLOOKUP(Companies[[#This Row],[Symbol]],Morningstar,MATCH("Price/Fair Value",Morningstar_Cols,EXACT_MATCH),EXACT_MATCH)</f>
        <v>0.42</v>
      </c>
      <c r="I7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F</v>
      </c>
      <c r="J78" s="107">
        <f>VLOOKUP(Companies[[#This Row],[Symbol]],Morningstar,MATCH("% Dividend Yield TTM",Morningstar_Cols,EXACT_MATCH),EXACT_MATCH)/100</f>
        <v>0</v>
      </c>
      <c r="K78" s="119" t="str">
        <f>IFERROR(LOOKUP(2,1/(GrowthCurves[Ticker]=Companies[[#This Row],[Symbol]]),GrowthCurves[Metric]),"")</f>
        <v/>
      </c>
      <c r="L78" s="94">
        <f>RatingDefault+SUM(Companies[[#This Row],[CurvePoints]:[PFVPoints]])</f>
        <v>4</v>
      </c>
      <c r="M78" s="94"/>
      <c r="N78" s="103">
        <f>IF(Companies[[#This Row],[Growth Curve]]&lt;&gt;"",Companies[[#This Row],[Growth Curve]]-3,0)</f>
        <v>0</v>
      </c>
      <c r="O78" s="53">
        <f>IF(Companies[[#This Row],[PSR]]&gt;2,-1,IF(Companies[[#This Row],[PSR]]&lt;1,1,0))</f>
        <v>1</v>
      </c>
      <c r="P78" s="53">
        <f>IF(Companies[[#This Row],[Financial Health]]&lt;&gt;"",IF(Companies[[#This Row],[Financial Health]]="F",-2,IF(Companies[[#This Row],[Financial Health]]&gt;"C",-1,IF(Companies[[#This Row],[Financial Health]]&lt;"C",1,0))),-1)</f>
        <v>-2</v>
      </c>
      <c r="Q78" s="53">
        <f>IF(Companies[[#This Row],[PFV]]&lt;0.75,2,IF(Companies[[#This Row],[PFV]]&lt;0.95,1,IF(Companies[[#This Row],[PFV]]&gt;1.25,-2,IF(Companies[[#This Row],[PFV]]&gt;1.15,-1,0))))</f>
        <v>2</v>
      </c>
    </row>
    <row r="79" spans="2:17" s="53" customFormat="1" ht="25.15" customHeight="1" x14ac:dyDescent="0.25">
      <c r="B79" s="52" t="s">
        <v>875</v>
      </c>
      <c r="C79" s="11" t="str">
        <f>VLOOKUP(Companies[[#This Row],[Symbol]],Morningstar,MATCH("Name",Morningstar_Cols,EXACT_MATCH),EXACT_MATCH)</f>
        <v>Salesforce.com Inc</v>
      </c>
      <c r="D79" s="114">
        <f>VLOOKUP(Companies[[#This Row],[Symbol]],Morningstar,MATCH("mil$ Market Cap",Morningstar_Cols,0),0)</f>
        <v>126928.9</v>
      </c>
      <c r="E79" s="115">
        <f>VLOOKUP(Companies[[#This Row],[Symbol]],Morningstar,MATCH("% Total Return 3 Month",Morningstar_Cols,EXACT_MATCH),EXACT_MATCH)/100</f>
        <v>-0.11349999999999999</v>
      </c>
      <c r="F79" s="115">
        <f>VLOOKUP(Companies[[#This Row],[Symbol]],Morningstar,MATCH("% Total Return 12 Month",Morningstar_Cols,EXACT_MATCH),EXACT_MATCH)/100</f>
        <v>-0.1118</v>
      </c>
      <c r="G79" s="116">
        <f>VLOOKUP(Companies[[#This Row],[Symbol]],Morningstar,MATCH("Price/Sales",Morningstar_Cols,EXACT_MATCH),EXACT_MATCH)</f>
        <v>7.05</v>
      </c>
      <c r="H79" s="117">
        <f>VLOOKUP(Companies[[#This Row],[Symbol]],Morningstar,MATCH("Price/Fair Value",Morningstar_Cols,EXACT_MATCH),EXACT_MATCH)</f>
        <v>0.7</v>
      </c>
      <c r="I7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A</v>
      </c>
      <c r="J79" s="107">
        <f>VLOOKUP(Companies[[#This Row],[Symbol]],Morningstar,MATCH("% Dividend Yield TTM",Morningstar_Cols,EXACT_MATCH),EXACT_MATCH)/100</f>
        <v>0</v>
      </c>
      <c r="K79" s="119" t="str">
        <f>IFERROR(LOOKUP(2,1/(GrowthCurves[Ticker]=Companies[[#This Row],[Symbol]]),GrowthCurves[Metric]),"")</f>
        <v>3</v>
      </c>
      <c r="L79" s="94">
        <f>RatingDefault+SUM(Companies[[#This Row],[CurvePoints]:[PFVPoints]])</f>
        <v>5</v>
      </c>
      <c r="M79" s="94"/>
      <c r="N79" s="102">
        <f>IF(Companies[[#This Row],[Growth Curve]]&lt;&gt;"",Companies[[#This Row],[Growth Curve]]-3,0)</f>
        <v>0</v>
      </c>
      <c r="O79" s="52">
        <f>IF(Companies[[#This Row],[PSR]]&gt;2,-1,IF(Companies[[#This Row],[PSR]]&lt;1,1,0))</f>
        <v>-1</v>
      </c>
      <c r="P79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79" s="53">
        <f>IF(Companies[[#This Row],[PFV]]&lt;0.75,2,IF(Companies[[#This Row],[PFV]]&lt;0.95,1,IF(Companies[[#This Row],[PFV]]&gt;1.25,-2,IF(Companies[[#This Row],[PFV]]&gt;1.15,-1,0))))</f>
        <v>2</v>
      </c>
    </row>
    <row r="80" spans="2:17" s="53" customFormat="1" ht="25.15" customHeight="1" x14ac:dyDescent="0.25">
      <c r="B80" s="11" t="s">
        <v>241</v>
      </c>
      <c r="C80" s="11" t="str">
        <f>VLOOKUP(Companies[[#This Row],[Symbol]],Morningstar,MATCH("Name",Morningstar_Cols,EXACT_MATCH),EXACT_MATCH)</f>
        <v>Crocs Inc</v>
      </c>
      <c r="D80" s="114">
        <f>VLOOKUP(Companies[[#This Row],[Symbol]],Morningstar,MATCH("mil$ Market Cap",Morningstar_Cols,0),0)</f>
        <v>1268.42</v>
      </c>
      <c r="E80" s="115">
        <f>VLOOKUP(Companies[[#This Row],[Symbol]],Morningstar,MATCH("% Total Return 3 Month",Morningstar_Cols,EXACT_MATCH),EXACT_MATCH)/100</f>
        <v>-0.49430000000000002</v>
      </c>
      <c r="F80" s="115">
        <f>VLOOKUP(Companies[[#This Row],[Symbol]],Morningstar,MATCH("% Total Return 12 Month",Morningstar_Cols,EXACT_MATCH),EXACT_MATCH)/100</f>
        <v>-0.2707</v>
      </c>
      <c r="G80" s="116">
        <f>VLOOKUP(Companies[[#This Row],[Symbol]],Morningstar,MATCH("Price/Sales",Morningstar_Cols,EXACT_MATCH),EXACT_MATCH)</f>
        <v>1.08</v>
      </c>
      <c r="H80" s="117">
        <f>VLOOKUP(Companies[[#This Row],[Symbol]],Morningstar,MATCH("Price/Fair Value",Morningstar_Cols,EXACT_MATCH),EXACT_MATCH)</f>
        <v>0.59</v>
      </c>
      <c r="I8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80" s="107">
        <f>VLOOKUP(Companies[[#This Row],[Symbol]],Morningstar,MATCH("% Dividend Yield TTM",Morningstar_Cols,EXACT_MATCH),EXACT_MATCH)/100</f>
        <v>0</v>
      </c>
      <c r="K80" s="119" t="str">
        <f>IFERROR(LOOKUP(2,1/(GrowthCurves[Ticker]=Companies[[#This Row],[Symbol]]),GrowthCurves[Metric]),"")</f>
        <v>5</v>
      </c>
      <c r="L80" s="94">
        <f>RatingDefault+SUM(Companies[[#This Row],[CurvePoints]:[PFVPoints]])</f>
        <v>7</v>
      </c>
      <c r="M80" s="94"/>
      <c r="N80" s="103">
        <f>IF(Companies[[#This Row],[Growth Curve]]&lt;&gt;"",Companies[[#This Row],[Growth Curve]]-3,0)</f>
        <v>2</v>
      </c>
      <c r="O80" s="53">
        <f>IF(Companies[[#This Row],[PSR]]&gt;2,-1,IF(Companies[[#This Row],[PSR]]&lt;1,1,0))</f>
        <v>0</v>
      </c>
      <c r="P80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80" s="53">
        <f>IF(Companies[[#This Row],[PFV]]&lt;0.75,2,IF(Companies[[#This Row],[PFV]]&lt;0.95,1,IF(Companies[[#This Row],[PFV]]&gt;1.25,-2,IF(Companies[[#This Row],[PFV]]&gt;1.15,-1,0))))</f>
        <v>2</v>
      </c>
    </row>
    <row r="81" spans="2:17" s="53" customFormat="1" ht="25.15" customHeight="1" x14ac:dyDescent="0.25">
      <c r="B81" s="11" t="s">
        <v>606</v>
      </c>
      <c r="C81" s="11" t="str">
        <f>VLOOKUP(Companies[[#This Row],[Symbol]],Morningstar,MATCH("Name",Morningstar_Cols,EXACT_MATCH),EXACT_MATCH)</f>
        <v>Criteo SA ADR</v>
      </c>
      <c r="D81" s="114">
        <f>VLOOKUP(Companies[[#This Row],[Symbol]],Morningstar,MATCH("mil$ Market Cap",Morningstar_Cols,0),0)</f>
        <v>548.62</v>
      </c>
      <c r="E81" s="115">
        <f>VLOOKUP(Companies[[#This Row],[Symbol]],Morningstar,MATCH("% Total Return 3 Month",Morningstar_Cols,EXACT_MATCH),EXACT_MATCH)/100</f>
        <v>-0.53479999999999994</v>
      </c>
      <c r="F81" s="115">
        <f>VLOOKUP(Companies[[#This Row],[Symbol]],Morningstar,MATCH("% Total Return 12 Month",Morningstar_Cols,EXACT_MATCH),EXACT_MATCH)/100</f>
        <v>-0.71450000000000002</v>
      </c>
      <c r="G81" s="116">
        <f>VLOOKUP(Companies[[#This Row],[Symbol]],Morningstar,MATCH("Price/Sales",Morningstar_Cols,EXACT_MATCH),EXACT_MATCH)</f>
        <v>0.25</v>
      </c>
      <c r="H81" s="117">
        <f>VLOOKUP(Companies[[#This Row],[Symbol]],Morningstar,MATCH("Price/Fair Value",Morningstar_Cols,EXACT_MATCH),EXACT_MATCH)</f>
        <v>0.49</v>
      </c>
      <c r="I8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81" s="107">
        <f>VLOOKUP(Companies[[#This Row],[Symbol]],Morningstar,MATCH("% Dividend Yield TTM",Morningstar_Cols,EXACT_MATCH),EXACT_MATCH)/100</f>
        <v>0</v>
      </c>
      <c r="K81" s="119" t="str">
        <f>IFERROR(LOOKUP(2,1/(GrowthCurves[Ticker]=Companies[[#This Row],[Symbol]]),GrowthCurves[Metric]),"")</f>
        <v>2</v>
      </c>
      <c r="L81" s="94">
        <f>RatingDefault+SUM(Companies[[#This Row],[CurvePoints]:[PFVPoints]])</f>
        <v>5</v>
      </c>
      <c r="M81" s="94"/>
      <c r="N81" s="103">
        <f>IF(Companies[[#This Row],[Growth Curve]]&lt;&gt;"",Companies[[#This Row],[Growth Curve]]-3,0)</f>
        <v>-1</v>
      </c>
      <c r="O81" s="53">
        <f>IF(Companies[[#This Row],[PSR]]&gt;2,-1,IF(Companies[[#This Row],[PSR]]&lt;1,1,0))</f>
        <v>1</v>
      </c>
      <c r="P81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81" s="53">
        <f>IF(Companies[[#This Row],[PFV]]&lt;0.75,2,IF(Companies[[#This Row],[PFV]]&lt;0.95,1,IF(Companies[[#This Row],[PFV]]&gt;1.25,-2,IF(Companies[[#This Row],[PFV]]&gt;1.15,-1,0))))</f>
        <v>2</v>
      </c>
    </row>
    <row r="82" spans="2:17" s="53" customFormat="1" ht="25.15" customHeight="1" x14ac:dyDescent="0.25">
      <c r="B82" s="11" t="s">
        <v>19</v>
      </c>
      <c r="C82" s="11" t="str">
        <f>VLOOKUP(Companies[[#This Row],[Symbol]],Morningstar,MATCH("Name",Morningstar_Cols,EXACT_MATCH),EXACT_MATCH)</f>
        <v>Constellium SE A</v>
      </c>
      <c r="D82" s="114">
        <f>VLOOKUP(Companies[[#This Row],[Symbol]],Morningstar,MATCH("mil$ Market Cap",Morningstar_Cols,0),0)</f>
        <v>873.39</v>
      </c>
      <c r="E82" s="115">
        <f>VLOOKUP(Companies[[#This Row],[Symbol]],Morningstar,MATCH("% Total Return 3 Month",Morningstar_Cols,EXACT_MATCH),EXACT_MATCH)/100</f>
        <v>-0.55679999999999996</v>
      </c>
      <c r="F82" s="115">
        <f>VLOOKUP(Companies[[#This Row],[Symbol]],Morningstar,MATCH("% Total Return 12 Month",Morningstar_Cols,EXACT_MATCH),EXACT_MATCH)/100</f>
        <v>-0.25540000000000002</v>
      </c>
      <c r="G82" s="116">
        <f>VLOOKUP(Companies[[#This Row],[Symbol]],Morningstar,MATCH("Price/Sales",Morningstar_Cols,EXACT_MATCH),EXACT_MATCH)</f>
        <v>0.14000000000000001</v>
      </c>
      <c r="H82" s="117">
        <f>VLOOKUP(Companies[[#This Row],[Symbol]],Morningstar,MATCH("Price/Fair Value",Morningstar_Cols,EXACT_MATCH),EXACT_MATCH)</f>
        <v>0.44</v>
      </c>
      <c r="I8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82" s="107">
        <f>VLOOKUP(Companies[[#This Row],[Symbol]],Morningstar,MATCH("% Dividend Yield TTM",Morningstar_Cols,EXACT_MATCH),EXACT_MATCH)/100</f>
        <v>0</v>
      </c>
      <c r="K82" s="119" t="str">
        <f>IFERROR(LOOKUP(2,1/(GrowthCurves[Ticker]=Companies[[#This Row],[Symbol]]),GrowthCurves[Metric]),"")</f>
        <v>1</v>
      </c>
      <c r="L82" s="94">
        <f>RatingDefault+SUM(Companies[[#This Row],[CurvePoints]:[PFVPoints]])</f>
        <v>4</v>
      </c>
      <c r="M82" s="94"/>
      <c r="N82" s="103">
        <f>IF(Companies[[#This Row],[Growth Curve]]&lt;&gt;"",Companies[[#This Row],[Growth Curve]]-3,0)</f>
        <v>-2</v>
      </c>
      <c r="O82" s="53">
        <f>IF(Companies[[#This Row],[PSR]]&gt;2,-1,IF(Companies[[#This Row],[PSR]]&lt;1,1,0))</f>
        <v>1</v>
      </c>
      <c r="P82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82" s="53">
        <f>IF(Companies[[#This Row],[PFV]]&lt;0.75,2,IF(Companies[[#This Row],[PFV]]&lt;0.95,1,IF(Companies[[#This Row],[PFV]]&gt;1.25,-2,IF(Companies[[#This Row],[PFV]]&gt;1.15,-1,0))))</f>
        <v>2</v>
      </c>
    </row>
    <row r="83" spans="2:17" s="53" customFormat="1" ht="25.15" customHeight="1" x14ac:dyDescent="0.25">
      <c r="B83" s="52" t="s">
        <v>712</v>
      </c>
      <c r="C83" s="11" t="str">
        <f>VLOOKUP(Companies[[#This Row],[Symbol]],Morningstar,MATCH("Name",Morningstar_Cols,EXACT_MATCH),EXACT_MATCH)</f>
        <v>Cooper Tire &amp; Rubber Co</v>
      </c>
      <c r="D83" s="114">
        <f>VLOOKUP(Companies[[#This Row],[Symbol]],Morningstar,MATCH("mil$ Market Cap",Morningstar_Cols,0),0)</f>
        <v>1018.07</v>
      </c>
      <c r="E83" s="115">
        <f>VLOOKUP(Companies[[#This Row],[Symbol]],Morningstar,MATCH("% Total Return 3 Month",Morningstar_Cols,EXACT_MATCH),EXACT_MATCH)/100</f>
        <v>-0.35600000000000004</v>
      </c>
      <c r="F83" s="115">
        <f>VLOOKUP(Companies[[#This Row],[Symbol]],Morningstar,MATCH("% Total Return 12 Month",Morningstar_Cols,EXACT_MATCH),EXACT_MATCH)/100</f>
        <v>-0.31950000000000001</v>
      </c>
      <c r="G83" s="116">
        <f>VLOOKUP(Companies[[#This Row],[Symbol]],Morningstar,MATCH("Price/Sales",Morningstar_Cols,EXACT_MATCH),EXACT_MATCH)</f>
        <v>0.37</v>
      </c>
      <c r="H83" s="117">
        <f>VLOOKUP(Companies[[#This Row],[Symbol]],Morningstar,MATCH("Price/Fair Value",Morningstar_Cols,EXACT_MATCH),EXACT_MATCH)</f>
        <v>0.69</v>
      </c>
      <c r="I8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83" s="107">
        <f>VLOOKUP(Companies[[#This Row],[Symbol]],Morningstar,MATCH("% Dividend Yield TTM",Morningstar_Cols,EXACT_MATCH),EXACT_MATCH)/100</f>
        <v>2.18E-2</v>
      </c>
      <c r="K83" s="119" t="str">
        <f>IFERROR(LOOKUP(2,1/(GrowthCurves[Ticker]=Companies[[#This Row],[Symbol]]),GrowthCurves[Metric]),"")</f>
        <v>4</v>
      </c>
      <c r="L83" s="94">
        <f>RatingDefault+SUM(Companies[[#This Row],[CurvePoints]:[PFVPoints]])</f>
        <v>7</v>
      </c>
      <c r="M83" s="94"/>
      <c r="N83" s="102">
        <f>IF(Companies[[#This Row],[Growth Curve]]&lt;&gt;"",Companies[[#This Row],[Growth Curve]]-3,0)</f>
        <v>1</v>
      </c>
      <c r="O83" s="52">
        <f>IF(Companies[[#This Row],[PSR]]&gt;2,-1,IF(Companies[[#This Row],[PSR]]&lt;1,1,0))</f>
        <v>1</v>
      </c>
      <c r="P83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83" s="53">
        <f>IF(Companies[[#This Row],[PFV]]&lt;0.75,2,IF(Companies[[#This Row],[PFV]]&lt;0.95,1,IF(Companies[[#This Row],[PFV]]&gt;1.25,-2,IF(Companies[[#This Row],[PFV]]&gt;1.15,-1,0))))</f>
        <v>2</v>
      </c>
    </row>
    <row r="84" spans="2:17" s="53" customFormat="1" ht="25.15" customHeight="1" x14ac:dyDescent="0.25">
      <c r="B84" s="52" t="s">
        <v>211</v>
      </c>
      <c r="C84" s="11" t="str">
        <f>VLOOKUP(Companies[[#This Row],[Symbol]],Morningstar,MATCH("Name",Morningstar_Cols,EXACT_MATCH),EXACT_MATCH)</f>
        <v>Cubic Corp</v>
      </c>
      <c r="D84" s="114">
        <f>VLOOKUP(Companies[[#This Row],[Symbol]],Morningstar,MATCH("mil$ Market Cap",Morningstar_Cols,0),0)</f>
        <v>1333.54</v>
      </c>
      <c r="E84" s="115">
        <f>VLOOKUP(Companies[[#This Row],[Symbol]],Morningstar,MATCH("% Total Return 3 Month",Morningstar_Cols,EXACT_MATCH),EXACT_MATCH)/100</f>
        <v>-0.35670000000000002</v>
      </c>
      <c r="F84" s="115">
        <f>VLOOKUP(Companies[[#This Row],[Symbol]],Morningstar,MATCH("% Total Return 12 Month",Morningstar_Cols,EXACT_MATCH),EXACT_MATCH)/100</f>
        <v>-0.24170000000000003</v>
      </c>
      <c r="G84" s="116">
        <f>VLOOKUP(Companies[[#This Row],[Symbol]],Morningstar,MATCH("Price/Sales",Morningstar_Cols,EXACT_MATCH),EXACT_MATCH)</f>
        <v>0.88</v>
      </c>
      <c r="H84" s="117">
        <f>VLOOKUP(Companies[[#This Row],[Symbol]],Morningstar,MATCH("Price/Fair Value",Morningstar_Cols,EXACT_MATCH),EXACT_MATCH)</f>
        <v>0.65</v>
      </c>
      <c r="I8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84" s="107">
        <f>VLOOKUP(Companies[[#This Row],[Symbol]],Morningstar,MATCH("% Dividend Yield TTM",Morningstar_Cols,EXACT_MATCH),EXACT_MATCH)/100</f>
        <v>6.5000000000000006E-3</v>
      </c>
      <c r="K84" s="119" t="str">
        <f>IFERROR(LOOKUP(2,1/(GrowthCurves[Ticker]=Companies[[#This Row],[Symbol]]),GrowthCurves[Metric]),"")</f>
        <v/>
      </c>
      <c r="L84" s="94">
        <f>RatingDefault+SUM(Companies[[#This Row],[CurvePoints]:[PFVPoints]])</f>
        <v>6</v>
      </c>
      <c r="M84" s="94"/>
      <c r="N84" s="102">
        <f>IF(Companies[[#This Row],[Growth Curve]]&lt;&gt;"",Companies[[#This Row],[Growth Curve]]-3,0)</f>
        <v>0</v>
      </c>
      <c r="O84" s="52">
        <f>IF(Companies[[#This Row],[PSR]]&gt;2,-1,IF(Companies[[#This Row],[PSR]]&lt;1,1,0))</f>
        <v>1</v>
      </c>
      <c r="P84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84" s="53">
        <f>IF(Companies[[#This Row],[PFV]]&lt;0.75,2,IF(Companies[[#This Row],[PFV]]&lt;0.95,1,IF(Companies[[#This Row],[PFV]]&gt;1.25,-2,IF(Companies[[#This Row],[PFV]]&gt;1.15,-1,0))))</f>
        <v>2</v>
      </c>
    </row>
    <row r="85" spans="2:17" s="53" customFormat="1" ht="25.15" customHeight="1" x14ac:dyDescent="0.25">
      <c r="B85" s="11" t="s">
        <v>662</v>
      </c>
      <c r="C85" s="11" t="str">
        <f>VLOOKUP(Companies[[#This Row],[Symbol]],Morningstar,MATCH("Name",Morningstar_Cols,EXACT_MATCH),EXACT_MATCH)</f>
        <v>CURO Group Holdings Corp</v>
      </c>
      <c r="D85" s="114">
        <f>VLOOKUP(Companies[[#This Row],[Symbol]],Morningstar,MATCH("mil$ Market Cap",Morningstar_Cols,0),0)</f>
        <v>294.02</v>
      </c>
      <c r="E85" s="115">
        <f>VLOOKUP(Companies[[#This Row],[Symbol]],Morningstar,MATCH("% Total Return 3 Month",Morningstar_Cols,EXACT_MATCH),EXACT_MATCH)/100</f>
        <v>-0.4274</v>
      </c>
      <c r="F85" s="115">
        <f>VLOOKUP(Companies[[#This Row],[Symbol]],Morningstar,MATCH("% Total Return 12 Month",Morningstar_Cols,EXACT_MATCH),EXACT_MATCH)/100</f>
        <v>-0.33750000000000002</v>
      </c>
      <c r="G85" s="116">
        <f>VLOOKUP(Companies[[#This Row],[Symbol]],Morningstar,MATCH("Price/Sales",Morningstar_Cols,EXACT_MATCH),EXACT_MATCH)</f>
        <v>0.33</v>
      </c>
      <c r="H85" s="117">
        <f>VLOOKUP(Companies[[#This Row],[Symbol]],Morningstar,MATCH("Price/Fair Value",Morningstar_Cols,EXACT_MATCH),EXACT_MATCH)</f>
        <v>0.49</v>
      </c>
      <c r="I8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85" s="107">
        <f>VLOOKUP(Companies[[#This Row],[Symbol]],Morningstar,MATCH("% Dividend Yield TTM",Morningstar_Cols,EXACT_MATCH),EXACT_MATCH)/100</f>
        <v>8.3999999999999995E-3</v>
      </c>
      <c r="K85" s="119" t="str">
        <f>IFERROR(LOOKUP(2,1/(GrowthCurves[Ticker]=Companies[[#This Row],[Symbol]]),GrowthCurves[Metric]),"")</f>
        <v/>
      </c>
      <c r="L85" s="94">
        <f>RatingDefault+SUM(Companies[[#This Row],[CurvePoints]:[PFVPoints]])</f>
        <v>6</v>
      </c>
      <c r="M85" s="94"/>
      <c r="N85" s="103">
        <f>IF(Companies[[#This Row],[Growth Curve]]&lt;&gt;"",Companies[[#This Row],[Growth Curve]]-3,0)</f>
        <v>0</v>
      </c>
      <c r="O85" s="53">
        <f>IF(Companies[[#This Row],[PSR]]&gt;2,-1,IF(Companies[[#This Row],[PSR]]&lt;1,1,0))</f>
        <v>1</v>
      </c>
      <c r="P85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85" s="53">
        <f>IF(Companies[[#This Row],[PFV]]&lt;0.75,2,IF(Companies[[#This Row],[PFV]]&lt;0.95,1,IF(Companies[[#This Row],[PFV]]&gt;1.25,-2,IF(Companies[[#This Row],[PFV]]&gt;1.15,-1,0))))</f>
        <v>2</v>
      </c>
    </row>
    <row r="86" spans="2:17" s="53" customFormat="1" ht="25.15" customHeight="1" x14ac:dyDescent="0.25">
      <c r="B86" s="11" t="s">
        <v>442</v>
      </c>
      <c r="C86" s="11" t="str">
        <f>VLOOKUP(Companies[[#This Row],[Symbol]],Morningstar,MATCH("Name",Morningstar_Cols,EXACT_MATCH),EXACT_MATCH)</f>
        <v>Cenovus Energy Inc</v>
      </c>
      <c r="D86" s="114">
        <f>VLOOKUP(Companies[[#This Row],[Symbol]],Morningstar,MATCH("mil$ Market Cap",Morningstar_Cols,0),0)</f>
        <v>3584.26</v>
      </c>
      <c r="E86" s="115">
        <f>VLOOKUP(Companies[[#This Row],[Symbol]],Morningstar,MATCH("% Total Return 3 Month",Morningstar_Cols,EXACT_MATCH),EXACT_MATCH)/100</f>
        <v>-0.72400000000000009</v>
      </c>
      <c r="F86" s="115">
        <f>VLOOKUP(Companies[[#This Row],[Symbol]],Morningstar,MATCH("% Total Return 12 Month",Morningstar_Cols,EXACT_MATCH),EXACT_MATCH)/100</f>
        <v>-0.67559999999999998</v>
      </c>
      <c r="G86" s="116">
        <f>VLOOKUP(Companies[[#This Row],[Symbol]],Morningstar,MATCH("Price/Sales",Morningstar_Cols,EXACT_MATCH),EXACT_MATCH)</f>
        <v>0.23</v>
      </c>
      <c r="H86" s="117">
        <f>VLOOKUP(Companies[[#This Row],[Symbol]],Morningstar,MATCH("Price/Fair Value",Morningstar_Cols,EXACT_MATCH),EXACT_MATCH)</f>
        <v>0.36</v>
      </c>
      <c r="I8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86" s="107">
        <f>VLOOKUP(Companies[[#This Row],[Symbol]],Morningstar,MATCH("% Dividend Yield TTM",Morningstar_Cols,EXACT_MATCH),EXACT_MATCH)/100</f>
        <v>6.54E-2</v>
      </c>
      <c r="K86" s="119" t="str">
        <f>IFERROR(LOOKUP(2,1/(GrowthCurves[Ticker]=Companies[[#This Row],[Symbol]]),GrowthCurves[Metric]),"")</f>
        <v>1</v>
      </c>
      <c r="L86" s="94">
        <f>RatingDefault+SUM(Companies[[#This Row],[CurvePoints]:[PFVPoints]])</f>
        <v>4</v>
      </c>
      <c r="M86" s="94"/>
      <c r="N86" s="103">
        <f>IF(Companies[[#This Row],[Growth Curve]]&lt;&gt;"",Companies[[#This Row],[Growth Curve]]-3,0)</f>
        <v>-2</v>
      </c>
      <c r="O86" s="53">
        <f>IF(Companies[[#This Row],[PSR]]&gt;2,-1,IF(Companies[[#This Row],[PSR]]&lt;1,1,0))</f>
        <v>1</v>
      </c>
      <c r="P86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86" s="53">
        <f>IF(Companies[[#This Row],[PFV]]&lt;0.75,2,IF(Companies[[#This Row],[PFV]]&lt;0.95,1,IF(Companies[[#This Row],[PFV]]&gt;1.25,-2,IF(Companies[[#This Row],[PFV]]&gt;1.15,-1,0))))</f>
        <v>2</v>
      </c>
    </row>
    <row r="87" spans="2:17" s="53" customFormat="1" ht="25.15" customHeight="1" x14ac:dyDescent="0.25">
      <c r="B87" s="11" t="s">
        <v>24</v>
      </c>
      <c r="C87" s="11" t="str">
        <f>VLOOKUP(Companies[[#This Row],[Symbol]],Morningstar,MATCH("Name",Morningstar_Cols,EXACT_MATCH),EXACT_MATCH)</f>
        <v>CVR Energy Inc</v>
      </c>
      <c r="D87" s="114">
        <f>VLOOKUP(Companies[[#This Row],[Symbol]],Morningstar,MATCH("mil$ Market Cap",Morningstar_Cols,0),0)</f>
        <v>1615.53</v>
      </c>
      <c r="E87" s="115">
        <f>VLOOKUP(Companies[[#This Row],[Symbol]],Morningstar,MATCH("% Total Return 3 Month",Morningstar_Cols,EXACT_MATCH),EXACT_MATCH)/100</f>
        <v>-0.61480000000000001</v>
      </c>
      <c r="F87" s="115">
        <f>VLOOKUP(Companies[[#This Row],[Symbol]],Morningstar,MATCH("% Total Return 12 Month",Morningstar_Cols,EXACT_MATCH),EXACT_MATCH)/100</f>
        <v>-0.54120000000000001</v>
      </c>
      <c r="G87" s="116">
        <f>VLOOKUP(Companies[[#This Row],[Symbol]],Morningstar,MATCH("Price/Sales",Morningstar_Cols,EXACT_MATCH),EXACT_MATCH)</f>
        <v>0.25</v>
      </c>
      <c r="H87" s="117">
        <f>VLOOKUP(Companies[[#This Row],[Symbol]],Morningstar,MATCH("Price/Fair Value",Morningstar_Cols,EXACT_MATCH),EXACT_MATCH)</f>
        <v>0.4</v>
      </c>
      <c r="I8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87" s="107">
        <f>VLOOKUP(Companies[[#This Row],[Symbol]],Morningstar,MATCH("% Dividend Yield TTM",Morningstar_Cols,EXACT_MATCH),EXACT_MATCH)/100</f>
        <v>0.2034</v>
      </c>
      <c r="K87" s="119" t="str">
        <f>IFERROR(LOOKUP(2,1/(GrowthCurves[Ticker]=Companies[[#This Row],[Symbol]]),GrowthCurves[Metric]),"")</f>
        <v/>
      </c>
      <c r="L87" s="94">
        <f>RatingDefault+SUM(Companies[[#This Row],[CurvePoints]:[PFVPoints]])</f>
        <v>6</v>
      </c>
      <c r="M87" s="94"/>
      <c r="N87" s="103">
        <f>IF(Companies[[#This Row],[Growth Curve]]&lt;&gt;"",Companies[[#This Row],[Growth Curve]]-3,0)</f>
        <v>0</v>
      </c>
      <c r="O87" s="53">
        <f>IF(Companies[[#This Row],[PSR]]&gt;2,-1,IF(Companies[[#This Row],[PSR]]&lt;1,1,0))</f>
        <v>1</v>
      </c>
      <c r="P87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87" s="53">
        <f>IF(Companies[[#This Row],[PFV]]&lt;0.75,2,IF(Companies[[#This Row],[PFV]]&lt;0.95,1,IF(Companies[[#This Row],[PFV]]&gt;1.25,-2,IF(Companies[[#This Row],[PFV]]&gt;1.15,-1,0))))</f>
        <v>2</v>
      </c>
    </row>
    <row r="88" spans="2:17" s="53" customFormat="1" ht="25.15" customHeight="1" x14ac:dyDescent="0.25">
      <c r="B88" s="11" t="s">
        <v>129</v>
      </c>
      <c r="C88" s="11" t="str">
        <f>VLOOKUP(Companies[[#This Row],[Symbol]],Morningstar,MATCH("Name",Morningstar_Cols,EXACT_MATCH),EXACT_MATCH)</f>
        <v>CVR Refining LP</v>
      </c>
      <c r="D88" s="114">
        <f>VLOOKUP(Companies[[#This Row],[Symbol]],Morningstar,MATCH("mil$ Market Cap",Morningstar_Cols,0),0)</f>
        <v>0</v>
      </c>
      <c r="E88" s="115">
        <f>VLOOKUP(Companies[[#This Row],[Symbol]],Morningstar,MATCH("% Total Return 3 Month",Morningstar_Cols,EXACT_MATCH),EXACT_MATCH)/100</f>
        <v>0</v>
      </c>
      <c r="F88" s="115">
        <f>VLOOKUP(Companies[[#This Row],[Symbol]],Morningstar,MATCH("% Total Return 12 Month",Morningstar_Cols,EXACT_MATCH),EXACT_MATCH)/100</f>
        <v>0</v>
      </c>
      <c r="G88" s="116">
        <f>VLOOKUP(Companies[[#This Row],[Symbol]],Morningstar,MATCH("Price/Sales",Morningstar_Cols,EXACT_MATCH),EXACT_MATCH)</f>
        <v>0</v>
      </c>
      <c r="H88" s="117">
        <f>VLOOKUP(Companies[[#This Row],[Symbol]],Morningstar,MATCH("Price/Fair Value",Morningstar_Cols,EXACT_MATCH),EXACT_MATCH)</f>
        <v>0</v>
      </c>
      <c r="I8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88" s="107">
        <f>VLOOKUP(Companies[[#This Row],[Symbol]],Morningstar,MATCH("% Dividend Yield TTM",Morningstar_Cols,EXACT_MATCH),EXACT_MATCH)/100</f>
        <v>0</v>
      </c>
      <c r="K88" s="119" t="str">
        <f>IFERROR(LOOKUP(2,1/(GrowthCurves[Ticker]=Companies[[#This Row],[Symbol]]),GrowthCurves[Metric]),"")</f>
        <v>1</v>
      </c>
      <c r="L88" s="94">
        <f>RatingDefault+SUM(Companies[[#This Row],[CurvePoints]:[PFVPoints]])</f>
        <v>3</v>
      </c>
      <c r="M88" s="94"/>
      <c r="N88" s="103">
        <f>IF(Companies[[#This Row],[Growth Curve]]&lt;&gt;"",Companies[[#This Row],[Growth Curve]]-3,0)</f>
        <v>-2</v>
      </c>
      <c r="O88" s="53">
        <f>IF(Companies[[#This Row],[PSR]]&gt;2,-1,IF(Companies[[#This Row],[PSR]]&lt;1,1,0))</f>
        <v>1</v>
      </c>
      <c r="P88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88" s="53">
        <f>IF(Companies[[#This Row],[PFV]]&lt;0.75,2,IF(Companies[[#This Row],[PFV]]&lt;0.95,1,IF(Companies[[#This Row],[PFV]]&gt;1.25,-2,IF(Companies[[#This Row],[PFV]]&gt;1.15,-1,0))))</f>
        <v>2</v>
      </c>
    </row>
    <row r="89" spans="2:17" s="53" customFormat="1" ht="25.15" customHeight="1" x14ac:dyDescent="0.25">
      <c r="B89" s="52" t="s">
        <v>173</v>
      </c>
      <c r="C89" s="11" t="str">
        <f>VLOOKUP(Companies[[#This Row],[Symbol]],Morningstar,MATCH("Name",Morningstar_Cols,EXACT_MATCH),EXACT_MATCH)</f>
        <v>CVS Health Corp</v>
      </c>
      <c r="D89" s="114">
        <f>VLOOKUP(Companies[[#This Row],[Symbol]],Morningstar,MATCH("mil$ Market Cap",Morningstar_Cols,0),0)</f>
        <v>74571.850000000006</v>
      </c>
      <c r="E89" s="115">
        <f>VLOOKUP(Companies[[#This Row],[Symbol]],Morningstar,MATCH("% Total Return 3 Month",Morningstar_Cols,EXACT_MATCH),EXACT_MATCH)/100</f>
        <v>-0.25800000000000001</v>
      </c>
      <c r="F89" s="115">
        <f>VLOOKUP(Companies[[#This Row],[Symbol]],Morningstar,MATCH("% Total Return 12 Month",Morningstar_Cols,EXACT_MATCH),EXACT_MATCH)/100</f>
        <v>3.5699999999999996E-2</v>
      </c>
      <c r="G89" s="116">
        <f>VLOOKUP(Companies[[#This Row],[Symbol]],Morningstar,MATCH("Price/Sales",Morningstar_Cols,EXACT_MATCH),EXACT_MATCH)</f>
        <v>0.28999999999999998</v>
      </c>
      <c r="H89" s="117">
        <f>VLOOKUP(Companies[[#This Row],[Symbol]],Morningstar,MATCH("Price/Fair Value",Morningstar_Cols,EXACT_MATCH),EXACT_MATCH)</f>
        <v>0.62</v>
      </c>
      <c r="I8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89" s="107">
        <f>VLOOKUP(Companies[[#This Row],[Symbol]],Morningstar,MATCH("% Dividend Yield TTM",Morningstar_Cols,EXACT_MATCH),EXACT_MATCH)/100</f>
        <v>3.6600000000000001E-2</v>
      </c>
      <c r="K89" s="119" t="str">
        <f>IFERROR(LOOKUP(2,1/(GrowthCurves[Ticker]=Companies[[#This Row],[Symbol]]),GrowthCurves[Metric]),"")</f>
        <v>4</v>
      </c>
      <c r="L89" s="94">
        <f>RatingDefault+SUM(Companies[[#This Row],[CurvePoints]:[PFVPoints]])</f>
        <v>8</v>
      </c>
      <c r="M89" s="94"/>
      <c r="N89" s="102">
        <f>IF(Companies[[#This Row],[Growth Curve]]&lt;&gt;"",Companies[[#This Row],[Growth Curve]]-3,0)</f>
        <v>1</v>
      </c>
      <c r="O89" s="52">
        <f>IF(Companies[[#This Row],[PSR]]&gt;2,-1,IF(Companies[[#This Row],[PSR]]&lt;1,1,0))</f>
        <v>1</v>
      </c>
      <c r="P89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89" s="53">
        <f>IF(Companies[[#This Row],[PFV]]&lt;0.75,2,IF(Companies[[#This Row],[PFV]]&lt;0.95,1,IF(Companies[[#This Row],[PFV]]&gt;1.25,-2,IF(Companies[[#This Row],[PFV]]&gt;1.15,-1,0))))</f>
        <v>2</v>
      </c>
    </row>
    <row r="90" spans="2:17" s="53" customFormat="1" ht="25.15" customHeight="1" x14ac:dyDescent="0.25">
      <c r="B90" s="11" t="s">
        <v>20</v>
      </c>
      <c r="C90" s="11" t="str">
        <f>VLOOKUP(Companies[[#This Row],[Symbol]],Morningstar,MATCH("Name",Morningstar_Cols,EXACT_MATCH),EXACT_MATCH)</f>
        <v>Covenant Transportation Group Inc Class A</v>
      </c>
      <c r="D90" s="114">
        <f>VLOOKUP(Companies[[#This Row],[Symbol]],Morningstar,MATCH("mil$ Market Cap",Morningstar_Cols,0),0)</f>
        <v>193.5</v>
      </c>
      <c r="E90" s="115">
        <f>VLOOKUP(Companies[[#This Row],[Symbol]],Morningstar,MATCH("% Total Return 3 Month",Morningstar_Cols,EXACT_MATCH),EXACT_MATCH)/100</f>
        <v>-0.2601</v>
      </c>
      <c r="F90" s="115">
        <f>VLOOKUP(Companies[[#This Row],[Symbol]],Morningstar,MATCH("% Total Return 12 Month",Morningstar_Cols,EXACT_MATCH),EXACT_MATCH)/100</f>
        <v>-0.56240000000000001</v>
      </c>
      <c r="G90" s="116">
        <f>VLOOKUP(Companies[[#This Row],[Symbol]],Morningstar,MATCH("Price/Sales",Morningstar_Cols,EXACT_MATCH),EXACT_MATCH)</f>
        <v>0.22</v>
      </c>
      <c r="H90" s="117">
        <f>VLOOKUP(Companies[[#This Row],[Symbol]],Morningstar,MATCH("Price/Fair Value",Morningstar_Cols,EXACT_MATCH),EXACT_MATCH)</f>
        <v>0.57999999999999996</v>
      </c>
      <c r="I9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90" s="107">
        <f>VLOOKUP(Companies[[#This Row],[Symbol]],Morningstar,MATCH("% Dividend Yield TTM",Morningstar_Cols,EXACT_MATCH),EXACT_MATCH)/100</f>
        <v>0</v>
      </c>
      <c r="K90" s="119" t="str">
        <f>IFERROR(LOOKUP(2,1/(GrowthCurves[Ticker]=Companies[[#This Row],[Symbol]]),GrowthCurves[Metric]),"")</f>
        <v>1</v>
      </c>
      <c r="L90" s="94">
        <f>RatingDefault+SUM(Companies[[#This Row],[CurvePoints]:[PFVPoints]])</f>
        <v>4</v>
      </c>
      <c r="M90" s="94"/>
      <c r="N90" s="103">
        <f>IF(Companies[[#This Row],[Growth Curve]]&lt;&gt;"",Companies[[#This Row],[Growth Curve]]-3,0)</f>
        <v>-2</v>
      </c>
      <c r="O90" s="53">
        <f>IF(Companies[[#This Row],[PSR]]&gt;2,-1,IF(Companies[[#This Row],[PSR]]&lt;1,1,0))</f>
        <v>1</v>
      </c>
      <c r="P90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90" s="53">
        <f>IF(Companies[[#This Row],[PFV]]&lt;0.75,2,IF(Companies[[#This Row],[PFV]]&lt;0.95,1,IF(Companies[[#This Row],[PFV]]&gt;1.25,-2,IF(Companies[[#This Row],[PFV]]&gt;1.15,-1,0))))</f>
        <v>2</v>
      </c>
    </row>
    <row r="91" spans="2:17" s="53" customFormat="1" ht="25.15" customHeight="1" x14ac:dyDescent="0.25">
      <c r="B91" s="11" t="s">
        <v>18</v>
      </c>
      <c r="C91" s="11" t="str">
        <f>VLOOKUP(Companies[[#This Row],[Symbol]],Morningstar,MATCH("Name",Morningstar_Cols,EXACT_MATCH),EXACT_MATCH)</f>
        <v>China Yuchai International Ltd</v>
      </c>
      <c r="D91" s="114">
        <f>VLOOKUP(Companies[[#This Row],[Symbol]],Morningstar,MATCH("mil$ Market Cap",Morningstar_Cols,0),0)</f>
        <v>413.08</v>
      </c>
      <c r="E91" s="115">
        <f>VLOOKUP(Companies[[#This Row],[Symbol]],Morningstar,MATCH("% Total Return 3 Month",Morningstar_Cols,EXACT_MATCH),EXACT_MATCH)/100</f>
        <v>-0.2316</v>
      </c>
      <c r="F91" s="115">
        <f>VLOOKUP(Companies[[#This Row],[Symbol]],Morningstar,MATCH("% Total Return 12 Month",Morningstar_Cols,EXACT_MATCH),EXACT_MATCH)/100</f>
        <v>-0.34329999999999999</v>
      </c>
      <c r="G91" s="116">
        <f>VLOOKUP(Companies[[#This Row],[Symbol]],Morningstar,MATCH("Price/Sales",Morningstar_Cols,EXACT_MATCH),EXACT_MATCH)</f>
        <v>0.17</v>
      </c>
      <c r="H91" s="117">
        <f>VLOOKUP(Companies[[#This Row],[Symbol]],Morningstar,MATCH("Price/Fair Value",Morningstar_Cols,EXACT_MATCH),EXACT_MATCH)</f>
        <v>0.65</v>
      </c>
      <c r="I9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91" s="107">
        <f>VLOOKUP(Companies[[#This Row],[Symbol]],Morningstar,MATCH("% Dividend Yield TTM",Morningstar_Cols,EXACT_MATCH),EXACT_MATCH)/100</f>
        <v>8.2400000000000001E-2</v>
      </c>
      <c r="K91" s="119" t="str">
        <f>IFERROR(LOOKUP(2,1/(GrowthCurves[Ticker]=Companies[[#This Row],[Symbol]]),GrowthCurves[Metric]),"")</f>
        <v>1</v>
      </c>
      <c r="L91" s="94">
        <f>RatingDefault+SUM(Companies[[#This Row],[CurvePoints]:[PFVPoints]])</f>
        <v>4</v>
      </c>
      <c r="M91" s="94"/>
      <c r="N91" s="103">
        <f>IF(Companies[[#This Row],[Growth Curve]]&lt;&gt;"",Companies[[#This Row],[Growth Curve]]-3,0)</f>
        <v>-2</v>
      </c>
      <c r="O91" s="53">
        <f>IF(Companies[[#This Row],[PSR]]&gt;2,-1,IF(Companies[[#This Row],[PSR]]&lt;1,1,0))</f>
        <v>1</v>
      </c>
      <c r="P91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91" s="53">
        <f>IF(Companies[[#This Row],[PFV]]&lt;0.75,2,IF(Companies[[#This Row],[PFV]]&lt;0.95,1,IF(Companies[[#This Row],[PFV]]&gt;1.25,-2,IF(Companies[[#This Row],[PFV]]&gt;1.15,-1,0))))</f>
        <v>2</v>
      </c>
    </row>
    <row r="92" spans="2:17" s="53" customFormat="1" ht="25.15" customHeight="1" x14ac:dyDescent="0.25">
      <c r="B92" s="11" t="s">
        <v>97</v>
      </c>
      <c r="C92" s="11" t="str">
        <f>VLOOKUP(Companies[[#This Row],[Symbol]],Morningstar,MATCH("Name",Morningstar_Cols,EXACT_MATCH),EXACT_MATCH)</f>
        <v>Caesars Entertainment Corp</v>
      </c>
      <c r="D92" s="114">
        <f>VLOOKUP(Companies[[#This Row],[Symbol]],Morningstar,MATCH("mil$ Market Cap",Morningstar_Cols,0),0)</f>
        <v>5560.49</v>
      </c>
      <c r="E92" s="115">
        <f>VLOOKUP(Companies[[#This Row],[Symbol]],Morningstar,MATCH("% Total Return 3 Month",Morningstar_Cols,EXACT_MATCH),EXACT_MATCH)/100</f>
        <v>-0.40179999999999999</v>
      </c>
      <c r="F92" s="115">
        <f>VLOOKUP(Companies[[#This Row],[Symbol]],Morningstar,MATCH("% Total Return 12 Month",Morningstar_Cols,EXACT_MATCH),EXACT_MATCH)/100</f>
        <v>-7.1800000000000003E-2</v>
      </c>
      <c r="G92" s="116">
        <f>VLOOKUP(Companies[[#This Row],[Symbol]],Morningstar,MATCH("Price/Sales",Morningstar_Cols,EXACT_MATCH),EXACT_MATCH)</f>
        <v>0.63</v>
      </c>
      <c r="H92" s="117">
        <f>VLOOKUP(Companies[[#This Row],[Symbol]],Morningstar,MATCH("Price/Fair Value",Morningstar_Cols,EXACT_MATCH),EXACT_MATCH)</f>
        <v>0.66</v>
      </c>
      <c r="I9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92" s="107">
        <f>VLOOKUP(Companies[[#This Row],[Symbol]],Morningstar,MATCH("% Dividend Yield TTM",Morningstar_Cols,EXACT_MATCH),EXACT_MATCH)/100</f>
        <v>0</v>
      </c>
      <c r="K92" s="119" t="str">
        <f>IFERROR(LOOKUP(2,1/(GrowthCurves[Ticker]=Companies[[#This Row],[Symbol]]),GrowthCurves[Metric]),"")</f>
        <v/>
      </c>
      <c r="L92" s="94">
        <f>RatingDefault+SUM(Companies[[#This Row],[CurvePoints]:[PFVPoints]])</f>
        <v>5</v>
      </c>
      <c r="M92" s="94"/>
      <c r="N92" s="103">
        <f>IF(Companies[[#This Row],[Growth Curve]]&lt;&gt;"",Companies[[#This Row],[Growth Curve]]-3,0)</f>
        <v>0</v>
      </c>
      <c r="O92" s="53">
        <f>IF(Companies[[#This Row],[PSR]]&gt;2,-1,IF(Companies[[#This Row],[PSR]]&lt;1,1,0))</f>
        <v>1</v>
      </c>
      <c r="P92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92" s="53">
        <f>IF(Companies[[#This Row],[PFV]]&lt;0.75,2,IF(Companies[[#This Row],[PFV]]&lt;0.95,1,IF(Companies[[#This Row],[PFV]]&gt;1.25,-2,IF(Companies[[#This Row],[PFV]]&gt;1.15,-1,0))))</f>
        <v>2</v>
      </c>
    </row>
    <row r="93" spans="2:17" s="53" customFormat="1" ht="25.15" customHeight="1" x14ac:dyDescent="0.25">
      <c r="B93" s="11" t="s">
        <v>408</v>
      </c>
      <c r="C93" s="11" t="str">
        <f>VLOOKUP(Companies[[#This Row],[Symbol]],Morningstar,MATCH("Name",Morningstar_Cols,EXACT_MATCH),EXACT_MATCH)</f>
        <v>Dominion Energy Inc</v>
      </c>
      <c r="D93" s="114">
        <f>VLOOKUP(Companies[[#This Row],[Symbol]],Morningstar,MATCH("mil$ Market Cap",Morningstar_Cols,0),0)</f>
        <v>62087.44</v>
      </c>
      <c r="E93" s="115">
        <f>VLOOKUP(Companies[[#This Row],[Symbol]],Morningstar,MATCH("% Total Return 3 Month",Morningstar_Cols,EXACT_MATCH),EXACT_MATCH)/100</f>
        <v>-0.10460000000000001</v>
      </c>
      <c r="F93" s="115">
        <f>VLOOKUP(Companies[[#This Row],[Symbol]],Morningstar,MATCH("% Total Return 12 Month",Morningstar_Cols,EXACT_MATCH),EXACT_MATCH)/100</f>
        <v>-1.7399999999999999E-2</v>
      </c>
      <c r="G93" s="116">
        <f>VLOOKUP(Companies[[#This Row],[Symbol]],Morningstar,MATCH("Price/Sales",Morningstar_Cols,EXACT_MATCH),EXACT_MATCH)</f>
        <v>3.62</v>
      </c>
      <c r="H93" s="117">
        <f>VLOOKUP(Companies[[#This Row],[Symbol]],Morningstar,MATCH("Price/Fair Value",Morningstar_Cols,EXACT_MATCH),EXACT_MATCH)</f>
        <v>0.86</v>
      </c>
      <c r="I9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93" s="107">
        <f>VLOOKUP(Companies[[#This Row],[Symbol]],Morningstar,MATCH("% Dividend Yield TTM",Morningstar_Cols,EXACT_MATCH),EXACT_MATCH)/100</f>
        <v>5.1799999999999999E-2</v>
      </c>
      <c r="K93" s="119" t="str">
        <f>IFERROR(LOOKUP(2,1/(GrowthCurves[Ticker]=Companies[[#This Row],[Symbol]]),GrowthCurves[Metric]),"")</f>
        <v>4</v>
      </c>
      <c r="L93" s="94">
        <f>RatingDefault+SUM(Companies[[#This Row],[CurvePoints]:[PFVPoints]])</f>
        <v>5</v>
      </c>
      <c r="M93" s="94"/>
      <c r="N93" s="103">
        <f>IF(Companies[[#This Row],[Growth Curve]]&lt;&gt;"",Companies[[#This Row],[Growth Curve]]-3,0)</f>
        <v>1</v>
      </c>
      <c r="O93" s="53">
        <f>IF(Companies[[#This Row],[PSR]]&gt;2,-1,IF(Companies[[#This Row],[PSR]]&lt;1,1,0))</f>
        <v>-1</v>
      </c>
      <c r="P93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93" s="53">
        <f>IF(Companies[[#This Row],[PFV]]&lt;0.75,2,IF(Companies[[#This Row],[PFV]]&lt;0.95,1,IF(Companies[[#This Row],[PFV]]&gt;1.25,-2,IF(Companies[[#This Row],[PFV]]&gt;1.15,-1,0))))</f>
        <v>1</v>
      </c>
    </row>
    <row r="94" spans="2:17" s="53" customFormat="1" ht="25.15" customHeight="1" x14ac:dyDescent="0.25">
      <c r="B94" s="11" t="s">
        <v>25</v>
      </c>
      <c r="C94" s="11" t="str">
        <f>VLOOKUP(Companies[[#This Row],[Symbol]],Morningstar,MATCH("Name",Morningstar_Cols,EXACT_MATCH),EXACT_MATCH)</f>
        <v>Dana Inc</v>
      </c>
      <c r="D94" s="114">
        <f>VLOOKUP(Companies[[#This Row],[Symbol]],Morningstar,MATCH("mil$ Market Cap",Morningstar_Cols,0),0)</f>
        <v>1237.93</v>
      </c>
      <c r="E94" s="115">
        <f>VLOOKUP(Companies[[#This Row],[Symbol]],Morningstar,MATCH("% Total Return 3 Month",Morningstar_Cols,EXACT_MATCH),EXACT_MATCH)/100</f>
        <v>-0.5595</v>
      </c>
      <c r="F94" s="115">
        <f>VLOOKUP(Companies[[#This Row],[Symbol]],Morningstar,MATCH("% Total Return 12 Month",Morningstar_Cols,EXACT_MATCH),EXACT_MATCH)/100</f>
        <v>-0.54359999999999997</v>
      </c>
      <c r="G94" s="116">
        <f>VLOOKUP(Companies[[#This Row],[Symbol]],Morningstar,MATCH("Price/Sales",Morningstar_Cols,EXACT_MATCH),EXACT_MATCH)</f>
        <v>0.15</v>
      </c>
      <c r="H94" s="117">
        <f>VLOOKUP(Companies[[#This Row],[Symbol]],Morningstar,MATCH("Price/Fair Value",Morningstar_Cols,EXACT_MATCH),EXACT_MATCH)</f>
        <v>0.38</v>
      </c>
      <c r="I9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94" s="107">
        <f>VLOOKUP(Companies[[#This Row],[Symbol]],Morningstar,MATCH("% Dividend Yield TTM",Morningstar_Cols,EXACT_MATCH),EXACT_MATCH)/100</f>
        <v>4.8600000000000004E-2</v>
      </c>
      <c r="K94" s="119" t="str">
        <f>IFERROR(LOOKUP(2,1/(GrowthCurves[Ticker]=Companies[[#This Row],[Symbol]]),GrowthCurves[Metric]),"")</f>
        <v>1</v>
      </c>
      <c r="L94" s="94">
        <f>RatingDefault+SUM(Companies[[#This Row],[CurvePoints]:[PFVPoints]])</f>
        <v>4</v>
      </c>
      <c r="M94" s="94"/>
      <c r="N94" s="103">
        <f>IF(Companies[[#This Row],[Growth Curve]]&lt;&gt;"",Companies[[#This Row],[Growth Curve]]-3,0)</f>
        <v>-2</v>
      </c>
      <c r="O94" s="53">
        <f>IF(Companies[[#This Row],[PSR]]&gt;2,-1,IF(Companies[[#This Row],[PSR]]&lt;1,1,0))</f>
        <v>1</v>
      </c>
      <c r="P94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94" s="53">
        <f>IF(Companies[[#This Row],[PFV]]&lt;0.75,2,IF(Companies[[#This Row],[PFV]]&lt;0.95,1,IF(Companies[[#This Row],[PFV]]&gt;1.25,-2,IF(Companies[[#This Row],[PFV]]&gt;1.15,-1,0))))</f>
        <v>2</v>
      </c>
    </row>
    <row r="95" spans="2:17" s="53" customFormat="1" ht="25.15" customHeight="1" x14ac:dyDescent="0.25">
      <c r="B95" s="52" t="s">
        <v>1274</v>
      </c>
      <c r="C95" s="11" t="str">
        <f>VLOOKUP(Companies[[#This Row],[Symbol]],Morningstar,MATCH("Name",Morningstar_Cols,EXACT_MATCH),EXACT_MATCH)</f>
        <v>Daimler AG</v>
      </c>
      <c r="D95" s="114">
        <f>VLOOKUP(Companies[[#This Row],[Symbol]],Morningstar,MATCH("mil$ Market Cap",Morningstar_Cols,0),0)</f>
        <v>31332.3</v>
      </c>
      <c r="E95" s="115">
        <f>VLOOKUP(Companies[[#This Row],[Symbol]],Morningstar,MATCH("% Total Return 3 Month",Morningstar_Cols,EXACT_MATCH),EXACT_MATCH)/100</f>
        <v>-0.4924</v>
      </c>
      <c r="F95" s="115">
        <f>VLOOKUP(Companies[[#This Row],[Symbol]],Morningstar,MATCH("% Total Return 12 Month",Morningstar_Cols,EXACT_MATCH),EXACT_MATCH)/100</f>
        <v>-0.43990000000000001</v>
      </c>
      <c r="G95" s="116">
        <f>VLOOKUP(Companies[[#This Row],[Symbol]],Morningstar,MATCH("Price/Sales",Morningstar_Cols,EXACT_MATCH),EXACT_MATCH)</f>
        <v>0.16</v>
      </c>
      <c r="H95" s="117">
        <f>VLOOKUP(Companies[[#This Row],[Symbol]],Morningstar,MATCH("Price/Fair Value",Morningstar_Cols,EXACT_MATCH),EXACT_MATCH)</f>
        <v>0.35</v>
      </c>
      <c r="I9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95" s="107">
        <f>VLOOKUP(Companies[[#This Row],[Symbol]],Morningstar,MATCH("% Dividend Yield TTM",Morningstar_Cols,EXACT_MATCH),EXACT_MATCH)/100</f>
        <v>0.12869999999999998</v>
      </c>
      <c r="K95" s="119" t="str">
        <f>IFERROR(LOOKUP(2,1/(GrowthCurves[Ticker]=Companies[[#This Row],[Symbol]]),GrowthCurves[Metric]),"")</f>
        <v>1</v>
      </c>
      <c r="L95" s="94">
        <f>RatingDefault+SUM(Companies[[#This Row],[CurvePoints]:[PFVPoints]])</f>
        <v>4</v>
      </c>
      <c r="M95" s="94"/>
      <c r="N95" s="102">
        <f>IF(Companies[[#This Row],[Growth Curve]]&lt;&gt;"",Companies[[#This Row],[Growth Curve]]-3,0)</f>
        <v>-2</v>
      </c>
      <c r="O95" s="52">
        <f>IF(Companies[[#This Row],[PSR]]&gt;2,-1,IF(Companies[[#This Row],[PSR]]&lt;1,1,0))</f>
        <v>1</v>
      </c>
      <c r="P95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95" s="53">
        <f>IF(Companies[[#This Row],[PFV]]&lt;0.75,2,IF(Companies[[#This Row],[PFV]]&lt;0.95,1,IF(Companies[[#This Row],[PFV]]&gt;1.25,-2,IF(Companies[[#This Row],[PFV]]&gt;1.15,-1,0))))</f>
        <v>2</v>
      </c>
    </row>
    <row r="96" spans="2:17" s="53" customFormat="1" ht="25.15" customHeight="1" x14ac:dyDescent="0.25">
      <c r="B96" s="11" t="s">
        <v>287</v>
      </c>
      <c r="C96" s="11" t="str">
        <f>VLOOKUP(Companies[[#This Row],[Symbol]],Morningstar,MATCH("Name",Morningstar_Cols,EXACT_MATCH),EXACT_MATCH)</f>
        <v>Dillard's Inc Class A</v>
      </c>
      <c r="D96" s="114">
        <f>VLOOKUP(Companies[[#This Row],[Symbol]],Morningstar,MATCH("mil$ Market Cap",Morningstar_Cols,0),0)</f>
        <v>1025.0899999999999</v>
      </c>
      <c r="E96" s="115">
        <f>VLOOKUP(Companies[[#This Row],[Symbol]],Morningstar,MATCH("% Total Return 3 Month",Morningstar_Cols,EXACT_MATCH),EXACT_MATCH)/100</f>
        <v>-0.45150000000000001</v>
      </c>
      <c r="F96" s="115">
        <f>VLOOKUP(Companies[[#This Row],[Symbol]],Morningstar,MATCH("% Total Return 12 Month",Morningstar_Cols,EXACT_MATCH),EXACT_MATCH)/100</f>
        <v>-0.46619999999999995</v>
      </c>
      <c r="G96" s="116">
        <f>VLOOKUP(Companies[[#This Row],[Symbol]],Morningstar,MATCH("Price/Sales",Morningstar_Cols,EXACT_MATCH),EXACT_MATCH)</f>
        <v>0.16</v>
      </c>
      <c r="H96" s="117">
        <f>VLOOKUP(Companies[[#This Row],[Symbol]],Morningstar,MATCH("Price/Fair Value",Morningstar_Cols,EXACT_MATCH),EXACT_MATCH)</f>
        <v>0.52</v>
      </c>
      <c r="I9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96" s="107">
        <f>VLOOKUP(Companies[[#This Row],[Symbol]],Morningstar,MATCH("% Dividend Yield TTM",Morningstar_Cols,EXACT_MATCH),EXACT_MATCH)/100</f>
        <v>1.29E-2</v>
      </c>
      <c r="K96" s="119" t="str">
        <f>IFERROR(LOOKUP(2,1/(GrowthCurves[Ticker]=Companies[[#This Row],[Symbol]]),GrowthCurves[Metric]),"")</f>
        <v>2</v>
      </c>
      <c r="L96" s="94">
        <f>RatingDefault+SUM(Companies[[#This Row],[CurvePoints]:[PFVPoints]])</f>
        <v>5</v>
      </c>
      <c r="M96" s="94"/>
      <c r="N96" s="103">
        <f>IF(Companies[[#This Row],[Growth Curve]]&lt;&gt;"",Companies[[#This Row],[Growth Curve]]-3,0)</f>
        <v>-1</v>
      </c>
      <c r="O96" s="53">
        <f>IF(Companies[[#This Row],[PSR]]&gt;2,-1,IF(Companies[[#This Row],[PSR]]&lt;1,1,0))</f>
        <v>1</v>
      </c>
      <c r="P96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96" s="53">
        <f>IF(Companies[[#This Row],[PFV]]&lt;0.75,2,IF(Companies[[#This Row],[PFV]]&lt;0.95,1,IF(Companies[[#This Row],[PFV]]&gt;1.25,-2,IF(Companies[[#This Row],[PFV]]&gt;1.15,-1,0))))</f>
        <v>2</v>
      </c>
    </row>
    <row r="97" spans="2:17" s="53" customFormat="1" ht="25.15" customHeight="1" x14ac:dyDescent="0.25">
      <c r="B97" s="11" t="s">
        <v>223</v>
      </c>
      <c r="C97" s="11" t="str">
        <f>VLOOKUP(Companies[[#This Row],[Symbol]],Morningstar,MATCH("Name",Morningstar_Cols,EXACT_MATCH),EXACT_MATCH)</f>
        <v>D.R. Horton Inc</v>
      </c>
      <c r="D97" s="114">
        <f>VLOOKUP(Companies[[#This Row],[Symbol]],Morningstar,MATCH("mil$ Market Cap",Morningstar_Cols,0),0)</f>
        <v>13733.15</v>
      </c>
      <c r="E97" s="115">
        <f>VLOOKUP(Companies[[#This Row],[Symbol]],Morningstar,MATCH("% Total Return 3 Month",Morningstar_Cols,EXACT_MATCH),EXACT_MATCH)/100</f>
        <v>-0.27529999999999999</v>
      </c>
      <c r="F97" s="115">
        <f>VLOOKUP(Companies[[#This Row],[Symbol]],Morningstar,MATCH("% Total Return 12 Month",Morningstar_Cols,EXACT_MATCH),EXACT_MATCH)/100</f>
        <v>-3.7000000000000005E-2</v>
      </c>
      <c r="G97" s="116">
        <f>VLOOKUP(Companies[[#This Row],[Symbol]],Morningstar,MATCH("Price/Sales",Morningstar_Cols,EXACT_MATCH),EXACT_MATCH)</f>
        <v>0.77</v>
      </c>
      <c r="H97" s="117">
        <f>VLOOKUP(Companies[[#This Row],[Symbol]],Morningstar,MATCH("Price/Fair Value",Morningstar_Cols,EXACT_MATCH),EXACT_MATCH)</f>
        <v>0.72</v>
      </c>
      <c r="I9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97" s="107">
        <f>VLOOKUP(Companies[[#This Row],[Symbol]],Morningstar,MATCH("% Dividend Yield TTM",Morningstar_Cols,EXACT_MATCH),EXACT_MATCH)/100</f>
        <v>1.66E-2</v>
      </c>
      <c r="K97" s="119" t="str">
        <f>IFERROR(LOOKUP(2,1/(GrowthCurves[Ticker]=Companies[[#This Row],[Symbol]]),GrowthCurves[Metric]),"")</f>
        <v>1</v>
      </c>
      <c r="L97" s="94">
        <f>RatingDefault+SUM(Companies[[#This Row],[CurvePoints]:[PFVPoints]])</f>
        <v>5</v>
      </c>
      <c r="M97" s="94"/>
      <c r="N97" s="103">
        <f>IF(Companies[[#This Row],[Growth Curve]]&lt;&gt;"",Companies[[#This Row],[Growth Curve]]-3,0)</f>
        <v>-2</v>
      </c>
      <c r="O97" s="53">
        <f>IF(Companies[[#This Row],[PSR]]&gt;2,-1,IF(Companies[[#This Row],[PSR]]&lt;1,1,0))</f>
        <v>1</v>
      </c>
      <c r="P97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97" s="53">
        <f>IF(Companies[[#This Row],[PFV]]&lt;0.75,2,IF(Companies[[#This Row],[PFV]]&lt;0.95,1,IF(Companies[[#This Row],[PFV]]&gt;1.25,-2,IF(Companies[[#This Row],[PFV]]&gt;1.15,-1,0))))</f>
        <v>2</v>
      </c>
    </row>
    <row r="98" spans="2:17" s="53" customFormat="1" ht="25.15" customHeight="1" x14ac:dyDescent="0.25">
      <c r="B98" s="11" t="s">
        <v>174</v>
      </c>
      <c r="C98" s="11" t="str">
        <f>VLOOKUP(Companies[[#This Row],[Symbol]],Morningstar,MATCH("Name",Morningstar_Cols,EXACT_MATCH),EXACT_MATCH)</f>
        <v>Discovery Inc Class A</v>
      </c>
      <c r="D98" s="114">
        <f>VLOOKUP(Companies[[#This Row],[Symbol]],Morningstar,MATCH("mil$ Market Cap",Morningstar_Cols,0),0)</f>
        <v>11182.58</v>
      </c>
      <c r="E98" s="115">
        <f>VLOOKUP(Companies[[#This Row],[Symbol]],Morningstar,MATCH("% Total Return 3 Month",Morningstar_Cols,EXACT_MATCH),EXACT_MATCH)/100</f>
        <v>-0.3115</v>
      </c>
      <c r="F98" s="115">
        <f>VLOOKUP(Companies[[#This Row],[Symbol]],Morningstar,MATCH("% Total Return 12 Month",Morningstar_Cols,EXACT_MATCH),EXACT_MATCH)/100</f>
        <v>-0.2147</v>
      </c>
      <c r="G98" s="116">
        <f>VLOOKUP(Companies[[#This Row],[Symbol]],Morningstar,MATCH("Price/Sales",Morningstar_Cols,EXACT_MATCH),EXACT_MATCH)</f>
        <v>1.41</v>
      </c>
      <c r="H98" s="117">
        <f>VLOOKUP(Companies[[#This Row],[Symbol]],Morningstar,MATCH("Price/Fair Value",Morningstar_Cols,EXACT_MATCH),EXACT_MATCH)</f>
        <v>0.69</v>
      </c>
      <c r="I9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98" s="107">
        <f>VLOOKUP(Companies[[#This Row],[Symbol]],Morningstar,MATCH("% Dividend Yield TTM",Morningstar_Cols,EXACT_MATCH),EXACT_MATCH)/100</f>
        <v>0</v>
      </c>
      <c r="K98" s="119" t="str">
        <f>IFERROR(LOOKUP(2,1/(GrowthCurves[Ticker]=Companies[[#This Row],[Symbol]]),GrowthCurves[Metric]),"")</f>
        <v/>
      </c>
      <c r="L98" s="94">
        <f>RatingDefault+SUM(Companies[[#This Row],[CurvePoints]:[PFVPoints]])</f>
        <v>5</v>
      </c>
      <c r="M98" s="94"/>
      <c r="N98" s="103">
        <f>IF(Companies[[#This Row],[Growth Curve]]&lt;&gt;"",Companies[[#This Row],[Growth Curve]]-3,0)</f>
        <v>0</v>
      </c>
      <c r="O98" s="53">
        <f>IF(Companies[[#This Row],[PSR]]&gt;2,-1,IF(Companies[[#This Row],[PSR]]&lt;1,1,0))</f>
        <v>0</v>
      </c>
      <c r="P98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98" s="53">
        <f>IF(Companies[[#This Row],[PFV]]&lt;0.75,2,IF(Companies[[#This Row],[PFV]]&lt;0.95,1,IF(Companies[[#This Row],[PFV]]&gt;1.25,-2,IF(Companies[[#This Row],[PFV]]&gt;1.15,-1,0))))</f>
        <v>2</v>
      </c>
    </row>
    <row r="99" spans="2:17" s="53" customFormat="1" ht="25.15" customHeight="1" x14ac:dyDescent="0.25">
      <c r="B99" s="11" t="s">
        <v>131</v>
      </c>
      <c r="C99" s="11" t="str">
        <f>VLOOKUP(Companies[[#This Row],[Symbol]],Morningstar,MATCH("Name",Morningstar_Cols,EXACT_MATCH),EXACT_MATCH)</f>
        <v>Delek US Holdings Inc</v>
      </c>
      <c r="D99" s="114">
        <f>VLOOKUP(Companies[[#This Row],[Symbol]],Morningstar,MATCH("mil$ Market Cap",Morningstar_Cols,0),0)</f>
        <v>711.39</v>
      </c>
      <c r="E99" s="115">
        <f>VLOOKUP(Companies[[#This Row],[Symbol]],Morningstar,MATCH("% Total Return 3 Month",Morningstar_Cols,EXACT_MATCH),EXACT_MATCH)/100</f>
        <v>-0.73069999999999991</v>
      </c>
      <c r="F99" s="115">
        <f>VLOOKUP(Companies[[#This Row],[Symbol]],Morningstar,MATCH("% Total Return 12 Month",Morningstar_Cols,EXACT_MATCH),EXACT_MATCH)/100</f>
        <v>-0.71239999999999992</v>
      </c>
      <c r="G99" s="116">
        <f>VLOOKUP(Companies[[#This Row],[Symbol]],Morningstar,MATCH("Price/Sales",Morningstar_Cols,EXACT_MATCH),EXACT_MATCH)</f>
        <v>0.08</v>
      </c>
      <c r="H99" s="117">
        <f>VLOOKUP(Companies[[#This Row],[Symbol]],Morningstar,MATCH("Price/Fair Value",Morningstar_Cols,EXACT_MATCH),EXACT_MATCH)</f>
        <v>0.39</v>
      </c>
      <c r="I9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99" s="107">
        <f>VLOOKUP(Companies[[#This Row],[Symbol]],Morningstar,MATCH("% Dividend Yield TTM",Morningstar_Cols,EXACT_MATCH),EXACT_MATCH)/100</f>
        <v>0.1333</v>
      </c>
      <c r="K99" s="119" t="str">
        <f>IFERROR(LOOKUP(2,1/(GrowthCurves[Ticker]=Companies[[#This Row],[Symbol]]),GrowthCurves[Metric]),"")</f>
        <v>1</v>
      </c>
      <c r="L99" s="94">
        <f>RatingDefault+SUM(Companies[[#This Row],[CurvePoints]:[PFVPoints]])</f>
        <v>3</v>
      </c>
      <c r="M99" s="94"/>
      <c r="N99" s="103">
        <f>IF(Companies[[#This Row],[Growth Curve]]&lt;&gt;"",Companies[[#This Row],[Growth Curve]]-3,0)</f>
        <v>-2</v>
      </c>
      <c r="O99" s="53">
        <f>IF(Companies[[#This Row],[PSR]]&gt;2,-1,IF(Companies[[#This Row],[PSR]]&lt;1,1,0))</f>
        <v>1</v>
      </c>
      <c r="P99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99" s="53">
        <f>IF(Companies[[#This Row],[PFV]]&lt;0.75,2,IF(Companies[[#This Row],[PFV]]&lt;0.95,1,IF(Companies[[#This Row],[PFV]]&gt;1.25,-2,IF(Companies[[#This Row],[PFV]]&gt;1.15,-1,0))))</f>
        <v>2</v>
      </c>
    </row>
    <row r="100" spans="2:17" s="53" customFormat="1" ht="25.15" customHeight="1" x14ac:dyDescent="0.25">
      <c r="B100" s="11" t="s">
        <v>331</v>
      </c>
      <c r="C100" s="11" t="str">
        <f>VLOOKUP(Companies[[#This Row],[Symbol]],Morningstar,MATCH("Name",Morningstar_Cols,EXACT_MATCH),EXACT_MATCH)</f>
        <v>Denbury Resources Inc</v>
      </c>
      <c r="D100" s="114">
        <f>VLOOKUP(Companies[[#This Row],[Symbol]],Morningstar,MATCH("mil$ Market Cap",Morningstar_Cols,0),0)</f>
        <v>140.04</v>
      </c>
      <c r="E100" s="115">
        <f>VLOOKUP(Companies[[#This Row],[Symbol]],Morningstar,MATCH("% Total Return 3 Month",Morningstar_Cols,EXACT_MATCH),EXACT_MATCH)/100</f>
        <v>-0.78549999999999998</v>
      </c>
      <c r="F100" s="115">
        <f>VLOOKUP(Companies[[#This Row],[Symbol]],Morningstar,MATCH("% Total Return 12 Month",Morningstar_Cols,EXACT_MATCH),EXACT_MATCH)/100</f>
        <v>-0.84889999999999999</v>
      </c>
      <c r="G100" s="116">
        <f>VLOOKUP(Companies[[#This Row],[Symbol]],Morningstar,MATCH("Price/Sales",Morningstar_Cols,EXACT_MATCH),EXACT_MATCH)</f>
        <v>0.11</v>
      </c>
      <c r="H100" s="117">
        <f>VLOOKUP(Companies[[#This Row],[Symbol]],Morningstar,MATCH("Price/Fair Value",Morningstar_Cols,EXACT_MATCH),EXACT_MATCH)</f>
        <v>0.55000000000000004</v>
      </c>
      <c r="I10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100" s="107">
        <f>VLOOKUP(Companies[[#This Row],[Symbol]],Morningstar,MATCH("% Dividend Yield TTM",Morningstar_Cols,EXACT_MATCH),EXACT_MATCH)/100</f>
        <v>0</v>
      </c>
      <c r="K100" s="119" t="str">
        <f>IFERROR(LOOKUP(2,1/(GrowthCurves[Ticker]=Companies[[#This Row],[Symbol]]),GrowthCurves[Metric]),"")</f>
        <v/>
      </c>
      <c r="L100" s="94">
        <f>RatingDefault+SUM(Companies[[#This Row],[CurvePoints]:[PFVPoints]])</f>
        <v>5</v>
      </c>
      <c r="M100" s="94"/>
      <c r="N100" s="103">
        <f>IF(Companies[[#This Row],[Growth Curve]]&lt;&gt;"",Companies[[#This Row],[Growth Curve]]-3,0)</f>
        <v>0</v>
      </c>
      <c r="O100" s="53">
        <f>IF(Companies[[#This Row],[PSR]]&gt;2,-1,IF(Companies[[#This Row],[PSR]]&lt;1,1,0))</f>
        <v>1</v>
      </c>
      <c r="P100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00" s="53">
        <f>IF(Companies[[#This Row],[PFV]]&lt;0.75,2,IF(Companies[[#This Row],[PFV]]&lt;0.95,1,IF(Companies[[#This Row],[PFV]]&gt;1.25,-2,IF(Companies[[#This Row],[PFV]]&gt;1.15,-1,0))))</f>
        <v>2</v>
      </c>
    </row>
    <row r="101" spans="2:17" s="53" customFormat="1" ht="25.15" customHeight="1" x14ac:dyDescent="0.25">
      <c r="B101" s="11" t="s">
        <v>243</v>
      </c>
      <c r="C101" s="11" t="str">
        <f>VLOOKUP(Companies[[#This Row],[Symbol]],Morningstar,MATCH("Name",Morningstar_Cols,EXACT_MATCH),EXACT_MATCH)</f>
        <v>Diplomat Pharmacy Inc</v>
      </c>
      <c r="D101" s="114">
        <f>VLOOKUP(Companies[[#This Row],[Symbol]],Morningstar,MATCH("mil$ Market Cap",Morningstar_Cols,0),0)</f>
        <v>0</v>
      </c>
      <c r="E101" s="115">
        <f>VLOOKUP(Companies[[#This Row],[Symbol]],Morningstar,MATCH("% Total Return 3 Month",Morningstar_Cols,EXACT_MATCH),EXACT_MATCH)/100</f>
        <v>0</v>
      </c>
      <c r="F101" s="115">
        <f>VLOOKUP(Companies[[#This Row],[Symbol]],Morningstar,MATCH("% Total Return 12 Month",Morningstar_Cols,EXACT_MATCH),EXACT_MATCH)/100</f>
        <v>0</v>
      </c>
      <c r="G101" s="116">
        <f>VLOOKUP(Companies[[#This Row],[Symbol]],Morningstar,MATCH("Price/Sales",Morningstar_Cols,EXACT_MATCH),EXACT_MATCH)</f>
        <v>0</v>
      </c>
      <c r="H101" s="117">
        <f>VLOOKUP(Companies[[#This Row],[Symbol]],Morningstar,MATCH("Price/Fair Value",Morningstar_Cols,EXACT_MATCH),EXACT_MATCH)</f>
        <v>0</v>
      </c>
      <c r="I10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101" s="107">
        <f>VLOOKUP(Companies[[#This Row],[Symbol]],Morningstar,MATCH("% Dividend Yield TTM",Morningstar_Cols,EXACT_MATCH),EXACT_MATCH)/100</f>
        <v>0</v>
      </c>
      <c r="K101" s="119" t="str">
        <f>IFERROR(LOOKUP(2,1/(GrowthCurves[Ticker]=Companies[[#This Row],[Symbol]]),GrowthCurves[Metric]),"")</f>
        <v>1</v>
      </c>
      <c r="L101" s="94">
        <f>RatingDefault+SUM(Companies[[#This Row],[CurvePoints]:[PFVPoints]])</f>
        <v>3</v>
      </c>
      <c r="M101" s="94"/>
      <c r="N101" s="103">
        <f>IF(Companies[[#This Row],[Growth Curve]]&lt;&gt;"",Companies[[#This Row],[Growth Curve]]-3,0)</f>
        <v>-2</v>
      </c>
      <c r="O101" s="53">
        <f>IF(Companies[[#This Row],[PSR]]&gt;2,-1,IF(Companies[[#This Row],[PSR]]&lt;1,1,0))</f>
        <v>1</v>
      </c>
      <c r="P101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01" s="53">
        <f>IF(Companies[[#This Row],[PFV]]&lt;0.75,2,IF(Companies[[#This Row],[PFV]]&lt;0.95,1,IF(Companies[[#This Row],[PFV]]&gt;1.25,-2,IF(Companies[[#This Row],[PFV]]&gt;1.15,-1,0))))</f>
        <v>2</v>
      </c>
    </row>
    <row r="102" spans="2:17" s="53" customFormat="1" ht="25.15" customHeight="1" x14ac:dyDescent="0.25">
      <c r="B102" s="52" t="s">
        <v>390</v>
      </c>
      <c r="C102" s="11" t="str">
        <f>VLOOKUP(Companies[[#This Row],[Symbol]],Morningstar,MATCH("Name",Morningstar_Cols,EXACT_MATCH),EXACT_MATCH)</f>
        <v>Drive Shack Inc</v>
      </c>
      <c r="D102" s="114">
        <f>VLOOKUP(Companies[[#This Row],[Symbol]],Morningstar,MATCH("mil$ Market Cap",Morningstar_Cols,0),0)</f>
        <v>108.32</v>
      </c>
      <c r="E102" s="115">
        <f>VLOOKUP(Companies[[#This Row],[Symbol]],Morningstar,MATCH("% Total Return 3 Month",Morningstar_Cols,EXACT_MATCH),EXACT_MATCH)/100</f>
        <v>-0.62259999999999993</v>
      </c>
      <c r="F102" s="115">
        <f>VLOOKUP(Companies[[#This Row],[Symbol]],Morningstar,MATCH("% Total Return 12 Month",Morningstar_Cols,EXACT_MATCH),EXACT_MATCH)/100</f>
        <v>-0.68889999999999996</v>
      </c>
      <c r="G102" s="116">
        <f>VLOOKUP(Companies[[#This Row],[Symbol]],Morningstar,MATCH("Price/Sales",Morningstar_Cols,EXACT_MATCH),EXACT_MATCH)</f>
        <v>0.39</v>
      </c>
      <c r="H102" s="117">
        <f>VLOOKUP(Companies[[#This Row],[Symbol]],Morningstar,MATCH("Price/Fair Value",Morningstar_Cols,EXACT_MATCH),EXACT_MATCH)</f>
        <v>0.4</v>
      </c>
      <c r="I10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102" s="107">
        <f>VLOOKUP(Companies[[#This Row],[Symbol]],Morningstar,MATCH("% Dividend Yield TTM",Morningstar_Cols,EXACT_MATCH),EXACT_MATCH)/100</f>
        <v>0</v>
      </c>
      <c r="K102" s="119" t="str">
        <f>IFERROR(LOOKUP(2,1/(GrowthCurves[Ticker]=Companies[[#This Row],[Symbol]]),GrowthCurves[Metric]),"")</f>
        <v>1</v>
      </c>
      <c r="L102" s="94">
        <f>RatingDefault+SUM(Companies[[#This Row],[CurvePoints]:[PFVPoints]])</f>
        <v>3</v>
      </c>
      <c r="M102" s="94"/>
      <c r="N102" s="102">
        <f>IF(Companies[[#This Row],[Growth Curve]]&lt;&gt;"",Companies[[#This Row],[Growth Curve]]-3,0)</f>
        <v>-2</v>
      </c>
      <c r="O102" s="52">
        <f>IF(Companies[[#This Row],[PSR]]&gt;2,-1,IF(Companies[[#This Row],[PSR]]&lt;1,1,0))</f>
        <v>1</v>
      </c>
      <c r="P102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02" s="53">
        <f>IF(Companies[[#This Row],[PFV]]&lt;0.75,2,IF(Companies[[#This Row],[PFV]]&lt;0.95,1,IF(Companies[[#This Row],[PFV]]&gt;1.25,-2,IF(Companies[[#This Row],[PFV]]&gt;1.15,-1,0))))</f>
        <v>2</v>
      </c>
    </row>
    <row r="103" spans="2:17" s="53" customFormat="1" ht="25.15" customHeight="1" x14ac:dyDescent="0.25">
      <c r="B103" s="11" t="s">
        <v>738</v>
      </c>
      <c r="C103" s="11" t="str">
        <f>VLOOKUP(Companies[[#This Row],[Symbol]],Morningstar,MATCH("Name",Morningstar_Cols,EXACT_MATCH),EXACT_MATCH)</f>
        <v>Daseke Inc</v>
      </c>
      <c r="D103" s="114">
        <f>VLOOKUP(Companies[[#This Row],[Symbol]],Morningstar,MATCH("mil$ Market Cap",Morningstar_Cols,0),0)</f>
        <v>133.07</v>
      </c>
      <c r="E103" s="115">
        <f>VLOOKUP(Companies[[#This Row],[Symbol]],Morningstar,MATCH("% Total Return 3 Month",Morningstar_Cols,EXACT_MATCH),EXACT_MATCH)/100</f>
        <v>-0.47119999999999995</v>
      </c>
      <c r="F103" s="115">
        <f>VLOOKUP(Companies[[#This Row],[Symbol]],Morningstar,MATCH("% Total Return 12 Month",Morningstar_Cols,EXACT_MATCH),EXACT_MATCH)/100</f>
        <v>-0.63739999999999997</v>
      </c>
      <c r="G103" s="116">
        <f>VLOOKUP(Companies[[#This Row],[Symbol]],Morningstar,MATCH("Price/Sales",Morningstar_Cols,EXACT_MATCH),EXACT_MATCH)</f>
        <v>0.08</v>
      </c>
      <c r="H103" s="117">
        <f>VLOOKUP(Companies[[#This Row],[Symbol]],Morningstar,MATCH("Price/Fair Value",Morningstar_Cols,EXACT_MATCH),EXACT_MATCH)</f>
        <v>0.44</v>
      </c>
      <c r="I10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103" s="107">
        <f>VLOOKUP(Companies[[#This Row],[Symbol]],Morningstar,MATCH("% Dividend Yield TTM",Morningstar_Cols,EXACT_MATCH),EXACT_MATCH)/100</f>
        <v>0</v>
      </c>
      <c r="K103" s="119" t="str">
        <f>IFERROR(LOOKUP(2,1/(GrowthCurves[Ticker]=Companies[[#This Row],[Symbol]]),GrowthCurves[Metric]),"")</f>
        <v>1</v>
      </c>
      <c r="L103" s="94">
        <f>RatingDefault+SUM(Companies[[#This Row],[CurvePoints]:[PFVPoints]])</f>
        <v>3</v>
      </c>
      <c r="M103" s="94"/>
      <c r="N103" s="103">
        <f>IF(Companies[[#This Row],[Growth Curve]]&lt;&gt;"",Companies[[#This Row],[Growth Curve]]-3,0)</f>
        <v>-2</v>
      </c>
      <c r="O103" s="53">
        <f>IF(Companies[[#This Row],[PSR]]&gt;2,-1,IF(Companies[[#This Row],[PSR]]&lt;1,1,0))</f>
        <v>1</v>
      </c>
      <c r="P103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03" s="53">
        <f>IF(Companies[[#This Row],[PFV]]&lt;0.75,2,IF(Companies[[#This Row],[PFV]]&lt;0.95,1,IF(Companies[[#This Row],[PFV]]&gt;1.25,-2,IF(Companies[[#This Row],[PFV]]&gt;1.15,-1,0))))</f>
        <v>2</v>
      </c>
    </row>
    <row r="104" spans="2:17" s="53" customFormat="1" ht="25.15" customHeight="1" x14ac:dyDescent="0.25">
      <c r="B104" s="11" t="s">
        <v>664</v>
      </c>
      <c r="C104" s="11" t="str">
        <f>VLOOKUP(Companies[[#This Row],[Symbol]],Morningstar,MATCH("Name",Morningstar_Cols,EXACT_MATCH),EXACT_MATCH)</f>
        <v>Endurance International Group Holdings Inc</v>
      </c>
      <c r="D104" s="114">
        <f>VLOOKUP(Companies[[#This Row],[Symbol]],Morningstar,MATCH("mil$ Market Cap",Morningstar_Cols,0),0)</f>
        <v>324.18</v>
      </c>
      <c r="E104" s="115">
        <f>VLOOKUP(Companies[[#This Row],[Symbol]],Morningstar,MATCH("% Total Return 3 Month",Morningstar_Cols,EXACT_MATCH),EXACT_MATCH)/100</f>
        <v>-0.49049999999999999</v>
      </c>
      <c r="F104" s="115">
        <f>VLOOKUP(Companies[[#This Row],[Symbol]],Morningstar,MATCH("% Total Return 12 Month",Morningstar_Cols,EXACT_MATCH),EXACT_MATCH)/100</f>
        <v>-0.70510000000000006</v>
      </c>
      <c r="G104" s="116">
        <f>VLOOKUP(Companies[[#This Row],[Symbol]],Morningstar,MATCH("Price/Sales",Morningstar_Cols,EXACT_MATCH),EXACT_MATCH)</f>
        <v>0.28999999999999998</v>
      </c>
      <c r="H104" s="117">
        <f>VLOOKUP(Companies[[#This Row],[Symbol]],Morningstar,MATCH("Price/Fair Value",Morningstar_Cols,EXACT_MATCH),EXACT_MATCH)</f>
        <v>0.44</v>
      </c>
      <c r="I10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104" s="107">
        <f>VLOOKUP(Companies[[#This Row],[Symbol]],Morningstar,MATCH("% Dividend Yield TTM",Morningstar_Cols,EXACT_MATCH),EXACT_MATCH)/100</f>
        <v>0</v>
      </c>
      <c r="K104" s="119" t="str">
        <f>IFERROR(LOOKUP(2,1/(GrowthCurves[Ticker]=Companies[[#This Row],[Symbol]]),GrowthCurves[Metric]),"")</f>
        <v/>
      </c>
      <c r="L104" s="94">
        <f>RatingDefault+SUM(Companies[[#This Row],[CurvePoints]:[PFVPoints]])</f>
        <v>5</v>
      </c>
      <c r="M104" s="94"/>
      <c r="N104" s="103">
        <f>IF(Companies[[#This Row],[Growth Curve]]&lt;&gt;"",Companies[[#This Row],[Growth Curve]]-3,0)</f>
        <v>0</v>
      </c>
      <c r="O104" s="53">
        <f>IF(Companies[[#This Row],[PSR]]&gt;2,-1,IF(Companies[[#This Row],[PSR]]&lt;1,1,0))</f>
        <v>1</v>
      </c>
      <c r="P104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04" s="53">
        <f>IF(Companies[[#This Row],[PFV]]&lt;0.75,2,IF(Companies[[#This Row],[PFV]]&lt;0.95,1,IF(Companies[[#This Row],[PFV]]&gt;1.25,-2,IF(Companies[[#This Row],[PFV]]&gt;1.15,-1,0))))</f>
        <v>2</v>
      </c>
    </row>
    <row r="105" spans="2:17" s="53" customFormat="1" ht="25.15" customHeight="1" x14ac:dyDescent="0.25">
      <c r="B105" s="11" t="s">
        <v>1293</v>
      </c>
      <c r="C105" s="11" t="str">
        <f>VLOOKUP(Companies[[#This Row],[Symbol]],Morningstar,MATCH("Name",Morningstar_Cols,EXACT_MATCH),EXACT_MATCH)</f>
        <v>Emerson Electric Co</v>
      </c>
      <c r="D105" s="114">
        <f>VLOOKUP(Companies[[#This Row],[Symbol]],Morningstar,MATCH("mil$ Market Cap",Morningstar_Cols,0),0)</f>
        <v>28842.19</v>
      </c>
      <c r="E105" s="115">
        <f>VLOOKUP(Companies[[#This Row],[Symbol]],Morningstar,MATCH("% Total Return 3 Month",Morningstar_Cols,EXACT_MATCH),EXACT_MATCH)/100</f>
        <v>-0.39350000000000002</v>
      </c>
      <c r="F105" s="115">
        <f>VLOOKUP(Companies[[#This Row],[Symbol]],Morningstar,MATCH("% Total Return 12 Month",Morningstar_Cols,EXACT_MATCH),EXACT_MATCH)/100</f>
        <v>-0.28460000000000002</v>
      </c>
      <c r="G105" s="116">
        <f>VLOOKUP(Companies[[#This Row],[Symbol]],Morningstar,MATCH("Price/Sales",Morningstar_Cols,EXACT_MATCH),EXACT_MATCH)</f>
        <v>1.58</v>
      </c>
      <c r="H105" s="117">
        <f>VLOOKUP(Companies[[#This Row],[Symbol]],Morningstar,MATCH("Price/Fair Value",Morningstar_Cols,EXACT_MATCH),EXACT_MATCH)</f>
        <v>0.62</v>
      </c>
      <c r="I10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05" s="107">
        <f>VLOOKUP(Companies[[#This Row],[Symbol]],Morningstar,MATCH("% Dividend Yield TTM",Morningstar_Cols,EXACT_MATCH),EXACT_MATCH)/100</f>
        <v>4.2900000000000001E-2</v>
      </c>
      <c r="K105" s="119" t="str">
        <f>IFERROR(LOOKUP(2,1/(GrowthCurves[Ticker]=Companies[[#This Row],[Symbol]]),GrowthCurves[Metric]),"")</f>
        <v/>
      </c>
      <c r="L105" s="94">
        <f>RatingDefault+SUM(Companies[[#This Row],[CurvePoints]:[PFVPoints]])</f>
        <v>6</v>
      </c>
      <c r="M105" s="94"/>
      <c r="N105" s="103">
        <f>IF(Companies[[#This Row],[Growth Curve]]&lt;&gt;"",Companies[[#This Row],[Growth Curve]]-3,0)</f>
        <v>0</v>
      </c>
      <c r="O105" s="53">
        <f>IF(Companies[[#This Row],[PSR]]&gt;2,-1,IF(Companies[[#This Row],[PSR]]&lt;1,1,0))</f>
        <v>0</v>
      </c>
      <c r="P105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05" s="53">
        <f>IF(Companies[[#This Row],[PFV]]&lt;0.75,2,IF(Companies[[#This Row],[PFV]]&lt;0.95,1,IF(Companies[[#This Row],[PFV]]&gt;1.25,-2,IF(Companies[[#This Row],[PFV]]&gt;1.15,-1,0))))</f>
        <v>2</v>
      </c>
    </row>
    <row r="106" spans="2:17" s="53" customFormat="1" ht="25.15" customHeight="1" x14ac:dyDescent="0.25">
      <c r="B106" s="11" t="s">
        <v>304</v>
      </c>
      <c r="C106" s="11" t="str">
        <f>VLOOKUP(Companies[[#This Row],[Symbol]],Morningstar,MATCH("Name",Morningstar_Cols,EXACT_MATCH),EXACT_MATCH)</f>
        <v>Enbridge Inc</v>
      </c>
      <c r="D106" s="114">
        <f>VLOOKUP(Companies[[#This Row],[Symbol]],Morningstar,MATCH("mil$ Market Cap",Morningstar_Cols,0),0)</f>
        <v>56651.76</v>
      </c>
      <c r="E106" s="115">
        <f>VLOOKUP(Companies[[#This Row],[Symbol]],Morningstar,MATCH("% Total Return 3 Month",Morningstar_Cols,EXACT_MATCH),EXACT_MATCH)/100</f>
        <v>-0.30549999999999999</v>
      </c>
      <c r="F106" s="115">
        <f>VLOOKUP(Companies[[#This Row],[Symbol]],Morningstar,MATCH("% Total Return 12 Month",Morningstar_Cols,EXACT_MATCH),EXACT_MATCH)/100</f>
        <v>-0.23219999999999999</v>
      </c>
      <c r="G106" s="116">
        <f>VLOOKUP(Companies[[#This Row],[Symbol]],Morningstar,MATCH("Price/Sales",Morningstar_Cols,EXACT_MATCH),EXACT_MATCH)</f>
        <v>1.55</v>
      </c>
      <c r="H106" s="117">
        <f>VLOOKUP(Companies[[#This Row],[Symbol]],Morningstar,MATCH("Price/Fair Value",Morningstar_Cols,EXACT_MATCH),EXACT_MATCH)</f>
        <v>0.63</v>
      </c>
      <c r="I10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06" s="107">
        <f>VLOOKUP(Companies[[#This Row],[Symbol]],Morningstar,MATCH("% Dividend Yield TTM",Morningstar_Cols,EXACT_MATCH),EXACT_MATCH)/100</f>
        <v>8.6800000000000002E-2</v>
      </c>
      <c r="K106" s="119" t="str">
        <f>IFERROR(LOOKUP(2,1/(GrowthCurves[Ticker]=Companies[[#This Row],[Symbol]]),GrowthCurves[Metric]),"")</f>
        <v>5</v>
      </c>
      <c r="L106" s="94">
        <f>RatingDefault+SUM(Companies[[#This Row],[CurvePoints]:[PFVPoints]])</f>
        <v>8</v>
      </c>
      <c r="M106" s="94" t="s">
        <v>1062</v>
      </c>
      <c r="N106" s="103">
        <f>IF(Companies[[#This Row],[Growth Curve]]&lt;&gt;"",Companies[[#This Row],[Growth Curve]]-3,0)</f>
        <v>2</v>
      </c>
      <c r="O106" s="53">
        <f>IF(Companies[[#This Row],[PSR]]&gt;2,-1,IF(Companies[[#This Row],[PSR]]&lt;1,1,0))</f>
        <v>0</v>
      </c>
      <c r="P106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06" s="53">
        <f>IF(Companies[[#This Row],[PFV]]&lt;0.75,2,IF(Companies[[#This Row],[PFV]]&lt;0.95,1,IF(Companies[[#This Row],[PFV]]&gt;1.25,-2,IF(Companies[[#This Row],[PFV]]&gt;1.15,-1,0))))</f>
        <v>2</v>
      </c>
    </row>
    <row r="107" spans="2:17" s="53" customFormat="1" ht="25.15" customHeight="1" x14ac:dyDescent="0.25">
      <c r="B107" s="11" t="s">
        <v>333</v>
      </c>
      <c r="C107" s="11" t="str">
        <f>VLOOKUP(Companies[[#This Row],[Symbol]],Morningstar,MATCH("Name",Morningstar_Cols,EXACT_MATCH),EXACT_MATCH)</f>
        <v>Enphase Energy Inc</v>
      </c>
      <c r="D107" s="114">
        <f>VLOOKUP(Companies[[#This Row],[Symbol]],Morningstar,MATCH("mil$ Market Cap",Morningstar_Cols,0),0)</f>
        <v>4047.67</v>
      </c>
      <c r="E107" s="115">
        <f>VLOOKUP(Companies[[#This Row],[Symbol]],Morningstar,MATCH("% Total Return 3 Month",Morningstar_Cols,EXACT_MATCH),EXACT_MATCH)/100</f>
        <v>0.39439999999999997</v>
      </c>
      <c r="F107" s="115">
        <f>VLOOKUP(Companies[[#This Row],[Symbol]],Morningstar,MATCH("% Total Return 12 Month",Morningstar_Cols,EXACT_MATCH),EXACT_MATCH)/100</f>
        <v>2.6688999999999998</v>
      </c>
      <c r="G107" s="116">
        <f>VLOOKUP(Companies[[#This Row],[Symbol]],Morningstar,MATCH("Price/Sales",Morningstar_Cols,EXACT_MATCH),EXACT_MATCH)</f>
        <v>6.93</v>
      </c>
      <c r="H107" s="117">
        <f>VLOOKUP(Companies[[#This Row],[Symbol]],Morningstar,MATCH("Price/Fair Value",Morningstar_Cols,EXACT_MATCH),EXACT_MATCH)</f>
        <v>0.66</v>
      </c>
      <c r="I10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07" s="107">
        <f>VLOOKUP(Companies[[#This Row],[Symbol]],Morningstar,MATCH("% Dividend Yield TTM",Morningstar_Cols,EXACT_MATCH),EXACT_MATCH)/100</f>
        <v>0</v>
      </c>
      <c r="K107" s="119" t="str">
        <f>IFERROR(LOOKUP(2,1/(GrowthCurves[Ticker]=Companies[[#This Row],[Symbol]]),GrowthCurves[Metric]),"")</f>
        <v/>
      </c>
      <c r="L107" s="94">
        <f>RatingDefault+SUM(Companies[[#This Row],[CurvePoints]:[PFVPoints]])</f>
        <v>4</v>
      </c>
      <c r="M107" s="94"/>
      <c r="N107" s="103">
        <f>IF(Companies[[#This Row],[Growth Curve]]&lt;&gt;"",Companies[[#This Row],[Growth Curve]]-3,0)</f>
        <v>0</v>
      </c>
      <c r="O107" s="53">
        <f>IF(Companies[[#This Row],[PSR]]&gt;2,-1,IF(Companies[[#This Row],[PSR]]&lt;1,1,0))</f>
        <v>-1</v>
      </c>
      <c r="P107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07" s="53">
        <f>IF(Companies[[#This Row],[PFV]]&lt;0.75,2,IF(Companies[[#This Row],[PFV]]&lt;0.95,1,IF(Companies[[#This Row],[PFV]]&gt;1.25,-2,IF(Companies[[#This Row],[PFV]]&gt;1.15,-1,0))))</f>
        <v>2</v>
      </c>
    </row>
    <row r="108" spans="2:17" s="53" customFormat="1" ht="25.15" customHeight="1" x14ac:dyDescent="0.25">
      <c r="B108" s="11" t="s">
        <v>288</v>
      </c>
      <c r="C108" s="11" t="str">
        <f>VLOOKUP(Companies[[#This Row],[Symbol]],Morningstar,MATCH("Name",Morningstar_Cols,EXACT_MATCH),EXACT_MATCH)</f>
        <v>Ensign Group Inc</v>
      </c>
      <c r="D108" s="114">
        <f>VLOOKUP(Companies[[#This Row],[Symbol]],Morningstar,MATCH("mil$ Market Cap",Morningstar_Cols,0),0)</f>
        <v>1699.61</v>
      </c>
      <c r="E108" s="115">
        <f>VLOOKUP(Companies[[#This Row],[Symbol]],Morningstar,MATCH("% Total Return 3 Month",Morningstar_Cols,EXACT_MATCH),EXACT_MATCH)/100</f>
        <v>-0.28749999999999998</v>
      </c>
      <c r="F108" s="115">
        <f>VLOOKUP(Companies[[#This Row],[Symbol]],Morningstar,MATCH("% Total Return 12 Month",Morningstar_Cols,EXACT_MATCH),EXACT_MATCH)/100</f>
        <v>-0.23149999999999998</v>
      </c>
      <c r="G108" s="116">
        <f>VLOOKUP(Companies[[#This Row],[Symbol]],Morningstar,MATCH("Price/Sales",Morningstar_Cols,EXACT_MATCH),EXACT_MATCH)</f>
        <v>0.87</v>
      </c>
      <c r="H108" s="117">
        <f>VLOOKUP(Companies[[#This Row],[Symbol]],Morningstar,MATCH("Price/Fair Value",Morningstar_Cols,EXACT_MATCH),EXACT_MATCH)</f>
        <v>0.67</v>
      </c>
      <c r="I10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08" s="107">
        <f>VLOOKUP(Companies[[#This Row],[Symbol]],Morningstar,MATCH("% Dividend Yield TTM",Morningstar_Cols,EXACT_MATCH),EXACT_MATCH)/100</f>
        <v>6.1999999999999998E-3</v>
      </c>
      <c r="K108" s="119" t="str">
        <f>IFERROR(LOOKUP(2,1/(GrowthCurves[Ticker]=Companies[[#This Row],[Symbol]]),GrowthCurves[Metric]),"")</f>
        <v>4</v>
      </c>
      <c r="L108" s="94">
        <f>RatingDefault+SUM(Companies[[#This Row],[CurvePoints]:[PFVPoints]])</f>
        <v>7</v>
      </c>
      <c r="M108" s="94"/>
      <c r="N108" s="103">
        <f>IF(Companies[[#This Row],[Growth Curve]]&lt;&gt;"",Companies[[#This Row],[Growth Curve]]-3,0)</f>
        <v>1</v>
      </c>
      <c r="O108" s="53">
        <f>IF(Companies[[#This Row],[PSR]]&gt;2,-1,IF(Companies[[#This Row],[PSR]]&lt;1,1,0))</f>
        <v>1</v>
      </c>
      <c r="P108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08" s="53">
        <f>IF(Companies[[#This Row],[PFV]]&lt;0.75,2,IF(Companies[[#This Row],[PFV]]&lt;0.95,1,IF(Companies[[#This Row],[PFV]]&gt;1.25,-2,IF(Companies[[#This Row],[PFV]]&gt;1.15,-1,0))))</f>
        <v>2</v>
      </c>
    </row>
    <row r="109" spans="2:17" s="53" customFormat="1" ht="25.15" customHeight="1" x14ac:dyDescent="0.25">
      <c r="B109" s="11" t="s">
        <v>335</v>
      </c>
      <c r="C109" s="11" t="str">
        <f>VLOOKUP(Companies[[#This Row],[Symbol]],Morningstar,MATCH("Name",Morningstar_Cols,EXACT_MATCH),EXACT_MATCH)</f>
        <v>Enova International Inc</v>
      </c>
      <c r="D109" s="114">
        <f>VLOOKUP(Companies[[#This Row],[Symbol]],Morningstar,MATCH("mil$ Market Cap",Morningstar_Cols,0),0)</f>
        <v>538.89</v>
      </c>
      <c r="E109" s="115">
        <f>VLOOKUP(Companies[[#This Row],[Symbol]],Morningstar,MATCH("% Total Return 3 Month",Morningstar_Cols,EXACT_MATCH),EXACT_MATCH)/100</f>
        <v>-0.34869999999999995</v>
      </c>
      <c r="F109" s="115">
        <f>VLOOKUP(Companies[[#This Row],[Symbol]],Morningstar,MATCH("% Total Return 12 Month",Morningstar_Cols,EXACT_MATCH),EXACT_MATCH)/100</f>
        <v>-0.35639999999999999</v>
      </c>
      <c r="G109" s="116">
        <f>VLOOKUP(Companies[[#This Row],[Symbol]],Morningstar,MATCH("Price/Sales",Morningstar_Cols,EXACT_MATCH),EXACT_MATCH)</f>
        <v>0.49</v>
      </c>
      <c r="H109" s="117">
        <f>VLOOKUP(Companies[[#This Row],[Symbol]],Morningstar,MATCH("Price/Fair Value",Morningstar_Cols,EXACT_MATCH),EXACT_MATCH)</f>
        <v>0.63</v>
      </c>
      <c r="I10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09" s="107">
        <f>VLOOKUP(Companies[[#This Row],[Symbol]],Morningstar,MATCH("% Dividend Yield TTM",Morningstar_Cols,EXACT_MATCH),EXACT_MATCH)/100</f>
        <v>0</v>
      </c>
      <c r="K109" s="119" t="str">
        <f>IFERROR(LOOKUP(2,1/(GrowthCurves[Ticker]=Companies[[#This Row],[Symbol]]),GrowthCurves[Metric]),"")</f>
        <v>1</v>
      </c>
      <c r="L109" s="94">
        <f>RatingDefault+SUM(Companies[[#This Row],[CurvePoints]:[PFVPoints]])</f>
        <v>4</v>
      </c>
      <c r="M109" s="94"/>
      <c r="N109" s="103">
        <f>IF(Companies[[#This Row],[Growth Curve]]&lt;&gt;"",Companies[[#This Row],[Growth Curve]]-3,0)</f>
        <v>-2</v>
      </c>
      <c r="O109" s="53">
        <f>IF(Companies[[#This Row],[PSR]]&gt;2,-1,IF(Companies[[#This Row],[PSR]]&lt;1,1,0))</f>
        <v>1</v>
      </c>
      <c r="P109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09" s="53">
        <f>IF(Companies[[#This Row],[PFV]]&lt;0.75,2,IF(Companies[[#This Row],[PFV]]&lt;0.95,1,IF(Companies[[#This Row],[PFV]]&gt;1.25,-2,IF(Companies[[#This Row],[PFV]]&gt;1.15,-1,0))))</f>
        <v>2</v>
      </c>
    </row>
    <row r="110" spans="2:17" s="53" customFormat="1" ht="25.15" customHeight="1" x14ac:dyDescent="0.25">
      <c r="B110" s="11" t="s">
        <v>609</v>
      </c>
      <c r="C110" s="11" t="str">
        <f>VLOOKUP(Companies[[#This Row],[Symbol]],Morningstar,MATCH("Name",Morningstar_Cols,EXACT_MATCH),EXACT_MATCH)</f>
        <v>Enterprise Products Partners LP</v>
      </c>
      <c r="D110" s="114">
        <f>VLOOKUP(Companies[[#This Row],[Symbol]],Morningstar,MATCH("mil$ Market Cap",Morningstar_Cols,0),0)</f>
        <v>35203.5</v>
      </c>
      <c r="E110" s="115">
        <f>VLOOKUP(Companies[[#This Row],[Symbol]],Morningstar,MATCH("% Total Return 3 Month",Morningstar_Cols,EXACT_MATCH),EXACT_MATCH)/100</f>
        <v>-0.4778</v>
      </c>
      <c r="F110" s="115">
        <f>VLOOKUP(Companies[[#This Row],[Symbol]],Morningstar,MATCH("% Total Return 12 Month",Morningstar_Cols,EXACT_MATCH),EXACT_MATCH)/100</f>
        <v>-0.43469999999999998</v>
      </c>
      <c r="G110" s="116">
        <f>VLOOKUP(Companies[[#This Row],[Symbol]],Morningstar,MATCH("Price/Sales",Morningstar_Cols,EXACT_MATCH),EXACT_MATCH)</f>
        <v>1.06</v>
      </c>
      <c r="H110" s="117">
        <f>VLOOKUP(Companies[[#This Row],[Symbol]],Morningstar,MATCH("Price/Fair Value",Morningstar_Cols,EXACT_MATCH),EXACT_MATCH)</f>
        <v>0.62</v>
      </c>
      <c r="I11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10" s="107">
        <f>VLOOKUP(Companies[[#This Row],[Symbol]],Morningstar,MATCH("% Dividend Yield TTM",Morningstar_Cols,EXACT_MATCH),EXACT_MATCH)/100</f>
        <v>0.12380000000000001</v>
      </c>
      <c r="K110" s="119" t="str">
        <f>IFERROR(LOOKUP(2,1/(GrowthCurves[Ticker]=Companies[[#This Row],[Symbol]]),GrowthCurves[Metric]),"")</f>
        <v>2</v>
      </c>
      <c r="L110" s="94">
        <f>RatingDefault+SUM(Companies[[#This Row],[CurvePoints]:[PFVPoints]])</f>
        <v>4</v>
      </c>
      <c r="M110" s="94"/>
      <c r="N110" s="103">
        <f>IF(Companies[[#This Row],[Growth Curve]]&lt;&gt;"",Companies[[#This Row],[Growth Curve]]-3,0)</f>
        <v>-1</v>
      </c>
      <c r="O110" s="53">
        <f>IF(Companies[[#This Row],[PSR]]&gt;2,-1,IF(Companies[[#This Row],[PSR]]&lt;1,1,0))</f>
        <v>0</v>
      </c>
      <c r="P110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10" s="53">
        <f>IF(Companies[[#This Row],[PFV]]&lt;0.75,2,IF(Companies[[#This Row],[PFV]]&lt;0.95,1,IF(Companies[[#This Row],[PFV]]&gt;1.25,-2,IF(Companies[[#This Row],[PFV]]&gt;1.15,-1,0))))</f>
        <v>2</v>
      </c>
    </row>
    <row r="111" spans="2:17" s="53" customFormat="1" ht="25.15" customHeight="1" x14ac:dyDescent="0.25">
      <c r="B111" s="11" t="s">
        <v>362</v>
      </c>
      <c r="C111" s="11" t="str">
        <f>VLOOKUP(Companies[[#This Row],[Symbol]],Morningstar,MATCH("Name",Morningstar_Cols,EXACT_MATCH),EXACT_MATCH)</f>
        <v>Eldorado Resorts Inc</v>
      </c>
      <c r="D111" s="114">
        <f>VLOOKUP(Companies[[#This Row],[Symbol]],Morningstar,MATCH("mil$ Market Cap",Morningstar_Cols,0),0)</f>
        <v>1301.1600000000001</v>
      </c>
      <c r="E111" s="115">
        <f>VLOOKUP(Companies[[#This Row],[Symbol]],Morningstar,MATCH("% Total Return 3 Month",Morningstar_Cols,EXACT_MATCH),EXACT_MATCH)/100</f>
        <v>-0.71779999999999999</v>
      </c>
      <c r="F111" s="115">
        <f>VLOOKUP(Companies[[#This Row],[Symbol]],Morningstar,MATCH("% Total Return 12 Month",Morningstar_Cols,EXACT_MATCH),EXACT_MATCH)/100</f>
        <v>-0.66849999999999998</v>
      </c>
      <c r="G111" s="116">
        <f>VLOOKUP(Companies[[#This Row],[Symbol]],Morningstar,MATCH("Price/Sales",Morningstar_Cols,EXACT_MATCH),EXACT_MATCH)</f>
        <v>0.52</v>
      </c>
      <c r="H111" s="117">
        <f>VLOOKUP(Companies[[#This Row],[Symbol]],Morningstar,MATCH("Price/Fair Value",Morningstar_Cols,EXACT_MATCH),EXACT_MATCH)</f>
        <v>0.36</v>
      </c>
      <c r="I11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111" s="107">
        <f>VLOOKUP(Companies[[#This Row],[Symbol]],Morningstar,MATCH("% Dividend Yield TTM",Morningstar_Cols,EXACT_MATCH),EXACT_MATCH)/100</f>
        <v>0</v>
      </c>
      <c r="K111" s="119" t="str">
        <f>IFERROR(LOOKUP(2,1/(GrowthCurves[Ticker]=Companies[[#This Row],[Symbol]]),GrowthCurves[Metric]),"")</f>
        <v/>
      </c>
      <c r="L111" s="94">
        <f>RatingDefault+SUM(Companies[[#This Row],[CurvePoints]:[PFVPoints]])</f>
        <v>5</v>
      </c>
      <c r="M111" s="94"/>
      <c r="N111" s="103">
        <f>IF(Companies[[#This Row],[Growth Curve]]&lt;&gt;"",Companies[[#This Row],[Growth Curve]]-3,0)</f>
        <v>0</v>
      </c>
      <c r="O111" s="53">
        <f>IF(Companies[[#This Row],[PSR]]&gt;2,-1,IF(Companies[[#This Row],[PSR]]&lt;1,1,0))</f>
        <v>1</v>
      </c>
      <c r="P111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11" s="53">
        <f>IF(Companies[[#This Row],[PFV]]&lt;0.75,2,IF(Companies[[#This Row],[PFV]]&lt;0.95,1,IF(Companies[[#This Row],[PFV]]&gt;1.25,-2,IF(Companies[[#This Row],[PFV]]&gt;1.15,-1,0))))</f>
        <v>2</v>
      </c>
    </row>
    <row r="112" spans="2:17" s="53" customFormat="1" ht="25.15" customHeight="1" x14ac:dyDescent="0.25">
      <c r="B112" s="11" t="s">
        <v>359</v>
      </c>
      <c r="C112" s="11" t="str">
        <f>VLOOKUP(Companies[[#This Row],[Symbol]],Morningstar,MATCH("Name",Morningstar_Cols,EXACT_MATCH),EXACT_MATCH)</f>
        <v>Electro Scientific Industries Inc</v>
      </c>
      <c r="D112" s="114">
        <f>VLOOKUP(Companies[[#This Row],[Symbol]],Morningstar,MATCH("mil$ Market Cap",Morningstar_Cols,0),0)</f>
        <v>0</v>
      </c>
      <c r="E112" s="115">
        <f>VLOOKUP(Companies[[#This Row],[Symbol]],Morningstar,MATCH("% Total Return 3 Month",Morningstar_Cols,EXACT_MATCH),EXACT_MATCH)/100</f>
        <v>0</v>
      </c>
      <c r="F112" s="115">
        <f>VLOOKUP(Companies[[#This Row],[Symbol]],Morningstar,MATCH("% Total Return 12 Month",Morningstar_Cols,EXACT_MATCH),EXACT_MATCH)/100</f>
        <v>0</v>
      </c>
      <c r="G112" s="116">
        <f>VLOOKUP(Companies[[#This Row],[Symbol]],Morningstar,MATCH("Price/Sales",Morningstar_Cols,EXACT_MATCH),EXACT_MATCH)</f>
        <v>0</v>
      </c>
      <c r="H112" s="117">
        <f>VLOOKUP(Companies[[#This Row],[Symbol]],Morningstar,MATCH("Price/Fair Value",Morningstar_Cols,EXACT_MATCH),EXACT_MATCH)</f>
        <v>0</v>
      </c>
      <c r="I11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112" s="107">
        <f>VLOOKUP(Companies[[#This Row],[Symbol]],Morningstar,MATCH("% Dividend Yield TTM",Morningstar_Cols,EXACT_MATCH),EXACT_MATCH)/100</f>
        <v>0</v>
      </c>
      <c r="K112" s="119" t="str">
        <f>IFERROR(LOOKUP(2,1/(GrowthCurves[Ticker]=Companies[[#This Row],[Symbol]]),GrowthCurves[Metric]),"")</f>
        <v/>
      </c>
      <c r="L112" s="94">
        <f>RatingDefault+SUM(Companies[[#This Row],[CurvePoints]:[PFVPoints]])</f>
        <v>5</v>
      </c>
      <c r="M112" s="94"/>
      <c r="N112" s="103">
        <f>IF(Companies[[#This Row],[Growth Curve]]&lt;&gt;"",Companies[[#This Row],[Growth Curve]]-3,0)</f>
        <v>0</v>
      </c>
      <c r="O112" s="53">
        <f>IF(Companies[[#This Row],[PSR]]&gt;2,-1,IF(Companies[[#This Row],[PSR]]&lt;1,1,0))</f>
        <v>1</v>
      </c>
      <c r="P112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12" s="53">
        <f>IF(Companies[[#This Row],[PFV]]&lt;0.75,2,IF(Companies[[#This Row],[PFV]]&lt;0.95,1,IF(Companies[[#This Row],[PFV]]&gt;1.25,-2,IF(Companies[[#This Row],[PFV]]&gt;1.15,-1,0))))</f>
        <v>2</v>
      </c>
    </row>
    <row r="113" spans="2:17" s="53" customFormat="1" ht="25.15" customHeight="1" x14ac:dyDescent="0.25">
      <c r="B113" s="11" t="s">
        <v>666</v>
      </c>
      <c r="C113" s="11" t="str">
        <f>VLOOKUP(Companies[[#This Row],[Symbol]],Morningstar,MATCH("Name",Morningstar_Cols,EXACT_MATCH),EXACT_MATCH)</f>
        <v>Essendant Inc</v>
      </c>
      <c r="D113" s="114">
        <f>VLOOKUP(Companies[[#This Row],[Symbol]],Morningstar,MATCH("mil$ Market Cap",Morningstar_Cols,0),0)</f>
        <v>0</v>
      </c>
      <c r="E113" s="115">
        <f>VLOOKUP(Companies[[#This Row],[Symbol]],Morningstar,MATCH("% Total Return 3 Month",Morningstar_Cols,EXACT_MATCH),EXACT_MATCH)/100</f>
        <v>0</v>
      </c>
      <c r="F113" s="115">
        <f>VLOOKUP(Companies[[#This Row],[Symbol]],Morningstar,MATCH("% Total Return 12 Month",Morningstar_Cols,EXACT_MATCH),EXACT_MATCH)/100</f>
        <v>0</v>
      </c>
      <c r="G113" s="116">
        <f>VLOOKUP(Companies[[#This Row],[Symbol]],Morningstar,MATCH("Price/Sales",Morningstar_Cols,EXACT_MATCH),EXACT_MATCH)</f>
        <v>0</v>
      </c>
      <c r="H113" s="117">
        <f>VLOOKUP(Companies[[#This Row],[Symbol]],Morningstar,MATCH("Price/Fair Value",Morningstar_Cols,EXACT_MATCH),EXACT_MATCH)</f>
        <v>0</v>
      </c>
      <c r="I11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113" s="107">
        <f>VLOOKUP(Companies[[#This Row],[Symbol]],Morningstar,MATCH("% Dividend Yield TTM",Morningstar_Cols,EXACT_MATCH),EXACT_MATCH)/100</f>
        <v>0</v>
      </c>
      <c r="K113" s="119" t="str">
        <f>IFERROR(LOOKUP(2,1/(GrowthCurves[Ticker]=Companies[[#This Row],[Symbol]]),GrowthCurves[Metric]),"")</f>
        <v>3</v>
      </c>
      <c r="L113" s="94">
        <f>RatingDefault+SUM(Companies[[#This Row],[CurvePoints]:[PFVPoints]])</f>
        <v>5</v>
      </c>
      <c r="M113" s="94"/>
      <c r="N113" s="103">
        <f>IF(Companies[[#This Row],[Growth Curve]]&lt;&gt;"",Companies[[#This Row],[Growth Curve]]-3,0)</f>
        <v>0</v>
      </c>
      <c r="O113" s="53">
        <f>IF(Companies[[#This Row],[PSR]]&gt;2,-1,IF(Companies[[#This Row],[PSR]]&lt;1,1,0))</f>
        <v>1</v>
      </c>
      <c r="P113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13" s="53">
        <f>IF(Companies[[#This Row],[PFV]]&lt;0.75,2,IF(Companies[[#This Row],[PFV]]&lt;0.95,1,IF(Companies[[#This Row],[PFV]]&gt;1.25,-2,IF(Companies[[#This Row],[PFV]]&gt;1.15,-1,0))))</f>
        <v>2</v>
      </c>
    </row>
    <row r="114" spans="2:17" s="53" customFormat="1" ht="25.15" customHeight="1" x14ac:dyDescent="0.25">
      <c r="B114" s="52" t="s">
        <v>937</v>
      </c>
      <c r="C114" s="11" t="str">
        <f>VLOOKUP(Companies[[#This Row],[Symbol]],Morningstar,MATCH("Name",Morningstar_Cols,EXACT_MATCH),EXACT_MATCH)</f>
        <v>Energy Transfer LP</v>
      </c>
      <c r="D114" s="114">
        <f>VLOOKUP(Companies[[#This Row],[Symbol]],Morningstar,MATCH("mil$ Market Cap",Morningstar_Cols,0),0)</f>
        <v>17282.599999999999</v>
      </c>
      <c r="E114" s="115">
        <f>VLOOKUP(Companies[[#This Row],[Symbol]],Morningstar,MATCH("% Total Return 3 Month",Morningstar_Cols,EXACT_MATCH),EXACT_MATCH)/100</f>
        <v>-0.47749999999999998</v>
      </c>
      <c r="F114" s="115">
        <f>VLOOKUP(Companies[[#This Row],[Symbol]],Morningstar,MATCH("% Total Return 12 Month",Morningstar_Cols,EXACT_MATCH),EXACT_MATCH)/100</f>
        <v>-0.50590000000000002</v>
      </c>
      <c r="G114" s="116">
        <f>VLOOKUP(Companies[[#This Row],[Symbol]],Morningstar,MATCH("Price/Sales",Morningstar_Cols,EXACT_MATCH),EXACT_MATCH)</f>
        <v>0.32</v>
      </c>
      <c r="H114" s="117">
        <f>VLOOKUP(Companies[[#This Row],[Symbol]],Morningstar,MATCH("Price/Fair Value",Morningstar_Cols,EXACT_MATCH),EXACT_MATCH)</f>
        <v>0.31</v>
      </c>
      <c r="I11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14" s="107">
        <f>VLOOKUP(Companies[[#This Row],[Symbol]],Morningstar,MATCH("% Dividend Yield TTM",Morningstar_Cols,EXACT_MATCH),EXACT_MATCH)/100</f>
        <v>0.19370000000000001</v>
      </c>
      <c r="K114" s="119" t="str">
        <f>IFERROR(LOOKUP(2,1/(GrowthCurves[Ticker]=Companies[[#This Row],[Symbol]]),GrowthCurves[Metric]),"")</f>
        <v>1</v>
      </c>
      <c r="L114" s="94">
        <f>RatingDefault+SUM(Companies[[#This Row],[CurvePoints]:[PFVPoints]])</f>
        <v>4</v>
      </c>
      <c r="M114" s="94"/>
      <c r="N114" s="102">
        <f>IF(Companies[[#This Row],[Growth Curve]]&lt;&gt;"",Companies[[#This Row],[Growth Curve]]-3,0)</f>
        <v>-2</v>
      </c>
      <c r="O114" s="52">
        <f>IF(Companies[[#This Row],[PSR]]&gt;2,-1,IF(Companies[[#This Row],[PSR]]&lt;1,1,0))</f>
        <v>1</v>
      </c>
      <c r="P114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14" s="53">
        <f>IF(Companies[[#This Row],[PFV]]&lt;0.75,2,IF(Companies[[#This Row],[PFV]]&lt;0.95,1,IF(Companies[[#This Row],[PFV]]&gt;1.25,-2,IF(Companies[[#This Row],[PFV]]&gt;1.15,-1,0))))</f>
        <v>2</v>
      </c>
    </row>
    <row r="115" spans="2:17" s="53" customFormat="1" ht="25.15" customHeight="1" x14ac:dyDescent="0.25">
      <c r="B115" s="11" t="s">
        <v>740</v>
      </c>
      <c r="C115" s="11" t="str">
        <f>VLOOKUP(Companies[[#This Row],[Symbol]],Morningstar,MATCH("Name",Morningstar_Cols,EXACT_MATCH),EXACT_MATCH)</f>
        <v>Entercom Communications Corp</v>
      </c>
      <c r="D115" s="114">
        <f>VLOOKUP(Companies[[#This Row],[Symbol]],Morningstar,MATCH("mil$ Market Cap",Morningstar_Cols,0),0)</f>
        <v>308.93</v>
      </c>
      <c r="E115" s="115">
        <f>VLOOKUP(Companies[[#This Row],[Symbol]],Morningstar,MATCH("% Total Return 3 Month",Morningstar_Cols,EXACT_MATCH),EXACT_MATCH)/100</f>
        <v>-0.58399999999999996</v>
      </c>
      <c r="F115" s="115">
        <f>VLOOKUP(Companies[[#This Row],[Symbol]],Morningstar,MATCH("% Total Return 12 Month",Morningstar_Cols,EXACT_MATCH),EXACT_MATCH)/100</f>
        <v>-0.63109999999999999</v>
      </c>
      <c r="G115" s="116">
        <f>VLOOKUP(Companies[[#This Row],[Symbol]],Morningstar,MATCH("Price/Sales",Morningstar_Cols,EXACT_MATCH),EXACT_MATCH)</f>
        <v>0.2</v>
      </c>
      <c r="H115" s="117">
        <f>VLOOKUP(Companies[[#This Row],[Symbol]],Morningstar,MATCH("Price/Fair Value",Morningstar_Cols,EXACT_MATCH),EXACT_MATCH)</f>
        <v>0.41</v>
      </c>
      <c r="I11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115" s="107">
        <f>VLOOKUP(Companies[[#This Row],[Symbol]],Morningstar,MATCH("% Dividend Yield TTM",Morningstar_Cols,EXACT_MATCH),EXACT_MATCH)/100</f>
        <v>7.46E-2</v>
      </c>
      <c r="K115" s="119" t="str">
        <f>IFERROR(LOOKUP(2,1/(GrowthCurves[Ticker]=Companies[[#This Row],[Symbol]]),GrowthCurves[Metric]),"")</f>
        <v>2</v>
      </c>
      <c r="L115" s="94">
        <f>RatingDefault+SUM(Companies[[#This Row],[CurvePoints]:[PFVPoints]])</f>
        <v>4</v>
      </c>
      <c r="M115" s="94"/>
      <c r="N115" s="103">
        <f>IF(Companies[[#This Row],[Growth Curve]]&lt;&gt;"",Companies[[#This Row],[Growth Curve]]-3,0)</f>
        <v>-1</v>
      </c>
      <c r="O115" s="53">
        <f>IF(Companies[[#This Row],[PSR]]&gt;2,-1,IF(Companies[[#This Row],[PSR]]&lt;1,1,0))</f>
        <v>1</v>
      </c>
      <c r="P115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15" s="53">
        <f>IF(Companies[[#This Row],[PFV]]&lt;0.75,2,IF(Companies[[#This Row],[PFV]]&lt;0.95,1,IF(Companies[[#This Row],[PFV]]&gt;1.25,-2,IF(Companies[[#This Row],[PFV]]&gt;1.15,-1,0))))</f>
        <v>2</v>
      </c>
    </row>
    <row r="116" spans="2:17" s="53" customFormat="1" ht="25.15" customHeight="1" x14ac:dyDescent="0.25">
      <c r="B116" s="11" t="s">
        <v>26</v>
      </c>
      <c r="C116" s="11" t="str">
        <f>VLOOKUP(Companies[[#This Row],[Symbol]],Morningstar,MATCH("Name",Morningstar_Cols,EXACT_MATCH),EXACT_MATCH)</f>
        <v>Everi Holdings Inc</v>
      </c>
      <c r="D116" s="114">
        <f>VLOOKUP(Companies[[#This Row],[Symbol]],Morningstar,MATCH("mil$ Market Cap",Morningstar_Cols,0),0)</f>
        <v>586.01</v>
      </c>
      <c r="E116" s="115">
        <f>VLOOKUP(Companies[[#This Row],[Symbol]],Morningstar,MATCH("% Total Return 3 Month",Morningstar_Cols,EXACT_MATCH),EXACT_MATCH)/100</f>
        <v>-0.54700000000000004</v>
      </c>
      <c r="F116" s="115">
        <f>VLOOKUP(Companies[[#This Row],[Symbol]],Morningstar,MATCH("% Total Return 12 Month",Morningstar_Cols,EXACT_MATCH),EXACT_MATCH)/100</f>
        <v>-0.21460000000000001</v>
      </c>
      <c r="G116" s="116">
        <f>VLOOKUP(Companies[[#This Row],[Symbol]],Morningstar,MATCH("Price/Sales",Morningstar_Cols,EXACT_MATCH),EXACT_MATCH)</f>
        <v>1.03</v>
      </c>
      <c r="H116" s="117">
        <f>VLOOKUP(Companies[[#This Row],[Symbol]],Morningstar,MATCH("Price/Fair Value",Morningstar_Cols,EXACT_MATCH),EXACT_MATCH)</f>
        <v>0.6</v>
      </c>
      <c r="I11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16" s="107">
        <f>VLOOKUP(Companies[[#This Row],[Symbol]],Morningstar,MATCH("% Dividend Yield TTM",Morningstar_Cols,EXACT_MATCH),EXACT_MATCH)/100</f>
        <v>0</v>
      </c>
      <c r="K116" s="119" t="str">
        <f>IFERROR(LOOKUP(2,1/(GrowthCurves[Ticker]=Companies[[#This Row],[Symbol]]),GrowthCurves[Metric]),"")</f>
        <v>2</v>
      </c>
      <c r="L116" s="94">
        <f>RatingDefault+SUM(Companies[[#This Row],[CurvePoints]:[PFVPoints]])</f>
        <v>4</v>
      </c>
      <c r="M116" s="94"/>
      <c r="N116" s="103">
        <f>IF(Companies[[#This Row],[Growth Curve]]&lt;&gt;"",Companies[[#This Row],[Growth Curve]]-3,0)</f>
        <v>-1</v>
      </c>
      <c r="O116" s="53">
        <f>IF(Companies[[#This Row],[PSR]]&gt;2,-1,IF(Companies[[#This Row],[PSR]]&lt;1,1,0))</f>
        <v>0</v>
      </c>
      <c r="P116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16" s="53">
        <f>IF(Companies[[#This Row],[PFV]]&lt;0.75,2,IF(Companies[[#This Row],[PFV]]&lt;0.95,1,IF(Companies[[#This Row],[PFV]]&gt;1.25,-2,IF(Companies[[#This Row],[PFV]]&gt;1.15,-1,0))))</f>
        <v>2</v>
      </c>
    </row>
    <row r="117" spans="2:17" s="53" customFormat="1" ht="25.15" customHeight="1" x14ac:dyDescent="0.25">
      <c r="B117" s="11" t="s">
        <v>742</v>
      </c>
      <c r="C117" s="11" t="str">
        <f>VLOOKUP(Companies[[#This Row],[Symbol]],Morningstar,MATCH("Name",Morningstar_Cols,EXACT_MATCH),EXACT_MATCH)</f>
        <v>Expedia Group Inc</v>
      </c>
      <c r="D117" s="114">
        <f>VLOOKUP(Companies[[#This Row],[Symbol]],Morningstar,MATCH("mil$ Market Cap",Morningstar_Cols,0),0)</f>
        <v>9002.7000000000007</v>
      </c>
      <c r="E117" s="115">
        <f>VLOOKUP(Companies[[#This Row],[Symbol]],Morningstar,MATCH("% Total Return 3 Month",Morningstar_Cols,EXACT_MATCH),EXACT_MATCH)/100</f>
        <v>-0.42399999999999999</v>
      </c>
      <c r="F117" s="115">
        <f>VLOOKUP(Companies[[#This Row],[Symbol]],Morningstar,MATCH("% Total Return 12 Month",Morningstar_Cols,EXACT_MATCH),EXACT_MATCH)/100</f>
        <v>-0.44939999999999997</v>
      </c>
      <c r="G117" s="116">
        <f>VLOOKUP(Companies[[#This Row],[Symbol]],Morningstar,MATCH("Price/Sales",Morningstar_Cols,EXACT_MATCH),EXACT_MATCH)</f>
        <v>0.8</v>
      </c>
      <c r="H117" s="117">
        <f>VLOOKUP(Companies[[#This Row],[Symbol]],Morningstar,MATCH("Price/Fair Value",Morningstar_Cols,EXACT_MATCH),EXACT_MATCH)</f>
        <v>0.39</v>
      </c>
      <c r="I11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17" s="107">
        <f>VLOOKUP(Companies[[#This Row],[Symbol]],Morningstar,MATCH("% Dividend Yield TTM",Morningstar_Cols,EXACT_MATCH),EXACT_MATCH)/100</f>
        <v>2.06E-2</v>
      </c>
      <c r="K117" s="119" t="str">
        <f>IFERROR(LOOKUP(2,1/(GrowthCurves[Ticker]=Companies[[#This Row],[Symbol]]),GrowthCurves[Metric]),"")</f>
        <v>4</v>
      </c>
      <c r="L117" s="94">
        <f>RatingDefault+SUM(Companies[[#This Row],[CurvePoints]:[PFVPoints]])</f>
        <v>7</v>
      </c>
      <c r="M117" s="94"/>
      <c r="N117" s="103">
        <f>IF(Companies[[#This Row],[Growth Curve]]&lt;&gt;"",Companies[[#This Row],[Growth Curve]]-3,0)</f>
        <v>1</v>
      </c>
      <c r="O117" s="53">
        <f>IF(Companies[[#This Row],[PSR]]&gt;2,-1,IF(Companies[[#This Row],[PSR]]&lt;1,1,0))</f>
        <v>1</v>
      </c>
      <c r="P117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17" s="53">
        <f>IF(Companies[[#This Row],[PFV]]&lt;0.75,2,IF(Companies[[#This Row],[PFV]]&lt;0.95,1,IF(Companies[[#This Row],[PFV]]&gt;1.25,-2,IF(Companies[[#This Row],[PFV]]&gt;1.15,-1,0))))</f>
        <v>2</v>
      </c>
    </row>
    <row r="118" spans="2:17" s="53" customFormat="1" ht="25.15" customHeight="1" x14ac:dyDescent="0.25">
      <c r="B118" s="52" t="s">
        <v>74</v>
      </c>
      <c r="C118" s="11" t="str">
        <f>VLOOKUP(Companies[[#This Row],[Symbol]],Morningstar,MATCH("Name",Morningstar_Cols,EXACT_MATCH),EXACT_MATCH)</f>
        <v>Exterran Corp</v>
      </c>
      <c r="D118" s="114">
        <f>VLOOKUP(Companies[[#This Row],[Symbol]],Morningstar,MATCH("mil$ Market Cap",Morningstar_Cols,0),0)</f>
        <v>230.28</v>
      </c>
      <c r="E118" s="115">
        <f>VLOOKUP(Companies[[#This Row],[Symbol]],Morningstar,MATCH("% Total Return 3 Month",Morningstar_Cols,EXACT_MATCH),EXACT_MATCH)/100</f>
        <v>-0.17649999999999999</v>
      </c>
      <c r="F118" s="115">
        <f>VLOOKUP(Companies[[#This Row],[Symbol]],Morningstar,MATCH("% Total Return 12 Month",Morningstar_Cols,EXACT_MATCH),EXACT_MATCH)/100</f>
        <v>-0.6855</v>
      </c>
      <c r="G118" s="116">
        <f>VLOOKUP(Companies[[#This Row],[Symbol]],Morningstar,MATCH("Price/Sales",Morningstar_Cols,EXACT_MATCH),EXACT_MATCH)</f>
        <v>0.18</v>
      </c>
      <c r="H118" s="117">
        <f>VLOOKUP(Companies[[#This Row],[Symbol]],Morningstar,MATCH("Price/Fair Value",Morningstar_Cols,EXACT_MATCH),EXACT_MATCH)</f>
        <v>0.5</v>
      </c>
      <c r="I11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118" s="107">
        <f>VLOOKUP(Companies[[#This Row],[Symbol]],Morningstar,MATCH("% Dividend Yield TTM",Morningstar_Cols,EXACT_MATCH),EXACT_MATCH)/100</f>
        <v>0</v>
      </c>
      <c r="K118" s="119" t="str">
        <f>IFERROR(LOOKUP(2,1/(GrowthCurves[Ticker]=Companies[[#This Row],[Symbol]]),GrowthCurves[Metric]),"")</f>
        <v>2</v>
      </c>
      <c r="L118" s="94">
        <f>RatingDefault+SUM(Companies[[#This Row],[CurvePoints]:[PFVPoints]])</f>
        <v>4</v>
      </c>
      <c r="M118" s="94"/>
      <c r="N118" s="102">
        <f>IF(Companies[[#This Row],[Growth Curve]]&lt;&gt;"",Companies[[#This Row],[Growth Curve]]-3,0)</f>
        <v>-1</v>
      </c>
      <c r="O118" s="52">
        <f>IF(Companies[[#This Row],[PSR]]&gt;2,-1,IF(Companies[[#This Row],[PSR]]&lt;1,1,0))</f>
        <v>1</v>
      </c>
      <c r="P118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18" s="53">
        <f>IF(Companies[[#This Row],[PFV]]&lt;0.75,2,IF(Companies[[#This Row],[PFV]]&lt;0.95,1,IF(Companies[[#This Row],[PFV]]&gt;1.25,-2,IF(Companies[[#This Row],[PFV]]&gt;1.15,-1,0))))</f>
        <v>2</v>
      </c>
    </row>
    <row r="119" spans="2:17" s="53" customFormat="1" ht="25.15" customHeight="1" x14ac:dyDescent="0.25">
      <c r="B119" s="11" t="s">
        <v>282</v>
      </c>
      <c r="C119" s="11" t="str">
        <f>VLOOKUP(Companies[[#This Row],[Symbol]],Morningstar,MATCH("Name",Morningstar_Cols,EXACT_MATCH),EXACT_MATCH)</f>
        <v>EZCORP Inc</v>
      </c>
      <c r="D119" s="114">
        <f>VLOOKUP(Companies[[#This Row],[Symbol]],Morningstar,MATCH("mil$ Market Cap",Morningstar_Cols,0),0)</f>
        <v>223.04</v>
      </c>
      <c r="E119" s="115">
        <f>VLOOKUP(Companies[[#This Row],[Symbol]],Morningstar,MATCH("% Total Return 3 Month",Morningstar_Cols,EXACT_MATCH),EXACT_MATCH)/100</f>
        <v>-0.3911</v>
      </c>
      <c r="F119" s="115">
        <f>VLOOKUP(Companies[[#This Row],[Symbol]],Morningstar,MATCH("% Total Return 12 Month",Morningstar_Cols,EXACT_MATCH),EXACT_MATCH)/100</f>
        <v>-0.60350000000000004</v>
      </c>
      <c r="G119" s="116">
        <f>VLOOKUP(Companies[[#This Row],[Symbol]],Morningstar,MATCH("Price/Sales",Morningstar_Cols,EXACT_MATCH),EXACT_MATCH)</f>
        <v>0.26</v>
      </c>
      <c r="H119" s="117">
        <f>VLOOKUP(Companies[[#This Row],[Symbol]],Morningstar,MATCH("Price/Fair Value",Morningstar_Cols,EXACT_MATCH),EXACT_MATCH)</f>
        <v>0.42</v>
      </c>
      <c r="I11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119" s="107">
        <f>VLOOKUP(Companies[[#This Row],[Symbol]],Morningstar,MATCH("% Dividend Yield TTM",Morningstar_Cols,EXACT_MATCH),EXACT_MATCH)/100</f>
        <v>0</v>
      </c>
      <c r="K119" s="119" t="str">
        <f>IFERROR(LOOKUP(2,1/(GrowthCurves[Ticker]=Companies[[#This Row],[Symbol]]),GrowthCurves[Metric]),"")</f>
        <v>2</v>
      </c>
      <c r="L119" s="94">
        <f>RatingDefault+SUM(Companies[[#This Row],[CurvePoints]:[PFVPoints]])</f>
        <v>4</v>
      </c>
      <c r="M119" s="94"/>
      <c r="N119" s="103">
        <f>IF(Companies[[#This Row],[Growth Curve]]&lt;&gt;"",Companies[[#This Row],[Growth Curve]]-3,0)</f>
        <v>-1</v>
      </c>
      <c r="O119" s="53">
        <f>IF(Companies[[#This Row],[PSR]]&gt;2,-1,IF(Companies[[#This Row],[PSR]]&lt;1,1,0))</f>
        <v>1</v>
      </c>
      <c r="P119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19" s="53">
        <f>IF(Companies[[#This Row],[PFV]]&lt;0.75,2,IF(Companies[[#This Row],[PFV]]&lt;0.95,1,IF(Companies[[#This Row],[PFV]]&gt;1.25,-2,IF(Companies[[#This Row],[PFV]]&gt;1.15,-1,0))))</f>
        <v>2</v>
      </c>
    </row>
    <row r="120" spans="2:17" s="53" customFormat="1" ht="25.15" customHeight="1" x14ac:dyDescent="0.25">
      <c r="B120" s="52" t="s">
        <v>406</v>
      </c>
      <c r="C120" s="11" t="str">
        <f>VLOOKUP(Companies[[#This Row],[Symbol]],Morningstar,MATCH("Name",Morningstar_Cols,EXACT_MATCH),EXACT_MATCH)</f>
        <v>Ford Motor Co</v>
      </c>
      <c r="D120" s="114">
        <f>VLOOKUP(Companies[[#This Row],[Symbol]],Morningstar,MATCH("mil$ Market Cap",Morningstar_Cols,0),0)</f>
        <v>21410.63</v>
      </c>
      <c r="E120" s="115">
        <f>VLOOKUP(Companies[[#This Row],[Symbol]],Morningstar,MATCH("% Total Return 3 Month",Morningstar_Cols,EXACT_MATCH),EXACT_MATCH)/100</f>
        <v>-0.40990000000000004</v>
      </c>
      <c r="F120" s="115">
        <f>VLOOKUP(Companies[[#This Row],[Symbol]],Morningstar,MATCH("% Total Return 12 Month",Morningstar_Cols,EXACT_MATCH),EXACT_MATCH)/100</f>
        <v>-0.30570000000000003</v>
      </c>
      <c r="G120" s="116">
        <f>VLOOKUP(Companies[[#This Row],[Symbol]],Morningstar,MATCH("Price/Sales",Morningstar_Cols,EXACT_MATCH),EXACT_MATCH)</f>
        <v>0.14000000000000001</v>
      </c>
      <c r="H120" s="117">
        <f>VLOOKUP(Companies[[#This Row],[Symbol]],Morningstar,MATCH("Price/Fair Value",Morningstar_Cols,EXACT_MATCH),EXACT_MATCH)</f>
        <v>0.49</v>
      </c>
      <c r="I12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20" s="107">
        <f>VLOOKUP(Companies[[#This Row],[Symbol]],Morningstar,MATCH("% Dividend Yield TTM",Morningstar_Cols,EXACT_MATCH),EXACT_MATCH)/100</f>
        <v>0.11210000000000001</v>
      </c>
      <c r="K120" s="119" t="str">
        <f>IFERROR(LOOKUP(2,1/(GrowthCurves[Ticker]=Companies[[#This Row],[Symbol]]),GrowthCurves[Metric]),"")</f>
        <v>3</v>
      </c>
      <c r="L120" s="94">
        <f>RatingDefault+SUM(Companies[[#This Row],[CurvePoints]:[PFVPoints]])</f>
        <v>6</v>
      </c>
      <c r="M120" s="94"/>
      <c r="N120" s="102">
        <f>IF(Companies[[#This Row],[Growth Curve]]&lt;&gt;"",Companies[[#This Row],[Growth Curve]]-3,0)</f>
        <v>0</v>
      </c>
      <c r="O120" s="52">
        <f>IF(Companies[[#This Row],[PSR]]&gt;2,-1,IF(Companies[[#This Row],[PSR]]&lt;1,1,0))</f>
        <v>1</v>
      </c>
      <c r="P120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20" s="53">
        <f>IF(Companies[[#This Row],[PFV]]&lt;0.75,2,IF(Companies[[#This Row],[PFV]]&lt;0.95,1,IF(Companies[[#This Row],[PFV]]&gt;1.25,-2,IF(Companies[[#This Row],[PFV]]&gt;1.15,-1,0))))</f>
        <v>2</v>
      </c>
    </row>
    <row r="121" spans="2:17" s="53" customFormat="1" ht="25.15" customHeight="1" x14ac:dyDescent="0.25">
      <c r="B121" s="52" t="s">
        <v>577</v>
      </c>
      <c r="C121" s="11" t="str">
        <f>VLOOKUP(Companies[[#This Row],[Symbol]],Morningstar,MATCH("Name",Morningstar_Cols,EXACT_MATCH),EXACT_MATCH)</f>
        <v>Fanuc Corp ADR</v>
      </c>
      <c r="D121" s="114">
        <f>VLOOKUP(Companies[[#This Row],[Symbol]],Morningstar,MATCH("mil$ Market Cap",Morningstar_Cols,0),0)</f>
        <v>28966.25</v>
      </c>
      <c r="E121" s="115">
        <f>VLOOKUP(Companies[[#This Row],[Symbol]],Morningstar,MATCH("% Total Return 3 Month",Morningstar_Cols,EXACT_MATCH),EXACT_MATCH)/100</f>
        <v>-0.3296</v>
      </c>
      <c r="F121" s="115">
        <f>VLOOKUP(Companies[[#This Row],[Symbol]],Morningstar,MATCH("% Total Return 12 Month",Morningstar_Cols,EXACT_MATCH),EXACT_MATCH)/100</f>
        <v>-0.17180000000000001</v>
      </c>
      <c r="G121" s="116">
        <f>VLOOKUP(Companies[[#This Row],[Symbol]],Morningstar,MATCH("Price/Sales",Morningstar_Cols,EXACT_MATCH),EXACT_MATCH)</f>
        <v>5.21</v>
      </c>
      <c r="H121" s="117">
        <f>VLOOKUP(Companies[[#This Row],[Symbol]],Morningstar,MATCH("Price/Fair Value",Morningstar_Cols,EXACT_MATCH),EXACT_MATCH)</f>
        <v>0.7</v>
      </c>
      <c r="I12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A</v>
      </c>
      <c r="J121" s="107">
        <f>VLOOKUP(Companies[[#This Row],[Symbol]],Morningstar,MATCH("% Dividend Yield TTM",Morningstar_Cols,EXACT_MATCH),EXACT_MATCH)/100</f>
        <v>3.6799999999999999E-2</v>
      </c>
      <c r="K121" s="119" t="str">
        <f>IFERROR(LOOKUP(2,1/(GrowthCurves[Ticker]=Companies[[#This Row],[Symbol]]),GrowthCurves[Metric]),"")</f>
        <v>2</v>
      </c>
      <c r="L121" s="94">
        <f>RatingDefault+SUM(Companies[[#This Row],[CurvePoints]:[PFVPoints]])</f>
        <v>4</v>
      </c>
      <c r="M121" s="94"/>
      <c r="N121" s="102">
        <f>IF(Companies[[#This Row],[Growth Curve]]&lt;&gt;"",Companies[[#This Row],[Growth Curve]]-3,0)</f>
        <v>-1</v>
      </c>
      <c r="O121" s="52">
        <f>IF(Companies[[#This Row],[PSR]]&gt;2,-1,IF(Companies[[#This Row],[PSR]]&lt;1,1,0))</f>
        <v>-1</v>
      </c>
      <c r="P121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21" s="53">
        <f>IF(Companies[[#This Row],[PFV]]&lt;0.75,2,IF(Companies[[#This Row],[PFV]]&lt;0.95,1,IF(Companies[[#This Row],[PFV]]&gt;1.25,-2,IF(Companies[[#This Row],[PFV]]&gt;1.15,-1,0))))</f>
        <v>2</v>
      </c>
    </row>
    <row r="122" spans="2:17" s="53" customFormat="1" ht="25.15" customHeight="1" x14ac:dyDescent="0.25">
      <c r="B122" s="11" t="s">
        <v>23</v>
      </c>
      <c r="C122" s="11" t="str">
        <f>VLOOKUP(Companies[[#This Row],[Symbol]],Morningstar,MATCH("Name",Morningstar_Cols,EXACT_MATCH),EXACT_MATCH)</f>
        <v>Fiat Chrysler Automobiles NV</v>
      </c>
      <c r="D122" s="114">
        <f>VLOOKUP(Companies[[#This Row],[Symbol]],Morningstar,MATCH("mil$ Market Cap",Morningstar_Cols,0),0)</f>
        <v>19280.240000000002</v>
      </c>
      <c r="E122" s="115">
        <f>VLOOKUP(Companies[[#This Row],[Symbol]],Morningstar,MATCH("% Total Return 3 Month",Morningstar_Cols,EXACT_MATCH),EXACT_MATCH)/100</f>
        <v>-0.38840000000000002</v>
      </c>
      <c r="F122" s="115">
        <f>VLOOKUP(Companies[[#This Row],[Symbol]],Morningstar,MATCH("% Total Return 12 Month",Morningstar_Cols,EXACT_MATCH),EXACT_MATCH)/100</f>
        <v>-0.2291</v>
      </c>
      <c r="G122" s="116">
        <f>VLOOKUP(Companies[[#This Row],[Symbol]],Morningstar,MATCH("Price/Sales",Morningstar_Cols,EXACT_MATCH),EXACT_MATCH)</f>
        <v>0.13</v>
      </c>
      <c r="H122" s="117">
        <f>VLOOKUP(Companies[[#This Row],[Symbol]],Morningstar,MATCH("Price/Fair Value",Morningstar_Cols,EXACT_MATCH),EXACT_MATCH)</f>
        <v>0.3</v>
      </c>
      <c r="I12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22" s="107">
        <f>VLOOKUP(Companies[[#This Row],[Symbol]],Morningstar,MATCH("% Dividend Yield TTM",Morningstar_Cols,EXACT_MATCH),EXACT_MATCH)/100</f>
        <v>8.1000000000000003E-2</v>
      </c>
      <c r="K122" s="119" t="str">
        <f>IFERROR(LOOKUP(2,1/(GrowthCurves[Ticker]=Companies[[#This Row],[Symbol]]),GrowthCurves[Metric]),"")</f>
        <v>3</v>
      </c>
      <c r="L122" s="94">
        <f>RatingDefault+SUM(Companies[[#This Row],[CurvePoints]:[PFVPoints]])</f>
        <v>6</v>
      </c>
      <c r="M122" s="94"/>
      <c r="N122" s="103">
        <f>IF(Companies[[#This Row],[Growth Curve]]&lt;&gt;"",Companies[[#This Row],[Growth Curve]]-3,0)</f>
        <v>0</v>
      </c>
      <c r="O122" s="53">
        <f>IF(Companies[[#This Row],[PSR]]&gt;2,-1,IF(Companies[[#This Row],[PSR]]&lt;1,1,0))</f>
        <v>1</v>
      </c>
      <c r="P122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22" s="53">
        <f>IF(Companies[[#This Row],[PFV]]&lt;0.75,2,IF(Companies[[#This Row],[PFV]]&lt;0.95,1,IF(Companies[[#This Row],[PFV]]&gt;1.25,-2,IF(Companies[[#This Row],[PFV]]&gt;1.15,-1,0))))</f>
        <v>2</v>
      </c>
    </row>
    <row r="123" spans="2:17" s="53" customFormat="1" ht="25.15" customHeight="1" x14ac:dyDescent="0.25">
      <c r="B123" s="11" t="s">
        <v>668</v>
      </c>
      <c r="C123" s="11" t="str">
        <f>VLOOKUP(Companies[[#This Row],[Symbol]],Morningstar,MATCH("Name",Morningstar_Cols,EXACT_MATCH),EXACT_MATCH)</f>
        <v>Fitbit Inc A</v>
      </c>
      <c r="D123" s="114">
        <f>VLOOKUP(Companies[[#This Row],[Symbol]],Morningstar,MATCH("mil$ Market Cap",Morningstar_Cols,0),0)</f>
        <v>1647.36</v>
      </c>
      <c r="E123" s="115">
        <f>VLOOKUP(Companies[[#This Row],[Symbol]],Morningstar,MATCH("% Total Return 3 Month",Morningstar_Cols,EXACT_MATCH),EXACT_MATCH)/100</f>
        <v>-7.51E-2</v>
      </c>
      <c r="F123" s="115">
        <f>VLOOKUP(Companies[[#This Row],[Symbol]],Morningstar,MATCH("% Total Return 12 Month",Morningstar_Cols,EXACT_MATCH),EXACT_MATCH)/100</f>
        <v>5.2999999999999999E-2</v>
      </c>
      <c r="G123" s="116">
        <f>VLOOKUP(Companies[[#This Row],[Symbol]],Morningstar,MATCH("Price/Sales",Morningstar_Cols,EXACT_MATCH),EXACT_MATCH)</f>
        <v>1.1200000000000001</v>
      </c>
      <c r="H123" s="117">
        <f>VLOOKUP(Companies[[#This Row],[Symbol]],Morningstar,MATCH("Price/Fair Value",Morningstar_Cols,EXACT_MATCH),EXACT_MATCH)</f>
        <v>0.61</v>
      </c>
      <c r="I12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23" s="107">
        <f>VLOOKUP(Companies[[#This Row],[Symbol]],Morningstar,MATCH("% Dividend Yield TTM",Morningstar_Cols,EXACT_MATCH),EXACT_MATCH)/100</f>
        <v>0</v>
      </c>
      <c r="K123" s="119" t="str">
        <f>IFERROR(LOOKUP(2,1/(GrowthCurves[Ticker]=Companies[[#This Row],[Symbol]]),GrowthCurves[Metric]),"")</f>
        <v>3</v>
      </c>
      <c r="L123" s="94">
        <f>RatingDefault+SUM(Companies[[#This Row],[CurvePoints]:[PFVPoints]])</f>
        <v>5</v>
      </c>
      <c r="M123" s="94"/>
      <c r="N123" s="103">
        <f>IF(Companies[[#This Row],[Growth Curve]]&lt;&gt;"",Companies[[#This Row],[Growth Curve]]-3,0)</f>
        <v>0</v>
      </c>
      <c r="O123" s="53">
        <f>IF(Companies[[#This Row],[PSR]]&gt;2,-1,IF(Companies[[#This Row],[PSR]]&lt;1,1,0))</f>
        <v>0</v>
      </c>
      <c r="P123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23" s="53">
        <f>IF(Companies[[#This Row],[PFV]]&lt;0.75,2,IF(Companies[[#This Row],[PFV]]&lt;0.95,1,IF(Companies[[#This Row],[PFV]]&gt;1.25,-2,IF(Companies[[#This Row],[PFV]]&gt;1.15,-1,0))))</f>
        <v>2</v>
      </c>
    </row>
    <row r="124" spans="2:17" s="53" customFormat="1" ht="25.15" customHeight="1" x14ac:dyDescent="0.25">
      <c r="B124" s="52" t="s">
        <v>200</v>
      </c>
      <c r="C124" s="11" t="str">
        <f>VLOOKUP(Companies[[#This Row],[Symbol]],Morningstar,MATCH("Name",Morningstar_Cols,EXACT_MATCH),EXACT_MATCH)</f>
        <v>Foot Locker Inc</v>
      </c>
      <c r="D124" s="114">
        <f>VLOOKUP(Companies[[#This Row],[Symbol]],Morningstar,MATCH("mil$ Market Cap",Morningstar_Cols,0),0)</f>
        <v>2308.2800000000002</v>
      </c>
      <c r="E124" s="115">
        <f>VLOOKUP(Companies[[#This Row],[Symbol]],Morningstar,MATCH("% Total Return 3 Month",Morningstar_Cols,EXACT_MATCH),EXACT_MATCH)/100</f>
        <v>-0.43490000000000001</v>
      </c>
      <c r="F124" s="115">
        <f>VLOOKUP(Companies[[#This Row],[Symbol]],Morningstar,MATCH("% Total Return 12 Month",Morningstar_Cols,EXACT_MATCH),EXACT_MATCH)/100</f>
        <v>-0.61709999999999998</v>
      </c>
      <c r="G124" s="116">
        <f>VLOOKUP(Companies[[#This Row],[Symbol]],Morningstar,MATCH("Price/Sales",Morningstar_Cols,EXACT_MATCH),EXACT_MATCH)</f>
        <v>0.3</v>
      </c>
      <c r="H124" s="117">
        <f>VLOOKUP(Companies[[#This Row],[Symbol]],Morningstar,MATCH("Price/Fair Value",Morningstar_Cols,EXACT_MATCH),EXACT_MATCH)</f>
        <v>0.38</v>
      </c>
      <c r="I12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24" s="107">
        <f>VLOOKUP(Companies[[#This Row],[Symbol]],Morningstar,MATCH("% Dividend Yield TTM",Morningstar_Cols,EXACT_MATCH),EXACT_MATCH)/100</f>
        <v>7.0699999999999999E-2</v>
      </c>
      <c r="K124" s="119" t="str">
        <f>IFERROR(LOOKUP(2,1/(GrowthCurves[Ticker]=Companies[[#This Row],[Symbol]]),GrowthCurves[Metric]),"")</f>
        <v/>
      </c>
      <c r="L124" s="94">
        <f>RatingDefault+SUM(Companies[[#This Row],[CurvePoints]:[PFVPoints]])</f>
        <v>6</v>
      </c>
      <c r="M124" s="94"/>
      <c r="N124" s="102">
        <f>IF(Companies[[#This Row],[Growth Curve]]&lt;&gt;"",Companies[[#This Row],[Growth Curve]]-3,0)</f>
        <v>0</v>
      </c>
      <c r="O124" s="52">
        <f>IF(Companies[[#This Row],[PSR]]&gt;2,-1,IF(Companies[[#This Row],[PSR]]&lt;1,1,0))</f>
        <v>1</v>
      </c>
      <c r="P124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24" s="53">
        <f>IF(Companies[[#This Row],[PFV]]&lt;0.75,2,IF(Companies[[#This Row],[PFV]]&lt;0.95,1,IF(Companies[[#This Row],[PFV]]&gt;1.25,-2,IF(Companies[[#This Row],[PFV]]&gt;1.15,-1,0))))</f>
        <v>2</v>
      </c>
    </row>
    <row r="125" spans="2:17" s="53" customFormat="1" ht="25.15" customHeight="1" x14ac:dyDescent="0.25">
      <c r="B125" s="11" t="s">
        <v>146</v>
      </c>
      <c r="C125" s="11" t="str">
        <f>VLOOKUP(Companies[[#This Row],[Symbol]],Morningstar,MATCH("Name",Morningstar_Cols,EXACT_MATCH),EXACT_MATCH)</f>
        <v>SPX FLOW Inc</v>
      </c>
      <c r="D125" s="114">
        <f>VLOOKUP(Companies[[#This Row],[Symbol]],Morningstar,MATCH("mil$ Market Cap",Morningstar_Cols,0),0)</f>
        <v>1068.21</v>
      </c>
      <c r="E125" s="115">
        <f>VLOOKUP(Companies[[#This Row],[Symbol]],Morningstar,MATCH("% Total Return 3 Month",Morningstar_Cols,EXACT_MATCH),EXACT_MATCH)/100</f>
        <v>-0.47100000000000003</v>
      </c>
      <c r="F125" s="115">
        <f>VLOOKUP(Companies[[#This Row],[Symbol]],Morningstar,MATCH("% Total Return 12 Month",Morningstar_Cols,EXACT_MATCH),EXACT_MATCH)/100</f>
        <v>-0.2059</v>
      </c>
      <c r="G125" s="116">
        <f>VLOOKUP(Companies[[#This Row],[Symbol]],Morningstar,MATCH("Price/Sales",Morningstar_Cols,EXACT_MATCH),EXACT_MATCH)</f>
        <v>0.71</v>
      </c>
      <c r="H125" s="117">
        <f>VLOOKUP(Companies[[#This Row],[Symbol]],Morningstar,MATCH("Price/Fair Value",Morningstar_Cols,EXACT_MATCH),EXACT_MATCH)</f>
        <v>0.59</v>
      </c>
      <c r="I12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25" s="107">
        <f>VLOOKUP(Companies[[#This Row],[Symbol]],Morningstar,MATCH("% Dividend Yield TTM",Morningstar_Cols,EXACT_MATCH),EXACT_MATCH)/100</f>
        <v>0</v>
      </c>
      <c r="K125" s="119" t="str">
        <f>IFERROR(LOOKUP(2,1/(GrowthCurves[Ticker]=Companies[[#This Row],[Symbol]]),GrowthCurves[Metric]),"")</f>
        <v>1</v>
      </c>
      <c r="L125" s="94">
        <f>RatingDefault+SUM(Companies[[#This Row],[CurvePoints]:[PFVPoints]])</f>
        <v>4</v>
      </c>
      <c r="M125" s="94"/>
      <c r="N125" s="103">
        <f>IF(Companies[[#This Row],[Growth Curve]]&lt;&gt;"",Companies[[#This Row],[Growth Curve]]-3,0)</f>
        <v>-2</v>
      </c>
      <c r="O125" s="53">
        <f>IF(Companies[[#This Row],[PSR]]&gt;2,-1,IF(Companies[[#This Row],[PSR]]&lt;1,1,0))</f>
        <v>1</v>
      </c>
      <c r="P125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25" s="53">
        <f>IF(Companies[[#This Row],[PFV]]&lt;0.75,2,IF(Companies[[#This Row],[PFV]]&lt;0.95,1,IF(Companies[[#This Row],[PFV]]&gt;1.25,-2,IF(Companies[[#This Row],[PFV]]&gt;1.15,-1,0))))</f>
        <v>2</v>
      </c>
    </row>
    <row r="126" spans="2:17" s="53" customFormat="1" ht="25.15" customHeight="1" x14ac:dyDescent="0.25">
      <c r="B126" s="11" t="s">
        <v>313</v>
      </c>
      <c r="C126" s="11" t="str">
        <f>VLOOKUP(Companies[[#This Row],[Symbol]],Morningstar,MATCH("Name",Morningstar_Cols,EXACT_MATCH),EXACT_MATCH)</f>
        <v>Fossil Group Inc</v>
      </c>
      <c r="D126" s="114">
        <f>VLOOKUP(Companies[[#This Row],[Symbol]],Morningstar,MATCH("mil$ Market Cap",Morningstar_Cols,0),0)</f>
        <v>213.43</v>
      </c>
      <c r="E126" s="115">
        <f>VLOOKUP(Companies[[#This Row],[Symbol]],Morningstar,MATCH("% Total Return 3 Month",Morningstar_Cols,EXACT_MATCH),EXACT_MATCH)/100</f>
        <v>-0.50519999999999998</v>
      </c>
      <c r="F126" s="115">
        <f>VLOOKUP(Companies[[#This Row],[Symbol]],Morningstar,MATCH("% Total Return 12 Month",Morningstar_Cols,EXACT_MATCH),EXACT_MATCH)/100</f>
        <v>-0.73790000000000011</v>
      </c>
      <c r="G126" s="116">
        <f>VLOOKUP(Companies[[#This Row],[Symbol]],Morningstar,MATCH("Price/Sales",Morningstar_Cols,EXACT_MATCH),EXACT_MATCH)</f>
        <v>0.1</v>
      </c>
      <c r="H126" s="117">
        <f>VLOOKUP(Companies[[#This Row],[Symbol]],Morningstar,MATCH("Price/Fair Value",Morningstar_Cols,EXACT_MATCH),EXACT_MATCH)</f>
        <v>0.4</v>
      </c>
      <c r="I12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126" s="107">
        <f>VLOOKUP(Companies[[#This Row],[Symbol]],Morningstar,MATCH("% Dividend Yield TTM",Morningstar_Cols,EXACT_MATCH),EXACT_MATCH)/100</f>
        <v>0</v>
      </c>
      <c r="K126" s="119" t="str">
        <f>IFERROR(LOOKUP(2,1/(GrowthCurves[Ticker]=Companies[[#This Row],[Symbol]]),GrowthCurves[Metric]),"")</f>
        <v/>
      </c>
      <c r="L126" s="94">
        <f>RatingDefault+SUM(Companies[[#This Row],[CurvePoints]:[PFVPoints]])</f>
        <v>5</v>
      </c>
      <c r="M126" s="94"/>
      <c r="N126" s="103">
        <f>IF(Companies[[#This Row],[Growth Curve]]&lt;&gt;"",Companies[[#This Row],[Growth Curve]]-3,0)</f>
        <v>0</v>
      </c>
      <c r="O126" s="53">
        <f>IF(Companies[[#This Row],[PSR]]&gt;2,-1,IF(Companies[[#This Row],[PSR]]&lt;1,1,0))</f>
        <v>1</v>
      </c>
      <c r="P126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26" s="53">
        <f>IF(Companies[[#This Row],[PFV]]&lt;0.75,2,IF(Companies[[#This Row],[PFV]]&lt;0.95,1,IF(Companies[[#This Row],[PFV]]&gt;1.25,-2,IF(Companies[[#This Row],[PFV]]&gt;1.15,-1,0))))</f>
        <v>2</v>
      </c>
    </row>
    <row r="127" spans="2:17" s="53" customFormat="1" ht="25.15" customHeight="1" x14ac:dyDescent="0.25">
      <c r="B127" s="11" t="s">
        <v>670</v>
      </c>
      <c r="C127" s="11" t="str">
        <f>VLOOKUP(Companies[[#This Row],[Symbol]],Morningstar,MATCH("Name",Morningstar_Cols,EXACT_MATCH),EXACT_MATCH)</f>
        <v>Fiesta Restaurant Group Inc</v>
      </c>
      <c r="D127" s="114">
        <f>VLOOKUP(Companies[[#This Row],[Symbol]],Morningstar,MATCH("mil$ Market Cap",Morningstar_Cols,0),0)</f>
        <v>125.65</v>
      </c>
      <c r="E127" s="115">
        <f>VLOOKUP(Companies[[#This Row],[Symbol]],Morningstar,MATCH("% Total Return 3 Month",Morningstar_Cols,EXACT_MATCH),EXACT_MATCH)/100</f>
        <v>-0.48749999999999999</v>
      </c>
      <c r="F127" s="115">
        <f>VLOOKUP(Companies[[#This Row],[Symbol]],Morningstar,MATCH("% Total Return 12 Month",Morningstar_Cols,EXACT_MATCH),EXACT_MATCH)/100</f>
        <v>-0.64959999999999996</v>
      </c>
      <c r="G127" s="116">
        <f>VLOOKUP(Companies[[#This Row],[Symbol]],Morningstar,MATCH("Price/Sales",Morningstar_Cols,EXACT_MATCH),EXACT_MATCH)</f>
        <v>0.19</v>
      </c>
      <c r="H127" s="117">
        <f>VLOOKUP(Companies[[#This Row],[Symbol]],Morningstar,MATCH("Price/Fair Value",Morningstar_Cols,EXACT_MATCH),EXACT_MATCH)</f>
        <v>0.33</v>
      </c>
      <c r="I12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27" s="107">
        <f>VLOOKUP(Companies[[#This Row],[Symbol]],Morningstar,MATCH("% Dividend Yield TTM",Morningstar_Cols,EXACT_MATCH),EXACT_MATCH)/100</f>
        <v>0</v>
      </c>
      <c r="K127" s="119" t="str">
        <f>IFERROR(LOOKUP(2,1/(GrowthCurves[Ticker]=Companies[[#This Row],[Symbol]]),GrowthCurves[Metric]),"")</f>
        <v>1</v>
      </c>
      <c r="L127" s="94">
        <f>RatingDefault+SUM(Companies[[#This Row],[CurvePoints]:[PFVPoints]])</f>
        <v>4</v>
      </c>
      <c r="M127" s="94"/>
      <c r="N127" s="103">
        <f>IF(Companies[[#This Row],[Growth Curve]]&lt;&gt;"",Companies[[#This Row],[Growth Curve]]-3,0)</f>
        <v>-2</v>
      </c>
      <c r="O127" s="53">
        <f>IF(Companies[[#This Row],[PSR]]&gt;2,-1,IF(Companies[[#This Row],[PSR]]&lt;1,1,0))</f>
        <v>1</v>
      </c>
      <c r="P127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27" s="53">
        <f>IF(Companies[[#This Row],[PFV]]&lt;0.75,2,IF(Companies[[#This Row],[PFV]]&lt;0.95,1,IF(Companies[[#This Row],[PFV]]&gt;1.25,-2,IF(Companies[[#This Row],[PFV]]&gt;1.15,-1,0))))</f>
        <v>2</v>
      </c>
    </row>
    <row r="128" spans="2:17" s="53" customFormat="1" ht="25.15" customHeight="1" x14ac:dyDescent="0.25">
      <c r="B128" s="52" t="s">
        <v>715</v>
      </c>
      <c r="C128" s="11" t="str">
        <f>VLOOKUP(Companies[[#This Row],[Symbol]],Morningstar,MATCH("Name",Morningstar_Cols,EXACT_MATCH),EXACT_MATCH)</f>
        <v>FTS International Inc</v>
      </c>
      <c r="D128" s="114">
        <f>VLOOKUP(Companies[[#This Row],[Symbol]],Morningstar,MATCH("mil$ Market Cap",Morningstar_Cols,0),0)</f>
        <v>28.56</v>
      </c>
      <c r="E128" s="115">
        <f>VLOOKUP(Companies[[#This Row],[Symbol]],Morningstar,MATCH("% Total Return 3 Month",Morningstar_Cols,EXACT_MATCH),EXACT_MATCH)/100</f>
        <v>-0.7722</v>
      </c>
      <c r="F128" s="115">
        <f>VLOOKUP(Companies[[#This Row],[Symbol]],Morningstar,MATCH("% Total Return 12 Month",Morningstar_Cols,EXACT_MATCH),EXACT_MATCH)/100</f>
        <v>-0.97270000000000001</v>
      </c>
      <c r="G128" s="116">
        <f>VLOOKUP(Companies[[#This Row],[Symbol]],Morningstar,MATCH("Price/Sales",Morningstar_Cols,EXACT_MATCH),EXACT_MATCH)</f>
        <v>0.04</v>
      </c>
      <c r="H128" s="117">
        <f>VLOOKUP(Companies[[#This Row],[Symbol]],Morningstar,MATCH("Price/Fair Value",Morningstar_Cols,EXACT_MATCH),EXACT_MATCH)</f>
        <v>0.34</v>
      </c>
      <c r="I12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F</v>
      </c>
      <c r="J128" s="107">
        <f>VLOOKUP(Companies[[#This Row],[Symbol]],Morningstar,MATCH("% Dividend Yield TTM",Morningstar_Cols,EXACT_MATCH),EXACT_MATCH)/100</f>
        <v>0</v>
      </c>
      <c r="K128" s="119" t="str">
        <f>IFERROR(LOOKUP(2,1/(GrowthCurves[Ticker]=Companies[[#This Row],[Symbol]]),GrowthCurves[Metric]),"")</f>
        <v>1</v>
      </c>
      <c r="L128" s="94">
        <f>RatingDefault+SUM(Companies[[#This Row],[CurvePoints]:[PFVPoints]])</f>
        <v>2</v>
      </c>
      <c r="M128" s="94"/>
      <c r="N128" s="102">
        <f>IF(Companies[[#This Row],[Growth Curve]]&lt;&gt;"",Companies[[#This Row],[Growth Curve]]-3,0)</f>
        <v>-2</v>
      </c>
      <c r="O128" s="52">
        <f>IF(Companies[[#This Row],[PSR]]&gt;2,-1,IF(Companies[[#This Row],[PSR]]&lt;1,1,0))</f>
        <v>1</v>
      </c>
      <c r="P128" s="52">
        <f>IF(Companies[[#This Row],[Financial Health]]&lt;&gt;"",IF(Companies[[#This Row],[Financial Health]]="F",-2,IF(Companies[[#This Row],[Financial Health]]&gt;"C",-1,IF(Companies[[#This Row],[Financial Health]]&lt;"C",1,0))),-1)</f>
        <v>-2</v>
      </c>
      <c r="Q128" s="53">
        <f>IF(Companies[[#This Row],[PFV]]&lt;0.75,2,IF(Companies[[#This Row],[PFV]]&lt;0.95,1,IF(Companies[[#This Row],[PFV]]&gt;1.25,-2,IF(Companies[[#This Row],[PFV]]&gt;1.15,-1,0))))</f>
        <v>2</v>
      </c>
    </row>
    <row r="129" spans="2:17" s="53" customFormat="1" ht="25.15" customHeight="1" x14ac:dyDescent="0.25">
      <c r="B129" s="11" t="s">
        <v>365</v>
      </c>
      <c r="C129" s="11" t="str">
        <f>VLOOKUP(Companies[[#This Row],[Symbol]],Morningstar,MATCH("Name",Morningstar_Cols,EXACT_MATCH),EXACT_MATCH)</f>
        <v>Guess? Inc</v>
      </c>
      <c r="D129" s="114">
        <f>VLOOKUP(Companies[[#This Row],[Symbol]],Morningstar,MATCH("mil$ Market Cap",Morningstar_Cols,0),0)</f>
        <v>594.03</v>
      </c>
      <c r="E129" s="115">
        <f>VLOOKUP(Companies[[#This Row],[Symbol]],Morningstar,MATCH("% Total Return 3 Month",Morningstar_Cols,EXACT_MATCH),EXACT_MATCH)/100</f>
        <v>-0.58189999999999997</v>
      </c>
      <c r="F129" s="115">
        <f>VLOOKUP(Companies[[#This Row],[Symbol]],Morningstar,MATCH("% Total Return 12 Month",Morningstar_Cols,EXACT_MATCH),EXACT_MATCH)/100</f>
        <v>-0.59899999999999998</v>
      </c>
      <c r="G129" s="116">
        <f>VLOOKUP(Companies[[#This Row],[Symbol]],Morningstar,MATCH("Price/Sales",Morningstar_Cols,EXACT_MATCH),EXACT_MATCH)</f>
        <v>0.26</v>
      </c>
      <c r="H129" s="117">
        <f>VLOOKUP(Companies[[#This Row],[Symbol]],Morningstar,MATCH("Price/Fair Value",Morningstar_Cols,EXACT_MATCH),EXACT_MATCH)</f>
        <v>0.4</v>
      </c>
      <c r="I12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129" s="107">
        <f>VLOOKUP(Companies[[#This Row],[Symbol]],Morningstar,MATCH("% Dividend Yield TTM",Morningstar_Cols,EXACT_MATCH),EXACT_MATCH)/100</f>
        <v>6.6199999999999995E-2</v>
      </c>
      <c r="K129" s="119" t="str">
        <f>IFERROR(LOOKUP(2,1/(GrowthCurves[Ticker]=Companies[[#This Row],[Symbol]]),GrowthCurves[Metric]),"")</f>
        <v/>
      </c>
      <c r="L129" s="94">
        <f>RatingDefault+SUM(Companies[[#This Row],[CurvePoints]:[PFVPoints]])</f>
        <v>5</v>
      </c>
      <c r="M129" s="94"/>
      <c r="N129" s="103">
        <f>IF(Companies[[#This Row],[Growth Curve]]&lt;&gt;"",Companies[[#This Row],[Growth Curve]]-3,0)</f>
        <v>0</v>
      </c>
      <c r="O129" s="53">
        <f>IF(Companies[[#This Row],[PSR]]&gt;2,-1,IF(Companies[[#This Row],[PSR]]&lt;1,1,0))</f>
        <v>1</v>
      </c>
      <c r="P129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29" s="53">
        <f>IF(Companies[[#This Row],[PFV]]&lt;0.75,2,IF(Companies[[#This Row],[PFV]]&lt;0.95,1,IF(Companies[[#This Row],[PFV]]&gt;1.25,-2,IF(Companies[[#This Row],[PFV]]&gt;1.15,-1,0))))</f>
        <v>2</v>
      </c>
    </row>
    <row r="130" spans="2:17" s="53" customFormat="1" ht="25.15" customHeight="1" x14ac:dyDescent="0.25">
      <c r="B130" s="11" t="s">
        <v>289</v>
      </c>
      <c r="C130" s="11" t="str">
        <f>VLOOKUP(Companies[[#This Row],[Symbol]],Morningstar,MATCH("Name",Morningstar_Cols,EXACT_MATCH),EXACT_MATCH)</f>
        <v>G-III Apparel Group Ltd</v>
      </c>
      <c r="D130" s="114">
        <f>VLOOKUP(Companies[[#This Row],[Symbol]],Morningstar,MATCH("mil$ Market Cap",Morningstar_Cols,0),0)</f>
        <v>689.64</v>
      </c>
      <c r="E130" s="115">
        <f>VLOOKUP(Companies[[#This Row],[Symbol]],Morningstar,MATCH("% Total Return 3 Month",Morningstar_Cols,EXACT_MATCH),EXACT_MATCH)/100</f>
        <v>-0.58660000000000001</v>
      </c>
      <c r="F130" s="115">
        <f>VLOOKUP(Companies[[#This Row],[Symbol]],Morningstar,MATCH("% Total Return 12 Month",Morningstar_Cols,EXACT_MATCH),EXACT_MATCH)/100</f>
        <v>-0.63100000000000001</v>
      </c>
      <c r="G130" s="116">
        <f>VLOOKUP(Companies[[#This Row],[Symbol]],Morningstar,MATCH("Price/Sales",Morningstar_Cols,EXACT_MATCH),EXACT_MATCH)</f>
        <v>0.23</v>
      </c>
      <c r="H130" s="117">
        <f>VLOOKUP(Companies[[#This Row],[Symbol]],Morningstar,MATCH("Price/Fair Value",Morningstar_Cols,EXACT_MATCH),EXACT_MATCH)</f>
        <v>0.38</v>
      </c>
      <c r="I13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30" s="107">
        <f>VLOOKUP(Companies[[#This Row],[Symbol]],Morningstar,MATCH("% Dividend Yield TTM",Morningstar_Cols,EXACT_MATCH),EXACT_MATCH)/100</f>
        <v>0</v>
      </c>
      <c r="K130" s="119" t="str">
        <f>IFERROR(LOOKUP(2,1/(GrowthCurves[Ticker]=Companies[[#This Row],[Symbol]]),GrowthCurves[Metric]),"")</f>
        <v/>
      </c>
      <c r="L130" s="94">
        <f>RatingDefault+SUM(Companies[[#This Row],[CurvePoints]:[PFVPoints]])</f>
        <v>6</v>
      </c>
      <c r="M130" s="94"/>
      <c r="N130" s="103">
        <f>IF(Companies[[#This Row],[Growth Curve]]&lt;&gt;"",Companies[[#This Row],[Growth Curve]]-3,0)</f>
        <v>0</v>
      </c>
      <c r="O130" s="53">
        <f>IF(Companies[[#This Row],[PSR]]&gt;2,-1,IF(Companies[[#This Row],[PSR]]&lt;1,1,0))</f>
        <v>1</v>
      </c>
      <c r="P130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30" s="53">
        <f>IF(Companies[[#This Row],[PFV]]&lt;0.75,2,IF(Companies[[#This Row],[PFV]]&lt;0.95,1,IF(Companies[[#This Row],[PFV]]&gt;1.25,-2,IF(Companies[[#This Row],[PFV]]&gt;1.15,-1,0))))</f>
        <v>2</v>
      </c>
    </row>
    <row r="131" spans="2:17" s="53" customFormat="1" ht="25.15" customHeight="1" x14ac:dyDescent="0.25">
      <c r="B131" s="11" t="s">
        <v>612</v>
      </c>
      <c r="C131" s="11" t="str">
        <f>VLOOKUP(Companies[[#This Row],[Symbol]],Morningstar,MATCH("Name",Morningstar_Cols,EXACT_MATCH),EXACT_MATCH)</f>
        <v>Gilead Sciences Inc</v>
      </c>
      <c r="D131" s="114">
        <f>VLOOKUP(Companies[[#This Row],[Symbol]],Morningstar,MATCH("mil$ Market Cap",Morningstar_Cols,0),0)</f>
        <v>88877.88</v>
      </c>
      <c r="E131" s="115">
        <f>VLOOKUP(Companies[[#This Row],[Symbol]],Morningstar,MATCH("% Total Return 3 Month",Morningstar_Cols,EXACT_MATCH),EXACT_MATCH)/100</f>
        <v>2.41E-2</v>
      </c>
      <c r="F131" s="115">
        <f>VLOOKUP(Companies[[#This Row],[Symbol]],Morningstar,MATCH("% Total Return 12 Month",Morningstar_Cols,EXACT_MATCH),EXACT_MATCH)/100</f>
        <v>0.1072</v>
      </c>
      <c r="G131" s="116">
        <f>VLOOKUP(Companies[[#This Row],[Symbol]],Morningstar,MATCH("Price/Sales",Morningstar_Cols,EXACT_MATCH),EXACT_MATCH)</f>
        <v>4</v>
      </c>
      <c r="H131" s="117">
        <f>VLOOKUP(Companies[[#This Row],[Symbol]],Morningstar,MATCH("Price/Fair Value",Morningstar_Cols,EXACT_MATCH),EXACT_MATCH)</f>
        <v>0.83</v>
      </c>
      <c r="I13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A</v>
      </c>
      <c r="J131" s="107">
        <f>VLOOKUP(Companies[[#This Row],[Symbol]],Morningstar,MATCH("% Dividend Yield TTM",Morningstar_Cols,EXACT_MATCH),EXACT_MATCH)/100</f>
        <v>3.7499999999999999E-2</v>
      </c>
      <c r="K131" s="119" t="str">
        <f>IFERROR(LOOKUP(2,1/(GrowthCurves[Ticker]=Companies[[#This Row],[Symbol]]),GrowthCurves[Metric]),"")</f>
        <v/>
      </c>
      <c r="L131" s="94">
        <f>RatingDefault+SUM(Companies[[#This Row],[CurvePoints]:[PFVPoints]])</f>
        <v>4</v>
      </c>
      <c r="M131" s="94"/>
      <c r="N131" s="103">
        <f>IF(Companies[[#This Row],[Growth Curve]]&lt;&gt;"",Companies[[#This Row],[Growth Curve]]-3,0)</f>
        <v>0</v>
      </c>
      <c r="O131" s="53">
        <f>IF(Companies[[#This Row],[PSR]]&gt;2,-1,IF(Companies[[#This Row],[PSR]]&lt;1,1,0))</f>
        <v>-1</v>
      </c>
      <c r="P131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31" s="53">
        <f>IF(Companies[[#This Row],[PFV]]&lt;0.75,2,IF(Companies[[#This Row],[PFV]]&lt;0.95,1,IF(Companies[[#This Row],[PFV]]&gt;1.25,-2,IF(Companies[[#This Row],[PFV]]&gt;1.15,-1,0))))</f>
        <v>1</v>
      </c>
    </row>
    <row r="132" spans="2:17" s="53" customFormat="1" ht="25.15" customHeight="1" x14ac:dyDescent="0.25">
      <c r="B132" s="11" t="s">
        <v>453</v>
      </c>
      <c r="C132" s="11" t="str">
        <f>VLOOKUP(Companies[[#This Row],[Symbol]],Morningstar,MATCH("Name",Morningstar_Cols,EXACT_MATCH),EXACT_MATCH)</f>
        <v>General Mills Inc</v>
      </c>
      <c r="D132" s="114">
        <f>VLOOKUP(Companies[[#This Row],[Symbol]],Morningstar,MATCH("mil$ Market Cap",Morningstar_Cols,0),0)</f>
        <v>31523.05</v>
      </c>
      <c r="E132" s="115">
        <f>VLOOKUP(Companies[[#This Row],[Symbol]],Morningstar,MATCH("% Total Return 3 Month",Morningstar_Cols,EXACT_MATCH),EXACT_MATCH)/100</f>
        <v>-2.2599999999999999E-2</v>
      </c>
      <c r="F132" s="115">
        <f>VLOOKUP(Companies[[#This Row],[Symbol]],Morningstar,MATCH("% Total Return 12 Month",Morningstar_Cols,EXACT_MATCH),EXACT_MATCH)/100</f>
        <v>0.10949999999999999</v>
      </c>
      <c r="G132" s="116">
        <f>VLOOKUP(Companies[[#This Row],[Symbol]],Morningstar,MATCH("Price/Sales",Morningstar_Cols,EXACT_MATCH),EXACT_MATCH)</f>
        <v>1.9</v>
      </c>
      <c r="H132" s="117">
        <f>VLOOKUP(Companies[[#This Row],[Symbol]],Morningstar,MATCH("Price/Fair Value",Morningstar_Cols,EXACT_MATCH),EXACT_MATCH)</f>
        <v>0.97</v>
      </c>
      <c r="I13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A</v>
      </c>
      <c r="J132" s="107">
        <f>VLOOKUP(Companies[[#This Row],[Symbol]],Morningstar,MATCH("% Dividend Yield TTM",Morningstar_Cols,EXACT_MATCH),EXACT_MATCH)/100</f>
        <v>3.9199999999999999E-2</v>
      </c>
      <c r="K132" s="119" t="str">
        <f>IFERROR(LOOKUP(2,1/(GrowthCurves[Ticker]=Companies[[#This Row],[Symbol]]),GrowthCurves[Metric]),"")</f>
        <v>2</v>
      </c>
      <c r="L132" s="94">
        <f>RatingDefault+SUM(Companies[[#This Row],[CurvePoints]:[PFVPoints]])</f>
        <v>3</v>
      </c>
      <c r="M132" s="94"/>
      <c r="N132" s="103">
        <f>IF(Companies[[#This Row],[Growth Curve]]&lt;&gt;"",Companies[[#This Row],[Growth Curve]]-3,0)</f>
        <v>-1</v>
      </c>
      <c r="O132" s="53">
        <f>IF(Companies[[#This Row],[PSR]]&gt;2,-1,IF(Companies[[#This Row],[PSR]]&lt;1,1,0))</f>
        <v>0</v>
      </c>
      <c r="P132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32" s="53">
        <f>IF(Companies[[#This Row],[PFV]]&lt;0.75,2,IF(Companies[[#This Row],[PFV]]&lt;0.95,1,IF(Companies[[#This Row],[PFV]]&gt;1.25,-2,IF(Companies[[#This Row],[PFV]]&gt;1.15,-1,0))))</f>
        <v>0</v>
      </c>
    </row>
    <row r="133" spans="2:17" s="53" customFormat="1" ht="25.15" customHeight="1" x14ac:dyDescent="0.25">
      <c r="B133" s="11" t="s">
        <v>856</v>
      </c>
      <c r="C133" s="11" t="str">
        <f>VLOOKUP(Companies[[#This Row],[Symbol]],Morningstar,MATCH("Name",Morningstar_Cols,EXACT_MATCH),EXACT_MATCH)</f>
        <v>SPDR® Gold Shares</v>
      </c>
      <c r="D133" s="114">
        <f>VLOOKUP(Companies[[#This Row],[Symbol]],Morningstar,MATCH("mil$ Market Cap",Morningstar_Cols,0),0)</f>
        <v>0</v>
      </c>
      <c r="E133" s="115">
        <f>VLOOKUP(Companies[[#This Row],[Symbol]],Morningstar,MATCH("% Total Return 3 Month",Morningstar_Cols,EXACT_MATCH),EXACT_MATCH)/100</f>
        <v>6.7599999999999993E-2</v>
      </c>
      <c r="F133" s="115">
        <f>VLOOKUP(Companies[[#This Row],[Symbol]],Morningstar,MATCH("% Total Return 12 Month",Morningstar_Cols,EXACT_MATCH),EXACT_MATCH)/100</f>
        <v>0.20170000000000002</v>
      </c>
      <c r="G133" s="116">
        <f>VLOOKUP(Companies[[#This Row],[Symbol]],Morningstar,MATCH("Price/Sales",Morningstar_Cols,EXACT_MATCH),EXACT_MATCH)</f>
        <v>0</v>
      </c>
      <c r="H133" s="117">
        <f>VLOOKUP(Companies[[#This Row],[Symbol]],Morningstar,MATCH("Price/Fair Value",Morningstar_Cols,EXACT_MATCH),EXACT_MATCH)</f>
        <v>0</v>
      </c>
      <c r="I13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133" s="107">
        <f>VLOOKUP(Companies[[#This Row],[Symbol]],Morningstar,MATCH("% Dividend Yield TTM",Morningstar_Cols,EXACT_MATCH),EXACT_MATCH)/100</f>
        <v>0</v>
      </c>
      <c r="K133" s="119" t="str">
        <f>IFERROR(LOOKUP(2,1/(GrowthCurves[Ticker]=Companies[[#This Row],[Symbol]]),GrowthCurves[Metric]),"")</f>
        <v/>
      </c>
      <c r="L133" s="94">
        <f>RatingDefault+SUM(Companies[[#This Row],[CurvePoints]:[PFVPoints]])</f>
        <v>5</v>
      </c>
      <c r="M133" s="94"/>
      <c r="N133" s="103">
        <f>IF(Companies[[#This Row],[Growth Curve]]&lt;&gt;"",Companies[[#This Row],[Growth Curve]]-3,0)</f>
        <v>0</v>
      </c>
      <c r="O133" s="53">
        <f>IF(Companies[[#This Row],[PSR]]&gt;2,-1,IF(Companies[[#This Row],[PSR]]&lt;1,1,0))</f>
        <v>1</v>
      </c>
      <c r="P133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33" s="53">
        <f>IF(Companies[[#This Row],[PFV]]&lt;0.75,2,IF(Companies[[#This Row],[PFV]]&lt;0.95,1,IF(Companies[[#This Row],[PFV]]&gt;1.25,-2,IF(Companies[[#This Row],[PFV]]&gt;1.15,-1,0))))</f>
        <v>2</v>
      </c>
    </row>
    <row r="134" spans="2:17" s="53" customFormat="1" ht="25.15" customHeight="1" x14ac:dyDescent="0.25">
      <c r="B134" s="11" t="s">
        <v>746</v>
      </c>
      <c r="C134" s="11" t="str">
        <f>VLOOKUP(Companies[[#This Row],[Symbol]],Morningstar,MATCH("Name",Morningstar_Cols,EXACT_MATCH),EXACT_MATCH)</f>
        <v>General Motors Co</v>
      </c>
      <c r="D134" s="114">
        <f>VLOOKUP(Companies[[#This Row],[Symbol]],Morningstar,MATCH("mil$ Market Cap",Morningstar_Cols,0),0)</f>
        <v>34174.589999999997</v>
      </c>
      <c r="E134" s="115">
        <f>VLOOKUP(Companies[[#This Row],[Symbol]],Morningstar,MATCH("% Total Return 3 Month",Morningstar_Cols,EXACT_MATCH),EXACT_MATCH)/100</f>
        <v>-0.35119999999999996</v>
      </c>
      <c r="F134" s="115">
        <f>VLOOKUP(Companies[[#This Row],[Symbol]],Morningstar,MATCH("% Total Return 12 Month",Morningstar_Cols,EXACT_MATCH),EXACT_MATCH)/100</f>
        <v>-0.36409999999999998</v>
      </c>
      <c r="G134" s="116">
        <f>VLOOKUP(Companies[[#This Row],[Symbol]],Morningstar,MATCH("Price/Sales",Morningstar_Cols,EXACT_MATCH),EXACT_MATCH)</f>
        <v>0.25</v>
      </c>
      <c r="H134" s="117">
        <f>VLOOKUP(Companies[[#This Row],[Symbol]],Morningstar,MATCH("Price/Fair Value",Morningstar_Cols,EXACT_MATCH),EXACT_MATCH)</f>
        <v>0.5</v>
      </c>
      <c r="I13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34" s="107">
        <f>VLOOKUP(Companies[[#This Row],[Symbol]],Morningstar,MATCH("% Dividend Yield TTM",Morningstar_Cols,EXACT_MATCH),EXACT_MATCH)/100</f>
        <v>6.6000000000000003E-2</v>
      </c>
      <c r="K134" s="119" t="str">
        <f>IFERROR(LOOKUP(2,1/(GrowthCurves[Ticker]=Companies[[#This Row],[Symbol]]),GrowthCurves[Metric]),"")</f>
        <v>4</v>
      </c>
      <c r="L134" s="94">
        <f>RatingDefault+SUM(Companies[[#This Row],[CurvePoints]:[PFVPoints]])</f>
        <v>7</v>
      </c>
      <c r="M134" s="94"/>
      <c r="N134" s="103">
        <f>IF(Companies[[#This Row],[Growth Curve]]&lt;&gt;"",Companies[[#This Row],[Growth Curve]]-3,0)</f>
        <v>1</v>
      </c>
      <c r="O134" s="53">
        <f>IF(Companies[[#This Row],[PSR]]&gt;2,-1,IF(Companies[[#This Row],[PSR]]&lt;1,1,0))</f>
        <v>1</v>
      </c>
      <c r="P134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34" s="53">
        <f>IF(Companies[[#This Row],[PFV]]&lt;0.75,2,IF(Companies[[#This Row],[PFV]]&lt;0.95,1,IF(Companies[[#This Row],[PFV]]&gt;1.25,-2,IF(Companies[[#This Row],[PFV]]&gt;1.15,-1,0))))</f>
        <v>2</v>
      </c>
    </row>
    <row r="135" spans="2:17" s="53" customFormat="1" ht="25.15" customHeight="1" x14ac:dyDescent="0.25">
      <c r="B135" s="11" t="s">
        <v>215</v>
      </c>
      <c r="C135" s="11" t="str">
        <f>VLOOKUP(Companies[[#This Row],[Symbol]],Morningstar,MATCH("Name",Morningstar_Cols,EXACT_MATCH),EXACT_MATCH)</f>
        <v>GeoPark Ltd</v>
      </c>
      <c r="D135" s="114">
        <f>VLOOKUP(Companies[[#This Row],[Symbol]],Morningstar,MATCH("mil$ Market Cap",Morningstar_Cols,0),0)</f>
        <v>605.92999999999995</v>
      </c>
      <c r="E135" s="115">
        <f>VLOOKUP(Companies[[#This Row],[Symbol]],Morningstar,MATCH("% Total Return 3 Month",Morningstar_Cols,EXACT_MATCH),EXACT_MATCH)/100</f>
        <v>-0.54469999999999996</v>
      </c>
      <c r="F135" s="115">
        <f>VLOOKUP(Companies[[#This Row],[Symbol]],Morningstar,MATCH("% Total Return 12 Month",Morningstar_Cols,EXACT_MATCH),EXACT_MATCH)/100</f>
        <v>-0.53249999999999997</v>
      </c>
      <c r="G135" s="116">
        <f>VLOOKUP(Companies[[#This Row],[Symbol]],Morningstar,MATCH("Price/Sales",Morningstar_Cols,EXACT_MATCH),EXACT_MATCH)</f>
        <v>0.96</v>
      </c>
      <c r="H135" s="117">
        <f>VLOOKUP(Companies[[#This Row],[Symbol]],Morningstar,MATCH("Price/Fair Value",Morningstar_Cols,EXACT_MATCH),EXACT_MATCH)</f>
        <v>0.59</v>
      </c>
      <c r="I13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35" s="107">
        <f>VLOOKUP(Companies[[#This Row],[Symbol]],Morningstar,MATCH("% Dividend Yield TTM",Morningstar_Cols,EXACT_MATCH),EXACT_MATCH)/100</f>
        <v>4.6999999999999993E-3</v>
      </c>
      <c r="K135" s="119" t="str">
        <f>IFERROR(LOOKUP(2,1/(GrowthCurves[Ticker]=Companies[[#This Row],[Symbol]]),GrowthCurves[Metric]),"")</f>
        <v/>
      </c>
      <c r="L135" s="94">
        <f>RatingDefault+SUM(Companies[[#This Row],[CurvePoints]:[PFVPoints]])</f>
        <v>6</v>
      </c>
      <c r="M135" s="94"/>
      <c r="N135" s="103">
        <f>IF(Companies[[#This Row],[Growth Curve]]&lt;&gt;"",Companies[[#This Row],[Growth Curve]]-3,0)</f>
        <v>0</v>
      </c>
      <c r="O135" s="53">
        <f>IF(Companies[[#This Row],[PSR]]&gt;2,-1,IF(Companies[[#This Row],[PSR]]&lt;1,1,0))</f>
        <v>1</v>
      </c>
      <c r="P135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35" s="53">
        <f>IF(Companies[[#This Row],[PFV]]&lt;0.75,2,IF(Companies[[#This Row],[PFV]]&lt;0.95,1,IF(Companies[[#This Row],[PFV]]&gt;1.25,-2,IF(Companies[[#This Row],[PFV]]&gt;1.15,-1,0))))</f>
        <v>2</v>
      </c>
    </row>
    <row r="136" spans="2:17" s="53" customFormat="1" ht="25.15" customHeight="1" x14ac:dyDescent="0.25">
      <c r="B136" s="52" t="s">
        <v>672</v>
      </c>
      <c r="C136" s="11" t="str">
        <f>VLOOKUP(Companies[[#This Row],[Symbol]],Morningstar,MATCH("Name",Morningstar_Cols,EXACT_MATCH),EXACT_MATCH)</f>
        <v>GoPro Inc A</v>
      </c>
      <c r="D136" s="114">
        <f>VLOOKUP(Companies[[#This Row],[Symbol]],Morningstar,MATCH("mil$ Market Cap",Morningstar_Cols,0),0)</f>
        <v>439.13</v>
      </c>
      <c r="E136" s="115">
        <f>VLOOKUP(Companies[[#This Row],[Symbol]],Morningstar,MATCH("% Total Return 3 Month",Morningstar_Cols,EXACT_MATCH),EXACT_MATCH)/100</f>
        <v>-0.38299999999999995</v>
      </c>
      <c r="F136" s="115">
        <f>VLOOKUP(Companies[[#This Row],[Symbol]],Morningstar,MATCH("% Total Return 12 Month",Morningstar_Cols,EXACT_MATCH),EXACT_MATCH)/100</f>
        <v>-0.56889999999999996</v>
      </c>
      <c r="G136" s="116">
        <f>VLOOKUP(Companies[[#This Row],[Symbol]],Morningstar,MATCH("Price/Sales",Morningstar_Cols,EXACT_MATCH),EXACT_MATCH)</f>
        <v>0.35</v>
      </c>
      <c r="H136" s="117">
        <f>VLOOKUP(Companies[[#This Row],[Symbol]],Morningstar,MATCH("Price/Fair Value",Morningstar_Cols,EXACT_MATCH),EXACT_MATCH)</f>
        <v>0.46</v>
      </c>
      <c r="I13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36" s="107">
        <f>VLOOKUP(Companies[[#This Row],[Symbol]],Morningstar,MATCH("% Dividend Yield TTM",Morningstar_Cols,EXACT_MATCH),EXACT_MATCH)/100</f>
        <v>0</v>
      </c>
      <c r="K136" s="119" t="str">
        <f>IFERROR(LOOKUP(2,1/(GrowthCurves[Ticker]=Companies[[#This Row],[Symbol]]),GrowthCurves[Metric]),"")</f>
        <v>1</v>
      </c>
      <c r="L136" s="94">
        <f>RatingDefault+SUM(Companies[[#This Row],[CurvePoints]:[PFVPoints]])</f>
        <v>4</v>
      </c>
      <c r="M136" s="94"/>
      <c r="N136" s="102">
        <f>IF(Companies[[#This Row],[Growth Curve]]&lt;&gt;"",Companies[[#This Row],[Growth Curve]]-3,0)</f>
        <v>-2</v>
      </c>
      <c r="O136" s="52">
        <f>IF(Companies[[#This Row],[PSR]]&gt;2,-1,IF(Companies[[#This Row],[PSR]]&lt;1,1,0))</f>
        <v>1</v>
      </c>
      <c r="P136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36" s="53">
        <f>IF(Companies[[#This Row],[PFV]]&lt;0.75,2,IF(Companies[[#This Row],[PFV]]&lt;0.95,1,IF(Companies[[#This Row],[PFV]]&gt;1.25,-2,IF(Companies[[#This Row],[PFV]]&gt;1.15,-1,0))))</f>
        <v>2</v>
      </c>
    </row>
    <row r="137" spans="2:17" s="53" customFormat="1" ht="25.15" customHeight="1" x14ac:dyDescent="0.25">
      <c r="B137" s="52" t="s">
        <v>871</v>
      </c>
      <c r="C137" s="11" t="str">
        <f>VLOOKUP(Companies[[#This Row],[Symbol]],Morningstar,MATCH("Name",Morningstar_Cols,EXACT_MATCH),EXACT_MATCH)</f>
        <v>Grifols SA ADR</v>
      </c>
      <c r="D137" s="114">
        <f>VLOOKUP(Companies[[#This Row],[Symbol]],Morningstar,MATCH("mil$ Market Cap",Morningstar_Cols,0),0)</f>
        <v>17080.55</v>
      </c>
      <c r="E137" s="115">
        <f>VLOOKUP(Companies[[#This Row],[Symbol]],Morningstar,MATCH("% Total Return 3 Month",Morningstar_Cols,EXACT_MATCH),EXACT_MATCH)/100</f>
        <v>-0.1852</v>
      </c>
      <c r="F137" s="115">
        <f>VLOOKUP(Companies[[#This Row],[Symbol]],Morningstar,MATCH("% Total Return 12 Month",Morningstar_Cols,EXACT_MATCH),EXACT_MATCH)/100</f>
        <v>-1.32E-2</v>
      </c>
      <c r="G137" s="116">
        <f>VLOOKUP(Companies[[#This Row],[Symbol]],Morningstar,MATCH("Price/Sales",Morningstar_Cols,EXACT_MATCH),EXACT_MATCH)</f>
        <v>2.25</v>
      </c>
      <c r="H137" s="117">
        <f>VLOOKUP(Companies[[#This Row],[Symbol]],Morningstar,MATCH("Price/Fair Value",Morningstar_Cols,EXACT_MATCH),EXACT_MATCH)</f>
        <v>0.79</v>
      </c>
      <c r="I13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137" s="107">
        <f>VLOOKUP(Companies[[#This Row],[Symbol]],Morningstar,MATCH("% Dividend Yield TTM",Morningstar_Cols,EXACT_MATCH),EXACT_MATCH)/100</f>
        <v>2.1499999999999998E-2</v>
      </c>
      <c r="K137" s="119" t="str">
        <f>IFERROR(LOOKUP(2,1/(GrowthCurves[Ticker]=Companies[[#This Row],[Symbol]]),GrowthCurves[Metric]),"")</f>
        <v>3</v>
      </c>
      <c r="L137" s="94">
        <f>RatingDefault+SUM(Companies[[#This Row],[CurvePoints]:[PFVPoints]])</f>
        <v>2</v>
      </c>
      <c r="M137" s="94"/>
      <c r="N137" s="102">
        <f>IF(Companies[[#This Row],[Growth Curve]]&lt;&gt;"",Companies[[#This Row],[Growth Curve]]-3,0)</f>
        <v>0</v>
      </c>
      <c r="O137" s="52">
        <f>IF(Companies[[#This Row],[PSR]]&gt;2,-1,IF(Companies[[#This Row],[PSR]]&lt;1,1,0))</f>
        <v>-1</v>
      </c>
      <c r="P137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37" s="53">
        <f>IF(Companies[[#This Row],[PFV]]&lt;0.75,2,IF(Companies[[#This Row],[PFV]]&lt;0.95,1,IF(Companies[[#This Row],[PFV]]&gt;1.25,-2,IF(Companies[[#This Row],[PFV]]&gt;1.15,-1,0))))</f>
        <v>1</v>
      </c>
    </row>
    <row r="138" spans="2:17" s="53" customFormat="1" ht="25.15" customHeight="1" x14ac:dyDescent="0.25">
      <c r="B138" s="11" t="s">
        <v>817</v>
      </c>
      <c r="C138" s="11" t="str">
        <f>VLOOKUP(Companies[[#This Row],[Symbol]],Morningstar,MATCH("Name",Morningstar_Cols,EXACT_MATCH),EXACT_MATCH)</f>
        <v>GrubHub Inc</v>
      </c>
      <c r="D138" s="114">
        <f>VLOOKUP(Companies[[#This Row],[Symbol]],Morningstar,MATCH("mil$ Market Cap",Morningstar_Cols,0),0)</f>
        <v>3390.28</v>
      </c>
      <c r="E138" s="115">
        <f>VLOOKUP(Companies[[#This Row],[Symbol]],Morningstar,MATCH("% Total Return 3 Month",Morningstar_Cols,EXACT_MATCH),EXACT_MATCH)/100</f>
        <v>-0.1663</v>
      </c>
      <c r="F138" s="115">
        <f>VLOOKUP(Companies[[#This Row],[Symbol]],Morningstar,MATCH("% Total Return 12 Month",Morningstar_Cols,EXACT_MATCH),EXACT_MATCH)/100</f>
        <v>-0.54530000000000001</v>
      </c>
      <c r="G138" s="116">
        <f>VLOOKUP(Companies[[#This Row],[Symbol]],Morningstar,MATCH("Price/Sales",Morningstar_Cols,EXACT_MATCH),EXACT_MATCH)</f>
        <v>2.57</v>
      </c>
      <c r="H138" s="117">
        <f>VLOOKUP(Companies[[#This Row],[Symbol]],Morningstar,MATCH("Price/Fair Value",Morningstar_Cols,EXACT_MATCH),EXACT_MATCH)</f>
        <v>0.77</v>
      </c>
      <c r="I13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38" s="107">
        <f>VLOOKUP(Companies[[#This Row],[Symbol]],Morningstar,MATCH("% Dividend Yield TTM",Morningstar_Cols,EXACT_MATCH),EXACT_MATCH)/100</f>
        <v>0</v>
      </c>
      <c r="K138" s="119" t="str">
        <f>IFERROR(LOOKUP(2,1/(GrowthCurves[Ticker]=Companies[[#This Row],[Symbol]]),GrowthCurves[Metric]),"")</f>
        <v>1</v>
      </c>
      <c r="L138" s="94">
        <f>RatingDefault+SUM(Companies[[#This Row],[CurvePoints]:[PFVPoints]])</f>
        <v>1</v>
      </c>
      <c r="M138" s="94"/>
      <c r="N138" s="103">
        <f>IF(Companies[[#This Row],[Growth Curve]]&lt;&gt;"",Companies[[#This Row],[Growth Curve]]-3,0)</f>
        <v>-2</v>
      </c>
      <c r="O138" s="53">
        <f>IF(Companies[[#This Row],[PSR]]&gt;2,-1,IF(Companies[[#This Row],[PSR]]&lt;1,1,0))</f>
        <v>-1</v>
      </c>
      <c r="P138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38" s="53">
        <f>IF(Companies[[#This Row],[PFV]]&lt;0.75,2,IF(Companies[[#This Row],[PFV]]&lt;0.95,1,IF(Companies[[#This Row],[PFV]]&gt;1.25,-2,IF(Companies[[#This Row],[PFV]]&gt;1.15,-1,0))))</f>
        <v>1</v>
      </c>
    </row>
    <row r="139" spans="2:17" s="53" customFormat="1" ht="25.15" customHeight="1" x14ac:dyDescent="0.25">
      <c r="B139" s="11" t="s">
        <v>794</v>
      </c>
      <c r="C139" s="11" t="str">
        <f>VLOOKUP(Companies[[#This Row],[Symbol]],Morningstar,MATCH("Name",Morningstar_Cols,EXACT_MATCH),EXACT_MATCH)</f>
        <v>GlaxoSmithKline PLC ADR</v>
      </c>
      <c r="D139" s="114">
        <f>VLOOKUP(Companies[[#This Row],[Symbol]],Morningstar,MATCH("mil$ Market Cap",Morningstar_Cols,0),0)</f>
        <v>89917.99</v>
      </c>
      <c r="E139" s="115">
        <f>VLOOKUP(Companies[[#This Row],[Symbol]],Morningstar,MATCH("% Total Return 3 Month",Morningstar_Cols,EXACT_MATCH),EXACT_MATCH)/100</f>
        <v>-0.192</v>
      </c>
      <c r="F139" s="115">
        <f>VLOOKUP(Companies[[#This Row],[Symbol]],Morningstar,MATCH("% Total Return 12 Month",Morningstar_Cols,EXACT_MATCH),EXACT_MATCH)/100</f>
        <v>-3.7499999999999999E-2</v>
      </c>
      <c r="G139" s="116">
        <f>VLOOKUP(Companies[[#This Row],[Symbol]],Morningstar,MATCH("Price/Sales",Morningstar_Cols,EXACT_MATCH),EXACT_MATCH)</f>
        <v>2.09</v>
      </c>
      <c r="H139" s="117">
        <f>VLOOKUP(Companies[[#This Row],[Symbol]],Morningstar,MATCH("Price/Fair Value",Morningstar_Cols,EXACT_MATCH),EXACT_MATCH)</f>
        <v>0.77</v>
      </c>
      <c r="I13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A</v>
      </c>
      <c r="J139" s="107">
        <f>VLOOKUP(Companies[[#This Row],[Symbol]],Morningstar,MATCH("% Dividend Yield TTM",Morningstar_Cols,EXACT_MATCH),EXACT_MATCH)/100</f>
        <v>5.5800000000000002E-2</v>
      </c>
      <c r="K139" s="119" t="str">
        <f>IFERROR(LOOKUP(2,1/(GrowthCurves[Ticker]=Companies[[#This Row],[Symbol]]),GrowthCurves[Metric]),"")</f>
        <v>3</v>
      </c>
      <c r="L139" s="94">
        <f>RatingDefault+SUM(Companies[[#This Row],[CurvePoints]:[PFVPoints]])</f>
        <v>4</v>
      </c>
      <c r="M139" s="94"/>
      <c r="N139" s="103">
        <f>IF(Companies[[#This Row],[Growth Curve]]&lt;&gt;"",Companies[[#This Row],[Growth Curve]]-3,0)</f>
        <v>0</v>
      </c>
      <c r="O139" s="53">
        <f>IF(Companies[[#This Row],[PSR]]&gt;2,-1,IF(Companies[[#This Row],[PSR]]&lt;1,1,0))</f>
        <v>-1</v>
      </c>
      <c r="P139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39" s="53">
        <f>IF(Companies[[#This Row],[PFV]]&lt;0.75,2,IF(Companies[[#This Row],[PFV]]&lt;0.95,1,IF(Companies[[#This Row],[PFV]]&gt;1.25,-2,IF(Companies[[#This Row],[PFV]]&gt;1.15,-1,0))))</f>
        <v>1</v>
      </c>
    </row>
    <row r="140" spans="2:17" s="53" customFormat="1" ht="25.15" customHeight="1" x14ac:dyDescent="0.25">
      <c r="B140" s="11" t="s">
        <v>748</v>
      </c>
      <c r="C140" s="11" t="str">
        <f>VLOOKUP(Companies[[#This Row],[Symbol]],Morningstar,MATCH("Name",Morningstar_Cols,EXACT_MATCH),EXACT_MATCH)</f>
        <v>Gray Television Inc</v>
      </c>
      <c r="D140" s="114">
        <f>VLOOKUP(Companies[[#This Row],[Symbol]],Morningstar,MATCH("mil$ Market Cap",Morningstar_Cols,0),0)</f>
        <v>1190.74</v>
      </c>
      <c r="E140" s="115">
        <f>VLOOKUP(Companies[[#This Row],[Symbol]],Morningstar,MATCH("% Total Return 3 Month",Morningstar_Cols,EXACT_MATCH),EXACT_MATCH)/100</f>
        <v>-0.51119999999999999</v>
      </c>
      <c r="F140" s="115">
        <f>VLOOKUP(Companies[[#This Row],[Symbol]],Morningstar,MATCH("% Total Return 12 Month",Morningstar_Cols,EXACT_MATCH),EXACT_MATCH)/100</f>
        <v>-0.56600000000000006</v>
      </c>
      <c r="G140" s="116">
        <f>VLOOKUP(Companies[[#This Row],[Symbol]],Morningstar,MATCH("Price/Sales",Morningstar_Cols,EXACT_MATCH),EXACT_MATCH)</f>
        <v>0.56000000000000005</v>
      </c>
      <c r="H140" s="117">
        <f>VLOOKUP(Companies[[#This Row],[Symbol]],Morningstar,MATCH("Price/Fair Value",Morningstar_Cols,EXACT_MATCH),EXACT_MATCH)</f>
        <v>0.57999999999999996</v>
      </c>
      <c r="I14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40" s="107">
        <f>VLOOKUP(Companies[[#This Row],[Symbol]],Morningstar,MATCH("% Dividend Yield TTM",Morningstar_Cols,EXACT_MATCH),EXACT_MATCH)/100</f>
        <v>0</v>
      </c>
      <c r="K140" s="119" t="str">
        <f>IFERROR(LOOKUP(2,1/(GrowthCurves[Ticker]=Companies[[#This Row],[Symbol]]),GrowthCurves[Metric]),"")</f>
        <v/>
      </c>
      <c r="L140" s="94">
        <f>RatingDefault+SUM(Companies[[#This Row],[CurvePoints]:[PFVPoints]])</f>
        <v>6</v>
      </c>
      <c r="M140" s="94"/>
      <c r="N140" s="103">
        <f>IF(Companies[[#This Row],[Growth Curve]]&lt;&gt;"",Companies[[#This Row],[Growth Curve]]-3,0)</f>
        <v>0</v>
      </c>
      <c r="O140" s="53">
        <f>IF(Companies[[#This Row],[PSR]]&gt;2,-1,IF(Companies[[#This Row],[PSR]]&lt;1,1,0))</f>
        <v>1</v>
      </c>
      <c r="P140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40" s="53">
        <f>IF(Companies[[#This Row],[PFV]]&lt;0.75,2,IF(Companies[[#This Row],[PFV]]&lt;0.95,1,IF(Companies[[#This Row],[PFV]]&gt;1.25,-2,IF(Companies[[#This Row],[PFV]]&gt;1.15,-1,0))))</f>
        <v>2</v>
      </c>
    </row>
    <row r="141" spans="2:17" s="53" customFormat="1" ht="25.15" customHeight="1" x14ac:dyDescent="0.25">
      <c r="B141" s="11" t="s">
        <v>674</v>
      </c>
      <c r="C141" s="11" t="str">
        <f>VLOOKUP(Companies[[#This Row],[Symbol]],Morningstar,MATCH("Name",Morningstar_Cols,EXACT_MATCH),EXACT_MATCH)</f>
        <v>Gray Television Inc Class A</v>
      </c>
      <c r="D141" s="114">
        <f>VLOOKUP(Companies[[#This Row],[Symbol]],Morningstar,MATCH("mil$ Market Cap",Morningstar_Cols,0),0)</f>
        <v>1222.74</v>
      </c>
      <c r="E141" s="115">
        <f>VLOOKUP(Companies[[#This Row],[Symbol]],Morningstar,MATCH("% Total Return 3 Month",Morningstar_Cols,EXACT_MATCH),EXACT_MATCH)/100</f>
        <v>-0.51060000000000005</v>
      </c>
      <c r="F141" s="115">
        <f>VLOOKUP(Companies[[#This Row],[Symbol]],Morningstar,MATCH("% Total Return 12 Month",Morningstar_Cols,EXACT_MATCH),EXACT_MATCH)/100</f>
        <v>-0.56899999999999995</v>
      </c>
      <c r="G141" s="116">
        <f>VLOOKUP(Companies[[#This Row],[Symbol]],Morningstar,MATCH("Price/Sales",Morningstar_Cols,EXACT_MATCH),EXACT_MATCH)</f>
        <v>0.53</v>
      </c>
      <c r="H141" s="117">
        <f>VLOOKUP(Companies[[#This Row],[Symbol]],Morningstar,MATCH("Price/Fair Value",Morningstar_Cols,EXACT_MATCH),EXACT_MATCH)</f>
        <v>0.59</v>
      </c>
      <c r="I14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41" s="107">
        <f>VLOOKUP(Companies[[#This Row],[Symbol]],Morningstar,MATCH("% Dividend Yield TTM",Morningstar_Cols,EXACT_MATCH),EXACT_MATCH)/100</f>
        <v>0</v>
      </c>
      <c r="K141" s="119" t="str">
        <f>IFERROR(LOOKUP(2,1/(GrowthCurves[Ticker]=Companies[[#This Row],[Symbol]]),GrowthCurves[Metric]),"")</f>
        <v>3</v>
      </c>
      <c r="L141" s="94">
        <f>RatingDefault+SUM(Companies[[#This Row],[CurvePoints]:[PFVPoints]])</f>
        <v>6</v>
      </c>
      <c r="M141" s="94"/>
      <c r="N141" s="103">
        <f>IF(Companies[[#This Row],[Growth Curve]]&lt;&gt;"",Companies[[#This Row],[Growth Curve]]-3,0)</f>
        <v>0</v>
      </c>
      <c r="O141" s="53">
        <f>IF(Companies[[#This Row],[PSR]]&gt;2,-1,IF(Companies[[#This Row],[PSR]]&lt;1,1,0))</f>
        <v>1</v>
      </c>
      <c r="P141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41" s="53">
        <f>IF(Companies[[#This Row],[PFV]]&lt;0.75,2,IF(Companies[[#This Row],[PFV]]&lt;0.95,1,IF(Companies[[#This Row],[PFV]]&gt;1.25,-2,IF(Companies[[#This Row],[PFV]]&gt;1.15,-1,0))))</f>
        <v>2</v>
      </c>
    </row>
    <row r="142" spans="2:17" s="53" customFormat="1" ht="25.15" customHeight="1" x14ac:dyDescent="0.25">
      <c r="B142" s="11" t="s">
        <v>787</v>
      </c>
      <c r="C142" s="11" t="str">
        <f>VLOOKUP(Companies[[#This Row],[Symbol]],Morningstar,MATCH("Name",Morningstar_Cols,EXACT_MATCH),EXACT_MATCH)</f>
        <v>Guidewire Software Inc</v>
      </c>
      <c r="D142" s="114">
        <f>VLOOKUP(Companies[[#This Row],[Symbol]],Morningstar,MATCH("mil$ Market Cap",Morningstar_Cols,0),0)</f>
        <v>6359</v>
      </c>
      <c r="E142" s="115">
        <f>VLOOKUP(Companies[[#This Row],[Symbol]],Morningstar,MATCH("% Total Return 3 Month",Morningstar_Cols,EXACT_MATCH),EXACT_MATCH)/100</f>
        <v>-0.26500000000000001</v>
      </c>
      <c r="F142" s="115">
        <f>VLOOKUP(Companies[[#This Row],[Symbol]],Morningstar,MATCH("% Total Return 12 Month",Morningstar_Cols,EXACT_MATCH),EXACT_MATCH)/100</f>
        <v>-0.15359999999999999</v>
      </c>
      <c r="G142" s="116">
        <f>VLOOKUP(Companies[[#This Row],[Symbol]],Morningstar,MATCH("Price/Sales",Morningstar_Cols,EXACT_MATCH),EXACT_MATCH)</f>
        <v>9.06</v>
      </c>
      <c r="H142" s="117">
        <f>VLOOKUP(Companies[[#This Row],[Symbol]],Morningstar,MATCH("Price/Fair Value",Morningstar_Cols,EXACT_MATCH),EXACT_MATCH)</f>
        <v>0.71</v>
      </c>
      <c r="I14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A</v>
      </c>
      <c r="J142" s="107">
        <f>VLOOKUP(Companies[[#This Row],[Symbol]],Morningstar,MATCH("% Dividend Yield TTM",Morningstar_Cols,EXACT_MATCH),EXACT_MATCH)/100</f>
        <v>0</v>
      </c>
      <c r="K142" s="119" t="str">
        <f>IFERROR(LOOKUP(2,1/(GrowthCurves[Ticker]=Companies[[#This Row],[Symbol]]),GrowthCurves[Metric]),"")</f>
        <v>2</v>
      </c>
      <c r="L142" s="94">
        <f>RatingDefault+SUM(Companies[[#This Row],[CurvePoints]:[PFVPoints]])</f>
        <v>4</v>
      </c>
      <c r="M142" s="94"/>
      <c r="N142" s="103">
        <f>IF(Companies[[#This Row],[Growth Curve]]&lt;&gt;"",Companies[[#This Row],[Growth Curve]]-3,0)</f>
        <v>-1</v>
      </c>
      <c r="O142" s="53">
        <f>IF(Companies[[#This Row],[PSR]]&gt;2,-1,IF(Companies[[#This Row],[PSR]]&lt;1,1,0))</f>
        <v>-1</v>
      </c>
      <c r="P142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42" s="53">
        <f>IF(Companies[[#This Row],[PFV]]&lt;0.75,2,IF(Companies[[#This Row],[PFV]]&lt;0.95,1,IF(Companies[[#This Row],[PFV]]&gt;1.25,-2,IF(Companies[[#This Row],[PFV]]&gt;1.15,-1,0))))</f>
        <v>2</v>
      </c>
    </row>
    <row r="143" spans="2:17" s="53" customFormat="1" ht="25.15" customHeight="1" x14ac:dyDescent="0.25">
      <c r="B143" s="11" t="s">
        <v>452</v>
      </c>
      <c r="C143" s="11" t="str">
        <f>VLOOKUP(Companies[[#This Row],[Symbol]],Morningstar,MATCH("Name",Morningstar_Cols,EXACT_MATCH),EXACT_MATCH)</f>
        <v>Hanesbrands Inc</v>
      </c>
      <c r="D143" s="114">
        <f>VLOOKUP(Companies[[#This Row],[Symbol]],Morningstar,MATCH("mil$ Market Cap",Morningstar_Cols,0),0)</f>
        <v>3340.03</v>
      </c>
      <c r="E143" s="115">
        <f>VLOOKUP(Companies[[#This Row],[Symbol]],Morningstar,MATCH("% Total Return 3 Month",Morningstar_Cols,EXACT_MATCH),EXACT_MATCH)/100</f>
        <v>-0.3775</v>
      </c>
      <c r="F143" s="115">
        <f>VLOOKUP(Companies[[#This Row],[Symbol]],Morningstar,MATCH("% Total Return 12 Month",Morningstar_Cols,EXACT_MATCH),EXACT_MATCH)/100</f>
        <v>-0.44189999999999996</v>
      </c>
      <c r="G143" s="116">
        <f>VLOOKUP(Companies[[#This Row],[Symbol]],Morningstar,MATCH("Price/Sales",Morningstar_Cols,EXACT_MATCH),EXACT_MATCH)</f>
        <v>0.49</v>
      </c>
      <c r="H143" s="117">
        <f>VLOOKUP(Companies[[#This Row],[Symbol]],Morningstar,MATCH("Price/Fair Value",Morningstar_Cols,EXACT_MATCH),EXACT_MATCH)</f>
        <v>0.34</v>
      </c>
      <c r="I14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43" s="107">
        <f>VLOOKUP(Companies[[#This Row],[Symbol]],Morningstar,MATCH("% Dividend Yield TTM",Morningstar_Cols,EXACT_MATCH),EXACT_MATCH)/100</f>
        <v>6.4500000000000002E-2</v>
      </c>
      <c r="K143" s="119" t="str">
        <f>IFERROR(LOOKUP(2,1/(GrowthCurves[Ticker]=Companies[[#This Row],[Symbol]]),GrowthCurves[Metric]),"")</f>
        <v>2</v>
      </c>
      <c r="L143" s="94">
        <f>RatingDefault+SUM(Companies[[#This Row],[CurvePoints]:[PFVPoints]])</f>
        <v>5</v>
      </c>
      <c r="M143" s="94"/>
      <c r="N143" s="103">
        <f>IF(Companies[[#This Row],[Growth Curve]]&lt;&gt;"",Companies[[#This Row],[Growth Curve]]-3,0)</f>
        <v>-1</v>
      </c>
      <c r="O143" s="53">
        <f>IF(Companies[[#This Row],[PSR]]&gt;2,-1,IF(Companies[[#This Row],[PSR]]&lt;1,1,0))</f>
        <v>1</v>
      </c>
      <c r="P143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43" s="53">
        <f>IF(Companies[[#This Row],[PFV]]&lt;0.75,2,IF(Companies[[#This Row],[PFV]]&lt;0.95,1,IF(Companies[[#This Row],[PFV]]&gt;1.25,-2,IF(Companies[[#This Row],[PFV]]&gt;1.15,-1,0))))</f>
        <v>2</v>
      </c>
    </row>
    <row r="144" spans="2:17" s="53" customFormat="1" ht="25.15" customHeight="1" x14ac:dyDescent="0.25">
      <c r="B144" s="11" t="s">
        <v>337</v>
      </c>
      <c r="C144" s="11" t="str">
        <f>VLOOKUP(Companies[[#This Row],[Symbol]],Morningstar,MATCH("Name",Morningstar_Cols,EXACT_MATCH),EXACT_MATCH)</f>
        <v>Warrior Met Coal Inc</v>
      </c>
      <c r="D144" s="114">
        <f>VLOOKUP(Companies[[#This Row],[Symbol]],Morningstar,MATCH("mil$ Market Cap",Morningstar_Cols,0),0)</f>
        <v>638.64</v>
      </c>
      <c r="E144" s="115">
        <f>VLOOKUP(Companies[[#This Row],[Symbol]],Morningstar,MATCH("% Total Return 3 Month",Morningstar_Cols,EXACT_MATCH),EXACT_MATCH)/100</f>
        <v>-0.43689999999999996</v>
      </c>
      <c r="F144" s="115">
        <f>VLOOKUP(Companies[[#This Row],[Symbol]],Morningstar,MATCH("% Total Return 12 Month",Morningstar_Cols,EXACT_MATCH),EXACT_MATCH)/100</f>
        <v>-0.4239</v>
      </c>
      <c r="G144" s="116">
        <f>VLOOKUP(Companies[[#This Row],[Symbol]],Morningstar,MATCH("Price/Sales",Morningstar_Cols,EXACT_MATCH),EXACT_MATCH)</f>
        <v>0.51</v>
      </c>
      <c r="H144" s="117">
        <f>VLOOKUP(Companies[[#This Row],[Symbol]],Morningstar,MATCH("Price/Fair Value",Morningstar_Cols,EXACT_MATCH),EXACT_MATCH)</f>
        <v>0.47</v>
      </c>
      <c r="I14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44" s="107">
        <f>VLOOKUP(Companies[[#This Row],[Symbol]],Morningstar,MATCH("% Dividend Yield TTM",Morningstar_Cols,EXACT_MATCH),EXACT_MATCH)/100</f>
        <v>1.7399999999999999E-2</v>
      </c>
      <c r="K144" s="119" t="str">
        <f>IFERROR(LOOKUP(2,1/(GrowthCurves[Ticker]=Companies[[#This Row],[Symbol]]),GrowthCurves[Metric]),"")</f>
        <v/>
      </c>
      <c r="L144" s="94">
        <f>RatingDefault+SUM(Companies[[#This Row],[CurvePoints]:[PFVPoints]])</f>
        <v>6</v>
      </c>
      <c r="M144" s="94"/>
      <c r="N144" s="103">
        <f>IF(Companies[[#This Row],[Growth Curve]]&lt;&gt;"",Companies[[#This Row],[Growth Curve]]-3,0)</f>
        <v>0</v>
      </c>
      <c r="O144" s="53">
        <f>IF(Companies[[#This Row],[PSR]]&gt;2,-1,IF(Companies[[#This Row],[PSR]]&lt;1,1,0))</f>
        <v>1</v>
      </c>
      <c r="P144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44" s="53">
        <f>IF(Companies[[#This Row],[PFV]]&lt;0.75,2,IF(Companies[[#This Row],[PFV]]&lt;0.95,1,IF(Companies[[#This Row],[PFV]]&gt;1.25,-2,IF(Companies[[#This Row],[PFV]]&gt;1.15,-1,0))))</f>
        <v>2</v>
      </c>
    </row>
    <row r="145" spans="2:17" s="53" customFormat="1" ht="25.15" customHeight="1" x14ac:dyDescent="0.25">
      <c r="B145" s="11" t="s">
        <v>363</v>
      </c>
      <c r="C145" s="11" t="str">
        <f>VLOOKUP(Companies[[#This Row],[Symbol]],Morningstar,MATCH("Name",Morningstar_Cols,EXACT_MATCH),EXACT_MATCH)</f>
        <v>H&amp;E Equipment Services Inc</v>
      </c>
      <c r="D145" s="114">
        <f>VLOOKUP(Companies[[#This Row],[Symbol]],Morningstar,MATCH("mil$ Market Cap",Morningstar_Cols,0),0)</f>
        <v>522.63</v>
      </c>
      <c r="E145" s="115">
        <f>VLOOKUP(Companies[[#This Row],[Symbol]],Morningstar,MATCH("% Total Return 3 Month",Morningstar_Cols,EXACT_MATCH),EXACT_MATCH)/100</f>
        <v>-0.54530000000000001</v>
      </c>
      <c r="F145" s="115">
        <f>VLOOKUP(Companies[[#This Row],[Symbol]],Morningstar,MATCH("% Total Return 12 Month",Morningstar_Cols,EXACT_MATCH),EXACT_MATCH)/100</f>
        <v>-0.4078</v>
      </c>
      <c r="G145" s="116">
        <f>VLOOKUP(Companies[[#This Row],[Symbol]],Morningstar,MATCH("Price/Sales",Morningstar_Cols,EXACT_MATCH),EXACT_MATCH)</f>
        <v>0.39</v>
      </c>
      <c r="H145" s="117">
        <f>VLOOKUP(Companies[[#This Row],[Symbol]],Morningstar,MATCH("Price/Fair Value",Morningstar_Cols,EXACT_MATCH),EXACT_MATCH)</f>
        <v>0.48</v>
      </c>
      <c r="I14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45" s="107">
        <f>VLOOKUP(Companies[[#This Row],[Symbol]],Morningstar,MATCH("% Dividend Yield TTM",Morningstar_Cols,EXACT_MATCH),EXACT_MATCH)/100</f>
        <v>7.3499999999999996E-2</v>
      </c>
      <c r="K145" s="119" t="str">
        <f>IFERROR(LOOKUP(2,1/(GrowthCurves[Ticker]=Companies[[#This Row],[Symbol]]),GrowthCurves[Metric]),"")</f>
        <v>1</v>
      </c>
      <c r="L145" s="94">
        <f>RatingDefault+SUM(Companies[[#This Row],[CurvePoints]:[PFVPoints]])</f>
        <v>4</v>
      </c>
      <c r="M145" s="94"/>
      <c r="N145" s="103">
        <f>IF(Companies[[#This Row],[Growth Curve]]&lt;&gt;"",Companies[[#This Row],[Growth Curve]]-3,0)</f>
        <v>-2</v>
      </c>
      <c r="O145" s="53">
        <f>IF(Companies[[#This Row],[PSR]]&gt;2,-1,IF(Companies[[#This Row],[PSR]]&lt;1,1,0))</f>
        <v>1</v>
      </c>
      <c r="P145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45" s="53">
        <f>IF(Companies[[#This Row],[PFV]]&lt;0.75,2,IF(Companies[[#This Row],[PFV]]&lt;0.95,1,IF(Companies[[#This Row],[PFV]]&gt;1.25,-2,IF(Companies[[#This Row],[PFV]]&gt;1.15,-1,0))))</f>
        <v>2</v>
      </c>
    </row>
    <row r="146" spans="2:17" s="53" customFormat="1" ht="25.15" customHeight="1" x14ac:dyDescent="0.25">
      <c r="B146" s="11" t="s">
        <v>188</v>
      </c>
      <c r="C146" s="11" t="str">
        <f>VLOOKUP(Companies[[#This Row],[Symbol]],Morningstar,MATCH("Name",Morningstar_Cols,EXACT_MATCH),EXACT_MATCH)</f>
        <v>HollyFrontier Corp</v>
      </c>
      <c r="D146" s="114">
        <f>VLOOKUP(Companies[[#This Row],[Symbol]],Morningstar,MATCH("mil$ Market Cap",Morningstar_Cols,0),0)</f>
        <v>3213.11</v>
      </c>
      <c r="E146" s="115">
        <f>VLOOKUP(Companies[[#This Row],[Symbol]],Morningstar,MATCH("% Total Return 3 Month",Morningstar_Cols,EXACT_MATCH),EXACT_MATCH)/100</f>
        <v>-0.60770000000000002</v>
      </c>
      <c r="F146" s="115">
        <f>VLOOKUP(Companies[[#This Row],[Symbol]],Morningstar,MATCH("% Total Return 12 Month",Morningstar_Cols,EXACT_MATCH),EXACT_MATCH)/100</f>
        <v>-0.5897</v>
      </c>
      <c r="G146" s="116">
        <f>VLOOKUP(Companies[[#This Row],[Symbol]],Morningstar,MATCH("Price/Sales",Morningstar_Cols,EXACT_MATCH),EXACT_MATCH)</f>
        <v>0.19</v>
      </c>
      <c r="H146" s="117">
        <f>VLOOKUP(Companies[[#This Row],[Symbol]],Morningstar,MATCH("Price/Fair Value",Morningstar_Cols,EXACT_MATCH),EXACT_MATCH)</f>
        <v>0.35</v>
      </c>
      <c r="I14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46" s="107">
        <f>VLOOKUP(Companies[[#This Row],[Symbol]],Morningstar,MATCH("% Dividend Yield TTM",Morningstar_Cols,EXACT_MATCH),EXACT_MATCH)/100</f>
        <v>7.0000000000000007E-2</v>
      </c>
      <c r="K146" s="119" t="str">
        <f>IFERROR(LOOKUP(2,1/(GrowthCurves[Ticker]=Companies[[#This Row],[Symbol]]),GrowthCurves[Metric]),"")</f>
        <v/>
      </c>
      <c r="L146" s="94">
        <f>RatingDefault+SUM(Companies[[#This Row],[CurvePoints]:[PFVPoints]])</f>
        <v>6</v>
      </c>
      <c r="M146" s="94"/>
      <c r="N146" s="103">
        <f>IF(Companies[[#This Row],[Growth Curve]]&lt;&gt;"",Companies[[#This Row],[Growth Curve]]-3,0)</f>
        <v>0</v>
      </c>
      <c r="O146" s="53">
        <f>IF(Companies[[#This Row],[PSR]]&gt;2,-1,IF(Companies[[#This Row],[PSR]]&lt;1,1,0))</f>
        <v>1</v>
      </c>
      <c r="P146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46" s="53">
        <f>IF(Companies[[#This Row],[PFV]]&lt;0.75,2,IF(Companies[[#This Row],[PFV]]&lt;0.95,1,IF(Companies[[#This Row],[PFV]]&gt;1.25,-2,IF(Companies[[#This Row],[PFV]]&gt;1.15,-1,0))))</f>
        <v>2</v>
      </c>
    </row>
    <row r="147" spans="2:17" s="53" customFormat="1" ht="25.15" customHeight="1" x14ac:dyDescent="0.25">
      <c r="B147" s="11" t="s">
        <v>27</v>
      </c>
      <c r="C147" s="11" t="str">
        <f>VLOOKUP(Companies[[#This Row],[Symbol]],Morningstar,MATCH("Name",Morningstar_Cols,EXACT_MATCH),EXACT_MATCH)</f>
        <v>Hooker Furniture Corp</v>
      </c>
      <c r="D147" s="114">
        <f>VLOOKUP(Companies[[#This Row],[Symbol]],Morningstar,MATCH("mil$ Market Cap",Morningstar_Cols,0),0)</f>
        <v>171.78</v>
      </c>
      <c r="E147" s="115">
        <f>VLOOKUP(Companies[[#This Row],[Symbol]],Morningstar,MATCH("% Total Return 3 Month",Morningstar_Cols,EXACT_MATCH),EXACT_MATCH)/100</f>
        <v>-0.43310000000000004</v>
      </c>
      <c r="F147" s="115">
        <f>VLOOKUP(Companies[[#This Row],[Symbol]],Morningstar,MATCH("% Total Return 12 Month",Morningstar_Cols,EXACT_MATCH),EXACT_MATCH)/100</f>
        <v>-0.52060000000000006</v>
      </c>
      <c r="G147" s="116">
        <f>VLOOKUP(Companies[[#This Row],[Symbol]],Morningstar,MATCH("Price/Sales",Morningstar_Cols,EXACT_MATCH),EXACT_MATCH)</f>
        <v>0.26</v>
      </c>
      <c r="H147" s="117">
        <f>VLOOKUP(Companies[[#This Row],[Symbol]],Morningstar,MATCH("Price/Fair Value",Morningstar_Cols,EXACT_MATCH),EXACT_MATCH)</f>
        <v>0.57999999999999996</v>
      </c>
      <c r="I14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47" s="107">
        <f>VLOOKUP(Companies[[#This Row],[Symbol]],Morningstar,MATCH("% Dividend Yield TTM",Morningstar_Cols,EXACT_MATCH),EXACT_MATCH)/100</f>
        <v>4.3799999999999999E-2</v>
      </c>
      <c r="K147" s="119" t="str">
        <f>IFERROR(LOOKUP(2,1/(GrowthCurves[Ticker]=Companies[[#This Row],[Symbol]]),GrowthCurves[Metric]),"")</f>
        <v>1</v>
      </c>
      <c r="L147" s="94">
        <f>RatingDefault+SUM(Companies[[#This Row],[CurvePoints]:[PFVPoints]])</f>
        <v>4</v>
      </c>
      <c r="M147" s="94"/>
      <c r="N147" s="103">
        <f>IF(Companies[[#This Row],[Growth Curve]]&lt;&gt;"",Companies[[#This Row],[Growth Curve]]-3,0)</f>
        <v>-2</v>
      </c>
      <c r="O147" s="53">
        <f>IF(Companies[[#This Row],[PSR]]&gt;2,-1,IF(Companies[[#This Row],[PSR]]&lt;1,1,0))</f>
        <v>1</v>
      </c>
      <c r="P147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47" s="53">
        <f>IF(Companies[[#This Row],[PFV]]&lt;0.75,2,IF(Companies[[#This Row],[PFV]]&lt;0.95,1,IF(Companies[[#This Row],[PFV]]&gt;1.25,-2,IF(Companies[[#This Row],[PFV]]&gt;1.15,-1,0))))</f>
        <v>2</v>
      </c>
    </row>
    <row r="148" spans="2:17" s="53" customFormat="1" ht="25.15" customHeight="1" x14ac:dyDescent="0.25">
      <c r="B148" s="11" t="s">
        <v>214</v>
      </c>
      <c r="C148" s="11" t="str">
        <f>VLOOKUP(Companies[[#This Row],[Symbol]],Morningstar,MATCH("Name",Morningstar_Cols,EXACT_MATCH),EXACT_MATCH)</f>
        <v>At Home Group Inc</v>
      </c>
      <c r="D148" s="114">
        <f>VLOOKUP(Companies[[#This Row],[Symbol]],Morningstar,MATCH("mil$ Market Cap",Morningstar_Cols,0),0)</f>
        <v>204.5</v>
      </c>
      <c r="E148" s="115">
        <f>VLOOKUP(Companies[[#This Row],[Symbol]],Morningstar,MATCH("% Total Return 3 Month",Morningstar_Cols,EXACT_MATCH),EXACT_MATCH)/100</f>
        <v>-0.53990000000000005</v>
      </c>
      <c r="F148" s="115">
        <f>VLOOKUP(Companies[[#This Row],[Symbol]],Morningstar,MATCH("% Total Return 12 Month",Morningstar_Cols,EXACT_MATCH),EXACT_MATCH)/100</f>
        <v>-0.86980000000000002</v>
      </c>
      <c r="G148" s="116">
        <f>VLOOKUP(Companies[[#This Row],[Symbol]],Morningstar,MATCH("Price/Sales",Morningstar_Cols,EXACT_MATCH),EXACT_MATCH)</f>
        <v>0.15</v>
      </c>
      <c r="H148" s="117">
        <f>VLOOKUP(Companies[[#This Row],[Symbol]],Morningstar,MATCH("Price/Fair Value",Morningstar_Cols,EXACT_MATCH),EXACT_MATCH)</f>
        <v>0.4</v>
      </c>
      <c r="I14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F</v>
      </c>
      <c r="J148" s="107">
        <f>VLOOKUP(Companies[[#This Row],[Symbol]],Morningstar,MATCH("% Dividend Yield TTM",Morningstar_Cols,EXACT_MATCH),EXACT_MATCH)/100</f>
        <v>0</v>
      </c>
      <c r="K148" s="119" t="str">
        <f>IFERROR(LOOKUP(2,1/(GrowthCurves[Ticker]=Companies[[#This Row],[Symbol]]),GrowthCurves[Metric]),"")</f>
        <v/>
      </c>
      <c r="L148" s="94">
        <f>RatingDefault+SUM(Companies[[#This Row],[CurvePoints]:[PFVPoints]])</f>
        <v>4</v>
      </c>
      <c r="M148" s="94"/>
      <c r="N148" s="103">
        <f>IF(Companies[[#This Row],[Growth Curve]]&lt;&gt;"",Companies[[#This Row],[Growth Curve]]-3,0)</f>
        <v>0</v>
      </c>
      <c r="O148" s="53">
        <f>IF(Companies[[#This Row],[PSR]]&gt;2,-1,IF(Companies[[#This Row],[PSR]]&lt;1,1,0))</f>
        <v>1</v>
      </c>
      <c r="P148" s="53">
        <f>IF(Companies[[#This Row],[Financial Health]]&lt;&gt;"",IF(Companies[[#This Row],[Financial Health]]="F",-2,IF(Companies[[#This Row],[Financial Health]]&gt;"C",-1,IF(Companies[[#This Row],[Financial Health]]&lt;"C",1,0))),-1)</f>
        <v>-2</v>
      </c>
      <c r="Q148" s="53">
        <f>IF(Companies[[#This Row],[PFV]]&lt;0.75,2,IF(Companies[[#This Row],[PFV]]&lt;0.95,1,IF(Companies[[#This Row],[PFV]]&gt;1.25,-2,IF(Companies[[#This Row],[PFV]]&gt;1.15,-1,0))))</f>
        <v>2</v>
      </c>
    </row>
    <row r="149" spans="2:17" s="53" customFormat="1" ht="25.15" customHeight="1" x14ac:dyDescent="0.25">
      <c r="B149" s="11" t="s">
        <v>155</v>
      </c>
      <c r="C149" s="11" t="str">
        <f>VLOOKUP(Companies[[#This Row],[Symbol]],Morningstar,MATCH("Name",Morningstar_Cols,EXACT_MATCH),EXACT_MATCH)</f>
        <v>HP Inc</v>
      </c>
      <c r="D149" s="114">
        <f>VLOOKUP(Companies[[#This Row],[Symbol]],Morningstar,MATCH("mil$ Market Cap",Morningstar_Cols,0),0)</f>
        <v>24596.21</v>
      </c>
      <c r="E149" s="115">
        <f>VLOOKUP(Companies[[#This Row],[Symbol]],Morningstar,MATCH("% Total Return 3 Month",Morningstar_Cols,EXACT_MATCH),EXACT_MATCH)/100</f>
        <v>-0.1343</v>
      </c>
      <c r="F149" s="115">
        <f>VLOOKUP(Companies[[#This Row],[Symbol]],Morningstar,MATCH("% Total Return 12 Month",Morningstar_Cols,EXACT_MATCH),EXACT_MATCH)/100</f>
        <v>-4.5999999999999999E-2</v>
      </c>
      <c r="G149" s="116">
        <f>VLOOKUP(Companies[[#This Row],[Symbol]],Morningstar,MATCH("Price/Sales",Morningstar_Cols,EXACT_MATCH),EXACT_MATCH)</f>
        <v>0.44</v>
      </c>
      <c r="H149" s="117">
        <f>VLOOKUP(Companies[[#This Row],[Symbol]],Morningstar,MATCH("Price/Fair Value",Morningstar_Cols,EXACT_MATCH),EXACT_MATCH)</f>
        <v>0.86</v>
      </c>
      <c r="I14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49" s="107">
        <f>VLOOKUP(Companies[[#This Row],[Symbol]],Morningstar,MATCH("% Dividend Yield TTM",Morningstar_Cols,EXACT_MATCH),EXACT_MATCH)/100</f>
        <v>3.8399999999999997E-2</v>
      </c>
      <c r="K149" s="119" t="str">
        <f>IFERROR(LOOKUP(2,1/(GrowthCurves[Ticker]=Companies[[#This Row],[Symbol]]),GrowthCurves[Metric]),"")</f>
        <v>2</v>
      </c>
      <c r="L149" s="94">
        <f>RatingDefault+SUM(Companies[[#This Row],[CurvePoints]:[PFVPoints]])</f>
        <v>5</v>
      </c>
      <c r="M149" s="94"/>
      <c r="N149" s="103">
        <f>IF(Companies[[#This Row],[Growth Curve]]&lt;&gt;"",Companies[[#This Row],[Growth Curve]]-3,0)</f>
        <v>-1</v>
      </c>
      <c r="O149" s="53">
        <f>IF(Companies[[#This Row],[PSR]]&gt;2,-1,IF(Companies[[#This Row],[PSR]]&lt;1,1,0))</f>
        <v>1</v>
      </c>
      <c r="P149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49" s="53">
        <f>IF(Companies[[#This Row],[PFV]]&lt;0.75,2,IF(Companies[[#This Row],[PFV]]&lt;0.95,1,IF(Companies[[#This Row],[PFV]]&gt;1.25,-2,IF(Companies[[#This Row],[PFV]]&gt;1.15,-1,0))))</f>
        <v>1</v>
      </c>
    </row>
    <row r="150" spans="2:17" s="53" customFormat="1" ht="25.15" customHeight="1" x14ac:dyDescent="0.25">
      <c r="B150" s="11" t="s">
        <v>367</v>
      </c>
      <c r="C150" s="11" t="str">
        <f>VLOOKUP(Companies[[#This Row],[Symbol]],Morningstar,MATCH("Name",Morningstar_Cols,EXACT_MATCH),EXACT_MATCH)</f>
        <v>Hertz Global Holdings Inc</v>
      </c>
      <c r="D150" s="114">
        <f>VLOOKUP(Companies[[#This Row],[Symbol]],Morningstar,MATCH("mil$ Market Cap",Morningstar_Cols,0),0)</f>
        <v>1043.9100000000001</v>
      </c>
      <c r="E150" s="115">
        <f>VLOOKUP(Companies[[#This Row],[Symbol]],Morningstar,MATCH("% Total Return 3 Month",Morningstar_Cols,EXACT_MATCH),EXACT_MATCH)/100</f>
        <v>-0.54569999999999996</v>
      </c>
      <c r="F150" s="115">
        <f>VLOOKUP(Companies[[#This Row],[Symbol]],Morningstar,MATCH("% Total Return 12 Month",Morningstar_Cols,EXACT_MATCH),EXACT_MATCH)/100</f>
        <v>-0.52910000000000001</v>
      </c>
      <c r="G150" s="116">
        <f>VLOOKUP(Companies[[#This Row],[Symbol]],Morningstar,MATCH("Price/Sales",Morningstar_Cols,EXACT_MATCH),EXACT_MATCH)</f>
        <v>0.08</v>
      </c>
      <c r="H150" s="117">
        <f>VLOOKUP(Companies[[#This Row],[Symbol]],Morningstar,MATCH("Price/Fair Value",Morningstar_Cols,EXACT_MATCH),EXACT_MATCH)</f>
        <v>0.4</v>
      </c>
      <c r="I15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150" s="107">
        <f>VLOOKUP(Companies[[#This Row],[Symbol]],Morningstar,MATCH("% Dividend Yield TTM",Morningstar_Cols,EXACT_MATCH),EXACT_MATCH)/100</f>
        <v>0</v>
      </c>
      <c r="K150" s="119" t="str">
        <f>IFERROR(LOOKUP(2,1/(GrowthCurves[Ticker]=Companies[[#This Row],[Symbol]]),GrowthCurves[Metric]),"")</f>
        <v/>
      </c>
      <c r="L150" s="94">
        <f>RatingDefault+SUM(Companies[[#This Row],[CurvePoints]:[PFVPoints]])</f>
        <v>5</v>
      </c>
      <c r="M150" s="94"/>
      <c r="N150" s="103">
        <f>IF(Companies[[#This Row],[Growth Curve]]&lt;&gt;"",Companies[[#This Row],[Growth Curve]]-3,0)</f>
        <v>0</v>
      </c>
      <c r="O150" s="53">
        <f>IF(Companies[[#This Row],[PSR]]&gt;2,-1,IF(Companies[[#This Row],[PSR]]&lt;1,1,0))</f>
        <v>1</v>
      </c>
      <c r="P150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50" s="53">
        <f>IF(Companies[[#This Row],[PFV]]&lt;0.75,2,IF(Companies[[#This Row],[PFV]]&lt;0.95,1,IF(Companies[[#This Row],[PFV]]&gt;1.25,-2,IF(Companies[[#This Row],[PFV]]&gt;1.15,-1,0))))</f>
        <v>2</v>
      </c>
    </row>
    <row r="151" spans="2:17" s="53" customFormat="1" ht="25.15" customHeight="1" x14ac:dyDescent="0.25">
      <c r="B151" s="11" t="s">
        <v>28</v>
      </c>
      <c r="C151" s="11" t="str">
        <f>VLOOKUP(Companies[[#This Row],[Symbol]],Morningstar,MATCH("Name",Morningstar_Cols,EXACT_MATCH),EXACT_MATCH)</f>
        <v>Huntsman Corp</v>
      </c>
      <c r="D151" s="114">
        <f>VLOOKUP(Companies[[#This Row],[Symbol]],Morningstar,MATCH("mil$ Market Cap",Morningstar_Cols,0),0)</f>
        <v>3392.22</v>
      </c>
      <c r="E151" s="115">
        <f>VLOOKUP(Companies[[#This Row],[Symbol]],Morningstar,MATCH("% Total Return 3 Month",Morningstar_Cols,EXACT_MATCH),EXACT_MATCH)/100</f>
        <v>-0.41189999999999999</v>
      </c>
      <c r="F151" s="115">
        <f>VLOOKUP(Companies[[#This Row],[Symbol]],Morningstar,MATCH("% Total Return 12 Month",Morningstar_Cols,EXACT_MATCH),EXACT_MATCH)/100</f>
        <v>-0.37200000000000005</v>
      </c>
      <c r="G151" s="116">
        <f>VLOOKUP(Companies[[#This Row],[Symbol]],Morningstar,MATCH("Price/Sales",Morningstar_Cols,EXACT_MATCH),EXACT_MATCH)</f>
        <v>0.52</v>
      </c>
      <c r="H151" s="117">
        <f>VLOOKUP(Companies[[#This Row],[Symbol]],Morningstar,MATCH("Price/Fair Value",Morningstar_Cols,EXACT_MATCH),EXACT_MATCH)</f>
        <v>0.66</v>
      </c>
      <c r="I15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51" s="107">
        <f>VLOOKUP(Companies[[#This Row],[Symbol]],Morningstar,MATCH("% Dividend Yield TTM",Morningstar_Cols,EXACT_MATCH),EXACT_MATCH)/100</f>
        <v>4.5400000000000003E-2</v>
      </c>
      <c r="K151" s="119" t="str">
        <f>IFERROR(LOOKUP(2,1/(GrowthCurves[Ticker]=Companies[[#This Row],[Symbol]]),GrowthCurves[Metric]),"")</f>
        <v>1</v>
      </c>
      <c r="L151" s="94">
        <f>RatingDefault+SUM(Companies[[#This Row],[CurvePoints]:[PFVPoints]])</f>
        <v>4</v>
      </c>
      <c r="M151" s="94"/>
      <c r="N151" s="103">
        <f>IF(Companies[[#This Row],[Growth Curve]]&lt;&gt;"",Companies[[#This Row],[Growth Curve]]-3,0)</f>
        <v>-2</v>
      </c>
      <c r="O151" s="53">
        <f>IF(Companies[[#This Row],[PSR]]&gt;2,-1,IF(Companies[[#This Row],[PSR]]&lt;1,1,0))</f>
        <v>1</v>
      </c>
      <c r="P151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51" s="53">
        <f>IF(Companies[[#This Row],[PFV]]&lt;0.75,2,IF(Companies[[#This Row],[PFV]]&lt;0.95,1,IF(Companies[[#This Row],[PFV]]&gt;1.25,-2,IF(Companies[[#This Row],[PFV]]&gt;1.15,-1,0))))</f>
        <v>2</v>
      </c>
    </row>
    <row r="152" spans="2:17" s="53" customFormat="1" ht="25.15" customHeight="1" x14ac:dyDescent="0.25">
      <c r="B152" s="52" t="s">
        <v>80</v>
      </c>
      <c r="C152" s="11" t="str">
        <f>VLOOKUP(Companies[[#This Row],[Symbol]],Morningstar,MATCH("Name",Morningstar_Cols,EXACT_MATCH),EXACT_MATCH)</f>
        <v>Intelsat SA</v>
      </c>
      <c r="D152" s="114">
        <f>VLOOKUP(Companies[[#This Row],[Symbol]],Morningstar,MATCH("mil$ Market Cap",Morningstar_Cols,0),0)</f>
        <v>317.62</v>
      </c>
      <c r="E152" s="115">
        <f>VLOOKUP(Companies[[#This Row],[Symbol]],Morningstar,MATCH("% Total Return 3 Month",Morningstar_Cols,EXACT_MATCH),EXACT_MATCH)/100</f>
        <v>-0.68840000000000001</v>
      </c>
      <c r="F152" s="115">
        <f>VLOOKUP(Companies[[#This Row],[Symbol]],Morningstar,MATCH("% Total Return 12 Month",Morningstar_Cols,EXACT_MATCH),EXACT_MATCH)/100</f>
        <v>-0.89249999999999996</v>
      </c>
      <c r="G152" s="116">
        <f>VLOOKUP(Companies[[#This Row],[Symbol]],Morningstar,MATCH("Price/Sales",Morningstar_Cols,EXACT_MATCH),EXACT_MATCH)</f>
        <v>0.15</v>
      </c>
      <c r="H152" s="117">
        <f>VLOOKUP(Companies[[#This Row],[Symbol]],Morningstar,MATCH("Price/Fair Value",Morningstar_Cols,EXACT_MATCH),EXACT_MATCH)</f>
        <v>0.53</v>
      </c>
      <c r="I15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F</v>
      </c>
      <c r="J152" s="107">
        <f>VLOOKUP(Companies[[#This Row],[Symbol]],Morningstar,MATCH("% Dividend Yield TTM",Morningstar_Cols,EXACT_MATCH),EXACT_MATCH)/100</f>
        <v>0</v>
      </c>
      <c r="K152" s="119" t="str">
        <f>IFERROR(LOOKUP(2,1/(GrowthCurves[Ticker]=Companies[[#This Row],[Symbol]]),GrowthCurves[Metric]),"")</f>
        <v/>
      </c>
      <c r="L152" s="94">
        <f>RatingDefault+SUM(Companies[[#This Row],[CurvePoints]:[PFVPoints]])</f>
        <v>4</v>
      </c>
      <c r="M152" s="94"/>
      <c r="N152" s="102">
        <f>IF(Companies[[#This Row],[Growth Curve]]&lt;&gt;"",Companies[[#This Row],[Growth Curve]]-3,0)</f>
        <v>0</v>
      </c>
      <c r="O152" s="52">
        <f>IF(Companies[[#This Row],[PSR]]&gt;2,-1,IF(Companies[[#This Row],[PSR]]&lt;1,1,0))</f>
        <v>1</v>
      </c>
      <c r="P152" s="52">
        <f>IF(Companies[[#This Row],[Financial Health]]&lt;&gt;"",IF(Companies[[#This Row],[Financial Health]]="F",-2,IF(Companies[[#This Row],[Financial Health]]&gt;"C",-1,IF(Companies[[#This Row],[Financial Health]]&lt;"C",1,0))),-1)</f>
        <v>-2</v>
      </c>
      <c r="Q152" s="53">
        <f>IF(Companies[[#This Row],[PFV]]&lt;0.75,2,IF(Companies[[#This Row],[PFV]]&lt;0.95,1,IF(Companies[[#This Row],[PFV]]&gt;1.25,-2,IF(Companies[[#This Row],[PFV]]&gt;1.15,-1,0))))</f>
        <v>2</v>
      </c>
    </row>
    <row r="153" spans="2:17" s="53" customFormat="1" ht="25.15" customHeight="1" x14ac:dyDescent="0.25">
      <c r="B153" s="11" t="s">
        <v>979</v>
      </c>
      <c r="C153" s="11" t="str">
        <f>VLOOKUP(Companies[[#This Row],[Symbol]],Morningstar,MATCH("Name",Morningstar_Cols,EXACT_MATCH),EXACT_MATCH)</f>
        <v>iShares Gold Trust</v>
      </c>
      <c r="D153" s="114">
        <f>VLOOKUP(Companies[[#This Row],[Symbol]],Morningstar,MATCH("mil$ Market Cap",Morningstar_Cols,0),0)</f>
        <v>0</v>
      </c>
      <c r="E153" s="115">
        <f>VLOOKUP(Companies[[#This Row],[Symbol]],Morningstar,MATCH("% Total Return 3 Month",Morningstar_Cols,EXACT_MATCH),EXACT_MATCH)/100</f>
        <v>6.6900000000000001E-2</v>
      </c>
      <c r="F153" s="115">
        <f>VLOOKUP(Companies[[#This Row],[Symbol]],Morningstar,MATCH("% Total Return 12 Month",Morningstar_Cols,EXACT_MATCH),EXACT_MATCH)/100</f>
        <v>0.2021</v>
      </c>
      <c r="G153" s="116">
        <f>VLOOKUP(Companies[[#This Row],[Symbol]],Morningstar,MATCH("Price/Sales",Morningstar_Cols,EXACT_MATCH),EXACT_MATCH)</f>
        <v>0</v>
      </c>
      <c r="H153" s="117">
        <f>VLOOKUP(Companies[[#This Row],[Symbol]],Morningstar,MATCH("Price/Fair Value",Morningstar_Cols,EXACT_MATCH),EXACT_MATCH)</f>
        <v>0</v>
      </c>
      <c r="I15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153" s="107">
        <f>VLOOKUP(Companies[[#This Row],[Symbol]],Morningstar,MATCH("% Dividend Yield TTM",Morningstar_Cols,EXACT_MATCH),EXACT_MATCH)/100</f>
        <v>0</v>
      </c>
      <c r="K153" s="119" t="str">
        <f>IFERROR(LOOKUP(2,1/(GrowthCurves[Ticker]=Companies[[#This Row],[Symbol]]),GrowthCurves[Metric]),"")</f>
        <v/>
      </c>
      <c r="L153" s="94">
        <f>RatingDefault+SUM(Companies[[#This Row],[CurvePoints]:[PFVPoints]])</f>
        <v>5</v>
      </c>
      <c r="M153" s="94"/>
      <c r="N153" s="103">
        <f>IF(Companies[[#This Row],[Growth Curve]]&lt;&gt;"",Companies[[#This Row],[Growth Curve]]-3,0)</f>
        <v>0</v>
      </c>
      <c r="O153" s="53">
        <f>IF(Companies[[#This Row],[PSR]]&gt;2,-1,IF(Companies[[#This Row],[PSR]]&lt;1,1,0))</f>
        <v>1</v>
      </c>
      <c r="P153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53" s="53">
        <f>IF(Companies[[#This Row],[PFV]]&lt;0.75,2,IF(Companies[[#This Row],[PFV]]&lt;0.95,1,IF(Companies[[#This Row],[PFV]]&gt;1.25,-2,IF(Companies[[#This Row],[PFV]]&gt;1.15,-1,0))))</f>
        <v>2</v>
      </c>
    </row>
    <row r="154" spans="2:17" s="53" customFormat="1" ht="25.15" customHeight="1" x14ac:dyDescent="0.25">
      <c r="B154" s="11" t="s">
        <v>785</v>
      </c>
      <c r="C154" s="11" t="str">
        <f>VLOOKUP(Companies[[#This Row],[Symbol]],Morningstar,MATCH("Name",Morningstar_Cols,EXACT_MATCH),EXACT_MATCH)</f>
        <v>Intercept Pharmaceuticals Inc</v>
      </c>
      <c r="D154" s="114">
        <f>VLOOKUP(Companies[[#This Row],[Symbol]],Morningstar,MATCH("mil$ Market Cap",Morningstar_Cols,0),0)</f>
        <v>2206.41</v>
      </c>
      <c r="E154" s="115">
        <f>VLOOKUP(Companies[[#This Row],[Symbol]],Morningstar,MATCH("% Total Return 3 Month",Morningstar_Cols,EXACT_MATCH),EXACT_MATCH)/100</f>
        <v>-0.42979999999999996</v>
      </c>
      <c r="F154" s="115">
        <f>VLOOKUP(Companies[[#This Row],[Symbol]],Morningstar,MATCH("% Total Return 12 Month",Morningstar_Cols,EXACT_MATCH),EXACT_MATCH)/100</f>
        <v>-0.38040000000000002</v>
      </c>
      <c r="G154" s="116">
        <f>VLOOKUP(Companies[[#This Row],[Symbol]],Morningstar,MATCH("Price/Sales",Morningstar_Cols,EXACT_MATCH),EXACT_MATCH)</f>
        <v>8.43</v>
      </c>
      <c r="H154" s="117">
        <f>VLOOKUP(Companies[[#This Row],[Symbol]],Morningstar,MATCH("Price/Fair Value",Morningstar_Cols,EXACT_MATCH),EXACT_MATCH)</f>
        <v>0.44</v>
      </c>
      <c r="I15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54" s="107">
        <f>VLOOKUP(Companies[[#This Row],[Symbol]],Morningstar,MATCH("% Dividend Yield TTM",Morningstar_Cols,EXACT_MATCH),EXACT_MATCH)/100</f>
        <v>0</v>
      </c>
      <c r="K154" s="119" t="str">
        <f>IFERROR(LOOKUP(2,1/(GrowthCurves[Ticker]=Companies[[#This Row],[Symbol]]),GrowthCurves[Metric]),"")</f>
        <v>2</v>
      </c>
      <c r="L154" s="94">
        <f>RatingDefault+SUM(Companies[[#This Row],[CurvePoints]:[PFVPoints]])</f>
        <v>3</v>
      </c>
      <c r="M154" s="94"/>
      <c r="N154" s="103">
        <f>IF(Companies[[#This Row],[Growth Curve]]&lt;&gt;"",Companies[[#This Row],[Growth Curve]]-3,0)</f>
        <v>-1</v>
      </c>
      <c r="O154" s="53">
        <f>IF(Companies[[#This Row],[PSR]]&gt;2,-1,IF(Companies[[#This Row],[PSR]]&lt;1,1,0))</f>
        <v>-1</v>
      </c>
      <c r="P154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54" s="53">
        <f>IF(Companies[[#This Row],[PFV]]&lt;0.75,2,IF(Companies[[#This Row],[PFV]]&lt;0.95,1,IF(Companies[[#This Row],[PFV]]&gt;1.25,-2,IF(Companies[[#This Row],[PFV]]&gt;1.15,-1,0))))</f>
        <v>2</v>
      </c>
    </row>
    <row r="155" spans="2:17" s="53" customFormat="1" ht="25.15" customHeight="1" x14ac:dyDescent="0.25">
      <c r="B155" s="11" t="s">
        <v>808</v>
      </c>
      <c r="C155" s="11" t="str">
        <f>VLOOKUP(Companies[[#This Row],[Symbol]],Morningstar,MATCH("Name",Morningstar_Cols,EXACT_MATCH),EXACT_MATCH)</f>
        <v>International Flavors &amp; Fragrances Inc</v>
      </c>
      <c r="D155" s="114">
        <f>VLOOKUP(Companies[[#This Row],[Symbol]],Morningstar,MATCH("mil$ Market Cap",Morningstar_Cols,0),0)</f>
        <v>11052.96</v>
      </c>
      <c r="E155" s="115">
        <f>VLOOKUP(Companies[[#This Row],[Symbol]],Morningstar,MATCH("% Total Return 3 Month",Morningstar_Cols,EXACT_MATCH),EXACT_MATCH)/100</f>
        <v>-0.25190000000000001</v>
      </c>
      <c r="F155" s="115">
        <f>VLOOKUP(Companies[[#This Row],[Symbol]],Morningstar,MATCH("% Total Return 12 Month",Morningstar_Cols,EXACT_MATCH),EXACT_MATCH)/100</f>
        <v>-0.1845</v>
      </c>
      <c r="G155" s="116">
        <f>VLOOKUP(Companies[[#This Row],[Symbol]],Morningstar,MATCH("Price/Sales",Morningstar_Cols,EXACT_MATCH),EXACT_MATCH)</f>
        <v>2.2799999999999998</v>
      </c>
      <c r="H155" s="117">
        <f>VLOOKUP(Companies[[#This Row],[Symbol]],Morningstar,MATCH("Price/Fair Value",Morningstar_Cols,EXACT_MATCH),EXACT_MATCH)</f>
        <v>0.82</v>
      </c>
      <c r="I15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55" s="107">
        <f>VLOOKUP(Companies[[#This Row],[Symbol]],Morningstar,MATCH("% Dividend Yield TTM",Morningstar_Cols,EXACT_MATCH),EXACT_MATCH)/100</f>
        <v>2.9600000000000001E-2</v>
      </c>
      <c r="K155" s="119" t="str">
        <f>IFERROR(LOOKUP(2,1/(GrowthCurves[Ticker]=Companies[[#This Row],[Symbol]]),GrowthCurves[Metric]),"")</f>
        <v>4</v>
      </c>
      <c r="L155" s="94">
        <f>RatingDefault+SUM(Companies[[#This Row],[CurvePoints]:[PFVPoints]])</f>
        <v>5</v>
      </c>
      <c r="M155" s="94"/>
      <c r="N155" s="102">
        <f>IF(Companies[[#This Row],[Growth Curve]]&lt;&gt;"",Companies[[#This Row],[Growth Curve]]-3,0)</f>
        <v>1</v>
      </c>
      <c r="O155" s="52">
        <f>IF(Companies[[#This Row],[PSR]]&gt;2,-1,IF(Companies[[#This Row],[PSR]]&lt;1,1,0))</f>
        <v>-1</v>
      </c>
      <c r="P155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55" s="53">
        <f>IF(Companies[[#This Row],[PFV]]&lt;0.75,2,IF(Companies[[#This Row],[PFV]]&lt;0.95,1,IF(Companies[[#This Row],[PFV]]&gt;1.25,-2,IF(Companies[[#This Row],[PFV]]&gt;1.15,-1,0))))</f>
        <v>1</v>
      </c>
    </row>
    <row r="156" spans="2:17" s="53" customFormat="1" ht="25.15" customHeight="1" x14ac:dyDescent="0.25">
      <c r="B156" s="11" t="s">
        <v>895</v>
      </c>
      <c r="C156" s="11" t="str">
        <f>VLOOKUP(Companies[[#This Row],[Symbol]],Morningstar,MATCH("Name",Morningstar_Cols,EXACT_MATCH),EXACT_MATCH)</f>
        <v>Illumina Inc</v>
      </c>
      <c r="D156" s="114">
        <f>VLOOKUP(Companies[[#This Row],[Symbol]],Morningstar,MATCH("mil$ Market Cap",Morningstar_Cols,0),0)</f>
        <v>32119.5</v>
      </c>
      <c r="E156" s="115">
        <f>VLOOKUP(Companies[[#This Row],[Symbol]],Morningstar,MATCH("% Total Return 3 Month",Morningstar_Cols,EXACT_MATCH),EXACT_MATCH)/100</f>
        <v>-0.30659999999999998</v>
      </c>
      <c r="F156" s="115">
        <f>VLOOKUP(Companies[[#This Row],[Symbol]],Morningstar,MATCH("% Total Return 12 Month",Morningstar_Cols,EXACT_MATCH),EXACT_MATCH)/100</f>
        <v>-0.26860000000000001</v>
      </c>
      <c r="G156" s="116">
        <f>VLOOKUP(Companies[[#This Row],[Symbol]],Morningstar,MATCH("Price/Sales",Morningstar_Cols,EXACT_MATCH),EXACT_MATCH)</f>
        <v>9.19</v>
      </c>
      <c r="H156" s="117">
        <f>VLOOKUP(Companies[[#This Row],[Symbol]],Morningstar,MATCH("Price/Fair Value",Morningstar_Cols,EXACT_MATCH),EXACT_MATCH)</f>
        <v>0.77</v>
      </c>
      <c r="I15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A</v>
      </c>
      <c r="J156" s="107">
        <f>VLOOKUP(Companies[[#This Row],[Symbol]],Morningstar,MATCH("% Dividend Yield TTM",Morningstar_Cols,EXACT_MATCH),EXACT_MATCH)/100</f>
        <v>0</v>
      </c>
      <c r="K156" s="119" t="str">
        <f>IFERROR(LOOKUP(2,1/(GrowthCurves[Ticker]=Companies[[#This Row],[Symbol]]),GrowthCurves[Metric]),"")</f>
        <v>3</v>
      </c>
      <c r="L156" s="94">
        <f>RatingDefault+SUM(Companies[[#This Row],[CurvePoints]:[PFVPoints]])</f>
        <v>4</v>
      </c>
      <c r="M156" s="94"/>
      <c r="N156" s="103">
        <f>IF(Companies[[#This Row],[Growth Curve]]&lt;&gt;"",Companies[[#This Row],[Growth Curve]]-3,0)</f>
        <v>0</v>
      </c>
      <c r="O156" s="53">
        <f>IF(Companies[[#This Row],[PSR]]&gt;2,-1,IF(Companies[[#This Row],[PSR]]&lt;1,1,0))</f>
        <v>-1</v>
      </c>
      <c r="P156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56" s="53">
        <f>IF(Companies[[#This Row],[PFV]]&lt;0.75,2,IF(Companies[[#This Row],[PFV]]&lt;0.95,1,IF(Companies[[#This Row],[PFV]]&gt;1.25,-2,IF(Companies[[#This Row],[PFV]]&gt;1.15,-1,0))))</f>
        <v>1</v>
      </c>
    </row>
    <row r="157" spans="2:17" s="53" customFormat="1" ht="25.15" customHeight="1" x14ac:dyDescent="0.25">
      <c r="B157" s="11" t="s">
        <v>903</v>
      </c>
      <c r="C157" s="11" t="str">
        <f>VLOOKUP(Companies[[#This Row],[Symbol]],Morningstar,MATCH("Name",Morningstar_Cols,EXACT_MATCH),EXACT_MATCH)</f>
        <v>ING Groep NV ADR</v>
      </c>
      <c r="D157" s="114">
        <f>VLOOKUP(Companies[[#This Row],[Symbol]],Morningstar,MATCH("mil$ Market Cap",Morningstar_Cols,0),0)</f>
        <v>22762.91</v>
      </c>
      <c r="E157" s="115">
        <f>VLOOKUP(Companies[[#This Row],[Symbol]],Morningstar,MATCH("% Total Return 3 Month",Morningstar_Cols,EXACT_MATCH),EXACT_MATCH)/100</f>
        <v>-0.5101</v>
      </c>
      <c r="F157" s="115">
        <f>VLOOKUP(Companies[[#This Row],[Symbol]],Morningstar,MATCH("% Total Return 12 Month",Morningstar_Cols,EXACT_MATCH),EXACT_MATCH)/100</f>
        <v>-0.4531</v>
      </c>
      <c r="G157" s="116">
        <f>VLOOKUP(Companies[[#This Row],[Symbol]],Morningstar,MATCH("Price/Sales",Morningstar_Cols,EXACT_MATCH),EXACT_MATCH)</f>
        <v>1.2</v>
      </c>
      <c r="H157" s="117">
        <f>VLOOKUP(Companies[[#This Row],[Symbol]],Morningstar,MATCH("Price/Fair Value",Morningstar_Cols,EXACT_MATCH),EXACT_MATCH)</f>
        <v>0.33</v>
      </c>
      <c r="I15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157" s="107">
        <f>VLOOKUP(Companies[[#This Row],[Symbol]],Morningstar,MATCH("% Dividend Yield TTM",Morningstar_Cols,EXACT_MATCH),EXACT_MATCH)/100</f>
        <v>0.13119999999999998</v>
      </c>
      <c r="K157" s="119" t="str">
        <f>IFERROR(LOOKUP(2,1/(GrowthCurves[Ticker]=Companies[[#This Row],[Symbol]]),GrowthCurves[Metric]),"")</f>
        <v>1</v>
      </c>
      <c r="L157" s="94">
        <f>RatingDefault+SUM(Companies[[#This Row],[CurvePoints]:[PFVPoints]])</f>
        <v>2</v>
      </c>
      <c r="M157" s="94"/>
      <c r="N157" s="103">
        <f>IF(Companies[[#This Row],[Growth Curve]]&lt;&gt;"",Companies[[#This Row],[Growth Curve]]-3,0)</f>
        <v>-2</v>
      </c>
      <c r="O157" s="53">
        <f>IF(Companies[[#This Row],[PSR]]&gt;2,-1,IF(Companies[[#This Row],[PSR]]&lt;1,1,0))</f>
        <v>0</v>
      </c>
      <c r="P157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57" s="53">
        <f>IF(Companies[[#This Row],[PFV]]&lt;0.75,2,IF(Companies[[#This Row],[PFV]]&lt;0.95,1,IF(Companies[[#This Row],[PFV]]&gt;1.25,-2,IF(Companies[[#This Row],[PFV]]&gt;1.15,-1,0))))</f>
        <v>2</v>
      </c>
    </row>
    <row r="158" spans="2:17" s="53" customFormat="1" ht="25.15" customHeight="1" x14ac:dyDescent="0.25">
      <c r="B158" s="11" t="s">
        <v>750</v>
      </c>
      <c r="C158" s="11" t="str">
        <f>VLOOKUP(Companies[[#This Row],[Symbol]],Morningstar,MATCH("Name",Morningstar_Cols,EXACT_MATCH),EXACT_MATCH)</f>
        <v>Ingredion Inc</v>
      </c>
      <c r="D158" s="114">
        <f>VLOOKUP(Companies[[#This Row],[Symbol]],Morningstar,MATCH("mil$ Market Cap",Morningstar_Cols,0),0)</f>
        <v>4549.9799999999996</v>
      </c>
      <c r="E158" s="115">
        <f>VLOOKUP(Companies[[#This Row],[Symbol]],Morningstar,MATCH("% Total Return 3 Month",Morningstar_Cols,EXACT_MATCH),EXACT_MATCH)/100</f>
        <v>-0.2175</v>
      </c>
      <c r="F158" s="115">
        <f>VLOOKUP(Companies[[#This Row],[Symbol]],Morningstar,MATCH("% Total Return 12 Month",Morningstar_Cols,EXACT_MATCH),EXACT_MATCH)/100</f>
        <v>-0.21940000000000001</v>
      </c>
      <c r="G158" s="116">
        <f>VLOOKUP(Companies[[#This Row],[Symbol]],Morningstar,MATCH("Price/Sales",Morningstar_Cols,EXACT_MATCH),EXACT_MATCH)</f>
        <v>0.73</v>
      </c>
      <c r="H158" s="117">
        <f>VLOOKUP(Companies[[#This Row],[Symbol]],Morningstar,MATCH("Price/Fair Value",Morningstar_Cols,EXACT_MATCH),EXACT_MATCH)</f>
        <v>0.54</v>
      </c>
      <c r="I15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58" s="107">
        <f>VLOOKUP(Companies[[#This Row],[Symbol]],Morningstar,MATCH("% Dividend Yield TTM",Morningstar_Cols,EXACT_MATCH),EXACT_MATCH)/100</f>
        <v>3.61E-2</v>
      </c>
      <c r="K158" s="119" t="str">
        <f>IFERROR(LOOKUP(2,1/(GrowthCurves[Ticker]=Companies[[#This Row],[Symbol]]),GrowthCurves[Metric]),"")</f>
        <v>3</v>
      </c>
      <c r="L158" s="94">
        <f>RatingDefault+SUM(Companies[[#This Row],[CurvePoints]:[PFVPoints]])</f>
        <v>7</v>
      </c>
      <c r="M158" s="94"/>
      <c r="N158" s="103">
        <f>IF(Companies[[#This Row],[Growth Curve]]&lt;&gt;"",Companies[[#This Row],[Growth Curve]]-3,0)</f>
        <v>0</v>
      </c>
      <c r="O158" s="53">
        <f>IF(Companies[[#This Row],[PSR]]&gt;2,-1,IF(Companies[[#This Row],[PSR]]&lt;1,1,0))</f>
        <v>1</v>
      </c>
      <c r="P158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58" s="53">
        <f>IF(Companies[[#This Row],[PFV]]&lt;0.75,2,IF(Companies[[#This Row],[PFV]]&lt;0.95,1,IF(Companies[[#This Row],[PFV]]&gt;1.25,-2,IF(Companies[[#This Row],[PFV]]&gt;1.15,-1,0))))</f>
        <v>2</v>
      </c>
    </row>
    <row r="159" spans="2:17" s="53" customFormat="1" ht="25.15" customHeight="1" x14ac:dyDescent="0.25">
      <c r="B159" s="11" t="s">
        <v>221</v>
      </c>
      <c r="C159" s="11" t="str">
        <f>VLOOKUP(Companies[[#This Row],[Symbol]],Morningstar,MATCH("Name",Morningstar_Cols,EXACT_MATCH),EXACT_MATCH)</f>
        <v>Integer Holdings Corp</v>
      </c>
      <c r="D159" s="114">
        <f>VLOOKUP(Companies[[#This Row],[Symbol]],Morningstar,MATCH("mil$ Market Cap",Morningstar_Cols,0),0)</f>
        <v>2422.36</v>
      </c>
      <c r="E159" s="115">
        <f>VLOOKUP(Companies[[#This Row],[Symbol]],Morningstar,MATCH("% Total Return 3 Month",Morningstar_Cols,EXACT_MATCH),EXACT_MATCH)/100</f>
        <v>-7.0800000000000002E-2</v>
      </c>
      <c r="F159" s="115">
        <f>VLOOKUP(Companies[[#This Row],[Symbol]],Morningstar,MATCH("% Total Return 12 Month",Morningstar_Cols,EXACT_MATCH),EXACT_MATCH)/100</f>
        <v>-0.12809999999999999</v>
      </c>
      <c r="G159" s="116">
        <f>VLOOKUP(Companies[[#This Row],[Symbol]],Morningstar,MATCH("Price/Sales",Morningstar_Cols,EXACT_MATCH),EXACT_MATCH)</f>
        <v>1.94</v>
      </c>
      <c r="H159" s="117">
        <f>VLOOKUP(Companies[[#This Row],[Symbol]],Morningstar,MATCH("Price/Fair Value",Morningstar_Cols,EXACT_MATCH),EXACT_MATCH)</f>
        <v>0.91</v>
      </c>
      <c r="I15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59" s="107">
        <f>VLOOKUP(Companies[[#This Row],[Symbol]],Morningstar,MATCH("% Dividend Yield TTM",Morningstar_Cols,EXACT_MATCH),EXACT_MATCH)/100</f>
        <v>0</v>
      </c>
      <c r="K159" s="119" t="str">
        <f>IFERROR(LOOKUP(2,1/(GrowthCurves[Ticker]=Companies[[#This Row],[Symbol]]),GrowthCurves[Metric]),"")</f>
        <v/>
      </c>
      <c r="L159" s="94">
        <f>RatingDefault+SUM(Companies[[#This Row],[CurvePoints]:[PFVPoints]])</f>
        <v>5</v>
      </c>
      <c r="M159" s="94"/>
      <c r="N159" s="103">
        <f>IF(Companies[[#This Row],[Growth Curve]]&lt;&gt;"",Companies[[#This Row],[Growth Curve]]-3,0)</f>
        <v>0</v>
      </c>
      <c r="O159" s="53">
        <f>IF(Companies[[#This Row],[PSR]]&gt;2,-1,IF(Companies[[#This Row],[PSR]]&lt;1,1,0))</f>
        <v>0</v>
      </c>
      <c r="P159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59" s="53">
        <f>IF(Companies[[#This Row],[PFV]]&lt;0.75,2,IF(Companies[[#This Row],[PFV]]&lt;0.95,1,IF(Companies[[#This Row],[PFV]]&gt;1.25,-2,IF(Companies[[#This Row],[PFV]]&gt;1.15,-1,0))))</f>
        <v>1</v>
      </c>
    </row>
    <row r="160" spans="2:17" s="53" customFormat="1" ht="25.15" customHeight="1" x14ac:dyDescent="0.25">
      <c r="B160" s="11" t="s">
        <v>134</v>
      </c>
      <c r="C160" s="11" t="str">
        <f>VLOOKUP(Companies[[#This Row],[Symbol]],Morningstar,MATCH("Name",Morningstar_Cols,EXACT_MATCH),EXACT_MATCH)</f>
        <v>Invacare Corp</v>
      </c>
      <c r="D160" s="114">
        <f>VLOOKUP(Companies[[#This Row],[Symbol]],Morningstar,MATCH("mil$ Market Cap",Morningstar_Cols,0),0)</f>
        <v>181.77</v>
      </c>
      <c r="E160" s="115">
        <f>VLOOKUP(Companies[[#This Row],[Symbol]],Morningstar,MATCH("% Total Return 3 Month",Morningstar_Cols,EXACT_MATCH),EXACT_MATCH)/100</f>
        <v>-0.45610000000000001</v>
      </c>
      <c r="F160" s="115">
        <f>VLOOKUP(Companies[[#This Row],[Symbol]],Morningstar,MATCH("% Total Return 12 Month",Morningstar_Cols,EXACT_MATCH),EXACT_MATCH)/100</f>
        <v>-0.48229999999999995</v>
      </c>
      <c r="G160" s="116">
        <f>VLOOKUP(Companies[[#This Row],[Symbol]],Morningstar,MATCH("Price/Sales",Morningstar_Cols,EXACT_MATCH),EXACT_MATCH)</f>
        <v>0.2</v>
      </c>
      <c r="H160" s="117">
        <f>VLOOKUP(Companies[[#This Row],[Symbol]],Morningstar,MATCH("Price/Fair Value",Morningstar_Cols,EXACT_MATCH),EXACT_MATCH)</f>
        <v>0.42</v>
      </c>
      <c r="I16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160" s="107">
        <f>VLOOKUP(Companies[[#This Row],[Symbol]],Morningstar,MATCH("% Dividend Yield TTM",Morningstar_Cols,EXACT_MATCH),EXACT_MATCH)/100</f>
        <v>9.5999999999999992E-3</v>
      </c>
      <c r="K160" s="119" t="str">
        <f>IFERROR(LOOKUP(2,1/(GrowthCurves[Ticker]=Companies[[#This Row],[Symbol]]),GrowthCurves[Metric]),"")</f>
        <v>1</v>
      </c>
      <c r="L160" s="94">
        <f>RatingDefault+SUM(Companies[[#This Row],[CurvePoints]:[PFVPoints]])</f>
        <v>3</v>
      </c>
      <c r="M160" s="94"/>
      <c r="N160" s="103">
        <f>IF(Companies[[#This Row],[Growth Curve]]&lt;&gt;"",Companies[[#This Row],[Growth Curve]]-3,0)</f>
        <v>-2</v>
      </c>
      <c r="O160" s="53">
        <f>IF(Companies[[#This Row],[PSR]]&gt;2,-1,IF(Companies[[#This Row],[PSR]]&lt;1,1,0))</f>
        <v>1</v>
      </c>
      <c r="P160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60" s="53">
        <f>IF(Companies[[#This Row],[PFV]]&lt;0.75,2,IF(Companies[[#This Row],[PFV]]&lt;0.95,1,IF(Companies[[#This Row],[PFV]]&gt;1.25,-2,IF(Companies[[#This Row],[PFV]]&gt;1.15,-1,0))))</f>
        <v>2</v>
      </c>
    </row>
    <row r="161" spans="2:17" s="53" customFormat="1" ht="25.15" customHeight="1" x14ac:dyDescent="0.25">
      <c r="B161" s="11" t="s">
        <v>616</v>
      </c>
      <c r="C161" s="11" t="str">
        <f>VLOOKUP(Companies[[#This Row],[Symbol]],Morningstar,MATCH("Name",Morningstar_Cols,EXACT_MATCH),EXACT_MATCH)</f>
        <v>Invesco Ltd</v>
      </c>
      <c r="D161" s="114">
        <f>VLOOKUP(Companies[[#This Row],[Symbol]],Morningstar,MATCH("mil$ Market Cap",Morningstar_Cols,0),0)</f>
        <v>4366.29</v>
      </c>
      <c r="E161" s="115">
        <f>VLOOKUP(Companies[[#This Row],[Symbol]],Morningstar,MATCH("% Total Return 3 Month",Morningstar_Cols,EXACT_MATCH),EXACT_MATCH)/100</f>
        <v>-0.44890000000000002</v>
      </c>
      <c r="F161" s="115">
        <f>VLOOKUP(Companies[[#This Row],[Symbol]],Morningstar,MATCH("% Total Return 12 Month",Morningstar_Cols,EXACT_MATCH),EXACT_MATCH)/100</f>
        <v>-0.4365</v>
      </c>
      <c r="G161" s="116">
        <f>VLOOKUP(Companies[[#This Row],[Symbol]],Morningstar,MATCH("Price/Sales",Morningstar_Cols,EXACT_MATCH),EXACT_MATCH)</f>
        <v>0.69</v>
      </c>
      <c r="H161" s="117">
        <f>VLOOKUP(Companies[[#This Row],[Symbol]],Morningstar,MATCH("Price/Fair Value",Morningstar_Cols,EXACT_MATCH),EXACT_MATCH)</f>
        <v>0.54</v>
      </c>
      <c r="I16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61" s="107">
        <f>VLOOKUP(Companies[[#This Row],[Symbol]],Morningstar,MATCH("% Dividend Yield TTM",Morningstar_Cols,EXACT_MATCH),EXACT_MATCH)/100</f>
        <v>0.13119999999999998</v>
      </c>
      <c r="K161" s="119" t="str">
        <f>IFERROR(LOOKUP(2,1/(GrowthCurves[Ticker]=Companies[[#This Row],[Symbol]]),GrowthCurves[Metric]),"")</f>
        <v>1</v>
      </c>
      <c r="L161" s="94">
        <f>RatingDefault+SUM(Companies[[#This Row],[CurvePoints]:[PFVPoints]])</f>
        <v>4</v>
      </c>
      <c r="M161" s="94"/>
      <c r="N161" s="103">
        <f>IF(Companies[[#This Row],[Growth Curve]]&lt;&gt;"",Companies[[#This Row],[Growth Curve]]-3,0)</f>
        <v>-2</v>
      </c>
      <c r="O161" s="53">
        <f>IF(Companies[[#This Row],[PSR]]&gt;2,-1,IF(Companies[[#This Row],[PSR]]&lt;1,1,0))</f>
        <v>1</v>
      </c>
      <c r="P161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61" s="53">
        <f>IF(Companies[[#This Row],[PFV]]&lt;0.75,2,IF(Companies[[#This Row],[PFV]]&lt;0.95,1,IF(Companies[[#This Row],[PFV]]&gt;1.25,-2,IF(Companies[[#This Row],[PFV]]&gt;1.15,-1,0))))</f>
        <v>2</v>
      </c>
    </row>
    <row r="162" spans="2:17" s="53" customFormat="1" ht="25.15" customHeight="1" x14ac:dyDescent="0.25">
      <c r="B162" s="11" t="s">
        <v>618</v>
      </c>
      <c r="C162" s="11" t="str">
        <f>VLOOKUP(Companies[[#This Row],[Symbol]],Morningstar,MATCH("Name",Morningstar_Cols,EXACT_MATCH),EXACT_MATCH)</f>
        <v>Johnson Controls International PLC</v>
      </c>
      <c r="D162" s="114">
        <f>VLOOKUP(Companies[[#This Row],[Symbol]],Morningstar,MATCH("mil$ Market Cap",Morningstar_Cols,0),0)</f>
        <v>24257.11</v>
      </c>
      <c r="E162" s="115">
        <f>VLOOKUP(Companies[[#This Row],[Symbol]],Morningstar,MATCH("% Total Return 3 Month",Morningstar_Cols,EXACT_MATCH),EXACT_MATCH)/100</f>
        <v>-0.26729999999999998</v>
      </c>
      <c r="F162" s="115">
        <f>VLOOKUP(Companies[[#This Row],[Symbol]],Morningstar,MATCH("% Total Return 12 Month",Morningstar_Cols,EXACT_MATCH),EXACT_MATCH)/100</f>
        <v>-0.1255</v>
      </c>
      <c r="G162" s="116">
        <f>VLOOKUP(Companies[[#This Row],[Symbol]],Morningstar,MATCH("Price/Sales",Morningstar_Cols,EXACT_MATCH),EXACT_MATCH)</f>
        <v>1.1000000000000001</v>
      </c>
      <c r="H162" s="117">
        <f>VLOOKUP(Companies[[#This Row],[Symbol]],Morningstar,MATCH("Price/Fair Value",Morningstar_Cols,EXACT_MATCH),EXACT_MATCH)</f>
        <v>0.67</v>
      </c>
      <c r="I16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62" s="107">
        <f>VLOOKUP(Companies[[#This Row],[Symbol]],Morningstar,MATCH("% Dividend Yield TTM",Morningstar_Cols,EXACT_MATCH),EXACT_MATCH)/100</f>
        <v>3.4099999999999998E-2</v>
      </c>
      <c r="K162" s="119" t="str">
        <f>IFERROR(LOOKUP(2,1/(GrowthCurves[Ticker]=Companies[[#This Row],[Symbol]]),GrowthCurves[Metric]),"")</f>
        <v>2</v>
      </c>
      <c r="L162" s="94">
        <f>RatingDefault+SUM(Companies[[#This Row],[CurvePoints]:[PFVPoints]])</f>
        <v>5</v>
      </c>
      <c r="M162" s="94"/>
      <c r="N162" s="103">
        <f>IF(Companies[[#This Row],[Growth Curve]]&lt;&gt;"",Companies[[#This Row],[Growth Curve]]-3,0)</f>
        <v>-1</v>
      </c>
      <c r="O162" s="53">
        <f>IF(Companies[[#This Row],[PSR]]&gt;2,-1,IF(Companies[[#This Row],[PSR]]&lt;1,1,0))</f>
        <v>0</v>
      </c>
      <c r="P162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62" s="53">
        <f>IF(Companies[[#This Row],[PFV]]&lt;0.75,2,IF(Companies[[#This Row],[PFV]]&lt;0.95,1,IF(Companies[[#This Row],[PFV]]&gt;1.25,-2,IF(Companies[[#This Row],[PFV]]&gt;1.15,-1,0))))</f>
        <v>2</v>
      </c>
    </row>
    <row r="163" spans="2:17" s="53" customFormat="1" ht="25.15" customHeight="1" x14ac:dyDescent="0.25">
      <c r="B163" s="11" t="s">
        <v>136</v>
      </c>
      <c r="C163" s="11" t="str">
        <f>VLOOKUP(Companies[[#This Row],[Symbol]],Morningstar,MATCH("Name",Morningstar_Cols,EXACT_MATCH),EXACT_MATCH)</f>
        <v>JinkoSolar Holding Co Ltd ADR</v>
      </c>
      <c r="D163" s="114">
        <f>VLOOKUP(Companies[[#This Row],[Symbol]],Morningstar,MATCH("mil$ Market Cap",Morningstar_Cols,0),0)</f>
        <v>664.28</v>
      </c>
      <c r="E163" s="115">
        <f>VLOOKUP(Companies[[#This Row],[Symbol]],Morningstar,MATCH("% Total Return 3 Month",Morningstar_Cols,EXACT_MATCH),EXACT_MATCH)/100</f>
        <v>-0.18420000000000003</v>
      </c>
      <c r="F163" s="115">
        <f>VLOOKUP(Companies[[#This Row],[Symbol]],Morningstar,MATCH("% Total Return 12 Month",Morningstar_Cols,EXACT_MATCH),EXACT_MATCH)/100</f>
        <v>-3.5200000000000002E-2</v>
      </c>
      <c r="G163" s="116">
        <f>VLOOKUP(Companies[[#This Row],[Symbol]],Morningstar,MATCH("Price/Sales",Morningstar_Cols,EXACT_MATCH),EXACT_MATCH)</f>
        <v>0.16</v>
      </c>
      <c r="H163" s="117">
        <f>VLOOKUP(Companies[[#This Row],[Symbol]],Morningstar,MATCH("Price/Fair Value",Morningstar_Cols,EXACT_MATCH),EXACT_MATCH)</f>
        <v>0.45</v>
      </c>
      <c r="I16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63" s="107">
        <f>VLOOKUP(Companies[[#This Row],[Symbol]],Morningstar,MATCH("% Dividend Yield TTM",Morningstar_Cols,EXACT_MATCH),EXACT_MATCH)/100</f>
        <v>0</v>
      </c>
      <c r="K163" s="119" t="str">
        <f>IFERROR(LOOKUP(2,1/(GrowthCurves[Ticker]=Companies[[#This Row],[Symbol]]),GrowthCurves[Metric]),"")</f>
        <v>2</v>
      </c>
      <c r="L163" s="94">
        <f>RatingDefault+SUM(Companies[[#This Row],[CurvePoints]:[PFVPoints]])</f>
        <v>5</v>
      </c>
      <c r="M163" s="94"/>
      <c r="N163" s="103">
        <f>IF(Companies[[#This Row],[Growth Curve]]&lt;&gt;"",Companies[[#This Row],[Growth Curve]]-3,0)</f>
        <v>-1</v>
      </c>
      <c r="O163" s="53">
        <f>IF(Companies[[#This Row],[PSR]]&gt;2,-1,IF(Companies[[#This Row],[PSR]]&lt;1,1,0))</f>
        <v>1</v>
      </c>
      <c r="P163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63" s="53">
        <f>IF(Companies[[#This Row],[PFV]]&lt;0.75,2,IF(Companies[[#This Row],[PFV]]&lt;0.95,1,IF(Companies[[#This Row],[PFV]]&gt;1.25,-2,IF(Companies[[#This Row],[PFV]]&gt;1.15,-1,0))))</f>
        <v>2</v>
      </c>
    </row>
    <row r="164" spans="2:17" s="53" customFormat="1" ht="25.15" customHeight="1" x14ac:dyDescent="0.25">
      <c r="B164" s="11" t="s">
        <v>138</v>
      </c>
      <c r="C164" s="11" t="str">
        <f>VLOOKUP(Companies[[#This Row],[Symbol]],Morningstar,MATCH("Name",Morningstar_Cols,EXACT_MATCH),EXACT_MATCH)</f>
        <v>Jones Lang LaSalle Inc</v>
      </c>
      <c r="D164" s="114">
        <f>VLOOKUP(Companies[[#This Row],[Symbol]],Morningstar,MATCH("mil$ Market Cap",Morningstar_Cols,0),0)</f>
        <v>6594.17</v>
      </c>
      <c r="E164" s="115">
        <f>VLOOKUP(Companies[[#This Row],[Symbol]],Morningstar,MATCH("% Total Return 3 Month",Morningstar_Cols,EXACT_MATCH),EXACT_MATCH)/100</f>
        <v>-0.28620000000000001</v>
      </c>
      <c r="F164" s="115">
        <f>VLOOKUP(Companies[[#This Row],[Symbol]],Morningstar,MATCH("% Total Return 12 Month",Morningstar_Cols,EXACT_MATCH),EXACT_MATCH)/100</f>
        <v>-0.23850000000000002</v>
      </c>
      <c r="G164" s="116">
        <f>VLOOKUP(Companies[[#This Row],[Symbol]],Morningstar,MATCH("Price/Sales",Morningstar_Cols,EXACT_MATCH),EXACT_MATCH)</f>
        <v>0.35</v>
      </c>
      <c r="H164" s="117">
        <f>VLOOKUP(Companies[[#This Row],[Symbol]],Morningstar,MATCH("Price/Fair Value",Morningstar_Cols,EXACT_MATCH),EXACT_MATCH)</f>
        <v>0.72</v>
      </c>
      <c r="I16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64" s="107">
        <f>VLOOKUP(Companies[[#This Row],[Symbol]],Morningstar,MATCH("% Dividend Yield TTM",Morningstar_Cols,EXACT_MATCH),EXACT_MATCH)/100</f>
        <v>6.9999999999999993E-3</v>
      </c>
      <c r="K164" s="119" t="str">
        <f>IFERROR(LOOKUP(2,1/(GrowthCurves[Ticker]=Companies[[#This Row],[Symbol]]),GrowthCurves[Metric]),"")</f>
        <v>3</v>
      </c>
      <c r="L164" s="94">
        <f>RatingDefault+SUM(Companies[[#This Row],[CurvePoints]:[PFVPoints]])</f>
        <v>6</v>
      </c>
      <c r="M164" s="94"/>
      <c r="N164" s="103">
        <f>IF(Companies[[#This Row],[Growth Curve]]&lt;&gt;"",Companies[[#This Row],[Growth Curve]]-3,0)</f>
        <v>0</v>
      </c>
      <c r="O164" s="53">
        <f>IF(Companies[[#This Row],[PSR]]&gt;2,-1,IF(Companies[[#This Row],[PSR]]&lt;1,1,0))</f>
        <v>1</v>
      </c>
      <c r="P164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64" s="53">
        <f>IF(Companies[[#This Row],[PFV]]&lt;0.75,2,IF(Companies[[#This Row],[PFV]]&lt;0.95,1,IF(Companies[[#This Row],[PFV]]&gt;1.25,-2,IF(Companies[[#This Row],[PFV]]&gt;1.15,-1,0))))</f>
        <v>2</v>
      </c>
    </row>
    <row r="165" spans="2:17" s="53" customFormat="1" ht="25.15" customHeight="1" x14ac:dyDescent="0.25">
      <c r="B165" s="11" t="s">
        <v>1263</v>
      </c>
      <c r="C165" s="11" t="str">
        <f>VLOOKUP(Companies[[#This Row],[Symbol]],Morningstar,MATCH("Name",Morningstar_Cols,EXACT_MATCH),EXACT_MATCH)</f>
        <v>Kellogg Co</v>
      </c>
      <c r="D165" s="114">
        <f>VLOOKUP(Companies[[#This Row],[Symbol]],Morningstar,MATCH("mil$ Market Cap",Morningstar_Cols,0),0)</f>
        <v>21282.86</v>
      </c>
      <c r="E165" s="115">
        <f>VLOOKUP(Companies[[#This Row],[Symbol]],Morningstar,MATCH("% Total Return 3 Month",Morningstar_Cols,EXACT_MATCH),EXACT_MATCH)/100</f>
        <v>-0.11230000000000001</v>
      </c>
      <c r="F165" s="115">
        <f>VLOOKUP(Companies[[#This Row],[Symbol]],Morningstar,MATCH("% Total Return 12 Month",Morningstar_Cols,EXACT_MATCH),EXACT_MATCH)/100</f>
        <v>0.11630000000000001</v>
      </c>
      <c r="G165" s="116">
        <f>VLOOKUP(Companies[[#This Row],[Symbol]],Morningstar,MATCH("Price/Sales",Morningstar_Cols,EXACT_MATCH),EXACT_MATCH)</f>
        <v>1.57</v>
      </c>
      <c r="H165" s="117">
        <f>VLOOKUP(Companies[[#This Row],[Symbol]],Morningstar,MATCH("Price/Fair Value",Morningstar_Cols,EXACT_MATCH),EXACT_MATCH)</f>
        <v>0.8</v>
      </c>
      <c r="I16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65" s="107">
        <f>VLOOKUP(Companies[[#This Row],[Symbol]],Morningstar,MATCH("% Dividend Yield TTM",Morningstar_Cols,EXACT_MATCH),EXACT_MATCH)/100</f>
        <v>3.9E-2</v>
      </c>
      <c r="K165" s="119" t="str">
        <f>IFERROR(LOOKUP(2,1/(GrowthCurves[Ticker]=Companies[[#This Row],[Symbol]]),GrowthCurves[Metric]),"")</f>
        <v>0.03</v>
      </c>
      <c r="L165" s="94">
        <f>RatingDefault+SUM(Companies[[#This Row],[CurvePoints]:[PFVPoints]])</f>
        <v>2.0299999999999998</v>
      </c>
      <c r="M165" s="94"/>
      <c r="N165" s="103">
        <f>IF(Companies[[#This Row],[Growth Curve]]&lt;&gt;"",Companies[[#This Row],[Growth Curve]]-3,0)</f>
        <v>-2.97</v>
      </c>
      <c r="O165" s="53">
        <f>IF(Companies[[#This Row],[PSR]]&gt;2,-1,IF(Companies[[#This Row],[PSR]]&lt;1,1,0))</f>
        <v>0</v>
      </c>
      <c r="P165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65" s="53">
        <f>IF(Companies[[#This Row],[PFV]]&lt;0.75,2,IF(Companies[[#This Row],[PFV]]&lt;0.95,1,IF(Companies[[#This Row],[PFV]]&gt;1.25,-2,IF(Companies[[#This Row],[PFV]]&gt;1.15,-1,0))))</f>
        <v>1</v>
      </c>
    </row>
    <row r="166" spans="2:17" s="53" customFormat="1" ht="25.15" customHeight="1" x14ac:dyDescent="0.25">
      <c r="B166" s="11" t="s">
        <v>86</v>
      </c>
      <c r="C166" s="11" t="str">
        <f>VLOOKUP(Companies[[#This Row],[Symbol]],Morningstar,MATCH("Name",Morningstar_Cols,EXACT_MATCH),EXACT_MATCH)</f>
        <v>KB Home</v>
      </c>
      <c r="D166" s="114">
        <f>VLOOKUP(Companies[[#This Row],[Symbol]],Morningstar,MATCH("mil$ Market Cap",Morningstar_Cols,0),0)</f>
        <v>2177.4499999999998</v>
      </c>
      <c r="E166" s="115">
        <f>VLOOKUP(Companies[[#This Row],[Symbol]],Morningstar,MATCH("% Total Return 3 Month",Morningstar_Cols,EXACT_MATCH),EXACT_MATCH)/100</f>
        <v>-0.32539999999999997</v>
      </c>
      <c r="F166" s="115">
        <f>VLOOKUP(Companies[[#This Row],[Symbol]],Morningstar,MATCH("% Total Return 12 Month",Morningstar_Cols,EXACT_MATCH),EXACT_MATCH)/100</f>
        <v>-1.77E-2</v>
      </c>
      <c r="G166" s="116">
        <f>VLOOKUP(Companies[[#This Row],[Symbol]],Morningstar,MATCH("Price/Sales",Morningstar_Cols,EXACT_MATCH),EXACT_MATCH)</f>
        <v>0.46</v>
      </c>
      <c r="H166" s="117">
        <f>VLOOKUP(Companies[[#This Row],[Symbol]],Morningstar,MATCH("Price/Fair Value",Morningstar_Cols,EXACT_MATCH),EXACT_MATCH)</f>
        <v>0.59</v>
      </c>
      <c r="I16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66" s="107">
        <f>VLOOKUP(Companies[[#This Row],[Symbol]],Morningstar,MATCH("% Dividend Yield TTM",Morningstar_Cols,EXACT_MATCH),EXACT_MATCH)/100</f>
        <v>1.2699999999999999E-2</v>
      </c>
      <c r="K166" s="119" t="str">
        <f>IFERROR(LOOKUP(2,1/(GrowthCurves[Ticker]=Companies[[#This Row],[Symbol]]),GrowthCurves[Metric]),"")</f>
        <v>1</v>
      </c>
      <c r="L166" s="94">
        <f>RatingDefault+SUM(Companies[[#This Row],[CurvePoints]:[PFVPoints]])</f>
        <v>4</v>
      </c>
      <c r="M166" s="94"/>
      <c r="N166" s="103">
        <f>IF(Companies[[#This Row],[Growth Curve]]&lt;&gt;"",Companies[[#This Row],[Growth Curve]]-3,0)</f>
        <v>-2</v>
      </c>
      <c r="O166" s="53">
        <f>IF(Companies[[#This Row],[PSR]]&gt;2,-1,IF(Companies[[#This Row],[PSR]]&lt;1,1,0))</f>
        <v>1</v>
      </c>
      <c r="P166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66" s="53">
        <f>IF(Companies[[#This Row],[PFV]]&lt;0.75,2,IF(Companies[[#This Row],[PFV]]&lt;0.95,1,IF(Companies[[#This Row],[PFV]]&gt;1.25,-2,IF(Companies[[#This Row],[PFV]]&gt;1.15,-1,0))))</f>
        <v>2</v>
      </c>
    </row>
    <row r="167" spans="2:17" s="53" customFormat="1" ht="25.15" customHeight="1" x14ac:dyDescent="0.25">
      <c r="B167" s="11" t="s">
        <v>183</v>
      </c>
      <c r="C167" s="11" t="str">
        <f>VLOOKUP(Companies[[#This Row],[Symbol]],Morningstar,MATCH("Name",Morningstar_Cols,EXACT_MATCH),EXACT_MATCH)</f>
        <v>Kemet Corp</v>
      </c>
      <c r="D167" s="114">
        <f>VLOOKUP(Companies[[#This Row],[Symbol]],Morningstar,MATCH("mil$ Market Cap",Morningstar_Cols,0),0)</f>
        <v>1347.15</v>
      </c>
      <c r="E167" s="115">
        <f>VLOOKUP(Companies[[#This Row],[Symbol]],Morningstar,MATCH("% Total Return 3 Month",Morningstar_Cols,EXACT_MATCH),EXACT_MATCH)/100</f>
        <v>-0.15130000000000002</v>
      </c>
      <c r="F167" s="115">
        <f>VLOOKUP(Companies[[#This Row],[Symbol]],Morningstar,MATCH("% Total Return 12 Month",Morningstar_Cols,EXACT_MATCH),EXACT_MATCH)/100</f>
        <v>0.2452</v>
      </c>
      <c r="G167" s="116">
        <f>VLOOKUP(Companies[[#This Row],[Symbol]],Morningstar,MATCH("Price/Sales",Morningstar_Cols,EXACT_MATCH),EXACT_MATCH)</f>
        <v>1.04</v>
      </c>
      <c r="H167" s="117">
        <f>VLOOKUP(Companies[[#This Row],[Symbol]],Morningstar,MATCH("Price/Fair Value",Morningstar_Cols,EXACT_MATCH),EXACT_MATCH)</f>
        <v>0.93</v>
      </c>
      <c r="I16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67" s="107">
        <f>VLOOKUP(Companies[[#This Row],[Symbol]],Morningstar,MATCH("% Dividend Yield TTM",Morningstar_Cols,EXACT_MATCH),EXACT_MATCH)/100</f>
        <v>6.7000000000000002E-3</v>
      </c>
      <c r="K167" s="119" t="str">
        <f>IFERROR(LOOKUP(2,1/(GrowthCurves[Ticker]=Companies[[#This Row],[Symbol]]),GrowthCurves[Metric]),"")</f>
        <v>2</v>
      </c>
      <c r="L167" s="94">
        <f>RatingDefault+SUM(Companies[[#This Row],[CurvePoints]:[PFVPoints]])</f>
        <v>4</v>
      </c>
      <c r="M167" s="94"/>
      <c r="N167" s="103">
        <f>IF(Companies[[#This Row],[Growth Curve]]&lt;&gt;"",Companies[[#This Row],[Growth Curve]]-3,0)</f>
        <v>-1</v>
      </c>
      <c r="O167" s="53">
        <f>IF(Companies[[#This Row],[PSR]]&gt;2,-1,IF(Companies[[#This Row],[PSR]]&lt;1,1,0))</f>
        <v>0</v>
      </c>
      <c r="P167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67" s="53">
        <f>IF(Companies[[#This Row],[PFV]]&lt;0.75,2,IF(Companies[[#This Row],[PFV]]&lt;0.95,1,IF(Companies[[#This Row],[PFV]]&gt;1.25,-2,IF(Companies[[#This Row],[PFV]]&gt;1.15,-1,0))))</f>
        <v>1</v>
      </c>
    </row>
    <row r="168" spans="2:17" s="53" customFormat="1" ht="25.15" customHeight="1" x14ac:dyDescent="0.25">
      <c r="B168" s="11" t="s">
        <v>95</v>
      </c>
      <c r="C168" s="11" t="str">
        <f>VLOOKUP(Companies[[#This Row],[Symbol]],Morningstar,MATCH("Name",Morningstar_Cols,EXACT_MATCH),EXACT_MATCH)</f>
        <v>Kenon Holdings Ltd</v>
      </c>
      <c r="D168" s="114">
        <f>VLOOKUP(Companies[[#This Row],[Symbol]],Morningstar,MATCH("mil$ Market Cap",Morningstar_Cols,0),0)</f>
        <v>643.51</v>
      </c>
      <c r="E168" s="115">
        <f>VLOOKUP(Companies[[#This Row],[Symbol]],Morningstar,MATCH("% Total Return 3 Month",Morningstar_Cols,EXACT_MATCH),EXACT_MATCH)/100</f>
        <v>-0.43770000000000003</v>
      </c>
      <c r="F168" s="115">
        <f>VLOOKUP(Companies[[#This Row],[Symbol]],Morningstar,MATCH("% Total Return 12 Month",Morningstar_Cols,EXACT_MATCH),EXACT_MATCH)/100</f>
        <v>-0.32130000000000003</v>
      </c>
      <c r="G168" s="116">
        <f>VLOOKUP(Companies[[#This Row],[Symbol]],Morningstar,MATCH("Price/Sales",Morningstar_Cols,EXACT_MATCH),EXACT_MATCH)</f>
        <v>1.8</v>
      </c>
      <c r="H168" s="117">
        <f>VLOOKUP(Companies[[#This Row],[Symbol]],Morningstar,MATCH("Price/Fair Value",Morningstar_Cols,EXACT_MATCH),EXACT_MATCH)</f>
        <v>0.66</v>
      </c>
      <c r="I16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68" s="107">
        <f>VLOOKUP(Companies[[#This Row],[Symbol]],Morningstar,MATCH("% Dividend Yield TTM",Morningstar_Cols,EXACT_MATCH),EXACT_MATCH)/100</f>
        <v>0.10289999999999999</v>
      </c>
      <c r="K168" s="119" t="str">
        <f>IFERROR(LOOKUP(2,1/(GrowthCurves[Ticker]=Companies[[#This Row],[Symbol]]),GrowthCurves[Metric]),"")</f>
        <v/>
      </c>
      <c r="L168" s="94">
        <f>RatingDefault+SUM(Companies[[#This Row],[CurvePoints]:[PFVPoints]])</f>
        <v>5</v>
      </c>
      <c r="M168" s="94"/>
      <c r="N168" s="103">
        <f>IF(Companies[[#This Row],[Growth Curve]]&lt;&gt;"",Companies[[#This Row],[Growth Curve]]-3,0)</f>
        <v>0</v>
      </c>
      <c r="O168" s="53">
        <f>IF(Companies[[#This Row],[PSR]]&gt;2,-1,IF(Companies[[#This Row],[PSR]]&lt;1,1,0))</f>
        <v>0</v>
      </c>
      <c r="P168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68" s="53">
        <f>IF(Companies[[#This Row],[PFV]]&lt;0.75,2,IF(Companies[[#This Row],[PFV]]&lt;0.95,1,IF(Companies[[#This Row],[PFV]]&gt;1.25,-2,IF(Companies[[#This Row],[PFV]]&gt;1.15,-1,0))))</f>
        <v>2</v>
      </c>
    </row>
    <row r="169" spans="2:17" s="53" customFormat="1" ht="25.15" customHeight="1" x14ac:dyDescent="0.25">
      <c r="B169" s="11" t="s">
        <v>366</v>
      </c>
      <c r="C169" s="11" t="str">
        <f>VLOOKUP(Companies[[#This Row],[Symbol]],Morningstar,MATCH("Name",Morningstar_Cols,EXACT_MATCH),EXACT_MATCH)</f>
        <v>Kforce Inc</v>
      </c>
      <c r="D169" s="114">
        <f>VLOOKUP(Companies[[#This Row],[Symbol]],Morningstar,MATCH("mil$ Market Cap",Morningstar_Cols,0),0)</f>
        <v>609.27</v>
      </c>
      <c r="E169" s="115">
        <f>VLOOKUP(Companies[[#This Row],[Symbol]],Morningstar,MATCH("% Total Return 3 Month",Morningstar_Cols,EXACT_MATCH),EXACT_MATCH)/100</f>
        <v>-0.3528</v>
      </c>
      <c r="F169" s="115">
        <f>VLOOKUP(Companies[[#This Row],[Symbol]],Morningstar,MATCH("% Total Return 12 Month",Morningstar_Cols,EXACT_MATCH),EXACT_MATCH)/100</f>
        <v>-0.24</v>
      </c>
      <c r="G169" s="116">
        <f>VLOOKUP(Companies[[#This Row],[Symbol]],Morningstar,MATCH("Price/Sales",Morningstar_Cols,EXACT_MATCH),EXACT_MATCH)</f>
        <v>0.47</v>
      </c>
      <c r="H169" s="117">
        <f>VLOOKUP(Companies[[#This Row],[Symbol]],Morningstar,MATCH("Price/Fair Value",Morningstar_Cols,EXACT_MATCH),EXACT_MATCH)</f>
        <v>0.78</v>
      </c>
      <c r="I16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69" s="107">
        <f>VLOOKUP(Companies[[#This Row],[Symbol]],Morningstar,MATCH("% Dividend Yield TTM",Morningstar_Cols,EXACT_MATCH),EXACT_MATCH)/100</f>
        <v>2.8300000000000002E-2</v>
      </c>
      <c r="K169" s="119" t="str">
        <f>IFERROR(LOOKUP(2,1/(GrowthCurves[Ticker]=Companies[[#This Row],[Symbol]]),GrowthCurves[Metric]),"")</f>
        <v>1</v>
      </c>
      <c r="L169" s="94">
        <f>RatingDefault+SUM(Companies[[#This Row],[CurvePoints]:[PFVPoints]])</f>
        <v>4</v>
      </c>
      <c r="M169" s="94"/>
      <c r="N169" s="103">
        <f>IF(Companies[[#This Row],[Growth Curve]]&lt;&gt;"",Companies[[#This Row],[Growth Curve]]-3,0)</f>
        <v>-2</v>
      </c>
      <c r="O169" s="53">
        <f>IF(Companies[[#This Row],[PSR]]&gt;2,-1,IF(Companies[[#This Row],[PSR]]&lt;1,1,0))</f>
        <v>1</v>
      </c>
      <c r="P169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69" s="53">
        <f>IF(Companies[[#This Row],[PFV]]&lt;0.75,2,IF(Companies[[#This Row],[PFV]]&lt;0.95,1,IF(Companies[[#This Row],[PFV]]&gt;1.25,-2,IF(Companies[[#This Row],[PFV]]&gt;1.15,-1,0))))</f>
        <v>1</v>
      </c>
    </row>
    <row r="170" spans="2:17" s="53" customFormat="1" ht="25.15" customHeight="1" x14ac:dyDescent="0.25">
      <c r="B170" s="11" t="s">
        <v>216</v>
      </c>
      <c r="C170" s="11" t="str">
        <f>VLOOKUP(Companies[[#This Row],[Symbol]],Morningstar,MATCH("Name",Morningstar_Cols,EXACT_MATCH),EXACT_MATCH)</f>
        <v>Korn Ferry</v>
      </c>
      <c r="D170" s="114">
        <f>VLOOKUP(Companies[[#This Row],[Symbol]],Morningstar,MATCH("mil$ Market Cap",Morningstar_Cols,0),0)</f>
        <v>1408.59</v>
      </c>
      <c r="E170" s="115">
        <f>VLOOKUP(Companies[[#This Row],[Symbol]],Morningstar,MATCH("% Total Return 3 Month",Morningstar_Cols,EXACT_MATCH),EXACT_MATCH)/100</f>
        <v>-0.42549999999999999</v>
      </c>
      <c r="F170" s="115">
        <f>VLOOKUP(Companies[[#This Row],[Symbol]],Morningstar,MATCH("% Total Return 12 Month",Morningstar_Cols,EXACT_MATCH),EXACT_MATCH)/100</f>
        <v>-0.48520000000000002</v>
      </c>
      <c r="G170" s="116">
        <f>VLOOKUP(Companies[[#This Row],[Symbol]],Morningstar,MATCH("Price/Sales",Morningstar_Cols,EXACT_MATCH),EXACT_MATCH)</f>
        <v>0.69</v>
      </c>
      <c r="H170" s="117">
        <f>VLOOKUP(Companies[[#This Row],[Symbol]],Morningstar,MATCH("Price/Fair Value",Morningstar_Cols,EXACT_MATCH),EXACT_MATCH)</f>
        <v>0.63</v>
      </c>
      <c r="I17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70" s="107">
        <f>VLOOKUP(Companies[[#This Row],[Symbol]],Morningstar,MATCH("% Dividend Yield TTM",Morningstar_Cols,EXACT_MATCH),EXACT_MATCH)/100</f>
        <v>1.6899999999999998E-2</v>
      </c>
      <c r="K170" s="119" t="str">
        <f>IFERROR(LOOKUP(2,1/(GrowthCurves[Ticker]=Companies[[#This Row],[Symbol]]),GrowthCurves[Metric]),"")</f>
        <v/>
      </c>
      <c r="L170" s="94">
        <f>RatingDefault+SUM(Companies[[#This Row],[CurvePoints]:[PFVPoints]])</f>
        <v>6</v>
      </c>
      <c r="M170" s="94"/>
      <c r="N170" s="103">
        <f>IF(Companies[[#This Row],[Growth Curve]]&lt;&gt;"",Companies[[#This Row],[Growth Curve]]-3,0)</f>
        <v>0</v>
      </c>
      <c r="O170" s="53">
        <f>IF(Companies[[#This Row],[PSR]]&gt;2,-1,IF(Companies[[#This Row],[PSR]]&lt;1,1,0))</f>
        <v>1</v>
      </c>
      <c r="P170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70" s="53">
        <f>IF(Companies[[#This Row],[PFV]]&lt;0.75,2,IF(Companies[[#This Row],[PFV]]&lt;0.95,1,IF(Companies[[#This Row],[PFV]]&gt;1.25,-2,IF(Companies[[#This Row],[PFV]]&gt;1.15,-1,0))))</f>
        <v>2</v>
      </c>
    </row>
    <row r="171" spans="2:17" s="53" customFormat="1" ht="25.15" customHeight="1" x14ac:dyDescent="0.25">
      <c r="B171" s="11" t="s">
        <v>1031</v>
      </c>
      <c r="C171" s="11" t="str">
        <f>VLOOKUP(Companies[[#This Row],[Symbol]],Morningstar,MATCH("Name",Morningstar_Cols,EXACT_MATCH),EXACT_MATCH)</f>
        <v>The Kraft Heinz Co</v>
      </c>
      <c r="D171" s="114">
        <f>VLOOKUP(Companies[[#This Row],[Symbol]],Morningstar,MATCH("mil$ Market Cap",Morningstar_Cols,0),0)</f>
        <v>27047.9</v>
      </c>
      <c r="E171" s="115">
        <f>VLOOKUP(Companies[[#This Row],[Symbol]],Morningstar,MATCH("% Total Return 3 Month",Morningstar_Cols,EXACT_MATCH),EXACT_MATCH)/100</f>
        <v>-0.3594</v>
      </c>
      <c r="F171" s="115">
        <f>VLOOKUP(Companies[[#This Row],[Symbol]],Morningstar,MATCH("% Total Return 12 Month",Morningstar_Cols,EXACT_MATCH),EXACT_MATCH)/100</f>
        <v>-0.32289999999999996</v>
      </c>
      <c r="G171" s="116">
        <f>VLOOKUP(Companies[[#This Row],[Symbol]],Morningstar,MATCH("Price/Sales",Morningstar_Cols,EXACT_MATCH),EXACT_MATCH)</f>
        <v>1.08</v>
      </c>
      <c r="H171" s="117">
        <f>VLOOKUP(Companies[[#This Row],[Symbol]],Morningstar,MATCH("Price/Fair Value",Morningstar_Cols,EXACT_MATCH),EXACT_MATCH)</f>
        <v>0.44</v>
      </c>
      <c r="I17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71" s="107">
        <f>VLOOKUP(Companies[[#This Row],[Symbol]],Morningstar,MATCH("% Dividend Yield TTM",Morningstar_Cols,EXACT_MATCH),EXACT_MATCH)/100</f>
        <v>7.980000000000001E-2</v>
      </c>
      <c r="K171" s="119" t="str">
        <f>IFERROR(LOOKUP(2,1/(GrowthCurves[Ticker]=Companies[[#This Row],[Symbol]]),GrowthCurves[Metric]),"")</f>
        <v>2</v>
      </c>
      <c r="L171" s="94">
        <f>RatingDefault+SUM(Companies[[#This Row],[CurvePoints]:[PFVPoints]])</f>
        <v>4</v>
      </c>
      <c r="M171" s="94" t="s">
        <v>1062</v>
      </c>
      <c r="N171" s="103">
        <f>IF(Companies[[#This Row],[Growth Curve]]&lt;&gt;"",Companies[[#This Row],[Growth Curve]]-3,0)</f>
        <v>-1</v>
      </c>
      <c r="O171" s="53">
        <f>IF(Companies[[#This Row],[PSR]]&gt;2,-1,IF(Companies[[#This Row],[PSR]]&lt;1,1,0))</f>
        <v>0</v>
      </c>
      <c r="P171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71" s="53">
        <f>IF(Companies[[#This Row],[PFV]]&lt;0.75,2,IF(Companies[[#This Row],[PFV]]&lt;0.95,1,IF(Companies[[#This Row],[PFV]]&gt;1.25,-2,IF(Companies[[#This Row],[PFV]]&gt;1.15,-1,0))))</f>
        <v>2</v>
      </c>
    </row>
    <row r="172" spans="2:17" s="53" customFormat="1" ht="25.15" customHeight="1" x14ac:dyDescent="0.25">
      <c r="B172" s="11" t="s">
        <v>219</v>
      </c>
      <c r="C172" s="11" t="str">
        <f>VLOOKUP(Companies[[#This Row],[Symbol]],Morningstar,MATCH("Name",Morningstar_Cols,EXACT_MATCH),EXACT_MATCH)</f>
        <v>Kemper Corp</v>
      </c>
      <c r="D172" s="114">
        <f>VLOOKUP(Companies[[#This Row],[Symbol]],Morningstar,MATCH("mil$ Market Cap",Morningstar_Cols,0),0)</f>
        <v>4765.1000000000004</v>
      </c>
      <c r="E172" s="115">
        <f>VLOOKUP(Companies[[#This Row],[Symbol]],Morningstar,MATCH("% Total Return 3 Month",Morningstar_Cols,EXACT_MATCH),EXACT_MATCH)/100</f>
        <v>-0.11560000000000001</v>
      </c>
      <c r="F172" s="115">
        <f>VLOOKUP(Companies[[#This Row],[Symbol]],Morningstar,MATCH("% Total Return 12 Month",Morningstar_Cols,EXACT_MATCH),EXACT_MATCH)/100</f>
        <v>-0.15240000000000001</v>
      </c>
      <c r="G172" s="116">
        <f>VLOOKUP(Companies[[#This Row],[Symbol]],Morningstar,MATCH("Price/Sales",Morningstar_Cols,EXACT_MATCH),EXACT_MATCH)</f>
        <v>0.94</v>
      </c>
      <c r="H172" s="117">
        <f>VLOOKUP(Companies[[#This Row],[Symbol]],Morningstar,MATCH("Price/Fair Value",Morningstar_Cols,EXACT_MATCH),EXACT_MATCH)</f>
        <v>0.93</v>
      </c>
      <c r="I17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72" s="107">
        <f>VLOOKUP(Companies[[#This Row],[Symbol]],Morningstar,MATCH("% Dividend Yield TTM",Morningstar_Cols,EXACT_MATCH),EXACT_MATCH)/100</f>
        <v>1.6200000000000003E-2</v>
      </c>
      <c r="K172" s="119" t="str">
        <f>IFERROR(LOOKUP(2,1/(GrowthCurves[Ticker]=Companies[[#This Row],[Symbol]]),GrowthCurves[Metric]),"")</f>
        <v/>
      </c>
      <c r="L172" s="94">
        <f>RatingDefault+SUM(Companies[[#This Row],[CurvePoints]:[PFVPoints]])</f>
        <v>6</v>
      </c>
      <c r="M172" s="94"/>
      <c r="N172" s="103">
        <f>IF(Companies[[#This Row],[Growth Curve]]&lt;&gt;"",Companies[[#This Row],[Growth Curve]]-3,0)</f>
        <v>0</v>
      </c>
      <c r="O172" s="53">
        <f>IF(Companies[[#This Row],[PSR]]&gt;2,-1,IF(Companies[[#This Row],[PSR]]&lt;1,1,0))</f>
        <v>1</v>
      </c>
      <c r="P172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72" s="53">
        <f>IF(Companies[[#This Row],[PFV]]&lt;0.75,2,IF(Companies[[#This Row],[PFV]]&lt;0.95,1,IF(Companies[[#This Row],[PFV]]&gt;1.25,-2,IF(Companies[[#This Row],[PFV]]&gt;1.15,-1,0))))</f>
        <v>1</v>
      </c>
    </row>
    <row r="173" spans="2:17" s="53" customFormat="1" ht="25.15" customHeight="1" x14ac:dyDescent="0.25">
      <c r="B173" s="11" t="s">
        <v>620</v>
      </c>
      <c r="C173" s="11" t="str">
        <f>VLOOKUP(Companies[[#This Row],[Symbol]],Morningstar,MATCH("Name",Morningstar_Cols,EXACT_MATCH),EXACT_MATCH)</f>
        <v>Coca-Cola Co</v>
      </c>
      <c r="D173" s="114">
        <f>VLOOKUP(Companies[[#This Row],[Symbol]],Morningstar,MATCH("mil$ Market Cap",Morningstar_Cols,0),0)</f>
        <v>209146.64</v>
      </c>
      <c r="E173" s="115">
        <f>VLOOKUP(Companies[[#This Row],[Symbol]],Morningstar,MATCH("% Total Return 3 Month",Morningstar_Cols,EXACT_MATCH),EXACT_MATCH)/100</f>
        <v>-0.12890000000000001</v>
      </c>
      <c r="F173" s="115">
        <f>VLOOKUP(Companies[[#This Row],[Symbol]],Morningstar,MATCH("% Total Return 12 Month",Morningstar_Cols,EXACT_MATCH),EXACT_MATCH)/100</f>
        <v>5.8799999999999998E-2</v>
      </c>
      <c r="G173" s="116">
        <f>VLOOKUP(Companies[[#This Row],[Symbol]],Morningstar,MATCH("Price/Sales",Morningstar_Cols,EXACT_MATCH),EXACT_MATCH)</f>
        <v>5.64</v>
      </c>
      <c r="H173" s="117">
        <f>VLOOKUP(Companies[[#This Row],[Symbol]],Morningstar,MATCH("Price/Fair Value",Morningstar_Cols,EXACT_MATCH),EXACT_MATCH)</f>
        <v>0.85</v>
      </c>
      <c r="I17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A</v>
      </c>
      <c r="J173" s="107">
        <f>VLOOKUP(Companies[[#This Row],[Symbol]],Morningstar,MATCH("% Dividend Yield TTM",Morningstar_Cols,EXACT_MATCH),EXACT_MATCH)/100</f>
        <v>3.39E-2</v>
      </c>
      <c r="K173" s="119" t="str">
        <f>IFERROR(LOOKUP(2,1/(GrowthCurves[Ticker]=Companies[[#This Row],[Symbol]]),GrowthCurves[Metric]),"")</f>
        <v/>
      </c>
      <c r="L173" s="94">
        <f>RatingDefault+SUM(Companies[[#This Row],[CurvePoints]:[PFVPoints]])</f>
        <v>4</v>
      </c>
      <c r="M173" s="94"/>
      <c r="N173" s="103">
        <f>IF(Companies[[#This Row],[Growth Curve]]&lt;&gt;"",Companies[[#This Row],[Growth Curve]]-3,0)</f>
        <v>0</v>
      </c>
      <c r="O173" s="53">
        <f>IF(Companies[[#This Row],[PSR]]&gt;2,-1,IF(Companies[[#This Row],[PSR]]&lt;1,1,0))</f>
        <v>-1</v>
      </c>
      <c r="P173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73" s="53">
        <f>IF(Companies[[#This Row],[PFV]]&lt;0.75,2,IF(Companies[[#This Row],[PFV]]&lt;0.95,1,IF(Companies[[#This Row],[PFV]]&gt;1.25,-2,IF(Companies[[#This Row],[PFV]]&gt;1.15,-1,0))))</f>
        <v>1</v>
      </c>
    </row>
    <row r="174" spans="2:17" s="53" customFormat="1" ht="25.15" customHeight="1" x14ac:dyDescent="0.25">
      <c r="B174" s="11" t="s">
        <v>31</v>
      </c>
      <c r="C174" s="11" t="str">
        <f>VLOOKUP(Companies[[#This Row],[Symbol]],Morningstar,MATCH("Name",Morningstar_Cols,EXACT_MATCH),EXACT_MATCH)</f>
        <v>Kraton Corp</v>
      </c>
      <c r="D174" s="114">
        <f>VLOOKUP(Companies[[#This Row],[Symbol]],Morningstar,MATCH("mil$ Market Cap",Morningstar_Cols,0),0)</f>
        <v>193.05</v>
      </c>
      <c r="E174" s="115">
        <f>VLOOKUP(Companies[[#This Row],[Symbol]],Morningstar,MATCH("% Total Return 3 Month",Morningstar_Cols,EXACT_MATCH),EXACT_MATCH)/100</f>
        <v>-0.76900000000000002</v>
      </c>
      <c r="F174" s="115">
        <f>VLOOKUP(Companies[[#This Row],[Symbol]],Morningstar,MATCH("% Total Return 12 Month",Morningstar_Cols,EXACT_MATCH),EXACT_MATCH)/100</f>
        <v>-0.83739999999999992</v>
      </c>
      <c r="G174" s="116">
        <f>VLOOKUP(Companies[[#This Row],[Symbol]],Morningstar,MATCH("Price/Sales",Morningstar_Cols,EXACT_MATCH),EXACT_MATCH)</f>
        <v>0.11</v>
      </c>
      <c r="H174" s="117">
        <f>VLOOKUP(Companies[[#This Row],[Symbol]],Morningstar,MATCH("Price/Fair Value",Morningstar_Cols,EXACT_MATCH),EXACT_MATCH)</f>
        <v>0.39</v>
      </c>
      <c r="I17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174" s="107">
        <f>VLOOKUP(Companies[[#This Row],[Symbol]],Morningstar,MATCH("% Dividend Yield TTM",Morningstar_Cols,EXACT_MATCH),EXACT_MATCH)/100</f>
        <v>0</v>
      </c>
      <c r="K174" s="119" t="str">
        <f>IFERROR(LOOKUP(2,1/(GrowthCurves[Ticker]=Companies[[#This Row],[Symbol]]),GrowthCurves[Metric]),"")</f>
        <v>1</v>
      </c>
      <c r="L174" s="94">
        <f>RatingDefault+SUM(Companies[[#This Row],[CurvePoints]:[PFVPoints]])</f>
        <v>3</v>
      </c>
      <c r="M174" s="94"/>
      <c r="N174" s="103">
        <f>IF(Companies[[#This Row],[Growth Curve]]&lt;&gt;"",Companies[[#This Row],[Growth Curve]]-3,0)</f>
        <v>-2</v>
      </c>
      <c r="O174" s="53">
        <f>IF(Companies[[#This Row],[PSR]]&gt;2,-1,IF(Companies[[#This Row],[PSR]]&lt;1,1,0))</f>
        <v>1</v>
      </c>
      <c r="P174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74" s="53">
        <f>IF(Companies[[#This Row],[PFV]]&lt;0.75,2,IF(Companies[[#This Row],[PFV]]&lt;0.95,1,IF(Companies[[#This Row],[PFV]]&gt;1.25,-2,IF(Companies[[#This Row],[PFV]]&gt;1.15,-1,0))))</f>
        <v>2</v>
      </c>
    </row>
    <row r="175" spans="2:17" s="53" customFormat="1" ht="25.15" customHeight="1" x14ac:dyDescent="0.25">
      <c r="B175" s="11" t="s">
        <v>904</v>
      </c>
      <c r="C175" s="11" t="str">
        <f>VLOOKUP(Companies[[#This Row],[Symbol]],Morningstar,MATCH("Name",Morningstar_Cols,EXACT_MATCH),EXACT_MATCH)</f>
        <v>Kilroy Realty Corp</v>
      </c>
      <c r="D175" s="114">
        <f>VLOOKUP(Companies[[#This Row],[Symbol]],Morningstar,MATCH("mil$ Market Cap",Morningstar_Cols,0),0)</f>
        <v>6848.84</v>
      </c>
      <c r="E175" s="115">
        <f>VLOOKUP(Companies[[#This Row],[Symbol]],Morningstar,MATCH("% Total Return 3 Month",Morningstar_Cols,EXACT_MATCH),EXACT_MATCH)/100</f>
        <v>-0.26729999999999998</v>
      </c>
      <c r="F175" s="115">
        <f>VLOOKUP(Companies[[#This Row],[Symbol]],Morningstar,MATCH("% Total Return 12 Month",Morningstar_Cols,EXACT_MATCH),EXACT_MATCH)/100</f>
        <v>-0.18309999999999998</v>
      </c>
      <c r="G175" s="116">
        <f>VLOOKUP(Companies[[#This Row],[Symbol]],Morningstar,MATCH("Price/Sales",Morningstar_Cols,EXACT_MATCH),EXACT_MATCH)</f>
        <v>8</v>
      </c>
      <c r="H175" s="117">
        <f>VLOOKUP(Companies[[#This Row],[Symbol]],Morningstar,MATCH("Price/Fair Value",Morningstar_Cols,EXACT_MATCH),EXACT_MATCH)</f>
        <v>0.82</v>
      </c>
      <c r="I17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75" s="107">
        <f>VLOOKUP(Companies[[#This Row],[Symbol]],Morningstar,MATCH("% Dividend Yield TTM",Morningstar_Cols,EXACT_MATCH),EXACT_MATCH)/100</f>
        <v>3.2199999999999999E-2</v>
      </c>
      <c r="K175" s="119" t="str">
        <f>IFERROR(LOOKUP(2,1/(GrowthCurves[Ticker]=Companies[[#This Row],[Symbol]]),GrowthCurves[Metric]),"")</f>
        <v>3</v>
      </c>
      <c r="L175" s="94">
        <f>RatingDefault+SUM(Companies[[#This Row],[CurvePoints]:[PFVPoints]])</f>
        <v>4</v>
      </c>
      <c r="M175" s="94"/>
      <c r="N175" s="103">
        <f>IF(Companies[[#This Row],[Growth Curve]]&lt;&gt;"",Companies[[#This Row],[Growth Curve]]-3,0)</f>
        <v>0</v>
      </c>
      <c r="O175" s="53">
        <f>IF(Companies[[#This Row],[PSR]]&gt;2,-1,IF(Companies[[#This Row],[PSR]]&lt;1,1,0))</f>
        <v>-1</v>
      </c>
      <c r="P175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75" s="53">
        <f>IF(Companies[[#This Row],[PFV]]&lt;0.75,2,IF(Companies[[#This Row],[PFV]]&lt;0.95,1,IF(Companies[[#This Row],[PFV]]&gt;1.25,-2,IF(Companies[[#This Row],[PFV]]&gt;1.15,-1,0))))</f>
        <v>1</v>
      </c>
    </row>
    <row r="176" spans="2:17" s="53" customFormat="1" ht="25.15" customHeight="1" x14ac:dyDescent="0.25">
      <c r="B176" s="11" t="s">
        <v>283</v>
      </c>
      <c r="C176" s="11" t="str">
        <f>VLOOKUP(Companies[[#This Row],[Symbol]],Morningstar,MATCH("Name",Morningstar_Cols,EXACT_MATCH),EXACT_MATCH)</f>
        <v>Kohl's Corp</v>
      </c>
      <c r="D176" s="114">
        <f>VLOOKUP(Companies[[#This Row],[Symbol]],Morningstar,MATCH("mil$ Market Cap",Morningstar_Cols,0),0)</f>
        <v>3646.47</v>
      </c>
      <c r="E176" s="115">
        <f>VLOOKUP(Companies[[#This Row],[Symbol]],Morningstar,MATCH("% Total Return 3 Month",Morningstar_Cols,EXACT_MATCH),EXACT_MATCH)/100</f>
        <v>-0.53159999999999996</v>
      </c>
      <c r="F176" s="115">
        <f>VLOOKUP(Companies[[#This Row],[Symbol]],Morningstar,MATCH("% Total Return 12 Month",Morningstar_Cols,EXACT_MATCH),EXACT_MATCH)/100</f>
        <v>-0.63139999999999996</v>
      </c>
      <c r="G176" s="116">
        <f>VLOOKUP(Companies[[#This Row],[Symbol]],Morningstar,MATCH("Price/Sales",Morningstar_Cols,EXACT_MATCH),EXACT_MATCH)</f>
        <v>0.18</v>
      </c>
      <c r="H176" s="117">
        <f>VLOOKUP(Companies[[#This Row],[Symbol]],Morningstar,MATCH("Price/Fair Value",Morningstar_Cols,EXACT_MATCH),EXACT_MATCH)</f>
        <v>0.32</v>
      </c>
      <c r="I17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76" s="107">
        <f>VLOOKUP(Companies[[#This Row],[Symbol]],Morningstar,MATCH("% Dividend Yield TTM",Morningstar_Cols,EXACT_MATCH),EXACT_MATCH)/100</f>
        <v>0.11650000000000001</v>
      </c>
      <c r="K176" s="119" t="str">
        <f>IFERROR(LOOKUP(2,1/(GrowthCurves[Ticker]=Companies[[#This Row],[Symbol]]),GrowthCurves[Metric]),"")</f>
        <v/>
      </c>
      <c r="L176" s="94">
        <f>RatingDefault+SUM(Companies[[#This Row],[CurvePoints]:[PFVPoints]])</f>
        <v>6</v>
      </c>
      <c r="M176" s="94"/>
      <c r="N176" s="103">
        <f>IF(Companies[[#This Row],[Growth Curve]]&lt;&gt;"",Companies[[#This Row],[Growth Curve]]-3,0)</f>
        <v>0</v>
      </c>
      <c r="O176" s="53">
        <f>IF(Companies[[#This Row],[PSR]]&gt;2,-1,IF(Companies[[#This Row],[PSR]]&lt;1,1,0))</f>
        <v>1</v>
      </c>
      <c r="P176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76" s="53">
        <f>IF(Companies[[#This Row],[PFV]]&lt;0.75,2,IF(Companies[[#This Row],[PFV]]&lt;0.95,1,IF(Companies[[#This Row],[PFV]]&gt;1.25,-2,IF(Companies[[#This Row],[PFV]]&gt;1.15,-1,0))))</f>
        <v>2</v>
      </c>
    </row>
    <row r="177" spans="2:17" s="53" customFormat="1" ht="25.15" customHeight="1" x14ac:dyDescent="0.25">
      <c r="B177" s="11" t="s">
        <v>622</v>
      </c>
      <c r="C177" s="11" t="str">
        <f>VLOOKUP(Companies[[#This Row],[Symbol]],Morningstar,MATCH("Name",Morningstar_Cols,EXACT_MATCH),EXACT_MATCH)</f>
        <v>L Brands Inc</v>
      </c>
      <c r="D177" s="114">
        <f>VLOOKUP(Companies[[#This Row],[Symbol]],Morningstar,MATCH("mil$ Market Cap",Morningstar_Cols,0),0)</f>
        <v>4622.66</v>
      </c>
      <c r="E177" s="115">
        <f>VLOOKUP(Companies[[#This Row],[Symbol]],Morningstar,MATCH("% Total Return 3 Month",Morningstar_Cols,EXACT_MATCH),EXACT_MATCH)/100</f>
        <v>-0.12659999999999999</v>
      </c>
      <c r="F177" s="115">
        <f>VLOOKUP(Companies[[#This Row],[Symbol]],Morningstar,MATCH("% Total Return 12 Month",Morningstar_Cols,EXACT_MATCH),EXACT_MATCH)/100</f>
        <v>-0.35139999999999999</v>
      </c>
      <c r="G177" s="116">
        <f>VLOOKUP(Companies[[#This Row],[Symbol]],Morningstar,MATCH("Price/Sales",Morningstar_Cols,EXACT_MATCH),EXACT_MATCH)</f>
        <v>0.36</v>
      </c>
      <c r="H177" s="117">
        <f>VLOOKUP(Companies[[#This Row],[Symbol]],Morningstar,MATCH("Price/Fair Value",Morningstar_Cols,EXACT_MATCH),EXACT_MATCH)</f>
        <v>0.42</v>
      </c>
      <c r="I17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77" s="107">
        <f>VLOOKUP(Companies[[#This Row],[Symbol]],Morningstar,MATCH("% Dividend Yield TTM",Morningstar_Cols,EXACT_MATCH),EXACT_MATCH)/100</f>
        <v>7.5800000000000006E-2</v>
      </c>
      <c r="K177" s="119" t="str">
        <f>IFERROR(LOOKUP(2,1/(GrowthCurves[Ticker]=Companies[[#This Row],[Symbol]]),GrowthCurves[Metric]),"")</f>
        <v>4</v>
      </c>
      <c r="L177" s="94">
        <f>RatingDefault+SUM(Companies[[#This Row],[CurvePoints]:[PFVPoints]])</f>
        <v>7</v>
      </c>
      <c r="M177" s="94"/>
      <c r="N177" s="103">
        <f>IF(Companies[[#This Row],[Growth Curve]]&lt;&gt;"",Companies[[#This Row],[Growth Curve]]-3,0)</f>
        <v>1</v>
      </c>
      <c r="O177" s="53">
        <f>IF(Companies[[#This Row],[PSR]]&gt;2,-1,IF(Companies[[#This Row],[PSR]]&lt;1,1,0))</f>
        <v>1</v>
      </c>
      <c r="P177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77" s="53">
        <f>IF(Companies[[#This Row],[PFV]]&lt;0.75,2,IF(Companies[[#This Row],[PFV]]&lt;0.95,1,IF(Companies[[#This Row],[PFV]]&gt;1.25,-2,IF(Companies[[#This Row],[PFV]]&gt;1.15,-1,0))))</f>
        <v>2</v>
      </c>
    </row>
    <row r="178" spans="2:17" s="53" customFormat="1" ht="25.15" customHeight="1" x14ac:dyDescent="0.25">
      <c r="B178" s="52" t="s">
        <v>394</v>
      </c>
      <c r="C178" s="11" t="str">
        <f>VLOOKUP(Companies[[#This Row],[Symbol]],Morningstar,MATCH("Name",Morningstar_Cols,EXACT_MATCH),EXACT_MATCH)</f>
        <v>Lands' End Inc</v>
      </c>
      <c r="D178" s="114">
        <f>VLOOKUP(Companies[[#This Row],[Symbol]],Morningstar,MATCH("mil$ Market Cap",Morningstar_Cols,0),0)</f>
        <v>189.05</v>
      </c>
      <c r="E178" s="115">
        <f>VLOOKUP(Companies[[#This Row],[Symbol]],Morningstar,MATCH("% Total Return 3 Month",Morningstar_Cols,EXACT_MATCH),EXACT_MATCH)/100</f>
        <v>-0.6724</v>
      </c>
      <c r="F178" s="115">
        <f>VLOOKUP(Companies[[#This Row],[Symbol]],Morningstar,MATCH("% Total Return 12 Month",Morningstar_Cols,EXACT_MATCH),EXACT_MATCH)/100</f>
        <v>-0.68370000000000009</v>
      </c>
      <c r="G178" s="116">
        <f>VLOOKUP(Companies[[#This Row],[Symbol]],Morningstar,MATCH("Price/Sales",Morningstar_Cols,EXACT_MATCH),EXACT_MATCH)</f>
        <v>0.14000000000000001</v>
      </c>
      <c r="H178" s="117">
        <f>VLOOKUP(Companies[[#This Row],[Symbol]],Morningstar,MATCH("Price/Fair Value",Morningstar_Cols,EXACT_MATCH),EXACT_MATCH)</f>
        <v>0.4</v>
      </c>
      <c r="I17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178" s="107">
        <f>VLOOKUP(Companies[[#This Row],[Symbol]],Morningstar,MATCH("% Dividend Yield TTM",Morningstar_Cols,EXACT_MATCH),EXACT_MATCH)/100</f>
        <v>0</v>
      </c>
      <c r="K178" s="119" t="str">
        <f>IFERROR(LOOKUP(2,1/(GrowthCurves[Ticker]=Companies[[#This Row],[Symbol]]),GrowthCurves[Metric]),"")</f>
        <v>2</v>
      </c>
      <c r="L178" s="94">
        <f>RatingDefault+SUM(Companies[[#This Row],[CurvePoints]:[PFVPoints]])</f>
        <v>4</v>
      </c>
      <c r="M178" s="94"/>
      <c r="N178" s="102">
        <f>IF(Companies[[#This Row],[Growth Curve]]&lt;&gt;"",Companies[[#This Row],[Growth Curve]]-3,0)</f>
        <v>-1</v>
      </c>
      <c r="O178" s="52">
        <f>IF(Companies[[#This Row],[PSR]]&gt;2,-1,IF(Companies[[#This Row],[PSR]]&lt;1,1,0))</f>
        <v>1</v>
      </c>
      <c r="P178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78" s="53">
        <f>IF(Companies[[#This Row],[PFV]]&lt;0.75,2,IF(Companies[[#This Row],[PFV]]&lt;0.95,1,IF(Companies[[#This Row],[PFV]]&gt;1.25,-2,IF(Companies[[#This Row],[PFV]]&gt;1.15,-1,0))))</f>
        <v>2</v>
      </c>
    </row>
    <row r="179" spans="2:17" s="53" customFormat="1" ht="25.15" customHeight="1" x14ac:dyDescent="0.25">
      <c r="B179" s="11" t="s">
        <v>752</v>
      </c>
      <c r="C179" s="11" t="str">
        <f>VLOOKUP(Companies[[#This Row],[Symbol]],Morningstar,MATCH("Name",Morningstar_Cols,EXACT_MATCH),EXACT_MATCH)</f>
        <v>Lennar Corp</v>
      </c>
      <c r="D179" s="114">
        <f>VLOOKUP(Companies[[#This Row],[Symbol]],Morningstar,MATCH("mil$ Market Cap",Morningstar_Cols,0),0)</f>
        <v>13492.82</v>
      </c>
      <c r="E179" s="115">
        <f>VLOOKUP(Companies[[#This Row],[Symbol]],Morningstar,MATCH("% Total Return 3 Month",Morningstar_Cols,EXACT_MATCH),EXACT_MATCH)/100</f>
        <v>-0.19829999999999998</v>
      </c>
      <c r="F179" s="115">
        <f>VLOOKUP(Companies[[#This Row],[Symbol]],Morningstar,MATCH("% Total Return 12 Month",Morningstar_Cols,EXACT_MATCH),EXACT_MATCH)/100</f>
        <v>-3.9E-2</v>
      </c>
      <c r="G179" s="116">
        <f>VLOOKUP(Companies[[#This Row],[Symbol]],Morningstar,MATCH("Price/Sales",Morningstar_Cols,EXACT_MATCH),EXACT_MATCH)</f>
        <v>0.63</v>
      </c>
      <c r="H179" s="117">
        <f>VLOOKUP(Companies[[#This Row],[Symbol]],Morningstar,MATCH("Price/Fair Value",Morningstar_Cols,EXACT_MATCH),EXACT_MATCH)</f>
        <v>0.57999999999999996</v>
      </c>
      <c r="I17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79" s="107">
        <f>VLOOKUP(Companies[[#This Row],[Symbol]],Morningstar,MATCH("% Dividend Yield TTM",Morningstar_Cols,EXACT_MATCH),EXACT_MATCH)/100</f>
        <v>5.3E-3</v>
      </c>
      <c r="K179" s="119" t="str">
        <f>IFERROR(LOOKUP(2,1/(GrowthCurves[Ticker]=Companies[[#This Row],[Symbol]]),GrowthCurves[Metric]),"")</f>
        <v>1</v>
      </c>
      <c r="L179" s="94">
        <f>RatingDefault+SUM(Companies[[#This Row],[CurvePoints]:[PFVPoints]])</f>
        <v>5</v>
      </c>
      <c r="M179" s="94"/>
      <c r="N179" s="103">
        <f>IF(Companies[[#This Row],[Growth Curve]]&lt;&gt;"",Companies[[#This Row],[Growth Curve]]-3,0)</f>
        <v>-2</v>
      </c>
      <c r="O179" s="53">
        <f>IF(Companies[[#This Row],[PSR]]&gt;2,-1,IF(Companies[[#This Row],[PSR]]&lt;1,1,0))</f>
        <v>1</v>
      </c>
      <c r="P179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79" s="53">
        <f>IF(Companies[[#This Row],[PFV]]&lt;0.75,2,IF(Companies[[#This Row],[PFV]]&lt;0.95,1,IF(Companies[[#This Row],[PFV]]&gt;1.25,-2,IF(Companies[[#This Row],[PFV]]&gt;1.15,-1,0))))</f>
        <v>2</v>
      </c>
    </row>
    <row r="180" spans="2:17" s="53" customFormat="1" ht="25.15" customHeight="1" x14ac:dyDescent="0.25">
      <c r="B180" s="52" t="s">
        <v>704</v>
      </c>
      <c r="C180" s="11" t="str">
        <f>VLOOKUP(Companies[[#This Row],[Symbol]],Morningstar,MATCH("Name",Morningstar_Cols,EXACT_MATCH),EXACT_MATCH)</f>
        <v>Lennar Corp Class B</v>
      </c>
      <c r="D180" s="114">
        <f>VLOOKUP(Companies[[#This Row],[Symbol]],Morningstar,MATCH("mil$ Market Cap",Morningstar_Cols,0),0)</f>
        <v>13620.92</v>
      </c>
      <c r="E180" s="115">
        <f>VLOOKUP(Companies[[#This Row],[Symbol]],Morningstar,MATCH("% Total Return 3 Month",Morningstar_Cols,EXACT_MATCH),EXACT_MATCH)/100</f>
        <v>-0.2218</v>
      </c>
      <c r="F180" s="115">
        <f>VLOOKUP(Companies[[#This Row],[Symbol]],Morningstar,MATCH("% Total Return 12 Month",Morningstar_Cols,EXACT_MATCH),EXACT_MATCH)/100</f>
        <v>-7.2800000000000004E-2</v>
      </c>
      <c r="G180" s="116">
        <f>VLOOKUP(Companies[[#This Row],[Symbol]],Morningstar,MATCH("Price/Sales",Morningstar_Cols,EXACT_MATCH),EXACT_MATCH)</f>
        <v>0.49</v>
      </c>
      <c r="H180" s="117">
        <f>VLOOKUP(Companies[[#This Row],[Symbol]],Morningstar,MATCH("Price/Fair Value",Morningstar_Cols,EXACT_MATCH),EXACT_MATCH)</f>
        <v>0.63</v>
      </c>
      <c r="I18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80" s="107">
        <f>VLOOKUP(Companies[[#This Row],[Symbol]],Morningstar,MATCH("% Dividend Yield TTM",Morningstar_Cols,EXACT_MATCH),EXACT_MATCH)/100</f>
        <v>6.8999999999999999E-3</v>
      </c>
      <c r="K180" s="119" t="str">
        <f>IFERROR(LOOKUP(2,1/(GrowthCurves[Ticker]=Companies[[#This Row],[Symbol]]),GrowthCurves[Metric]),"")</f>
        <v>1</v>
      </c>
      <c r="L180" s="94">
        <f>RatingDefault+SUM(Companies[[#This Row],[CurvePoints]:[PFVPoints]])</f>
        <v>5</v>
      </c>
      <c r="M180" s="94"/>
      <c r="N180" s="102">
        <f>IF(Companies[[#This Row],[Growth Curve]]&lt;&gt;"",Companies[[#This Row],[Growth Curve]]-3,0)</f>
        <v>-2</v>
      </c>
      <c r="O180" s="52">
        <f>IF(Companies[[#This Row],[PSR]]&gt;2,-1,IF(Companies[[#This Row],[PSR]]&lt;1,1,0))</f>
        <v>1</v>
      </c>
      <c r="P180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80" s="53">
        <f>IF(Companies[[#This Row],[PFV]]&lt;0.75,2,IF(Companies[[#This Row],[PFV]]&lt;0.95,1,IF(Companies[[#This Row],[PFV]]&gt;1.25,-2,IF(Companies[[#This Row],[PFV]]&gt;1.15,-1,0))))</f>
        <v>2</v>
      </c>
    </row>
    <row r="181" spans="2:17" s="53" customFormat="1" ht="25.15" customHeight="1" x14ac:dyDescent="0.25">
      <c r="B181" s="52" t="s">
        <v>703</v>
      </c>
      <c r="C181" s="11" t="str">
        <f>VLOOKUP(Companies[[#This Row],[Symbol]],Morningstar,MATCH("Name",Morningstar_Cols,EXACT_MATCH),EXACT_MATCH)</f>
        <v>LKQ Corp</v>
      </c>
      <c r="D181" s="114">
        <f>VLOOKUP(Companies[[#This Row],[Symbol]],Morningstar,MATCH("mil$ Market Cap",Morningstar_Cols,0),0)</f>
        <v>7359.26</v>
      </c>
      <c r="E181" s="115">
        <f>VLOOKUP(Companies[[#This Row],[Symbol]],Morningstar,MATCH("% Total Return 3 Month",Morningstar_Cols,EXACT_MATCH),EXACT_MATCH)/100</f>
        <v>-0.33829999999999999</v>
      </c>
      <c r="F181" s="115">
        <f>VLOOKUP(Companies[[#This Row],[Symbol]],Morningstar,MATCH("% Total Return 12 Month",Morningstar_Cols,EXACT_MATCH),EXACT_MATCH)/100</f>
        <v>-0.1133</v>
      </c>
      <c r="G181" s="116">
        <f>VLOOKUP(Companies[[#This Row],[Symbol]],Morningstar,MATCH("Price/Sales",Morningstar_Cols,EXACT_MATCH),EXACT_MATCH)</f>
        <v>0.59</v>
      </c>
      <c r="H181" s="117">
        <f>VLOOKUP(Companies[[#This Row],[Symbol]],Morningstar,MATCH("Price/Fair Value",Morningstar_Cols,EXACT_MATCH),EXACT_MATCH)</f>
        <v>0.63</v>
      </c>
      <c r="I18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81" s="107">
        <f>VLOOKUP(Companies[[#This Row],[Symbol]],Morningstar,MATCH("% Dividend Yield TTM",Morningstar_Cols,EXACT_MATCH),EXACT_MATCH)/100</f>
        <v>0</v>
      </c>
      <c r="K181" s="119" t="str">
        <f>IFERROR(LOOKUP(2,1/(GrowthCurves[Ticker]=Companies[[#This Row],[Symbol]]),GrowthCurves[Metric]),"")</f>
        <v>1</v>
      </c>
      <c r="L181" s="94">
        <f>RatingDefault+SUM(Companies[[#This Row],[CurvePoints]:[PFVPoints]])</f>
        <v>5</v>
      </c>
      <c r="M181" s="94"/>
      <c r="N181" s="102">
        <f>IF(Companies[[#This Row],[Growth Curve]]&lt;&gt;"",Companies[[#This Row],[Growth Curve]]-3,0)</f>
        <v>-2</v>
      </c>
      <c r="O181" s="52">
        <f>IF(Companies[[#This Row],[PSR]]&gt;2,-1,IF(Companies[[#This Row],[PSR]]&lt;1,1,0))</f>
        <v>1</v>
      </c>
      <c r="P181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81" s="53">
        <f>IF(Companies[[#This Row],[PFV]]&lt;0.75,2,IF(Companies[[#This Row],[PFV]]&lt;0.95,1,IF(Companies[[#This Row],[PFV]]&gt;1.25,-2,IF(Companies[[#This Row],[PFV]]&gt;1.15,-1,0))))</f>
        <v>2</v>
      </c>
    </row>
    <row r="182" spans="2:17" s="53" customFormat="1" ht="25.15" customHeight="1" x14ac:dyDescent="0.25">
      <c r="B182" s="11" t="s">
        <v>75</v>
      </c>
      <c r="C182" s="11" t="str">
        <f>VLOOKUP(Companies[[#This Row],[Symbol]],Morningstar,MATCH("Name",Morningstar_Cols,EXACT_MATCH),EXACT_MATCH)</f>
        <v>Lumber Liquidators Holdings Inc</v>
      </c>
      <c r="D182" s="114">
        <f>VLOOKUP(Companies[[#This Row],[Symbol]],Morningstar,MATCH("mil$ Market Cap",Morningstar_Cols,0),0)</f>
        <v>168.62</v>
      </c>
      <c r="E182" s="115">
        <f>VLOOKUP(Companies[[#This Row],[Symbol]],Morningstar,MATCH("% Total Return 3 Month",Morningstar_Cols,EXACT_MATCH),EXACT_MATCH)/100</f>
        <v>-0.4007</v>
      </c>
      <c r="F182" s="115">
        <f>VLOOKUP(Companies[[#This Row],[Symbol]],Morningstar,MATCH("% Total Return 12 Month",Morningstar_Cols,EXACT_MATCH),EXACT_MATCH)/100</f>
        <v>-0.39529999999999998</v>
      </c>
      <c r="G182" s="116">
        <f>VLOOKUP(Companies[[#This Row],[Symbol]],Morningstar,MATCH("Price/Sales",Morningstar_Cols,EXACT_MATCH),EXACT_MATCH)</f>
        <v>0.16</v>
      </c>
      <c r="H182" s="117">
        <f>VLOOKUP(Companies[[#This Row],[Symbol]],Morningstar,MATCH("Price/Fair Value",Morningstar_Cols,EXACT_MATCH),EXACT_MATCH)</f>
        <v>0.37</v>
      </c>
      <c r="I18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82" s="107">
        <f>VLOOKUP(Companies[[#This Row],[Symbol]],Morningstar,MATCH("% Dividend Yield TTM",Morningstar_Cols,EXACT_MATCH),EXACT_MATCH)/100</f>
        <v>0</v>
      </c>
      <c r="K182" s="119" t="str">
        <f>IFERROR(LOOKUP(2,1/(GrowthCurves[Ticker]=Companies[[#This Row],[Symbol]]),GrowthCurves[Metric]),"")</f>
        <v>1</v>
      </c>
      <c r="L182" s="94">
        <f>RatingDefault+SUM(Companies[[#This Row],[CurvePoints]:[PFVPoints]])</f>
        <v>4</v>
      </c>
      <c r="M182" s="94"/>
      <c r="N182" s="103">
        <f>IF(Companies[[#This Row],[Growth Curve]]&lt;&gt;"",Companies[[#This Row],[Growth Curve]]-3,0)</f>
        <v>-2</v>
      </c>
      <c r="O182" s="53">
        <f>IF(Companies[[#This Row],[PSR]]&gt;2,-1,IF(Companies[[#This Row],[PSR]]&lt;1,1,0))</f>
        <v>1</v>
      </c>
      <c r="P182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82" s="53">
        <f>IF(Companies[[#This Row],[PFV]]&lt;0.75,2,IF(Companies[[#This Row],[PFV]]&lt;0.95,1,IF(Companies[[#This Row],[PFV]]&gt;1.25,-2,IF(Companies[[#This Row],[PFV]]&gt;1.15,-1,0))))</f>
        <v>2</v>
      </c>
    </row>
    <row r="183" spans="2:17" s="53" customFormat="1" ht="25.15" customHeight="1" x14ac:dyDescent="0.25">
      <c r="B183" s="11" t="s">
        <v>756</v>
      </c>
      <c r="C183" s="11" t="str">
        <f>VLOOKUP(Companies[[#This Row],[Symbol]],Morningstar,MATCH("Name",Morningstar_Cols,EXACT_MATCH),EXACT_MATCH)</f>
        <v>Legg Mason Inc</v>
      </c>
      <c r="D183" s="114">
        <f>VLOOKUP(Companies[[#This Row],[Symbol]],Morningstar,MATCH("mil$ Market Cap",Morningstar_Cols,0),0)</f>
        <v>4259.21</v>
      </c>
      <c r="E183" s="115">
        <f>VLOOKUP(Companies[[#This Row],[Symbol]],Morningstar,MATCH("% Total Return 3 Month",Morningstar_Cols,EXACT_MATCH),EXACT_MATCH)/100</f>
        <v>0.32390000000000002</v>
      </c>
      <c r="F183" s="115">
        <f>VLOOKUP(Companies[[#This Row],[Symbol]],Morningstar,MATCH("% Total Return 12 Month",Morningstar_Cols,EXACT_MATCH),EXACT_MATCH)/100</f>
        <v>0.74930000000000008</v>
      </c>
      <c r="G183" s="116">
        <f>VLOOKUP(Companies[[#This Row],[Symbol]],Morningstar,MATCH("Price/Sales",Morningstar_Cols,EXACT_MATCH),EXACT_MATCH)</f>
        <v>1.47</v>
      </c>
      <c r="H183" s="117">
        <f>VLOOKUP(Companies[[#This Row],[Symbol]],Morningstar,MATCH("Price/Fair Value",Morningstar_Cols,EXACT_MATCH),EXACT_MATCH)</f>
        <v>0.98</v>
      </c>
      <c r="I18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83" s="107">
        <f>VLOOKUP(Companies[[#This Row],[Symbol]],Morningstar,MATCH("% Dividend Yield TTM",Morningstar_Cols,EXACT_MATCH),EXACT_MATCH)/100</f>
        <v>3.2099999999999997E-2</v>
      </c>
      <c r="K183" s="119" t="str">
        <f>IFERROR(LOOKUP(2,1/(GrowthCurves[Ticker]=Companies[[#This Row],[Symbol]]),GrowthCurves[Metric]),"")</f>
        <v>3</v>
      </c>
      <c r="L183" s="94">
        <f>RatingDefault+SUM(Companies[[#This Row],[CurvePoints]:[PFVPoints]])</f>
        <v>4</v>
      </c>
      <c r="M183" s="94"/>
      <c r="N183" s="103">
        <f>IF(Companies[[#This Row],[Growth Curve]]&lt;&gt;"",Companies[[#This Row],[Growth Curve]]-3,0)</f>
        <v>0</v>
      </c>
      <c r="O183" s="53">
        <f>IF(Companies[[#This Row],[PSR]]&gt;2,-1,IF(Companies[[#This Row],[PSR]]&lt;1,1,0))</f>
        <v>0</v>
      </c>
      <c r="P183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83" s="53">
        <f>IF(Companies[[#This Row],[PFV]]&lt;0.75,2,IF(Companies[[#This Row],[PFV]]&lt;0.95,1,IF(Companies[[#This Row],[PFV]]&gt;1.25,-2,IF(Companies[[#This Row],[PFV]]&gt;1.15,-1,0))))</f>
        <v>0</v>
      </c>
    </row>
    <row r="184" spans="2:17" s="53" customFormat="1" ht="25.15" customHeight="1" x14ac:dyDescent="0.25">
      <c r="B184" s="11" t="s">
        <v>676</v>
      </c>
      <c r="C184" s="11" t="str">
        <f>VLOOKUP(Companies[[#This Row],[Symbol]],Morningstar,MATCH("Name",Morningstar_Cols,EXACT_MATCH),EXACT_MATCH)</f>
        <v>Liberty TripAdvisor Holdings Inc Class A</v>
      </c>
      <c r="D184" s="114">
        <f>VLOOKUP(Companies[[#This Row],[Symbol]],Morningstar,MATCH("mil$ Market Cap",Morningstar_Cols,0),0)</f>
        <v>112.92</v>
      </c>
      <c r="E184" s="115">
        <f>VLOOKUP(Companies[[#This Row],[Symbol]],Morningstar,MATCH("% Total Return 3 Month",Morningstar_Cols,EXACT_MATCH),EXACT_MATCH)/100</f>
        <v>-0.83219999999999994</v>
      </c>
      <c r="F184" s="115">
        <f>VLOOKUP(Companies[[#This Row],[Symbol]],Morningstar,MATCH("% Total Return 12 Month",Morningstar_Cols,EXACT_MATCH),EXACT_MATCH)/100</f>
        <v>-0.91459999999999997</v>
      </c>
      <c r="G184" s="116">
        <f>VLOOKUP(Companies[[#This Row],[Symbol]],Morningstar,MATCH("Price/Sales",Morningstar_Cols,EXACT_MATCH),EXACT_MATCH)</f>
        <v>7.0000000000000007E-2</v>
      </c>
      <c r="H184" s="117">
        <f>VLOOKUP(Companies[[#This Row],[Symbol]],Morningstar,MATCH("Price/Fair Value",Morningstar_Cols,EXACT_MATCH),EXACT_MATCH)</f>
        <v>0.39</v>
      </c>
      <c r="I18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184" s="107">
        <f>VLOOKUP(Companies[[#This Row],[Symbol]],Morningstar,MATCH("% Dividend Yield TTM",Morningstar_Cols,EXACT_MATCH),EXACT_MATCH)/100</f>
        <v>0</v>
      </c>
      <c r="K184" s="119" t="str">
        <f>IFERROR(LOOKUP(2,1/(GrowthCurves[Ticker]=Companies[[#This Row],[Symbol]]),GrowthCurves[Metric]),"")</f>
        <v/>
      </c>
      <c r="L184" s="94">
        <f>RatingDefault+SUM(Companies[[#This Row],[CurvePoints]:[PFVPoints]])</f>
        <v>5</v>
      </c>
      <c r="M184" s="94"/>
      <c r="N184" s="103">
        <f>IF(Companies[[#This Row],[Growth Curve]]&lt;&gt;"",Companies[[#This Row],[Growth Curve]]-3,0)</f>
        <v>0</v>
      </c>
      <c r="O184" s="53">
        <f>IF(Companies[[#This Row],[PSR]]&gt;2,-1,IF(Companies[[#This Row],[PSR]]&lt;1,1,0))</f>
        <v>1</v>
      </c>
      <c r="P184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84" s="53">
        <f>IF(Companies[[#This Row],[PFV]]&lt;0.75,2,IF(Companies[[#This Row],[PFV]]&lt;0.95,1,IF(Companies[[#This Row],[PFV]]&gt;1.25,-2,IF(Companies[[#This Row],[PFV]]&gt;1.15,-1,0))))</f>
        <v>2</v>
      </c>
    </row>
    <row r="185" spans="2:17" s="53" customFormat="1" ht="25.15" customHeight="1" x14ac:dyDescent="0.25">
      <c r="B185" s="11" t="s">
        <v>286</v>
      </c>
      <c r="C185" s="11" t="str">
        <f>VLOOKUP(Companies[[#This Row],[Symbol]],Morningstar,MATCH("Name",Morningstar_Cols,EXACT_MATCH),EXACT_MATCH)</f>
        <v>Ladenburg Thalmann Financial Services Inc</v>
      </c>
      <c r="D185" s="114">
        <f>VLOOKUP(Companies[[#This Row],[Symbol]],Morningstar,MATCH("mil$ Market Cap",Morningstar_Cols,0),0)</f>
        <v>0</v>
      </c>
      <c r="E185" s="115">
        <f>VLOOKUP(Companies[[#This Row],[Symbol]],Morningstar,MATCH("% Total Return 3 Month",Morningstar_Cols,EXACT_MATCH),EXACT_MATCH)/100</f>
        <v>0</v>
      </c>
      <c r="F185" s="115">
        <f>VLOOKUP(Companies[[#This Row],[Symbol]],Morningstar,MATCH("% Total Return 12 Month",Morningstar_Cols,EXACT_MATCH),EXACT_MATCH)/100</f>
        <v>0</v>
      </c>
      <c r="G185" s="116">
        <f>VLOOKUP(Companies[[#This Row],[Symbol]],Morningstar,MATCH("Price/Sales",Morningstar_Cols,EXACT_MATCH),EXACT_MATCH)</f>
        <v>0</v>
      </c>
      <c r="H185" s="117">
        <f>VLOOKUP(Companies[[#This Row],[Symbol]],Morningstar,MATCH("Price/Fair Value",Morningstar_Cols,EXACT_MATCH),EXACT_MATCH)</f>
        <v>0</v>
      </c>
      <c r="I18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185" s="107">
        <f>VLOOKUP(Companies[[#This Row],[Symbol]],Morningstar,MATCH("% Dividend Yield TTM",Morningstar_Cols,EXACT_MATCH),EXACT_MATCH)/100</f>
        <v>0</v>
      </c>
      <c r="K185" s="119" t="str">
        <f>IFERROR(LOOKUP(2,1/(GrowthCurves[Ticker]=Companies[[#This Row],[Symbol]]),GrowthCurves[Metric]),"")</f>
        <v>2</v>
      </c>
      <c r="L185" s="94">
        <f>RatingDefault+SUM(Companies[[#This Row],[CurvePoints]:[PFVPoints]])</f>
        <v>4</v>
      </c>
      <c r="M185" s="94"/>
      <c r="N185" s="103">
        <f>IF(Companies[[#This Row],[Growth Curve]]&lt;&gt;"",Companies[[#This Row],[Growth Curve]]-3,0)</f>
        <v>-1</v>
      </c>
      <c r="O185" s="53">
        <f>IF(Companies[[#This Row],[PSR]]&gt;2,-1,IF(Companies[[#This Row],[PSR]]&lt;1,1,0))</f>
        <v>1</v>
      </c>
      <c r="P185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85" s="53">
        <f>IF(Companies[[#This Row],[PFV]]&lt;0.75,2,IF(Companies[[#This Row],[PFV]]&lt;0.95,1,IF(Companies[[#This Row],[PFV]]&gt;1.25,-2,IF(Companies[[#This Row],[PFV]]&gt;1.15,-1,0))))</f>
        <v>2</v>
      </c>
    </row>
    <row r="186" spans="2:17" s="53" customFormat="1" ht="25.15" customHeight="1" x14ac:dyDescent="0.25">
      <c r="B186" s="11" t="s">
        <v>79</v>
      </c>
      <c r="C186" s="11" t="str">
        <f>VLOOKUP(Companies[[#This Row],[Symbol]],Morningstar,MATCH("Name",Morningstar_Cols,EXACT_MATCH),EXACT_MATCH)</f>
        <v>Live Nation Entertainment Inc</v>
      </c>
      <c r="D186" s="114">
        <f>VLOOKUP(Companies[[#This Row],[Symbol]],Morningstar,MATCH("mil$ Market Cap",Morningstar_Cols,0),0)</f>
        <v>8767.8799999999992</v>
      </c>
      <c r="E186" s="115">
        <f>VLOOKUP(Companies[[#This Row],[Symbol]],Morningstar,MATCH("% Total Return 3 Month",Morningstar_Cols,EXACT_MATCH),EXACT_MATCH)/100</f>
        <v>-0.47859999999999997</v>
      </c>
      <c r="F186" s="115">
        <f>VLOOKUP(Companies[[#This Row],[Symbol]],Morningstar,MATCH("% Total Return 12 Month",Morningstar_Cols,EXACT_MATCH),EXACT_MATCH)/100</f>
        <v>-0.42659999999999998</v>
      </c>
      <c r="G186" s="116">
        <f>VLOOKUP(Companies[[#This Row],[Symbol]],Morningstar,MATCH("Price/Sales",Morningstar_Cols,EXACT_MATCH),EXACT_MATCH)</f>
        <v>0.75</v>
      </c>
      <c r="H186" s="117">
        <f>VLOOKUP(Companies[[#This Row],[Symbol]],Morningstar,MATCH("Price/Fair Value",Morningstar_Cols,EXACT_MATCH),EXACT_MATCH)</f>
        <v>0.63</v>
      </c>
      <c r="I18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86" s="107">
        <f>VLOOKUP(Companies[[#This Row],[Symbol]],Morningstar,MATCH("% Dividend Yield TTM",Morningstar_Cols,EXACT_MATCH),EXACT_MATCH)/100</f>
        <v>0</v>
      </c>
      <c r="K186" s="119" t="str">
        <f>IFERROR(LOOKUP(2,1/(GrowthCurves[Ticker]=Companies[[#This Row],[Symbol]]),GrowthCurves[Metric]),"")</f>
        <v>4</v>
      </c>
      <c r="L186" s="94">
        <f>RatingDefault+SUM(Companies[[#This Row],[CurvePoints]:[PFVPoints]])</f>
        <v>7</v>
      </c>
      <c r="M186" s="94"/>
      <c r="N186" s="103">
        <f>IF(Companies[[#This Row],[Growth Curve]]&lt;&gt;"",Companies[[#This Row],[Growth Curve]]-3,0)</f>
        <v>1</v>
      </c>
      <c r="O186" s="53">
        <f>IF(Companies[[#This Row],[PSR]]&gt;2,-1,IF(Companies[[#This Row],[PSR]]&lt;1,1,0))</f>
        <v>1</v>
      </c>
      <c r="P186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86" s="53">
        <f>IF(Companies[[#This Row],[PFV]]&lt;0.75,2,IF(Companies[[#This Row],[PFV]]&lt;0.95,1,IF(Companies[[#This Row],[PFV]]&gt;1.25,-2,IF(Companies[[#This Row],[PFV]]&gt;1.15,-1,0))))</f>
        <v>2</v>
      </c>
    </row>
    <row r="187" spans="2:17" s="53" customFormat="1" ht="25.15" customHeight="1" x14ac:dyDescent="0.25">
      <c r="B187" s="11" t="s">
        <v>195</v>
      </c>
      <c r="C187" s="11" t="str">
        <f>VLOOKUP(Companies[[#This Row],[Symbol]],Morningstar,MATCH("Name",Morningstar_Cols,EXACT_MATCH),EXACT_MATCH)</f>
        <v>Macy's Inc</v>
      </c>
      <c r="D187" s="114">
        <f>VLOOKUP(Companies[[#This Row],[Symbol]],Morningstar,MATCH("mil$ Market Cap",Morningstar_Cols,0),0)</f>
        <v>2430.0100000000002</v>
      </c>
      <c r="E187" s="115">
        <f>VLOOKUP(Companies[[#This Row],[Symbol]],Morningstar,MATCH("% Total Return 3 Month",Morningstar_Cols,EXACT_MATCH),EXACT_MATCH)/100</f>
        <v>-0.50619999999999998</v>
      </c>
      <c r="F187" s="115">
        <f>VLOOKUP(Companies[[#This Row],[Symbol]],Morningstar,MATCH("% Total Return 12 Month",Morningstar_Cols,EXACT_MATCH),EXACT_MATCH)/100</f>
        <v>-0.6109</v>
      </c>
      <c r="G187" s="116">
        <f>VLOOKUP(Companies[[#This Row],[Symbol]],Morningstar,MATCH("Price/Sales",Morningstar_Cols,EXACT_MATCH),EXACT_MATCH)</f>
        <v>0.1</v>
      </c>
      <c r="H187" s="117">
        <f>VLOOKUP(Companies[[#This Row],[Symbol]],Morningstar,MATCH("Price/Fair Value",Morningstar_Cols,EXACT_MATCH),EXACT_MATCH)</f>
        <v>0.31</v>
      </c>
      <c r="I18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187" s="107">
        <f>VLOOKUP(Companies[[#This Row],[Symbol]],Morningstar,MATCH("% Dividend Yield TTM",Morningstar_Cols,EXACT_MATCH),EXACT_MATCH)/100</f>
        <v>0.2046</v>
      </c>
      <c r="K187" s="119" t="str">
        <f>IFERROR(LOOKUP(2,1/(GrowthCurves[Ticker]=Companies[[#This Row],[Symbol]]),GrowthCurves[Metric]),"")</f>
        <v/>
      </c>
      <c r="L187" s="94">
        <f>RatingDefault+SUM(Companies[[#This Row],[CurvePoints]:[PFVPoints]])</f>
        <v>5</v>
      </c>
      <c r="M187" s="94"/>
      <c r="N187" s="103">
        <f>IF(Companies[[#This Row],[Growth Curve]]&lt;&gt;"",Companies[[#This Row],[Growth Curve]]-3,0)</f>
        <v>0</v>
      </c>
      <c r="O187" s="53">
        <f>IF(Companies[[#This Row],[PSR]]&gt;2,-1,IF(Companies[[#This Row],[PSR]]&lt;1,1,0))</f>
        <v>1</v>
      </c>
      <c r="P187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87" s="53">
        <f>IF(Companies[[#This Row],[PFV]]&lt;0.75,2,IF(Companies[[#This Row],[PFV]]&lt;0.95,1,IF(Companies[[#This Row],[PFV]]&gt;1.25,-2,IF(Companies[[#This Row],[PFV]]&gt;1.15,-1,0))))</f>
        <v>2</v>
      </c>
    </row>
    <row r="188" spans="2:17" s="53" customFormat="1" ht="25.15" customHeight="1" x14ac:dyDescent="0.25">
      <c r="B188" s="52" t="s">
        <v>1277</v>
      </c>
      <c r="C188" s="11" t="str">
        <f>VLOOKUP(Companies[[#This Row],[Symbol]],Morningstar,MATCH("Name",Morningstar_Cols,EXACT_MATCH),EXACT_MATCH)</f>
        <v>Macerich Co</v>
      </c>
      <c r="D188" s="114">
        <f>VLOOKUP(Companies[[#This Row],[Symbol]],Morningstar,MATCH("mil$ Market Cap",Morningstar_Cols,0),0)</f>
        <v>1736.54</v>
      </c>
      <c r="E188" s="115">
        <f>VLOOKUP(Companies[[#This Row],[Symbol]],Morningstar,MATCH("% Total Return 3 Month",Morningstar_Cols,EXACT_MATCH),EXACT_MATCH)/100</f>
        <v>-0.45659999999999995</v>
      </c>
      <c r="F188" s="115">
        <f>VLOOKUP(Companies[[#This Row],[Symbol]],Morningstar,MATCH("% Total Return 12 Month",Morningstar_Cols,EXACT_MATCH),EXACT_MATCH)/100</f>
        <v>-0.6149</v>
      </c>
      <c r="G188" s="116">
        <f>VLOOKUP(Companies[[#This Row],[Symbol]],Morningstar,MATCH("Price/Sales",Morningstar_Cols,EXACT_MATCH),EXACT_MATCH)</f>
        <v>1.87</v>
      </c>
      <c r="H188" s="117">
        <f>VLOOKUP(Companies[[#This Row],[Symbol]],Morningstar,MATCH("Price/Fair Value",Morningstar_Cols,EXACT_MATCH),EXACT_MATCH)</f>
        <v>0.24</v>
      </c>
      <c r="I18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88" s="107">
        <f>VLOOKUP(Companies[[#This Row],[Symbol]],Morningstar,MATCH("% Dividend Yield TTM",Morningstar_Cols,EXACT_MATCH),EXACT_MATCH)/100</f>
        <v>0.2198</v>
      </c>
      <c r="K188" s="119" t="str">
        <f>IFERROR(LOOKUP(2,1/(GrowthCurves[Ticker]=Companies[[#This Row],[Symbol]]),GrowthCurves[Metric]),"")</f>
        <v/>
      </c>
      <c r="L188" s="94">
        <f>RatingDefault+SUM(Companies[[#This Row],[CurvePoints]:[PFVPoints]])</f>
        <v>5</v>
      </c>
      <c r="M188" s="94"/>
      <c r="N188" s="102">
        <f>IF(Companies[[#This Row],[Growth Curve]]&lt;&gt;"",Companies[[#This Row],[Growth Curve]]-3,0)</f>
        <v>0</v>
      </c>
      <c r="O188" s="52">
        <f>IF(Companies[[#This Row],[PSR]]&gt;2,-1,IF(Companies[[#This Row],[PSR]]&lt;1,1,0))</f>
        <v>0</v>
      </c>
      <c r="P188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88" s="53">
        <f>IF(Companies[[#This Row],[PFV]]&lt;0.75,2,IF(Companies[[#This Row],[PFV]]&lt;0.95,1,IF(Companies[[#This Row],[PFV]]&gt;1.25,-2,IF(Companies[[#This Row],[PFV]]&gt;1.15,-1,0))))</f>
        <v>2</v>
      </c>
    </row>
    <row r="189" spans="2:17" s="53" customFormat="1" ht="25.15" customHeight="1" x14ac:dyDescent="0.25">
      <c r="B189" s="11" t="s">
        <v>757</v>
      </c>
      <c r="C189" s="11" t="str">
        <f>VLOOKUP(Companies[[#This Row],[Symbol]],Morningstar,MATCH("Name",Morningstar_Cols,EXACT_MATCH),EXACT_MATCH)</f>
        <v>Mattel Inc</v>
      </c>
      <c r="D189" s="114">
        <f>VLOOKUP(Companies[[#This Row],[Symbol]],Morningstar,MATCH("mil$ Market Cap",Morningstar_Cols,0),0)</f>
        <v>2825.26</v>
      </c>
      <c r="E189" s="115">
        <f>VLOOKUP(Companies[[#This Row],[Symbol]],Morningstar,MATCH("% Total Return 3 Month",Morningstar_Cols,EXACT_MATCH),EXACT_MATCH)/100</f>
        <v>-0.38179999999999997</v>
      </c>
      <c r="F189" s="115">
        <f>VLOOKUP(Companies[[#This Row],[Symbol]],Morningstar,MATCH("% Total Return 12 Month",Morningstar_Cols,EXACT_MATCH),EXACT_MATCH)/100</f>
        <v>-0.46299999999999997</v>
      </c>
      <c r="G189" s="116">
        <f>VLOOKUP(Companies[[#This Row],[Symbol]],Morningstar,MATCH("Price/Sales",Morningstar_Cols,EXACT_MATCH),EXACT_MATCH)</f>
        <v>0.63</v>
      </c>
      <c r="H189" s="117">
        <f>VLOOKUP(Companies[[#This Row],[Symbol]],Morningstar,MATCH("Price/Fair Value",Morningstar_Cols,EXACT_MATCH),EXACT_MATCH)</f>
        <v>0.41</v>
      </c>
      <c r="I18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89" s="107">
        <f>VLOOKUP(Companies[[#This Row],[Symbol]],Morningstar,MATCH("% Dividend Yield TTM",Morningstar_Cols,EXACT_MATCH),EXACT_MATCH)/100</f>
        <v>0</v>
      </c>
      <c r="K189" s="119" t="str">
        <f>IFERROR(LOOKUP(2,1/(GrowthCurves[Ticker]=Companies[[#This Row],[Symbol]]),GrowthCurves[Metric]),"")</f>
        <v>2</v>
      </c>
      <c r="L189" s="94">
        <f>RatingDefault+SUM(Companies[[#This Row],[CurvePoints]:[PFVPoints]])</f>
        <v>5</v>
      </c>
      <c r="M189" s="94"/>
      <c r="N189" s="103">
        <f>IF(Companies[[#This Row],[Growth Curve]]&lt;&gt;"",Companies[[#This Row],[Growth Curve]]-3,0)</f>
        <v>-1</v>
      </c>
      <c r="O189" s="53">
        <f>IF(Companies[[#This Row],[PSR]]&gt;2,-1,IF(Companies[[#This Row],[PSR]]&lt;1,1,0))</f>
        <v>1</v>
      </c>
      <c r="P189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89" s="53">
        <f>IF(Companies[[#This Row],[PFV]]&lt;0.75,2,IF(Companies[[#This Row],[PFV]]&lt;0.95,1,IF(Companies[[#This Row],[PFV]]&gt;1.25,-2,IF(Companies[[#This Row],[PFV]]&gt;1.15,-1,0))))</f>
        <v>2</v>
      </c>
    </row>
    <row r="190" spans="2:17" s="53" customFormat="1" ht="25.15" customHeight="1" x14ac:dyDescent="0.25">
      <c r="B190" s="11" t="s">
        <v>859</v>
      </c>
      <c r="C190" s="11" t="str">
        <f>VLOOKUP(Companies[[#This Row],[Symbol]],Morningstar,MATCH("Name",Morningstar_Cols,EXACT_MATCH),EXACT_MATCH)</f>
        <v>McDonald's Corp</v>
      </c>
      <c r="D190" s="114">
        <f>VLOOKUP(Companies[[#This Row],[Symbol]],Morningstar,MATCH("mil$ Market Cap",Morningstar_Cols,0),0)</f>
        <v>128395.73</v>
      </c>
      <c r="E190" s="115">
        <f>VLOOKUP(Companies[[#This Row],[Symbol]],Morningstar,MATCH("% Total Return 3 Month",Morningstar_Cols,EXACT_MATCH),EXACT_MATCH)/100</f>
        <v>-0.127</v>
      </c>
      <c r="F190" s="115">
        <f>VLOOKUP(Companies[[#This Row],[Symbol]],Morningstar,MATCH("% Total Return 12 Month",Morningstar_Cols,EXACT_MATCH),EXACT_MATCH)/100</f>
        <v>-3.78E-2</v>
      </c>
      <c r="G190" s="116">
        <f>VLOOKUP(Companies[[#This Row],[Symbol]],Morningstar,MATCH("Price/Sales",Morningstar_Cols,EXACT_MATCH),EXACT_MATCH)</f>
        <v>6.25</v>
      </c>
      <c r="H190" s="117">
        <f>VLOOKUP(Companies[[#This Row],[Symbol]],Morningstar,MATCH("Price/Fair Value",Morningstar_Cols,EXACT_MATCH),EXACT_MATCH)</f>
        <v>0.77</v>
      </c>
      <c r="I19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A</v>
      </c>
      <c r="J190" s="107">
        <f>VLOOKUP(Companies[[#This Row],[Symbol]],Morningstar,MATCH("% Dividend Yield TTM",Morningstar_Cols,EXACT_MATCH),EXACT_MATCH)/100</f>
        <v>2.8300000000000002E-2</v>
      </c>
      <c r="K190" s="119" t="str">
        <f>IFERROR(LOOKUP(2,1/(GrowthCurves[Ticker]=Companies[[#This Row],[Symbol]]),GrowthCurves[Metric]),"")</f>
        <v>5</v>
      </c>
      <c r="L190" s="94">
        <f>RatingDefault+SUM(Companies[[#This Row],[CurvePoints]:[PFVPoints]])</f>
        <v>6</v>
      </c>
      <c r="M190" s="94"/>
      <c r="N190" s="103">
        <f>IF(Companies[[#This Row],[Growth Curve]]&lt;&gt;"",Companies[[#This Row],[Growth Curve]]-3,0)</f>
        <v>2</v>
      </c>
      <c r="O190" s="53">
        <f>IF(Companies[[#This Row],[PSR]]&gt;2,-1,IF(Companies[[#This Row],[PSR]]&lt;1,1,0))</f>
        <v>-1</v>
      </c>
      <c r="P190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90" s="53">
        <f>IF(Companies[[#This Row],[PFV]]&lt;0.75,2,IF(Companies[[#This Row],[PFV]]&lt;0.95,1,IF(Companies[[#This Row],[PFV]]&gt;1.25,-2,IF(Companies[[#This Row],[PFV]]&gt;1.15,-1,0))))</f>
        <v>1</v>
      </c>
    </row>
    <row r="191" spans="2:17" s="53" customFormat="1" ht="25.15" customHeight="1" x14ac:dyDescent="0.25">
      <c r="B191" s="11" t="s">
        <v>624</v>
      </c>
      <c r="C191" s="11" t="str">
        <f>VLOOKUP(Companies[[#This Row],[Symbol]],Morningstar,MATCH("Name",Morningstar_Cols,EXACT_MATCH),EXACT_MATCH)</f>
        <v>Microchip Technology Inc</v>
      </c>
      <c r="D191" s="114">
        <f>VLOOKUP(Companies[[#This Row],[Symbol]],Morningstar,MATCH("mil$ Market Cap",Morningstar_Cols,0),0)</f>
        <v>15665.79</v>
      </c>
      <c r="E191" s="115">
        <f>VLOOKUP(Companies[[#This Row],[Symbol]],Morningstar,MATCH("% Total Return 3 Month",Morningstar_Cols,EXACT_MATCH),EXACT_MATCH)/100</f>
        <v>-0.39229999999999998</v>
      </c>
      <c r="F191" s="115">
        <f>VLOOKUP(Companies[[#This Row],[Symbol]],Morningstar,MATCH("% Total Return 12 Month",Morningstar_Cols,EXACT_MATCH),EXACT_MATCH)/100</f>
        <v>-0.26090000000000002</v>
      </c>
      <c r="G191" s="116">
        <f>VLOOKUP(Companies[[#This Row],[Symbol]],Morningstar,MATCH("Price/Sales",Morningstar_Cols,EXACT_MATCH),EXACT_MATCH)</f>
        <v>3.16</v>
      </c>
      <c r="H191" s="117">
        <f>VLOOKUP(Companies[[#This Row],[Symbol]],Morningstar,MATCH("Price/Fair Value",Morningstar_Cols,EXACT_MATCH),EXACT_MATCH)</f>
        <v>0.61</v>
      </c>
      <c r="I19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91" s="107">
        <f>VLOOKUP(Companies[[#This Row],[Symbol]],Morningstar,MATCH("% Dividend Yield TTM",Morningstar_Cols,EXACT_MATCH),EXACT_MATCH)/100</f>
        <v>2.35E-2</v>
      </c>
      <c r="K191" s="119" t="str">
        <f>IFERROR(LOOKUP(2,1/(GrowthCurves[Ticker]=Companies[[#This Row],[Symbol]]),GrowthCurves[Metric]),"")</f>
        <v/>
      </c>
      <c r="L191" s="94">
        <f>RatingDefault+SUM(Companies[[#This Row],[CurvePoints]:[PFVPoints]])</f>
        <v>4</v>
      </c>
      <c r="M191" s="94"/>
      <c r="N191" s="103">
        <f>IF(Companies[[#This Row],[Growth Curve]]&lt;&gt;"",Companies[[#This Row],[Growth Curve]]-3,0)</f>
        <v>0</v>
      </c>
      <c r="O191" s="53">
        <f>IF(Companies[[#This Row],[PSR]]&gt;2,-1,IF(Companies[[#This Row],[PSR]]&lt;1,1,0))</f>
        <v>-1</v>
      </c>
      <c r="P191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91" s="53">
        <f>IF(Companies[[#This Row],[PFV]]&lt;0.75,2,IF(Companies[[#This Row],[PFV]]&lt;0.95,1,IF(Companies[[#This Row],[PFV]]&gt;1.25,-2,IF(Companies[[#This Row],[PFV]]&gt;1.15,-1,0))))</f>
        <v>2</v>
      </c>
    </row>
    <row r="192" spans="2:17" s="53" customFormat="1" ht="25.15" customHeight="1" x14ac:dyDescent="0.25">
      <c r="B192" s="11" t="s">
        <v>626</v>
      </c>
      <c r="C192" s="11" t="str">
        <f>VLOOKUP(Companies[[#This Row],[Symbol]],Morningstar,MATCH("Name",Morningstar_Cols,EXACT_MATCH),EXACT_MATCH)</f>
        <v>McKesson Corp</v>
      </c>
      <c r="D192" s="114">
        <f>VLOOKUP(Companies[[#This Row],[Symbol]],Morningstar,MATCH("mil$ Market Cap",Morningstar_Cols,0),0)</f>
        <v>23004.49</v>
      </c>
      <c r="E192" s="115">
        <f>VLOOKUP(Companies[[#This Row],[Symbol]],Morningstar,MATCH("% Total Return 3 Month",Morningstar_Cols,EXACT_MATCH),EXACT_MATCH)/100</f>
        <v>-0.13539999999999999</v>
      </c>
      <c r="F192" s="115">
        <f>VLOOKUP(Companies[[#This Row],[Symbol]],Morningstar,MATCH("% Total Return 12 Month",Morningstar_Cols,EXACT_MATCH),EXACT_MATCH)/100</f>
        <v>8.6800000000000002E-2</v>
      </c>
      <c r="G192" s="116">
        <f>VLOOKUP(Companies[[#This Row],[Symbol]],Morningstar,MATCH("Price/Sales",Morningstar_Cols,EXACT_MATCH),EXACT_MATCH)</f>
        <v>0.1</v>
      </c>
      <c r="H192" s="117">
        <f>VLOOKUP(Companies[[#This Row],[Symbol]],Morningstar,MATCH("Price/Fair Value",Morningstar_Cols,EXACT_MATCH),EXACT_MATCH)</f>
        <v>0.87</v>
      </c>
      <c r="I19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92" s="107">
        <f>VLOOKUP(Companies[[#This Row],[Symbol]],Morningstar,MATCH("% Dividend Yield TTM",Morningstar_Cols,EXACT_MATCH),EXACT_MATCH)/100</f>
        <v>1.3100000000000001E-2</v>
      </c>
      <c r="K192" s="119" t="str">
        <f>IFERROR(LOOKUP(2,1/(GrowthCurves[Ticker]=Companies[[#This Row],[Symbol]]),GrowthCurves[Metric]),"")</f>
        <v>3</v>
      </c>
      <c r="L192" s="94">
        <f>RatingDefault+SUM(Companies[[#This Row],[CurvePoints]:[PFVPoints]])</f>
        <v>5</v>
      </c>
      <c r="M192" s="94"/>
      <c r="N192" s="103">
        <f>IF(Companies[[#This Row],[Growth Curve]]&lt;&gt;"",Companies[[#This Row],[Growth Curve]]-3,0)</f>
        <v>0</v>
      </c>
      <c r="O192" s="53">
        <f>IF(Companies[[#This Row],[PSR]]&gt;2,-1,IF(Companies[[#This Row],[PSR]]&lt;1,1,0))</f>
        <v>1</v>
      </c>
      <c r="P192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92" s="53">
        <f>IF(Companies[[#This Row],[PFV]]&lt;0.75,2,IF(Companies[[#This Row],[PFV]]&lt;0.95,1,IF(Companies[[#This Row],[PFV]]&gt;1.25,-2,IF(Companies[[#This Row],[PFV]]&gt;1.15,-1,0))))</f>
        <v>1</v>
      </c>
    </row>
    <row r="193" spans="2:17" s="53" customFormat="1" ht="25.15" customHeight="1" x14ac:dyDescent="0.25">
      <c r="B193" s="52" t="s">
        <v>78</v>
      </c>
      <c r="C193" s="11" t="str">
        <f>VLOOKUP(Companies[[#This Row],[Symbol]],Morningstar,MATCH("Name",Morningstar_Cols,EXACT_MATCH),EXACT_MATCH)</f>
        <v>M.D.C. Holdings Inc</v>
      </c>
      <c r="D193" s="114">
        <f>VLOOKUP(Companies[[#This Row],[Symbol]],Morningstar,MATCH("mil$ Market Cap",Morningstar_Cols,0),0)</f>
        <v>1670.27</v>
      </c>
      <c r="E193" s="115">
        <f>VLOOKUP(Companies[[#This Row],[Symbol]],Morningstar,MATCH("% Total Return 3 Month",Morningstar_Cols,EXACT_MATCH),EXACT_MATCH)/100</f>
        <v>-0.30609999999999998</v>
      </c>
      <c r="F193" s="115">
        <f>VLOOKUP(Companies[[#This Row],[Symbol]],Morningstar,MATCH("% Total Return 12 Month",Morningstar_Cols,EXACT_MATCH),EXACT_MATCH)/100</f>
        <v>-2.2200000000000001E-2</v>
      </c>
      <c r="G193" s="116">
        <f>VLOOKUP(Companies[[#This Row],[Symbol]],Morningstar,MATCH("Price/Sales",Morningstar_Cols,EXACT_MATCH),EXACT_MATCH)</f>
        <v>0.51</v>
      </c>
      <c r="H193" s="117">
        <f>VLOOKUP(Companies[[#This Row],[Symbol]],Morningstar,MATCH("Price/Fair Value",Morningstar_Cols,EXACT_MATCH),EXACT_MATCH)</f>
        <v>0.64</v>
      </c>
      <c r="I19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93" s="107">
        <f>VLOOKUP(Companies[[#This Row],[Symbol]],Morningstar,MATCH("% Dividend Yield TTM",Morningstar_Cols,EXACT_MATCH),EXACT_MATCH)/100</f>
        <v>4.5700000000000005E-2</v>
      </c>
      <c r="K193" s="119" t="str">
        <f>IFERROR(LOOKUP(2,1/(GrowthCurves[Ticker]=Companies[[#This Row],[Symbol]]),GrowthCurves[Metric]),"")</f>
        <v/>
      </c>
      <c r="L193" s="94">
        <f>RatingDefault+SUM(Companies[[#This Row],[CurvePoints]:[PFVPoints]])</f>
        <v>6</v>
      </c>
      <c r="M193" s="94"/>
      <c r="N193" s="102">
        <f>IF(Companies[[#This Row],[Growth Curve]]&lt;&gt;"",Companies[[#This Row],[Growth Curve]]-3,0)</f>
        <v>0</v>
      </c>
      <c r="O193" s="52">
        <f>IF(Companies[[#This Row],[PSR]]&gt;2,-1,IF(Companies[[#This Row],[PSR]]&lt;1,1,0))</f>
        <v>1</v>
      </c>
      <c r="P193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93" s="53">
        <f>IF(Companies[[#This Row],[PFV]]&lt;0.75,2,IF(Companies[[#This Row],[PFV]]&lt;0.95,1,IF(Companies[[#This Row],[PFV]]&gt;1.25,-2,IF(Companies[[#This Row],[PFV]]&gt;1.15,-1,0))))</f>
        <v>2</v>
      </c>
    </row>
    <row r="194" spans="2:17" s="53" customFormat="1" ht="25.15" customHeight="1" x14ac:dyDescent="0.25">
      <c r="B194" s="11" t="s">
        <v>628</v>
      </c>
      <c r="C194" s="11" t="str">
        <f>VLOOKUP(Companies[[#This Row],[Symbol]],Morningstar,MATCH("Name",Morningstar_Cols,EXACT_MATCH),EXACT_MATCH)</f>
        <v>Medtronic PLC</v>
      </c>
      <c r="D194" s="114">
        <f>VLOOKUP(Companies[[#This Row],[Symbol]],Morningstar,MATCH("mil$ Market Cap",Morningstar_Cols,0),0)</f>
        <v>112949.2</v>
      </c>
      <c r="E194" s="115">
        <f>VLOOKUP(Companies[[#This Row],[Symbol]],Morningstar,MATCH("% Total Return 3 Month",Morningstar_Cols,EXACT_MATCH),EXACT_MATCH)/100</f>
        <v>-0.24420000000000003</v>
      </c>
      <c r="F194" s="115">
        <f>VLOOKUP(Companies[[#This Row],[Symbol]],Morningstar,MATCH("% Total Return 12 Month",Morningstar_Cols,EXACT_MATCH),EXACT_MATCH)/100</f>
        <v>-6.4000000000000001E-2</v>
      </c>
      <c r="G194" s="116">
        <f>VLOOKUP(Companies[[#This Row],[Symbol]],Morningstar,MATCH("Price/Sales",Morningstar_Cols,EXACT_MATCH),EXACT_MATCH)</f>
        <v>3.66</v>
      </c>
      <c r="H194" s="117">
        <f>VLOOKUP(Companies[[#This Row],[Symbol]],Morningstar,MATCH("Price/Fair Value",Morningstar_Cols,EXACT_MATCH),EXACT_MATCH)</f>
        <v>0.71</v>
      </c>
      <c r="I19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A</v>
      </c>
      <c r="J194" s="107">
        <f>VLOOKUP(Companies[[#This Row],[Symbol]],Morningstar,MATCH("% Dividend Yield TTM",Morningstar_Cols,EXACT_MATCH),EXACT_MATCH)/100</f>
        <v>2.5099999999999997E-2</v>
      </c>
      <c r="K194" s="119" t="str">
        <f>IFERROR(LOOKUP(2,1/(GrowthCurves[Ticker]=Companies[[#This Row],[Symbol]]),GrowthCurves[Metric]),"")</f>
        <v/>
      </c>
      <c r="L194" s="94">
        <f>RatingDefault+SUM(Companies[[#This Row],[CurvePoints]:[PFVPoints]])</f>
        <v>5</v>
      </c>
      <c r="M194" s="94"/>
      <c r="N194" s="103">
        <f>IF(Companies[[#This Row],[Growth Curve]]&lt;&gt;"",Companies[[#This Row],[Growth Curve]]-3,0)</f>
        <v>0</v>
      </c>
      <c r="O194" s="53">
        <f>IF(Companies[[#This Row],[PSR]]&gt;2,-1,IF(Companies[[#This Row],[PSR]]&lt;1,1,0))</f>
        <v>-1</v>
      </c>
      <c r="P194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94" s="53">
        <f>IF(Companies[[#This Row],[PFV]]&lt;0.75,2,IF(Companies[[#This Row],[PFV]]&lt;0.95,1,IF(Companies[[#This Row],[PFV]]&gt;1.25,-2,IF(Companies[[#This Row],[PFV]]&gt;1.15,-1,0))))</f>
        <v>2</v>
      </c>
    </row>
    <row r="195" spans="2:17" s="53" customFormat="1" ht="25.15" customHeight="1" x14ac:dyDescent="0.25">
      <c r="B195" s="52" t="s">
        <v>30</v>
      </c>
      <c r="C195" s="11" t="str">
        <f>VLOOKUP(Companies[[#This Row],[Symbol]],Morningstar,MATCH("Name",Morningstar_Cols,EXACT_MATCH),EXACT_MATCH)</f>
        <v>MoneyGram International Inc</v>
      </c>
      <c r="D195" s="114">
        <f>VLOOKUP(Companies[[#This Row],[Symbol]],Morningstar,MATCH("mil$ Market Cap",Morningstar_Cols,0),0)</f>
        <v>103.09</v>
      </c>
      <c r="E195" s="115">
        <f>VLOOKUP(Companies[[#This Row],[Symbol]],Morningstar,MATCH("% Total Return 3 Month",Morningstar_Cols,EXACT_MATCH),EXACT_MATCH)/100</f>
        <v>-0.31579999999999997</v>
      </c>
      <c r="F195" s="115">
        <f>VLOOKUP(Companies[[#This Row],[Symbol]],Morningstar,MATCH("% Total Return 12 Month",Morningstar_Cols,EXACT_MATCH),EXACT_MATCH)/100</f>
        <v>-0.32469999999999999</v>
      </c>
      <c r="G195" s="116">
        <f>VLOOKUP(Companies[[#This Row],[Symbol]],Morningstar,MATCH("Price/Sales",Morningstar_Cols,EXACT_MATCH),EXACT_MATCH)</f>
        <v>0.09</v>
      </c>
      <c r="H195" s="117">
        <f>VLOOKUP(Companies[[#This Row],[Symbol]],Morningstar,MATCH("Price/Fair Value",Morningstar_Cols,EXACT_MATCH),EXACT_MATCH)</f>
        <v>0.46</v>
      </c>
      <c r="I19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195" s="107">
        <f>VLOOKUP(Companies[[#This Row],[Symbol]],Morningstar,MATCH("% Dividend Yield TTM",Morningstar_Cols,EXACT_MATCH),EXACT_MATCH)/100</f>
        <v>0</v>
      </c>
      <c r="K195" s="119" t="str">
        <f>IFERROR(LOOKUP(2,1/(GrowthCurves[Ticker]=Companies[[#This Row],[Symbol]]),GrowthCurves[Metric]),"")</f>
        <v>1</v>
      </c>
      <c r="L195" s="94">
        <f>RatingDefault+SUM(Companies[[#This Row],[CurvePoints]:[PFVPoints]])</f>
        <v>3</v>
      </c>
      <c r="M195" s="94"/>
      <c r="N195" s="102">
        <f>IF(Companies[[#This Row],[Growth Curve]]&lt;&gt;"",Companies[[#This Row],[Growth Curve]]-3,0)</f>
        <v>-2</v>
      </c>
      <c r="O195" s="52">
        <f>IF(Companies[[#This Row],[PSR]]&gt;2,-1,IF(Companies[[#This Row],[PSR]]&lt;1,1,0))</f>
        <v>1</v>
      </c>
      <c r="P195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95" s="53">
        <f>IF(Companies[[#This Row],[PFV]]&lt;0.75,2,IF(Companies[[#This Row],[PFV]]&lt;0.95,1,IF(Companies[[#This Row],[PFV]]&gt;1.25,-2,IF(Companies[[#This Row],[PFV]]&gt;1.15,-1,0))))</f>
        <v>2</v>
      </c>
    </row>
    <row r="196" spans="2:17" s="53" customFormat="1" ht="25.15" customHeight="1" x14ac:dyDescent="0.25">
      <c r="B196" s="11" t="s">
        <v>284</v>
      </c>
      <c r="C196" s="11" t="str">
        <f>VLOOKUP(Companies[[#This Row],[Symbol]],Morningstar,MATCH("Name",Morningstar_Cols,EXACT_MATCH),EXACT_MATCH)</f>
        <v>Magellan Health Inc</v>
      </c>
      <c r="D196" s="114">
        <f>VLOOKUP(Companies[[#This Row],[Symbol]],Morningstar,MATCH("mil$ Market Cap",Morningstar_Cols,0),0)</f>
        <v>1184.04</v>
      </c>
      <c r="E196" s="115">
        <f>VLOOKUP(Companies[[#This Row],[Symbol]],Morningstar,MATCH("% Total Return 3 Month",Morningstar_Cols,EXACT_MATCH),EXACT_MATCH)/100</f>
        <v>-0.38500000000000001</v>
      </c>
      <c r="F196" s="115">
        <f>VLOOKUP(Companies[[#This Row],[Symbol]],Morningstar,MATCH("% Total Return 12 Month",Morningstar_Cols,EXACT_MATCH),EXACT_MATCH)/100</f>
        <v>-0.24940000000000001</v>
      </c>
      <c r="G196" s="116">
        <f>VLOOKUP(Companies[[#This Row],[Symbol]],Morningstar,MATCH("Price/Sales",Morningstar_Cols,EXACT_MATCH),EXACT_MATCH)</f>
        <v>0.16</v>
      </c>
      <c r="H196" s="117">
        <f>VLOOKUP(Companies[[#This Row],[Symbol]],Morningstar,MATCH("Price/Fair Value",Morningstar_Cols,EXACT_MATCH),EXACT_MATCH)</f>
        <v>0.64</v>
      </c>
      <c r="I19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96" s="107">
        <f>VLOOKUP(Companies[[#This Row],[Symbol]],Morningstar,MATCH("% Dividend Yield TTM",Morningstar_Cols,EXACT_MATCH),EXACT_MATCH)/100</f>
        <v>0</v>
      </c>
      <c r="K196" s="119" t="str">
        <f>IFERROR(LOOKUP(2,1/(GrowthCurves[Ticker]=Companies[[#This Row],[Symbol]]),GrowthCurves[Metric]),"")</f>
        <v>1</v>
      </c>
      <c r="L196" s="94">
        <f>RatingDefault+SUM(Companies[[#This Row],[CurvePoints]:[PFVPoints]])</f>
        <v>4</v>
      </c>
      <c r="M196" s="94"/>
      <c r="N196" s="103">
        <f>IF(Companies[[#This Row],[Growth Curve]]&lt;&gt;"",Companies[[#This Row],[Growth Curve]]-3,0)</f>
        <v>-2</v>
      </c>
      <c r="O196" s="53">
        <f>IF(Companies[[#This Row],[PSR]]&gt;2,-1,IF(Companies[[#This Row],[PSR]]&lt;1,1,0))</f>
        <v>1</v>
      </c>
      <c r="P196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96" s="53">
        <f>IF(Companies[[#This Row],[PFV]]&lt;0.75,2,IF(Companies[[#This Row],[PFV]]&lt;0.95,1,IF(Companies[[#This Row],[PFV]]&gt;1.25,-2,IF(Companies[[#This Row],[PFV]]&gt;1.15,-1,0))))</f>
        <v>2</v>
      </c>
    </row>
    <row r="197" spans="2:17" s="53" customFormat="1" ht="25.15" customHeight="1" x14ac:dyDescent="0.25">
      <c r="B197" s="52" t="s">
        <v>705</v>
      </c>
      <c r="C197" s="11" t="str">
        <f>VLOOKUP(Companies[[#This Row],[Symbol]],Morningstar,MATCH("Name",Morningstar_Cols,EXACT_MATCH),EXACT_MATCH)</f>
        <v>MGM Resorts International</v>
      </c>
      <c r="D197" s="114">
        <f>VLOOKUP(Companies[[#This Row],[Symbol]],Morningstar,MATCH("mil$ Market Cap",Morningstar_Cols,0),0)</f>
        <v>7066.43</v>
      </c>
      <c r="E197" s="115">
        <f>VLOOKUP(Companies[[#This Row],[Symbol]],Morningstar,MATCH("% Total Return 3 Month",Morningstar_Cols,EXACT_MATCH),EXACT_MATCH)/100</f>
        <v>-0.52639999999999998</v>
      </c>
      <c r="F197" s="115">
        <f>VLOOKUP(Companies[[#This Row],[Symbol]],Morningstar,MATCH("% Total Return 12 Month",Morningstar_Cols,EXACT_MATCH),EXACT_MATCH)/100</f>
        <v>-0.40619999999999995</v>
      </c>
      <c r="G197" s="116">
        <f>VLOOKUP(Companies[[#This Row],[Symbol]],Morningstar,MATCH("Price/Sales",Morningstar_Cols,EXACT_MATCH),EXACT_MATCH)</f>
        <v>0.57999999999999996</v>
      </c>
      <c r="H197" s="117">
        <f>VLOOKUP(Companies[[#This Row],[Symbol]],Morningstar,MATCH("Price/Fair Value",Morningstar_Cols,EXACT_MATCH),EXACT_MATCH)</f>
        <v>0.37</v>
      </c>
      <c r="I19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97" s="107">
        <f>VLOOKUP(Companies[[#This Row],[Symbol]],Morningstar,MATCH("% Dividend Yield TTM",Morningstar_Cols,EXACT_MATCH),EXACT_MATCH)/100</f>
        <v>3.5400000000000001E-2</v>
      </c>
      <c r="K197" s="119" t="str">
        <f>IFERROR(LOOKUP(2,1/(GrowthCurves[Ticker]=Companies[[#This Row],[Symbol]]),GrowthCurves[Metric]),"")</f>
        <v>3</v>
      </c>
      <c r="L197" s="94">
        <f>RatingDefault+SUM(Companies[[#This Row],[CurvePoints]:[PFVPoints]])</f>
        <v>6</v>
      </c>
      <c r="M197" s="94"/>
      <c r="N197" s="102">
        <f>IF(Companies[[#This Row],[Growth Curve]]&lt;&gt;"",Companies[[#This Row],[Growth Curve]]-3,0)</f>
        <v>0</v>
      </c>
      <c r="O197" s="52">
        <f>IF(Companies[[#This Row],[PSR]]&gt;2,-1,IF(Companies[[#This Row],[PSR]]&lt;1,1,0))</f>
        <v>1</v>
      </c>
      <c r="P197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97" s="53">
        <f>IF(Companies[[#This Row],[PFV]]&lt;0.75,2,IF(Companies[[#This Row],[PFV]]&lt;0.95,1,IF(Companies[[#This Row],[PFV]]&gt;1.25,-2,IF(Companies[[#This Row],[PFV]]&gt;1.15,-1,0))))</f>
        <v>2</v>
      </c>
    </row>
    <row r="198" spans="2:17" s="53" customFormat="1" ht="25.15" customHeight="1" x14ac:dyDescent="0.25">
      <c r="B198" s="11" t="s">
        <v>630</v>
      </c>
      <c r="C198" s="11" t="str">
        <f>VLOOKUP(Companies[[#This Row],[Symbol]],Morningstar,MATCH("Name",Morningstar_Cols,EXACT_MATCH),EXACT_MATCH)</f>
        <v>Martin Marietta Materials Inc</v>
      </c>
      <c r="D198" s="114">
        <f>VLOOKUP(Companies[[#This Row],[Symbol]],Morningstar,MATCH("mil$ Market Cap",Morningstar_Cols,0),0)</f>
        <v>11817.78</v>
      </c>
      <c r="E198" s="115">
        <f>VLOOKUP(Companies[[#This Row],[Symbol]],Morningstar,MATCH("% Total Return 3 Month",Morningstar_Cols,EXACT_MATCH),EXACT_MATCH)/100</f>
        <v>-0.32270000000000004</v>
      </c>
      <c r="F198" s="115">
        <f>VLOOKUP(Companies[[#This Row],[Symbol]],Morningstar,MATCH("% Total Return 12 Month",Morningstar_Cols,EXACT_MATCH),EXACT_MATCH)/100</f>
        <v>-4.1599999999999998E-2</v>
      </c>
      <c r="G198" s="116">
        <f>VLOOKUP(Companies[[#This Row],[Symbol]],Morningstar,MATCH("Price/Sales",Morningstar_Cols,EXACT_MATCH),EXACT_MATCH)</f>
        <v>2.52</v>
      </c>
      <c r="H198" s="117">
        <f>VLOOKUP(Companies[[#This Row],[Symbol]],Morningstar,MATCH("Price/Fair Value",Morningstar_Cols,EXACT_MATCH),EXACT_MATCH)</f>
        <v>0.75</v>
      </c>
      <c r="I19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98" s="107">
        <f>VLOOKUP(Companies[[#This Row],[Symbol]],Morningstar,MATCH("% Dividend Yield TTM",Morningstar_Cols,EXACT_MATCH),EXACT_MATCH)/100</f>
        <v>1.15E-2</v>
      </c>
      <c r="K198" s="119" t="str">
        <f>IFERROR(LOOKUP(2,1/(GrowthCurves[Ticker]=Companies[[#This Row],[Symbol]]),GrowthCurves[Metric]),"")</f>
        <v/>
      </c>
      <c r="L198" s="94">
        <f>RatingDefault+SUM(Companies[[#This Row],[CurvePoints]:[PFVPoints]])</f>
        <v>4</v>
      </c>
      <c r="M198" s="94"/>
      <c r="N198" s="103">
        <f>IF(Companies[[#This Row],[Growth Curve]]&lt;&gt;"",Companies[[#This Row],[Growth Curve]]-3,0)</f>
        <v>0</v>
      </c>
      <c r="O198" s="53">
        <f>IF(Companies[[#This Row],[PSR]]&gt;2,-1,IF(Companies[[#This Row],[PSR]]&lt;1,1,0))</f>
        <v>-1</v>
      </c>
      <c r="P198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98" s="53">
        <f>IF(Companies[[#This Row],[PFV]]&lt;0.75,2,IF(Companies[[#This Row],[PFV]]&lt;0.95,1,IF(Companies[[#This Row],[PFV]]&gt;1.25,-2,IF(Companies[[#This Row],[PFV]]&gt;1.15,-1,0))))</f>
        <v>1</v>
      </c>
    </row>
    <row r="199" spans="2:17" s="53" customFormat="1" ht="25.15" customHeight="1" x14ac:dyDescent="0.25">
      <c r="B199" s="11" t="s">
        <v>1294</v>
      </c>
      <c r="C199" s="11" t="str">
        <f>VLOOKUP(Companies[[#This Row],[Symbol]],Morningstar,MATCH("Name",Morningstar_Cols,EXACT_MATCH),EXACT_MATCH)</f>
        <v>Magellan Midstream Partners LP</v>
      </c>
      <c r="D199" s="114">
        <f>VLOOKUP(Companies[[#This Row],[Symbol]],Morningstar,MATCH("mil$ Market Cap",Morningstar_Cols,0),0)</f>
        <v>9160.2099999999991</v>
      </c>
      <c r="E199" s="115">
        <f>VLOOKUP(Companies[[#This Row],[Symbol]],Morningstar,MATCH("% Total Return 3 Month",Morningstar_Cols,EXACT_MATCH),EXACT_MATCH)/100</f>
        <v>-0.37520000000000003</v>
      </c>
      <c r="F199" s="115">
        <f>VLOOKUP(Companies[[#This Row],[Symbol]],Morningstar,MATCH("% Total Return 12 Month",Morningstar_Cols,EXACT_MATCH),EXACT_MATCH)/100</f>
        <v>-0.30099999999999999</v>
      </c>
      <c r="G199" s="116">
        <f>VLOOKUP(Companies[[#This Row],[Symbol]],Morningstar,MATCH("Price/Sales",Morningstar_Cols,EXACT_MATCH),EXACT_MATCH)</f>
        <v>3.38</v>
      </c>
      <c r="H199" s="117">
        <f>VLOOKUP(Companies[[#This Row],[Symbol]],Morningstar,MATCH("Price/Fair Value",Morningstar_Cols,EXACT_MATCH),EXACT_MATCH)</f>
        <v>0.73</v>
      </c>
      <c r="I19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99" s="107">
        <f>VLOOKUP(Companies[[#This Row],[Symbol]],Morningstar,MATCH("% Dividend Yield TTM",Morningstar_Cols,EXACT_MATCH),EXACT_MATCH)/100</f>
        <v>0.107</v>
      </c>
      <c r="K199" s="119" t="str">
        <f>IFERROR(LOOKUP(2,1/(GrowthCurves[Ticker]=Companies[[#This Row],[Symbol]]),GrowthCurves[Metric]),"")</f>
        <v/>
      </c>
      <c r="L199" s="94">
        <f>RatingDefault+SUM(Companies[[#This Row],[CurvePoints]:[PFVPoints]])</f>
        <v>5</v>
      </c>
      <c r="M199" s="94"/>
      <c r="N199" s="103">
        <f>IF(Companies[[#This Row],[Growth Curve]]&lt;&gt;"",Companies[[#This Row],[Growth Curve]]-3,0)</f>
        <v>0</v>
      </c>
      <c r="O199" s="53">
        <f>IF(Companies[[#This Row],[PSR]]&gt;2,-1,IF(Companies[[#This Row],[PSR]]&lt;1,1,0))</f>
        <v>-1</v>
      </c>
      <c r="P199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99" s="53">
        <f>IF(Companies[[#This Row],[PFV]]&lt;0.75,2,IF(Companies[[#This Row],[PFV]]&lt;0.95,1,IF(Companies[[#This Row],[PFV]]&gt;1.25,-2,IF(Companies[[#This Row],[PFV]]&gt;1.15,-1,0))))</f>
        <v>2</v>
      </c>
    </row>
    <row r="200" spans="2:17" s="53" customFormat="1" ht="25.15" customHeight="1" x14ac:dyDescent="0.25">
      <c r="B200" s="11" t="s">
        <v>34</v>
      </c>
      <c r="C200" s="11" t="str">
        <f>VLOOKUP(Companies[[#This Row],[Symbol]],Morningstar,MATCH("Name",Morningstar_Cols,EXACT_MATCH),EXACT_MATCH)</f>
        <v>Modine Manufacturing Co</v>
      </c>
      <c r="D200" s="114">
        <f>VLOOKUP(Companies[[#This Row],[Symbol]],Morningstar,MATCH("mil$ Market Cap",Morningstar_Cols,0),0)</f>
        <v>239.3</v>
      </c>
      <c r="E200" s="115">
        <f>VLOOKUP(Companies[[#This Row],[Symbol]],Morningstar,MATCH("% Total Return 3 Month",Morningstar_Cols,EXACT_MATCH),EXACT_MATCH)/100</f>
        <v>-0.42349999999999999</v>
      </c>
      <c r="F200" s="115">
        <f>VLOOKUP(Companies[[#This Row],[Symbol]],Morningstar,MATCH("% Total Return 12 Month",Morningstar_Cols,EXACT_MATCH),EXACT_MATCH)/100</f>
        <v>-0.69499999999999995</v>
      </c>
      <c r="G200" s="116">
        <f>VLOOKUP(Companies[[#This Row],[Symbol]],Morningstar,MATCH("Price/Sales",Morningstar_Cols,EXACT_MATCH),EXACT_MATCH)</f>
        <v>0.12</v>
      </c>
      <c r="H200" s="117">
        <f>VLOOKUP(Companies[[#This Row],[Symbol]],Morningstar,MATCH("Price/Fair Value",Morningstar_Cols,EXACT_MATCH),EXACT_MATCH)</f>
        <v>0.4</v>
      </c>
      <c r="I20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200" s="107">
        <f>VLOOKUP(Companies[[#This Row],[Symbol]],Morningstar,MATCH("% Dividend Yield TTM",Morningstar_Cols,EXACT_MATCH),EXACT_MATCH)/100</f>
        <v>0</v>
      </c>
      <c r="K200" s="119" t="str">
        <f>IFERROR(LOOKUP(2,1/(GrowthCurves[Ticker]=Companies[[#This Row],[Symbol]]),GrowthCurves[Metric]),"")</f>
        <v>1</v>
      </c>
      <c r="L200" s="94">
        <f>RatingDefault+SUM(Companies[[#This Row],[CurvePoints]:[PFVPoints]])</f>
        <v>3</v>
      </c>
      <c r="M200" s="94"/>
      <c r="N200" s="103">
        <f>IF(Companies[[#This Row],[Growth Curve]]&lt;&gt;"",Companies[[#This Row],[Growth Curve]]-3,0)</f>
        <v>-2</v>
      </c>
      <c r="O200" s="53">
        <f>IF(Companies[[#This Row],[PSR]]&gt;2,-1,IF(Companies[[#This Row],[PSR]]&lt;1,1,0))</f>
        <v>1</v>
      </c>
      <c r="P200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00" s="53">
        <f>IF(Companies[[#This Row],[PFV]]&lt;0.75,2,IF(Companies[[#This Row],[PFV]]&lt;0.95,1,IF(Companies[[#This Row],[PFV]]&gt;1.25,-2,IF(Companies[[#This Row],[PFV]]&gt;1.15,-1,0))))</f>
        <v>2</v>
      </c>
    </row>
    <row r="201" spans="2:17" s="53" customFormat="1" ht="25.15" customHeight="1" x14ac:dyDescent="0.25">
      <c r="B201" s="11" t="s">
        <v>268</v>
      </c>
      <c r="C201" s="11" t="str">
        <f>VLOOKUP(Companies[[#This Row],[Symbol]],Morningstar,MATCH("Name",Morningstar_Cols,EXACT_MATCH),EXACT_MATCH)</f>
        <v>Molina Healthcare Inc</v>
      </c>
      <c r="D201" s="114">
        <f>VLOOKUP(Companies[[#This Row],[Symbol]],Morningstar,MATCH("mil$ Market Cap",Morningstar_Cols,0),0)</f>
        <v>8296.16</v>
      </c>
      <c r="E201" s="115">
        <f>VLOOKUP(Companies[[#This Row],[Symbol]],Morningstar,MATCH("% Total Return 3 Month",Morningstar_Cols,EXACT_MATCH),EXACT_MATCH)/100</f>
        <v>2.5000000000000001E-3</v>
      </c>
      <c r="F201" s="115">
        <f>VLOOKUP(Companies[[#This Row],[Symbol]],Morningstar,MATCH("% Total Return 12 Month",Morningstar_Cols,EXACT_MATCH),EXACT_MATCH)/100</f>
        <v>-6.4100000000000004E-2</v>
      </c>
      <c r="G201" s="116">
        <f>VLOOKUP(Companies[[#This Row],[Symbol]],Morningstar,MATCH("Price/Sales",Morningstar_Cols,EXACT_MATCH),EXACT_MATCH)</f>
        <v>0.52</v>
      </c>
      <c r="H201" s="117">
        <f>VLOOKUP(Companies[[#This Row],[Symbol]],Morningstar,MATCH("Price/Fair Value",Morningstar_Cols,EXACT_MATCH),EXACT_MATCH)</f>
        <v>0.78</v>
      </c>
      <c r="I20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01" s="107">
        <f>VLOOKUP(Companies[[#This Row],[Symbol]],Morningstar,MATCH("% Dividend Yield TTM",Morningstar_Cols,EXACT_MATCH),EXACT_MATCH)/100</f>
        <v>0</v>
      </c>
      <c r="K201" s="119" t="str">
        <f>IFERROR(LOOKUP(2,1/(GrowthCurves[Ticker]=Companies[[#This Row],[Symbol]]),GrowthCurves[Metric]),"")</f>
        <v/>
      </c>
      <c r="L201" s="94">
        <f>RatingDefault+SUM(Companies[[#This Row],[CurvePoints]:[PFVPoints]])</f>
        <v>6</v>
      </c>
      <c r="M201" s="94"/>
      <c r="N201" s="103">
        <f>IF(Companies[[#This Row],[Growth Curve]]&lt;&gt;"",Companies[[#This Row],[Growth Curve]]-3,0)</f>
        <v>0</v>
      </c>
      <c r="O201" s="53">
        <f>IF(Companies[[#This Row],[PSR]]&gt;2,-1,IF(Companies[[#This Row],[PSR]]&lt;1,1,0))</f>
        <v>1</v>
      </c>
      <c r="P201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01" s="53">
        <f>IF(Companies[[#This Row],[PFV]]&lt;0.75,2,IF(Companies[[#This Row],[PFV]]&lt;0.95,1,IF(Companies[[#This Row],[PFV]]&gt;1.25,-2,IF(Companies[[#This Row],[PFV]]&gt;1.15,-1,0))))</f>
        <v>1</v>
      </c>
    </row>
    <row r="202" spans="2:17" s="53" customFormat="1" ht="25.15" customHeight="1" x14ac:dyDescent="0.25">
      <c r="B202" s="52" t="s">
        <v>393</v>
      </c>
      <c r="C202" s="11" t="str">
        <f>VLOOKUP(Companies[[#This Row],[Symbol]],Morningstar,MATCH("Name",Morningstar_Cols,EXACT_MATCH),EXACT_MATCH)</f>
        <v>Movado Group Inc</v>
      </c>
      <c r="D202" s="114">
        <f>VLOOKUP(Companies[[#This Row],[Symbol]],Morningstar,MATCH("mil$ Market Cap",Morningstar_Cols,0),0)</f>
        <v>273.68</v>
      </c>
      <c r="E202" s="115">
        <f>VLOOKUP(Companies[[#This Row],[Symbol]],Morningstar,MATCH("% Total Return 3 Month",Morningstar_Cols,EXACT_MATCH),EXACT_MATCH)/100</f>
        <v>-0.43770000000000003</v>
      </c>
      <c r="F202" s="115">
        <f>VLOOKUP(Companies[[#This Row],[Symbol]],Morningstar,MATCH("% Total Return 12 Month",Morningstar_Cols,EXACT_MATCH),EXACT_MATCH)/100</f>
        <v>-0.63629999999999998</v>
      </c>
      <c r="G202" s="116">
        <f>VLOOKUP(Companies[[#This Row],[Symbol]],Morningstar,MATCH("Price/Sales",Morningstar_Cols,EXACT_MATCH),EXACT_MATCH)</f>
        <v>0.39</v>
      </c>
      <c r="H202" s="117">
        <f>VLOOKUP(Companies[[#This Row],[Symbol]],Morningstar,MATCH("Price/Fair Value",Morningstar_Cols,EXACT_MATCH),EXACT_MATCH)</f>
        <v>0.39</v>
      </c>
      <c r="I20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02" s="107">
        <f>VLOOKUP(Companies[[#This Row],[Symbol]],Morningstar,MATCH("% Dividend Yield TTM",Morningstar_Cols,EXACT_MATCH),EXACT_MATCH)/100</f>
        <v>6.8699999999999997E-2</v>
      </c>
      <c r="K202" s="119" t="str">
        <f>IFERROR(LOOKUP(2,1/(GrowthCurves[Ticker]=Companies[[#This Row],[Symbol]]),GrowthCurves[Metric]),"")</f>
        <v>2</v>
      </c>
      <c r="L202" s="94">
        <f>RatingDefault+SUM(Companies[[#This Row],[CurvePoints]:[PFVPoints]])</f>
        <v>5</v>
      </c>
      <c r="M202" s="94"/>
      <c r="N202" s="102">
        <f>IF(Companies[[#This Row],[Growth Curve]]&lt;&gt;"",Companies[[#This Row],[Growth Curve]]-3,0)</f>
        <v>-1</v>
      </c>
      <c r="O202" s="52">
        <f>IF(Companies[[#This Row],[PSR]]&gt;2,-1,IF(Companies[[#This Row],[PSR]]&lt;1,1,0))</f>
        <v>1</v>
      </c>
      <c r="P202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02" s="53">
        <f>IF(Companies[[#This Row],[PFV]]&lt;0.75,2,IF(Companies[[#This Row],[PFV]]&lt;0.95,1,IF(Companies[[#This Row],[PFV]]&gt;1.25,-2,IF(Companies[[#This Row],[PFV]]&gt;1.15,-1,0))))</f>
        <v>2</v>
      </c>
    </row>
    <row r="203" spans="2:17" s="53" customFormat="1" ht="25.15" customHeight="1" x14ac:dyDescent="0.25">
      <c r="B203" s="11" t="s">
        <v>803</v>
      </c>
      <c r="C203" s="11" t="str">
        <f>VLOOKUP(Companies[[#This Row],[Symbol]],Morningstar,MATCH("Name",Morningstar_Cols,EXACT_MATCH),EXACT_MATCH)</f>
        <v>Merck &amp; Co Inc</v>
      </c>
      <c r="D203" s="114">
        <f>VLOOKUP(Companies[[#This Row],[Symbol]],Morningstar,MATCH("mil$ Market Cap",Morningstar_Cols,0),0)</f>
        <v>191459.15</v>
      </c>
      <c r="E203" s="115">
        <f>VLOOKUP(Companies[[#This Row],[Symbol]],Morningstar,MATCH("% Total Return 3 Month",Morningstar_Cols,EXACT_MATCH),EXACT_MATCH)/100</f>
        <v>-0.16200000000000001</v>
      </c>
      <c r="F203" s="115">
        <f>VLOOKUP(Companies[[#This Row],[Symbol]],Morningstar,MATCH("% Total Return 12 Month",Morningstar_Cols,EXACT_MATCH),EXACT_MATCH)/100</f>
        <v>-5.5599999999999997E-2</v>
      </c>
      <c r="G203" s="116">
        <f>VLOOKUP(Companies[[#This Row],[Symbol]],Morningstar,MATCH("Price/Sales",Morningstar_Cols,EXACT_MATCH),EXACT_MATCH)</f>
        <v>4.16</v>
      </c>
      <c r="H203" s="117">
        <f>VLOOKUP(Companies[[#This Row],[Symbol]],Morningstar,MATCH("Price/Fair Value",Morningstar_Cols,EXACT_MATCH),EXACT_MATCH)</f>
        <v>0.73</v>
      </c>
      <c r="I20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A</v>
      </c>
      <c r="J203" s="107">
        <f>VLOOKUP(Companies[[#This Row],[Symbol]],Morningstar,MATCH("% Dividend Yield TTM",Morningstar_Cols,EXACT_MATCH),EXACT_MATCH)/100</f>
        <v>3.04E-2</v>
      </c>
      <c r="K203" s="119" t="str">
        <f>IFERROR(LOOKUP(2,1/(GrowthCurves[Ticker]=Companies[[#This Row],[Symbol]]),GrowthCurves[Metric]),"")</f>
        <v>5</v>
      </c>
      <c r="L203" s="94">
        <f>RatingDefault+SUM(Companies[[#This Row],[CurvePoints]:[PFVPoints]])</f>
        <v>7</v>
      </c>
      <c r="M203" s="94"/>
      <c r="N203" s="102">
        <f>IF(Companies[[#This Row],[Growth Curve]]&lt;&gt;"",Companies[[#This Row],[Growth Curve]]-3,0)</f>
        <v>2</v>
      </c>
      <c r="O203" s="52">
        <f>IF(Companies[[#This Row],[PSR]]&gt;2,-1,IF(Companies[[#This Row],[PSR]]&lt;1,1,0))</f>
        <v>-1</v>
      </c>
      <c r="P203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03" s="53">
        <f>IF(Companies[[#This Row],[PFV]]&lt;0.75,2,IF(Companies[[#This Row],[PFV]]&lt;0.95,1,IF(Companies[[#This Row],[PFV]]&gt;1.25,-2,IF(Companies[[#This Row],[PFV]]&gt;1.15,-1,0))))</f>
        <v>2</v>
      </c>
    </row>
    <row r="204" spans="2:17" s="53" customFormat="1" ht="25.15" customHeight="1" x14ac:dyDescent="0.25">
      <c r="B204" s="52" t="s">
        <v>67</v>
      </c>
      <c r="C204" s="11" t="str">
        <f>VLOOKUP(Companies[[#This Row],[Symbol]],Morningstar,MATCH("Name",Morningstar_Cols,EXACT_MATCH),EXACT_MATCH)</f>
        <v>Microsoft Corp</v>
      </c>
      <c r="D204" s="114">
        <f>VLOOKUP(Companies[[#This Row],[Symbol]],Morningstar,MATCH("mil$ Market Cap",Morningstar_Cols,0),0)</f>
        <v>1106755.8999999999</v>
      </c>
      <c r="E204" s="115">
        <f>VLOOKUP(Companies[[#This Row],[Symbol]],Morningstar,MATCH("% Total Return 3 Month",Morningstar_Cols,EXACT_MATCH),EXACT_MATCH)/100</f>
        <v>-8.9200000000000002E-2</v>
      </c>
      <c r="F204" s="115">
        <f>VLOOKUP(Companies[[#This Row],[Symbol]],Morningstar,MATCH("% Total Return 12 Month",Morningstar_Cols,EXACT_MATCH),EXACT_MATCH)/100</f>
        <v>0.24100000000000002</v>
      </c>
      <c r="G204" s="116">
        <f>VLOOKUP(Companies[[#This Row],[Symbol]],Morningstar,MATCH("Price/Sales",Morningstar_Cols,EXACT_MATCH),EXACT_MATCH)</f>
        <v>8.3699999999999992</v>
      </c>
      <c r="H204" s="117">
        <f>VLOOKUP(Companies[[#This Row],[Symbol]],Morningstar,MATCH("Price/Fair Value",Morningstar_Cols,EXACT_MATCH),EXACT_MATCH)</f>
        <v>0.79</v>
      </c>
      <c r="I20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A</v>
      </c>
      <c r="J204" s="107">
        <f>VLOOKUP(Companies[[#This Row],[Symbol]],Morningstar,MATCH("% Dividend Yield TTM",Morningstar_Cols,EXACT_MATCH),EXACT_MATCH)/100</f>
        <v>1.3999999999999999E-2</v>
      </c>
      <c r="K204" s="119">
        <v>4</v>
      </c>
      <c r="L204" s="94">
        <f>RatingDefault+SUM(Companies[[#This Row],[CurvePoints]:[PFVPoints]])</f>
        <v>5</v>
      </c>
      <c r="M204" s="94"/>
      <c r="N204" s="102">
        <f>IF(Companies[[#This Row],[Growth Curve]]&lt;&gt;"",Companies[[#This Row],[Growth Curve]]-3,0)</f>
        <v>1</v>
      </c>
      <c r="O204" s="52">
        <f>IF(Companies[[#This Row],[PSR]]&gt;2,-1,IF(Companies[[#This Row],[PSR]]&lt;1,1,0))</f>
        <v>-1</v>
      </c>
      <c r="P204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04" s="53">
        <f>IF(Companies[[#This Row],[PFV]]&lt;0.75,2,IF(Companies[[#This Row],[PFV]]&lt;0.95,1,IF(Companies[[#This Row],[PFV]]&gt;1.25,-2,IF(Companies[[#This Row],[PFV]]&gt;1.15,-1,0))))</f>
        <v>1</v>
      </c>
    </row>
    <row r="205" spans="2:17" s="53" customFormat="1" ht="25.15" customHeight="1" x14ac:dyDescent="0.25">
      <c r="B205" s="11" t="s">
        <v>897</v>
      </c>
      <c r="C205" s="11" t="str">
        <f>VLOOKUP(Companies[[#This Row],[Symbol]],Morningstar,MATCH("Name",Morningstar_Cols,EXACT_MATCH),EXACT_MATCH)</f>
        <v>Match Group Inc</v>
      </c>
      <c r="D205" s="114">
        <f>VLOOKUP(Companies[[#This Row],[Symbol]],Morningstar,MATCH("mil$ Market Cap",Morningstar_Cols,0),0)</f>
        <v>16664.080000000002</v>
      </c>
      <c r="E205" s="115">
        <f>VLOOKUP(Companies[[#This Row],[Symbol]],Morningstar,MATCH("% Total Return 3 Month",Morningstar_Cols,EXACT_MATCH),EXACT_MATCH)/100</f>
        <v>-0.16670000000000001</v>
      </c>
      <c r="F205" s="115">
        <f>VLOOKUP(Companies[[#This Row],[Symbol]],Morningstar,MATCH("% Total Return 12 Month",Morningstar_Cols,EXACT_MATCH),EXACT_MATCH)/100</f>
        <v>6.8099999999999994E-2</v>
      </c>
      <c r="G205" s="116">
        <f>VLOOKUP(Companies[[#This Row],[Symbol]],Morningstar,MATCH("Price/Sales",Morningstar_Cols,EXACT_MATCH),EXACT_MATCH)</f>
        <v>8.06</v>
      </c>
      <c r="H205" s="117">
        <f>VLOOKUP(Companies[[#This Row],[Symbol]],Morningstar,MATCH("Price/Fair Value",Morningstar_Cols,EXACT_MATCH),EXACT_MATCH)</f>
        <v>0.94</v>
      </c>
      <c r="I20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05" s="107">
        <f>VLOOKUP(Companies[[#This Row],[Symbol]],Morningstar,MATCH("% Dividend Yield TTM",Morningstar_Cols,EXACT_MATCH),EXACT_MATCH)/100</f>
        <v>0</v>
      </c>
      <c r="K205" s="119" t="str">
        <f>IFERROR(LOOKUP(2,1/(GrowthCurves[Ticker]=Companies[[#This Row],[Symbol]]),GrowthCurves[Metric]),"")</f>
        <v>1</v>
      </c>
      <c r="L205" s="94">
        <f>RatingDefault+SUM(Companies[[#This Row],[CurvePoints]:[PFVPoints]])</f>
        <v>2</v>
      </c>
      <c r="M205" s="94"/>
      <c r="N205" s="103">
        <f>IF(Companies[[#This Row],[Growth Curve]]&lt;&gt;"",Companies[[#This Row],[Growth Curve]]-3,0)</f>
        <v>-2</v>
      </c>
      <c r="O205" s="53">
        <f>IF(Companies[[#This Row],[PSR]]&gt;2,-1,IF(Companies[[#This Row],[PSR]]&lt;1,1,0))</f>
        <v>-1</v>
      </c>
      <c r="P205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05" s="53">
        <f>IF(Companies[[#This Row],[PFV]]&lt;0.75,2,IF(Companies[[#This Row],[PFV]]&lt;0.95,1,IF(Companies[[#This Row],[PFV]]&gt;1.25,-2,IF(Companies[[#This Row],[PFV]]&gt;1.15,-1,0))))</f>
        <v>1</v>
      </c>
    </row>
    <row r="206" spans="2:17" s="53" customFormat="1" ht="25.15" customHeight="1" x14ac:dyDescent="0.25">
      <c r="B206" s="11" t="s">
        <v>35</v>
      </c>
      <c r="C206" s="11" t="str">
        <f>VLOOKUP(Companies[[#This Row],[Symbol]],Morningstar,MATCH("Name",Morningstar_Cols,EXACT_MATCH),EXACT_MATCH)</f>
        <v>Meritor Inc</v>
      </c>
      <c r="D206" s="114">
        <f>VLOOKUP(Companies[[#This Row],[Symbol]],Morningstar,MATCH("mil$ Market Cap",Morningstar_Cols,0),0)</f>
        <v>1214.71</v>
      </c>
      <c r="E206" s="115">
        <f>VLOOKUP(Companies[[#This Row],[Symbol]],Morningstar,MATCH("% Total Return 3 Month",Morningstar_Cols,EXACT_MATCH),EXACT_MATCH)/100</f>
        <v>-0.32899999999999996</v>
      </c>
      <c r="F206" s="115">
        <f>VLOOKUP(Companies[[#This Row],[Symbol]],Morningstar,MATCH("% Total Return 12 Month",Morningstar_Cols,EXACT_MATCH),EXACT_MATCH)/100</f>
        <v>-0.2097</v>
      </c>
      <c r="G206" s="116">
        <f>VLOOKUP(Companies[[#This Row],[Symbol]],Morningstar,MATCH("Price/Sales",Morningstar_Cols,EXACT_MATCH),EXACT_MATCH)</f>
        <v>0.33</v>
      </c>
      <c r="H206" s="117">
        <f>VLOOKUP(Companies[[#This Row],[Symbol]],Morningstar,MATCH("Price/Fair Value",Morningstar_Cols,EXACT_MATCH),EXACT_MATCH)</f>
        <v>0.61</v>
      </c>
      <c r="I20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06" s="107">
        <f>VLOOKUP(Companies[[#This Row],[Symbol]],Morningstar,MATCH("% Dividend Yield TTM",Morningstar_Cols,EXACT_MATCH),EXACT_MATCH)/100</f>
        <v>0</v>
      </c>
      <c r="K206" s="119" t="str">
        <f>IFERROR(LOOKUP(2,1/(GrowthCurves[Ticker]=Companies[[#This Row],[Symbol]]),GrowthCurves[Metric]),"")</f>
        <v>1</v>
      </c>
      <c r="L206" s="94">
        <f>RatingDefault+SUM(Companies[[#This Row],[CurvePoints]:[PFVPoints]])</f>
        <v>4</v>
      </c>
      <c r="M206" s="94"/>
      <c r="N206" s="103">
        <f>IF(Companies[[#This Row],[Growth Curve]]&lt;&gt;"",Companies[[#This Row],[Growth Curve]]-3,0)</f>
        <v>-2</v>
      </c>
      <c r="O206" s="53">
        <f>IF(Companies[[#This Row],[PSR]]&gt;2,-1,IF(Companies[[#This Row],[PSR]]&lt;1,1,0))</f>
        <v>1</v>
      </c>
      <c r="P206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06" s="53">
        <f>IF(Companies[[#This Row],[PFV]]&lt;0.75,2,IF(Companies[[#This Row],[PFV]]&lt;0.95,1,IF(Companies[[#This Row],[PFV]]&gt;1.25,-2,IF(Companies[[#This Row],[PFV]]&gt;1.15,-1,0))))</f>
        <v>2</v>
      </c>
    </row>
    <row r="207" spans="2:17" s="53" customFormat="1" ht="25.15" customHeight="1" x14ac:dyDescent="0.25">
      <c r="B207" s="11" t="s">
        <v>269</v>
      </c>
      <c r="C207" s="11" t="str">
        <f>VLOOKUP(Companies[[#This Row],[Symbol]],Morningstar,MATCH("Name",Morningstar_Cols,EXACT_MATCH),EXACT_MATCH)</f>
        <v>Materion Corp</v>
      </c>
      <c r="D207" s="114">
        <f>VLOOKUP(Companies[[#This Row],[Symbol]],Morningstar,MATCH("mil$ Market Cap",Morningstar_Cols,0),0)</f>
        <v>743.16</v>
      </c>
      <c r="E207" s="115">
        <f>VLOOKUP(Companies[[#This Row],[Symbol]],Morningstar,MATCH("% Total Return 3 Month",Morningstar_Cols,EXACT_MATCH),EXACT_MATCH)/100</f>
        <v>-0.42409999999999998</v>
      </c>
      <c r="F207" s="115">
        <f>VLOOKUP(Companies[[#This Row],[Symbol]],Morningstar,MATCH("% Total Return 12 Month",Morningstar_Cols,EXACT_MATCH),EXACT_MATCH)/100</f>
        <v>-0.38650000000000001</v>
      </c>
      <c r="G207" s="116">
        <f>VLOOKUP(Companies[[#This Row],[Symbol]],Morningstar,MATCH("Price/Sales",Morningstar_Cols,EXACT_MATCH),EXACT_MATCH)</f>
        <v>0.64</v>
      </c>
      <c r="H207" s="117">
        <f>VLOOKUP(Companies[[#This Row],[Symbol]],Morningstar,MATCH("Price/Fair Value",Morningstar_Cols,EXACT_MATCH),EXACT_MATCH)</f>
        <v>0.61</v>
      </c>
      <c r="I20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07" s="107">
        <f>VLOOKUP(Companies[[#This Row],[Symbol]],Morningstar,MATCH("% Dividend Yield TTM",Morningstar_Cols,EXACT_MATCH),EXACT_MATCH)/100</f>
        <v>1.26E-2</v>
      </c>
      <c r="K207" s="119" t="str">
        <f>IFERROR(LOOKUP(2,1/(GrowthCurves[Ticker]=Companies[[#This Row],[Symbol]]),GrowthCurves[Metric]),"")</f>
        <v>2</v>
      </c>
      <c r="L207" s="94">
        <f>RatingDefault+SUM(Companies[[#This Row],[CurvePoints]:[PFVPoints]])</f>
        <v>6</v>
      </c>
      <c r="M207" s="94"/>
      <c r="N207" s="103">
        <f>IF(Companies[[#This Row],[Growth Curve]]&lt;&gt;"",Companies[[#This Row],[Growth Curve]]-3,0)</f>
        <v>-1</v>
      </c>
      <c r="O207" s="53">
        <f>IF(Companies[[#This Row],[PSR]]&gt;2,-1,IF(Companies[[#This Row],[PSR]]&lt;1,1,0))</f>
        <v>1</v>
      </c>
      <c r="P207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07" s="53">
        <f>IF(Companies[[#This Row],[PFV]]&lt;0.75,2,IF(Companies[[#This Row],[PFV]]&lt;0.95,1,IF(Companies[[#This Row],[PFV]]&gt;1.25,-2,IF(Companies[[#This Row],[PFV]]&gt;1.15,-1,0))))</f>
        <v>2</v>
      </c>
    </row>
    <row r="208" spans="2:17" s="53" customFormat="1" ht="25.15" customHeight="1" x14ac:dyDescent="0.25">
      <c r="B208" s="11" t="s">
        <v>315</v>
      </c>
      <c r="C208" s="11" t="str">
        <f>VLOOKUP(Companies[[#This Row],[Symbol]],Morningstar,MATCH("Name",Morningstar_Cols,EXACT_MATCH),EXACT_MATCH)</f>
        <v>Matrix Service Co</v>
      </c>
      <c r="D208" s="114">
        <f>VLOOKUP(Companies[[#This Row],[Symbol]],Morningstar,MATCH("mil$ Market Cap",Morningstar_Cols,0),0)</f>
        <v>300.64999999999998</v>
      </c>
      <c r="E208" s="115">
        <f>VLOOKUP(Companies[[#This Row],[Symbol]],Morningstar,MATCH("% Total Return 3 Month",Morningstar_Cols,EXACT_MATCH),EXACT_MATCH)/100</f>
        <v>-0.52549999999999997</v>
      </c>
      <c r="F208" s="115">
        <f>VLOOKUP(Companies[[#This Row],[Symbol]],Morningstar,MATCH("% Total Return 12 Month",Morningstar_Cols,EXACT_MATCH),EXACT_MATCH)/100</f>
        <v>-0.51469999999999994</v>
      </c>
      <c r="G208" s="116">
        <f>VLOOKUP(Companies[[#This Row],[Symbol]],Morningstar,MATCH("Price/Sales",Morningstar_Cols,EXACT_MATCH),EXACT_MATCH)</f>
        <v>0.21</v>
      </c>
      <c r="H208" s="117">
        <f>VLOOKUP(Companies[[#This Row],[Symbol]],Morningstar,MATCH("Price/Fair Value",Morningstar_Cols,EXACT_MATCH),EXACT_MATCH)</f>
        <v>0.51</v>
      </c>
      <c r="I20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08" s="107">
        <f>VLOOKUP(Companies[[#This Row],[Symbol]],Morningstar,MATCH("% Dividend Yield TTM",Morningstar_Cols,EXACT_MATCH),EXACT_MATCH)/100</f>
        <v>0</v>
      </c>
      <c r="K208" s="119" t="str">
        <f>IFERROR(LOOKUP(2,1/(GrowthCurves[Ticker]=Companies[[#This Row],[Symbol]]),GrowthCurves[Metric]),"")</f>
        <v>3</v>
      </c>
      <c r="L208" s="94">
        <f>RatingDefault+SUM(Companies[[#This Row],[CurvePoints]:[PFVPoints]])</f>
        <v>6</v>
      </c>
      <c r="M208" s="94"/>
      <c r="N208" s="103">
        <f>IF(Companies[[#This Row],[Growth Curve]]&lt;&gt;"",Companies[[#This Row],[Growth Curve]]-3,0)</f>
        <v>0</v>
      </c>
      <c r="O208" s="53">
        <f>IF(Companies[[#This Row],[PSR]]&gt;2,-1,IF(Companies[[#This Row],[PSR]]&lt;1,1,0))</f>
        <v>1</v>
      </c>
      <c r="P208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08" s="53">
        <f>IF(Companies[[#This Row],[PFV]]&lt;0.75,2,IF(Companies[[#This Row],[PFV]]&lt;0.95,1,IF(Companies[[#This Row],[PFV]]&gt;1.25,-2,IF(Companies[[#This Row],[PFV]]&gt;1.15,-1,0))))</f>
        <v>2</v>
      </c>
    </row>
    <row r="209" spans="2:17" s="53" customFormat="1" ht="25.15" customHeight="1" x14ac:dyDescent="0.25">
      <c r="B209" s="11" t="s">
        <v>36</v>
      </c>
      <c r="C209" s="11" t="str">
        <f>VLOOKUP(Companies[[#This Row],[Symbol]],Morningstar,MATCH("Name",Morningstar_Cols,EXACT_MATCH),EXACT_MATCH)</f>
        <v>Manitowoc Co Inc</v>
      </c>
      <c r="D209" s="114">
        <f>VLOOKUP(Companies[[#This Row],[Symbol]],Morningstar,MATCH("mil$ Market Cap",Morningstar_Cols,0),0)</f>
        <v>371.45</v>
      </c>
      <c r="E209" s="115">
        <f>VLOOKUP(Companies[[#This Row],[Symbol]],Morningstar,MATCH("% Total Return 3 Month",Morningstar_Cols,EXACT_MATCH),EXACT_MATCH)/100</f>
        <v>-0.43719999999999998</v>
      </c>
      <c r="F209" s="115">
        <f>VLOOKUP(Companies[[#This Row],[Symbol]],Morningstar,MATCH("% Total Return 12 Month",Morningstar_Cols,EXACT_MATCH),EXACT_MATCH)/100</f>
        <v>-0.44170000000000004</v>
      </c>
      <c r="G209" s="116">
        <f>VLOOKUP(Companies[[#This Row],[Symbol]],Morningstar,MATCH("Price/Sales",Morningstar_Cols,EXACT_MATCH),EXACT_MATCH)</f>
        <v>0.21</v>
      </c>
      <c r="H209" s="117">
        <f>VLOOKUP(Companies[[#This Row],[Symbol]],Morningstar,MATCH("Price/Fair Value",Morningstar_Cols,EXACT_MATCH),EXACT_MATCH)</f>
        <v>0.51</v>
      </c>
      <c r="I20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09" s="107">
        <f>VLOOKUP(Companies[[#This Row],[Symbol]],Morningstar,MATCH("% Dividend Yield TTM",Morningstar_Cols,EXACT_MATCH),EXACT_MATCH)/100</f>
        <v>0</v>
      </c>
      <c r="K209" s="119" t="str">
        <f>IFERROR(LOOKUP(2,1/(GrowthCurves[Ticker]=Companies[[#This Row],[Symbol]]),GrowthCurves[Metric]),"")</f>
        <v>2</v>
      </c>
      <c r="L209" s="94">
        <f>RatingDefault+SUM(Companies[[#This Row],[CurvePoints]:[PFVPoints]])</f>
        <v>5</v>
      </c>
      <c r="M209" s="94"/>
      <c r="N209" s="103">
        <f>IF(Companies[[#This Row],[Growth Curve]]&lt;&gt;"",Companies[[#This Row],[Growth Curve]]-3,0)</f>
        <v>-1</v>
      </c>
      <c r="O209" s="53">
        <f>IF(Companies[[#This Row],[PSR]]&gt;2,-1,IF(Companies[[#This Row],[PSR]]&lt;1,1,0))</f>
        <v>1</v>
      </c>
      <c r="P209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09" s="53">
        <f>IF(Companies[[#This Row],[PFV]]&lt;0.75,2,IF(Companies[[#This Row],[PFV]]&lt;0.95,1,IF(Companies[[#This Row],[PFV]]&gt;1.25,-2,IF(Companies[[#This Row],[PFV]]&gt;1.15,-1,0))))</f>
        <v>2</v>
      </c>
    </row>
    <row r="210" spans="2:17" s="53" customFormat="1" ht="25.15" customHeight="1" x14ac:dyDescent="0.25">
      <c r="B210" s="11" t="s">
        <v>906</v>
      </c>
      <c r="C210" s="11" t="str">
        <f>VLOOKUP(Companies[[#This Row],[Symbol]],Morningstar,MATCH("Name",Morningstar_Cols,EXACT_MATCH),EXACT_MATCH)</f>
        <v>Mitsubishi UFJ Financial Group Inc ADR</v>
      </c>
      <c r="D210" s="114">
        <f>VLOOKUP(Companies[[#This Row],[Symbol]],Morningstar,MATCH("mil$ Market Cap",Morningstar_Cols,0),0)</f>
        <v>52376.35</v>
      </c>
      <c r="E210" s="115">
        <f>VLOOKUP(Companies[[#This Row],[Symbol]],Morningstar,MATCH("% Total Return 3 Month",Morningstar_Cols,EXACT_MATCH),EXACT_MATCH)/100</f>
        <v>-0.32840000000000003</v>
      </c>
      <c r="F210" s="115">
        <f>VLOOKUP(Companies[[#This Row],[Symbol]],Morningstar,MATCH("% Total Return 12 Month",Morningstar_Cols,EXACT_MATCH),EXACT_MATCH)/100</f>
        <v>-0.24530000000000002</v>
      </c>
      <c r="G210" s="116">
        <f>VLOOKUP(Companies[[#This Row],[Symbol]],Morningstar,MATCH("Price/Sales",Morningstar_Cols,EXACT_MATCH),EXACT_MATCH)</f>
        <v>1.31</v>
      </c>
      <c r="H210" s="117">
        <f>VLOOKUP(Companies[[#This Row],[Symbol]],Morningstar,MATCH("Price/Fair Value",Morningstar_Cols,EXACT_MATCH),EXACT_MATCH)</f>
        <v>0.55000000000000004</v>
      </c>
      <c r="I21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210" s="107">
        <f>VLOOKUP(Companies[[#This Row],[Symbol]],Morningstar,MATCH("% Dividend Yield TTM",Morningstar_Cols,EXACT_MATCH),EXACT_MATCH)/100</f>
        <v>5.9500000000000004E-2</v>
      </c>
      <c r="K210" s="119" t="str">
        <f>IFERROR(LOOKUP(2,1/(GrowthCurves[Ticker]=Companies[[#This Row],[Symbol]]),GrowthCurves[Metric]),"")</f>
        <v>2</v>
      </c>
      <c r="L210" s="94">
        <f>RatingDefault+SUM(Companies[[#This Row],[CurvePoints]:[PFVPoints]])</f>
        <v>3</v>
      </c>
      <c r="M210" s="94"/>
      <c r="N210" s="103">
        <f>IF(Companies[[#This Row],[Growth Curve]]&lt;&gt;"",Companies[[#This Row],[Growth Curve]]-3,0)</f>
        <v>-1</v>
      </c>
      <c r="O210" s="53">
        <f>IF(Companies[[#This Row],[PSR]]&gt;2,-1,IF(Companies[[#This Row],[PSR]]&lt;1,1,0))</f>
        <v>0</v>
      </c>
      <c r="P210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10" s="53">
        <f>IF(Companies[[#This Row],[PFV]]&lt;0.75,2,IF(Companies[[#This Row],[PFV]]&lt;0.95,1,IF(Companies[[#This Row],[PFV]]&gt;1.25,-2,IF(Companies[[#This Row],[PFV]]&gt;1.15,-1,0))))</f>
        <v>2</v>
      </c>
    </row>
    <row r="211" spans="2:17" s="53" customFormat="1" ht="25.15" customHeight="1" x14ac:dyDescent="0.25">
      <c r="B211" s="11" t="s">
        <v>76</v>
      </c>
      <c r="C211" s="11" t="str">
        <f>VLOOKUP(Companies[[#This Row],[Symbol]],Morningstar,MATCH("Name",Morningstar_Cols,EXACT_MATCH),EXACT_MATCH)</f>
        <v>Navistar International Corp</v>
      </c>
      <c r="D211" s="114">
        <f>VLOOKUP(Companies[[#This Row],[Symbol]],Morningstar,MATCH("mil$ Market Cap",Morningstar_Cols,0),0)</f>
        <v>2539.0100000000002</v>
      </c>
      <c r="E211" s="115">
        <f>VLOOKUP(Companies[[#This Row],[Symbol]],Morningstar,MATCH("% Total Return 3 Month",Morningstar_Cols,EXACT_MATCH),EXACT_MATCH)/100</f>
        <v>-0.2137</v>
      </c>
      <c r="F211" s="115">
        <f>VLOOKUP(Companies[[#This Row],[Symbol]],Morningstar,MATCH("% Total Return 12 Month",Morningstar_Cols,EXACT_MATCH),EXACT_MATCH)/100</f>
        <v>-0.24379999999999999</v>
      </c>
      <c r="G211" s="116">
        <f>VLOOKUP(Companies[[#This Row],[Symbol]],Morningstar,MATCH("Price/Sales",Morningstar_Cols,EXACT_MATCH),EXACT_MATCH)</f>
        <v>0.24</v>
      </c>
      <c r="H211" s="117">
        <f>VLOOKUP(Companies[[#This Row],[Symbol]],Morningstar,MATCH("Price/Fair Value",Morningstar_Cols,EXACT_MATCH),EXACT_MATCH)</f>
        <v>0.73</v>
      </c>
      <c r="I21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11" s="107">
        <f>VLOOKUP(Companies[[#This Row],[Symbol]],Morningstar,MATCH("% Dividend Yield TTM",Morningstar_Cols,EXACT_MATCH),EXACT_MATCH)/100</f>
        <v>0</v>
      </c>
      <c r="K211" s="119" t="str">
        <f>IFERROR(LOOKUP(2,1/(GrowthCurves[Ticker]=Companies[[#This Row],[Symbol]]),GrowthCurves[Metric]),"")</f>
        <v>1</v>
      </c>
      <c r="L211" s="94">
        <f>RatingDefault+SUM(Companies[[#This Row],[CurvePoints]:[PFVPoints]])</f>
        <v>4</v>
      </c>
      <c r="M211" s="94"/>
      <c r="N211" s="103">
        <f>IF(Companies[[#This Row],[Growth Curve]]&lt;&gt;"",Companies[[#This Row],[Growth Curve]]-3,0)</f>
        <v>-2</v>
      </c>
      <c r="O211" s="53">
        <f>IF(Companies[[#This Row],[PSR]]&gt;2,-1,IF(Companies[[#This Row],[PSR]]&lt;1,1,0))</f>
        <v>1</v>
      </c>
      <c r="P211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11" s="53">
        <f>IF(Companies[[#This Row],[PFV]]&lt;0.75,2,IF(Companies[[#This Row],[PFV]]&lt;0.95,1,IF(Companies[[#This Row],[PFV]]&gt;1.25,-2,IF(Companies[[#This Row],[PFV]]&gt;1.15,-1,0))))</f>
        <v>2</v>
      </c>
    </row>
    <row r="212" spans="2:17" s="53" customFormat="1" ht="25.15" customHeight="1" x14ac:dyDescent="0.25">
      <c r="B212" s="52" t="s">
        <v>391</v>
      </c>
      <c r="C212" s="11" t="str">
        <f>VLOOKUP(Companies[[#This Row],[Symbol]],Morningstar,MATCH("Name",Morningstar_Cols,EXACT_MATCH),EXACT_MATCH)</f>
        <v>Northern Oil &amp; Gas Inc</v>
      </c>
      <c r="D212" s="114">
        <f>VLOOKUP(Companies[[#This Row],[Symbol]],Morningstar,MATCH("mil$ Market Cap",Morningstar_Cols,0),0)</f>
        <v>355.02</v>
      </c>
      <c r="E212" s="115">
        <f>VLOOKUP(Companies[[#This Row],[Symbol]],Morningstar,MATCH("% Total Return 3 Month",Morningstar_Cols,EXACT_MATCH),EXACT_MATCH)/100</f>
        <v>-0.50329999999999997</v>
      </c>
      <c r="F212" s="115">
        <f>VLOOKUP(Companies[[#This Row],[Symbol]],Morningstar,MATCH("% Total Return 12 Month",Morningstar_Cols,EXACT_MATCH),EXACT_MATCH)/100</f>
        <v>-0.6018</v>
      </c>
      <c r="G212" s="116">
        <f>VLOOKUP(Companies[[#This Row],[Symbol]],Morningstar,MATCH("Price/Sales",Morningstar_Cols,EXACT_MATCH),EXACT_MATCH)</f>
        <v>0.56999999999999995</v>
      </c>
      <c r="H212" s="117">
        <f>VLOOKUP(Companies[[#This Row],[Symbol]],Morningstar,MATCH("Price/Fair Value",Morningstar_Cols,EXACT_MATCH),EXACT_MATCH)</f>
        <v>0.33</v>
      </c>
      <c r="I21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212" s="107">
        <f>VLOOKUP(Companies[[#This Row],[Symbol]],Morningstar,MATCH("% Dividend Yield TTM",Morningstar_Cols,EXACT_MATCH),EXACT_MATCH)/100</f>
        <v>0</v>
      </c>
      <c r="K212" s="119" t="str">
        <f>IFERROR(LOOKUP(2,1/(GrowthCurves[Ticker]=Companies[[#This Row],[Symbol]]),GrowthCurves[Metric]),"")</f>
        <v/>
      </c>
      <c r="L212" s="94">
        <f>RatingDefault+SUM(Companies[[#This Row],[CurvePoints]:[PFVPoints]])</f>
        <v>5</v>
      </c>
      <c r="M212" s="94"/>
      <c r="N212" s="102">
        <f>IF(Companies[[#This Row],[Growth Curve]]&lt;&gt;"",Companies[[#This Row],[Growth Curve]]-3,0)</f>
        <v>0</v>
      </c>
      <c r="O212" s="52">
        <f>IF(Companies[[#This Row],[PSR]]&gt;2,-1,IF(Companies[[#This Row],[PSR]]&lt;1,1,0))</f>
        <v>1</v>
      </c>
      <c r="P212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12" s="53">
        <f>IF(Companies[[#This Row],[PFV]]&lt;0.75,2,IF(Companies[[#This Row],[PFV]]&lt;0.95,1,IF(Companies[[#This Row],[PFV]]&gt;1.25,-2,IF(Companies[[#This Row],[PFV]]&gt;1.15,-1,0))))</f>
        <v>2</v>
      </c>
    </row>
    <row r="213" spans="2:17" s="53" customFormat="1" ht="25.15" customHeight="1" x14ac:dyDescent="0.25">
      <c r="B213" s="11" t="s">
        <v>815</v>
      </c>
      <c r="C213" s="11" t="str">
        <f>VLOOKUP(Companies[[#This Row],[Symbol]],Morningstar,MATCH("Name",Morningstar_Cols,EXACT_MATCH),EXACT_MATCH)</f>
        <v>ServiceNow Inc</v>
      </c>
      <c r="D213" s="114">
        <f>VLOOKUP(Companies[[#This Row],[Symbol]],Morningstar,MATCH("mil$ Market Cap",Morningstar_Cols,0),0)</f>
        <v>51463.33</v>
      </c>
      <c r="E213" s="115">
        <f>VLOOKUP(Companies[[#This Row],[Symbol]],Morningstar,MATCH("% Total Return 3 Month",Morningstar_Cols,EXACT_MATCH),EXACT_MATCH)/100</f>
        <v>-1.3300000000000001E-2</v>
      </c>
      <c r="F213" s="115">
        <f>VLOOKUP(Companies[[#This Row],[Symbol]],Morningstar,MATCH("% Total Return 12 Month",Morningstar_Cols,EXACT_MATCH),EXACT_MATCH)/100</f>
        <v>9.8100000000000007E-2</v>
      </c>
      <c r="G213" s="116">
        <f>VLOOKUP(Companies[[#This Row],[Symbol]],Morningstar,MATCH("Price/Sales",Morningstar_Cols,EXACT_MATCH),EXACT_MATCH)</f>
        <v>15.45</v>
      </c>
      <c r="H213" s="117">
        <f>VLOOKUP(Companies[[#This Row],[Symbol]],Morningstar,MATCH("Price/Fair Value",Morningstar_Cols,EXACT_MATCH),EXACT_MATCH)</f>
        <v>0.73</v>
      </c>
      <c r="I21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A</v>
      </c>
      <c r="J213" s="107">
        <f>VLOOKUP(Companies[[#This Row],[Symbol]],Morningstar,MATCH("% Dividend Yield TTM",Morningstar_Cols,EXACT_MATCH),EXACT_MATCH)/100</f>
        <v>0</v>
      </c>
      <c r="K213" s="119" t="str">
        <f>IFERROR(LOOKUP(2,1/(GrowthCurves[Ticker]=Companies[[#This Row],[Symbol]]),GrowthCurves[Metric]),"")</f>
        <v>3</v>
      </c>
      <c r="L213" s="94">
        <f>RatingDefault+SUM(Companies[[#This Row],[CurvePoints]:[PFVPoints]])</f>
        <v>5</v>
      </c>
      <c r="M213" s="94"/>
      <c r="N213" s="103">
        <f>IF(Companies[[#This Row],[Growth Curve]]&lt;&gt;"",Companies[[#This Row],[Growth Curve]]-3,0)</f>
        <v>0</v>
      </c>
      <c r="O213" s="53">
        <f>IF(Companies[[#This Row],[PSR]]&gt;2,-1,IF(Companies[[#This Row],[PSR]]&lt;1,1,0))</f>
        <v>-1</v>
      </c>
      <c r="P213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13" s="53">
        <f>IF(Companies[[#This Row],[PFV]]&lt;0.75,2,IF(Companies[[#This Row],[PFV]]&lt;0.95,1,IF(Companies[[#This Row],[PFV]]&gt;1.25,-2,IF(Companies[[#This Row],[PFV]]&gt;1.15,-1,0))))</f>
        <v>2</v>
      </c>
    </row>
    <row r="214" spans="2:17" s="53" customFormat="1" ht="25.15" customHeight="1" x14ac:dyDescent="0.25">
      <c r="B214" s="11" t="s">
        <v>38</v>
      </c>
      <c r="C214" s="11" t="str">
        <f>VLOOKUP(Companies[[#This Row],[Symbol]],Morningstar,MATCH("Name",Morningstar_Cols,EXACT_MATCH),EXACT_MATCH)</f>
        <v>NRG Energy Inc</v>
      </c>
      <c r="D214" s="114">
        <f>VLOOKUP(Companies[[#This Row],[Symbol]],Morningstar,MATCH("mil$ Market Cap",Morningstar_Cols,0),0)</f>
        <v>6605.01</v>
      </c>
      <c r="E214" s="115">
        <f>VLOOKUP(Companies[[#This Row],[Symbol]],Morningstar,MATCH("% Total Return 3 Month",Morningstar_Cols,EXACT_MATCH),EXACT_MATCH)/100</f>
        <v>-0.316</v>
      </c>
      <c r="F214" s="115">
        <f>VLOOKUP(Companies[[#This Row],[Symbol]],Morningstar,MATCH("% Total Return 12 Month",Morningstar_Cols,EXACT_MATCH),EXACT_MATCH)/100</f>
        <v>-0.37140000000000001</v>
      </c>
      <c r="G214" s="116">
        <f>VLOOKUP(Companies[[#This Row],[Symbol]],Morningstar,MATCH("Price/Sales",Morningstar_Cols,EXACT_MATCH),EXACT_MATCH)</f>
        <v>0.72</v>
      </c>
      <c r="H214" s="117">
        <f>VLOOKUP(Companies[[#This Row],[Symbol]],Morningstar,MATCH("Price/Fair Value",Morningstar_Cols,EXACT_MATCH),EXACT_MATCH)</f>
        <v>0.78</v>
      </c>
      <c r="I21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14" s="107">
        <f>VLOOKUP(Companies[[#This Row],[Symbol]],Morningstar,MATCH("% Dividend Yield TTM",Morningstar_Cols,EXACT_MATCH),EXACT_MATCH)/100</f>
        <v>1.47E-2</v>
      </c>
      <c r="K214" s="119" t="str">
        <f>IFERROR(LOOKUP(2,1/(GrowthCurves[Ticker]=Companies[[#This Row],[Symbol]]),GrowthCurves[Metric]),"")</f>
        <v>4</v>
      </c>
      <c r="L214" s="94">
        <f>RatingDefault+SUM(Companies[[#This Row],[CurvePoints]:[PFVPoints]])</f>
        <v>6</v>
      </c>
      <c r="M214" s="94"/>
      <c r="N214" s="103">
        <f>IF(Companies[[#This Row],[Growth Curve]]&lt;&gt;"",Companies[[#This Row],[Growth Curve]]-3,0)</f>
        <v>1</v>
      </c>
      <c r="O214" s="53">
        <f>IF(Companies[[#This Row],[PSR]]&gt;2,-1,IF(Companies[[#This Row],[PSR]]&lt;1,1,0))</f>
        <v>1</v>
      </c>
      <c r="P214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14" s="53">
        <f>IF(Companies[[#This Row],[PFV]]&lt;0.75,2,IF(Companies[[#This Row],[PFV]]&lt;0.95,1,IF(Companies[[#This Row],[PFV]]&gt;1.25,-2,IF(Companies[[#This Row],[PFV]]&gt;1.15,-1,0))))</f>
        <v>1</v>
      </c>
    </row>
    <row r="215" spans="2:17" s="53" customFormat="1" ht="25.15" customHeight="1" x14ac:dyDescent="0.25">
      <c r="B215" s="52" t="s">
        <v>1279</v>
      </c>
      <c r="C215" s="11" t="str">
        <f>VLOOKUP(Companies[[#This Row],[Symbol]],Morningstar,MATCH("Name",Morningstar_Cols,EXACT_MATCH),EXACT_MATCH)</f>
        <v>Nissan Motor Co Ltd ADR</v>
      </c>
      <c r="D215" s="114">
        <f>VLOOKUP(Companies[[#This Row],[Symbol]],Morningstar,MATCH("mil$ Market Cap",Morningstar_Cols,0),0)</f>
        <v>14908.74</v>
      </c>
      <c r="E215" s="115">
        <f>VLOOKUP(Companies[[#This Row],[Symbol]],Morningstar,MATCH("% Total Return 3 Month",Morningstar_Cols,EXACT_MATCH),EXACT_MATCH)/100</f>
        <v>-0.41299999999999998</v>
      </c>
      <c r="F215" s="115">
        <f>VLOOKUP(Companies[[#This Row],[Symbol]],Morningstar,MATCH("% Total Return 12 Month",Morningstar_Cols,EXACT_MATCH),EXACT_MATCH)/100</f>
        <v>-0.52359999999999995</v>
      </c>
      <c r="G215" s="116">
        <f>VLOOKUP(Companies[[#This Row],[Symbol]],Morningstar,MATCH("Price/Sales",Morningstar_Cols,EXACT_MATCH),EXACT_MATCH)</f>
        <v>0.14000000000000001</v>
      </c>
      <c r="H215" s="117">
        <f>VLOOKUP(Companies[[#This Row],[Symbol]],Morningstar,MATCH("Price/Fair Value",Morningstar_Cols,EXACT_MATCH),EXACT_MATCH)</f>
        <v>0.27</v>
      </c>
      <c r="I21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15" s="107">
        <f>VLOOKUP(Companies[[#This Row],[Symbol]],Morningstar,MATCH("% Dividend Yield TTM",Morningstar_Cols,EXACT_MATCH),EXACT_MATCH)/100</f>
        <v>9.6300000000000011E-2</v>
      </c>
      <c r="K215" s="119" t="str">
        <f>IFERROR(LOOKUP(2,1/(GrowthCurves[Ticker]=Companies[[#This Row],[Symbol]]),GrowthCurves[Metric]),"")</f>
        <v/>
      </c>
      <c r="L215" s="94">
        <f>RatingDefault+SUM(Companies[[#This Row],[CurvePoints]:[PFVPoints]])</f>
        <v>6</v>
      </c>
      <c r="M215" s="94"/>
      <c r="N215" s="102">
        <f>IF(Companies[[#This Row],[Growth Curve]]&lt;&gt;"",Companies[[#This Row],[Growth Curve]]-3,0)</f>
        <v>0</v>
      </c>
      <c r="O215" s="52">
        <f>IF(Companies[[#This Row],[PSR]]&gt;2,-1,IF(Companies[[#This Row],[PSR]]&lt;1,1,0))</f>
        <v>1</v>
      </c>
      <c r="P215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15" s="53">
        <f>IF(Companies[[#This Row],[PFV]]&lt;0.75,2,IF(Companies[[#This Row],[PFV]]&lt;0.95,1,IF(Companies[[#This Row],[PFV]]&gt;1.25,-2,IF(Companies[[#This Row],[PFV]]&gt;1.15,-1,0))))</f>
        <v>2</v>
      </c>
    </row>
    <row r="216" spans="2:17" s="53" customFormat="1" ht="25.15" customHeight="1" x14ac:dyDescent="0.25">
      <c r="B216" s="11" t="s">
        <v>242</v>
      </c>
      <c r="C216" s="11" t="str">
        <f>VLOOKUP(Companies[[#This Row],[Symbol]],Morningstar,MATCH("Name",Morningstar_Cols,EXACT_MATCH),EXACT_MATCH)</f>
        <v>Insperity Inc</v>
      </c>
      <c r="D216" s="114">
        <f>VLOOKUP(Companies[[#This Row],[Symbol]],Morningstar,MATCH("mil$ Market Cap",Morningstar_Cols,0),0)</f>
        <v>1924.3</v>
      </c>
      <c r="E216" s="115">
        <f>VLOOKUP(Companies[[#This Row],[Symbol]],Morningstar,MATCH("% Total Return 3 Month",Morningstar_Cols,EXACT_MATCH),EXACT_MATCH)/100</f>
        <v>-0.38350000000000001</v>
      </c>
      <c r="F216" s="115">
        <f>VLOOKUP(Companies[[#This Row],[Symbol]],Morningstar,MATCH("% Total Return 12 Month",Morningstar_Cols,EXACT_MATCH),EXACT_MATCH)/100</f>
        <v>-0.58099999999999996</v>
      </c>
      <c r="G216" s="116">
        <f>VLOOKUP(Companies[[#This Row],[Symbol]],Morningstar,MATCH("Price/Sales",Morningstar_Cols,EXACT_MATCH),EXACT_MATCH)</f>
        <v>0.46</v>
      </c>
      <c r="H216" s="117">
        <f>VLOOKUP(Companies[[#This Row],[Symbol]],Morningstar,MATCH("Price/Fair Value",Morningstar_Cols,EXACT_MATCH),EXACT_MATCH)</f>
        <v>0.48</v>
      </c>
      <c r="I21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16" s="107">
        <f>VLOOKUP(Companies[[#This Row],[Symbol]],Morningstar,MATCH("% Dividend Yield TTM",Morningstar_Cols,EXACT_MATCH),EXACT_MATCH)/100</f>
        <v>2.5899999999999999E-2</v>
      </c>
      <c r="K216" s="119" t="str">
        <f>IFERROR(LOOKUP(2,1/(GrowthCurves[Ticker]=Companies[[#This Row],[Symbol]]),GrowthCurves[Metric]),"")</f>
        <v/>
      </c>
      <c r="L216" s="94">
        <f>RatingDefault+SUM(Companies[[#This Row],[CurvePoints]:[PFVPoints]])</f>
        <v>6</v>
      </c>
      <c r="M216" s="94"/>
      <c r="N216" s="103">
        <f>IF(Companies[[#This Row],[Growth Curve]]&lt;&gt;"",Companies[[#This Row],[Growth Curve]]-3,0)</f>
        <v>0</v>
      </c>
      <c r="O216" s="53">
        <f>IF(Companies[[#This Row],[PSR]]&gt;2,-1,IF(Companies[[#This Row],[PSR]]&lt;1,1,0))</f>
        <v>1</v>
      </c>
      <c r="P216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16" s="53">
        <f>IF(Companies[[#This Row],[PFV]]&lt;0.75,2,IF(Companies[[#This Row],[PFV]]&lt;0.95,1,IF(Companies[[#This Row],[PFV]]&gt;1.25,-2,IF(Companies[[#This Row],[PFV]]&gt;1.15,-1,0))))</f>
        <v>2</v>
      </c>
    </row>
    <row r="217" spans="2:17" s="53" customFormat="1" ht="25.15" customHeight="1" x14ac:dyDescent="0.25">
      <c r="B217" s="11" t="s">
        <v>237</v>
      </c>
      <c r="C217" s="11" t="str">
        <f>VLOOKUP(Companies[[#This Row],[Symbol]],Morningstar,MATCH("Name",Morningstar_Cols,EXACT_MATCH),EXACT_MATCH)</f>
        <v>Nuance Communications Inc</v>
      </c>
      <c r="D217" s="114">
        <f>VLOOKUP(Companies[[#This Row],[Symbol]],Morningstar,MATCH("mil$ Market Cap",Morningstar_Cols,0),0)</f>
        <v>4944.88</v>
      </c>
      <c r="E217" s="115">
        <f>VLOOKUP(Companies[[#This Row],[Symbol]],Morningstar,MATCH("% Total Return 3 Month",Morningstar_Cols,EXACT_MATCH),EXACT_MATCH)/100</f>
        <v>2.4E-2</v>
      </c>
      <c r="F217" s="115">
        <f>VLOOKUP(Companies[[#This Row],[Symbol]],Morningstar,MATCH("% Total Return 12 Month",Morningstar_Cols,EXACT_MATCH),EXACT_MATCH)/100</f>
        <v>0.19500000000000001</v>
      </c>
      <c r="G217" s="116">
        <f>VLOOKUP(Companies[[#This Row],[Symbol]],Morningstar,MATCH("Price/Sales",Morningstar_Cols,EXACT_MATCH),EXACT_MATCH)</f>
        <v>2.77</v>
      </c>
      <c r="H217" s="117">
        <f>VLOOKUP(Companies[[#This Row],[Symbol]],Morningstar,MATCH("Price/Fair Value",Morningstar_Cols,EXACT_MATCH),EXACT_MATCH)</f>
        <v>0.96</v>
      </c>
      <c r="I21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17" s="107">
        <f>VLOOKUP(Companies[[#This Row],[Symbol]],Morningstar,MATCH("% Dividend Yield TTM",Morningstar_Cols,EXACT_MATCH),EXACT_MATCH)/100</f>
        <v>0</v>
      </c>
      <c r="K217" s="119" t="str">
        <f>IFERROR(LOOKUP(2,1/(GrowthCurves[Ticker]=Companies[[#This Row],[Symbol]]),GrowthCurves[Metric]),"")</f>
        <v/>
      </c>
      <c r="L217" s="94">
        <f>RatingDefault+SUM(Companies[[#This Row],[CurvePoints]:[PFVPoints]])</f>
        <v>3</v>
      </c>
      <c r="M217" s="94"/>
      <c r="N217" s="103">
        <f>IF(Companies[[#This Row],[Growth Curve]]&lt;&gt;"",Companies[[#This Row],[Growth Curve]]-3,0)</f>
        <v>0</v>
      </c>
      <c r="O217" s="53">
        <f>IF(Companies[[#This Row],[PSR]]&gt;2,-1,IF(Companies[[#This Row],[PSR]]&lt;1,1,0))</f>
        <v>-1</v>
      </c>
      <c r="P217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17" s="53">
        <f>IF(Companies[[#This Row],[PFV]]&lt;0.75,2,IF(Companies[[#This Row],[PFV]]&lt;0.95,1,IF(Companies[[#This Row],[PFV]]&gt;1.25,-2,IF(Companies[[#This Row],[PFV]]&gt;1.15,-1,0))))</f>
        <v>0</v>
      </c>
    </row>
    <row r="218" spans="2:17" s="53" customFormat="1" ht="25.15" customHeight="1" x14ac:dyDescent="0.25">
      <c r="B218" s="11" t="s">
        <v>805</v>
      </c>
      <c r="C218" s="11" t="str">
        <f>VLOOKUP(Companies[[#This Row],[Symbol]],Morningstar,MATCH("Name",Morningstar_Cols,EXACT_MATCH),EXACT_MATCH)</f>
        <v>Novartis AG ADR</v>
      </c>
      <c r="D218" s="114">
        <f>VLOOKUP(Companies[[#This Row],[Symbol]],Morningstar,MATCH("mil$ Market Cap",Morningstar_Cols,0),0)</f>
        <v>174804.78</v>
      </c>
      <c r="E218" s="115">
        <f>VLOOKUP(Companies[[#This Row],[Symbol]],Morningstar,MATCH("% Total Return 3 Month",Morningstar_Cols,EXACT_MATCH),EXACT_MATCH)/100</f>
        <v>-0.1709</v>
      </c>
      <c r="F218" s="115">
        <f>VLOOKUP(Companies[[#This Row],[Symbol]],Morningstar,MATCH("% Total Return 12 Month",Morningstar_Cols,EXACT_MATCH),EXACT_MATCH)/100</f>
        <v>-1.55E-2</v>
      </c>
      <c r="G218" s="116">
        <f>VLOOKUP(Companies[[#This Row],[Symbol]],Morningstar,MATCH("Price/Sales",Morningstar_Cols,EXACT_MATCH),EXACT_MATCH)</f>
        <v>3.66</v>
      </c>
      <c r="H218" s="117">
        <f>VLOOKUP(Companies[[#This Row],[Symbol]],Morningstar,MATCH("Price/Fair Value",Morningstar_Cols,EXACT_MATCH),EXACT_MATCH)</f>
        <v>0.82</v>
      </c>
      <c r="I21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A</v>
      </c>
      <c r="J218" s="107">
        <f>VLOOKUP(Companies[[#This Row],[Symbol]],Morningstar,MATCH("% Dividend Yield TTM",Morningstar_Cols,EXACT_MATCH),EXACT_MATCH)/100</f>
        <v>4.1700000000000001E-2</v>
      </c>
      <c r="K218" s="119" t="str">
        <f>IFERROR(LOOKUP(2,1/(GrowthCurves[Ticker]=Companies[[#This Row],[Symbol]]),GrowthCurves[Metric]),"")</f>
        <v>5</v>
      </c>
      <c r="L218" s="94">
        <f>RatingDefault+SUM(Companies[[#This Row],[CurvePoints]:[PFVPoints]])</f>
        <v>6</v>
      </c>
      <c r="M218" s="94"/>
      <c r="N218" s="102">
        <f>IF(Companies[[#This Row],[Growth Curve]]&lt;&gt;"",Companies[[#This Row],[Growth Curve]]-3,0)</f>
        <v>2</v>
      </c>
      <c r="O218" s="52">
        <f>IF(Companies[[#This Row],[PSR]]&gt;2,-1,IF(Companies[[#This Row],[PSR]]&lt;1,1,0))</f>
        <v>-1</v>
      </c>
      <c r="P218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18" s="53">
        <f>IF(Companies[[#This Row],[PFV]]&lt;0.75,2,IF(Companies[[#This Row],[PFV]]&lt;0.95,1,IF(Companies[[#This Row],[PFV]]&gt;1.25,-2,IF(Companies[[#This Row],[PFV]]&gt;1.15,-1,0))))</f>
        <v>1</v>
      </c>
    </row>
    <row r="219" spans="2:17" s="53" customFormat="1" ht="25.15" customHeight="1" x14ac:dyDescent="0.25">
      <c r="B219" s="52" t="s">
        <v>716</v>
      </c>
      <c r="C219" s="11" t="str">
        <f>VLOOKUP(Companies[[#This Row],[Symbol]],Morningstar,MATCH("Name",Morningstar_Cols,EXACT_MATCH),EXACT_MATCH)</f>
        <v>Office Depot Inc</v>
      </c>
      <c r="D219" s="114">
        <f>VLOOKUP(Companies[[#This Row],[Symbol]],Morningstar,MATCH("mil$ Market Cap",Morningstar_Cols,0),0)</f>
        <v>953.26</v>
      </c>
      <c r="E219" s="115">
        <f>VLOOKUP(Companies[[#This Row],[Symbol]],Morningstar,MATCH("% Total Return 3 Month",Morningstar_Cols,EXACT_MATCH),EXACT_MATCH)/100</f>
        <v>-0.2802</v>
      </c>
      <c r="F219" s="115">
        <f>VLOOKUP(Companies[[#This Row],[Symbol]],Morningstar,MATCH("% Total Return 12 Month",Morningstar_Cols,EXACT_MATCH),EXACT_MATCH)/100</f>
        <v>-0.44640000000000002</v>
      </c>
      <c r="G219" s="116">
        <f>VLOOKUP(Companies[[#This Row],[Symbol]],Morningstar,MATCH("Price/Sales",Morningstar_Cols,EXACT_MATCH),EXACT_MATCH)</f>
        <v>0.09</v>
      </c>
      <c r="H219" s="117">
        <f>VLOOKUP(Companies[[#This Row],[Symbol]],Morningstar,MATCH("Price/Fair Value",Morningstar_Cols,EXACT_MATCH),EXACT_MATCH)</f>
        <v>0.5</v>
      </c>
      <c r="I21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19" s="107">
        <f>VLOOKUP(Companies[[#This Row],[Symbol]],Morningstar,MATCH("% Dividend Yield TTM",Morningstar_Cols,EXACT_MATCH),EXACT_MATCH)/100</f>
        <v>5.6799999999999996E-2</v>
      </c>
      <c r="K219" s="119" t="str">
        <f>IFERROR(LOOKUP(2,1/(GrowthCurves[Ticker]=Companies[[#This Row],[Symbol]]),GrowthCurves[Metric]),"")</f>
        <v>2</v>
      </c>
      <c r="L219" s="94">
        <f>RatingDefault+SUM(Companies[[#This Row],[CurvePoints]:[PFVPoints]])</f>
        <v>5</v>
      </c>
      <c r="M219" s="94"/>
      <c r="N219" s="102">
        <f>IF(Companies[[#This Row],[Growth Curve]]&lt;&gt;"",Companies[[#This Row],[Growth Curve]]-3,0)</f>
        <v>-1</v>
      </c>
      <c r="O219" s="52">
        <f>IF(Companies[[#This Row],[PSR]]&gt;2,-1,IF(Companies[[#This Row],[PSR]]&lt;1,1,0))</f>
        <v>1</v>
      </c>
      <c r="P219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19" s="53">
        <f>IF(Companies[[#This Row],[PFV]]&lt;0.75,2,IF(Companies[[#This Row],[PFV]]&lt;0.95,1,IF(Companies[[#This Row],[PFV]]&gt;1.25,-2,IF(Companies[[#This Row],[PFV]]&gt;1.15,-1,0))))</f>
        <v>2</v>
      </c>
    </row>
    <row r="220" spans="2:17" s="53" customFormat="1" ht="25.15" customHeight="1" x14ac:dyDescent="0.25">
      <c r="B220" s="11" t="s">
        <v>39</v>
      </c>
      <c r="C220" s="11" t="str">
        <f>VLOOKUP(Companies[[#This Row],[Symbol]],Morningstar,MATCH("Name",Morningstar_Cols,EXACT_MATCH),EXACT_MATCH)</f>
        <v>Overstock.com Inc</v>
      </c>
      <c r="D220" s="114">
        <f>VLOOKUP(Companies[[#This Row],[Symbol]],Morningstar,MATCH("mil$ Market Cap",Morningstar_Cols,0),0)</f>
        <v>134.16</v>
      </c>
      <c r="E220" s="115">
        <f>VLOOKUP(Companies[[#This Row],[Symbol]],Morningstar,MATCH("% Total Return 3 Month",Morningstar_Cols,EXACT_MATCH),EXACT_MATCH)/100</f>
        <v>-0.5373</v>
      </c>
      <c r="F220" s="115">
        <f>VLOOKUP(Companies[[#This Row],[Symbol]],Morningstar,MATCH("% Total Return 12 Month",Morningstar_Cols,EXACT_MATCH),EXACT_MATCH)/100</f>
        <v>-0.84450000000000003</v>
      </c>
      <c r="G220" s="116">
        <f>VLOOKUP(Companies[[#This Row],[Symbol]],Morningstar,MATCH("Price/Sales",Morningstar_Cols,EXACT_MATCH),EXACT_MATCH)</f>
        <v>7.0000000000000007E-2</v>
      </c>
      <c r="H220" s="117">
        <f>VLOOKUP(Companies[[#This Row],[Symbol]],Morningstar,MATCH("Price/Fair Value",Morningstar_Cols,EXACT_MATCH),EXACT_MATCH)</f>
        <v>0.33</v>
      </c>
      <c r="I22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220" s="107">
        <f>VLOOKUP(Companies[[#This Row],[Symbol]],Morningstar,MATCH("% Dividend Yield TTM",Morningstar_Cols,EXACT_MATCH),EXACT_MATCH)/100</f>
        <v>0</v>
      </c>
      <c r="K220" s="119" t="str">
        <f>IFERROR(LOOKUP(2,1/(GrowthCurves[Ticker]=Companies[[#This Row],[Symbol]]),GrowthCurves[Metric]),"")</f>
        <v>1</v>
      </c>
      <c r="L220" s="94">
        <f>RatingDefault+SUM(Companies[[#This Row],[CurvePoints]:[PFVPoints]])</f>
        <v>3</v>
      </c>
      <c r="M220" s="94"/>
      <c r="N220" s="103">
        <f>IF(Companies[[#This Row],[Growth Curve]]&lt;&gt;"",Companies[[#This Row],[Growth Curve]]-3,0)</f>
        <v>-2</v>
      </c>
      <c r="O220" s="53">
        <f>IF(Companies[[#This Row],[PSR]]&gt;2,-1,IF(Companies[[#This Row],[PSR]]&lt;1,1,0))</f>
        <v>1</v>
      </c>
      <c r="P220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20" s="53">
        <f>IF(Companies[[#This Row],[PFV]]&lt;0.75,2,IF(Companies[[#This Row],[PFV]]&lt;0.95,1,IF(Companies[[#This Row],[PFV]]&gt;1.25,-2,IF(Companies[[#This Row],[PFV]]&gt;1.15,-1,0))))</f>
        <v>2</v>
      </c>
    </row>
    <row r="221" spans="2:17" s="53" customFormat="1" ht="25.15" customHeight="1" x14ac:dyDescent="0.25">
      <c r="B221" s="11" t="s">
        <v>678</v>
      </c>
      <c r="C221" s="11" t="str">
        <f>VLOOKUP(Companies[[#This Row],[Symbol]],Morningstar,MATCH("Name",Morningstar_Cols,EXACT_MATCH),EXACT_MATCH)</f>
        <v>Pandora Media Inc</v>
      </c>
      <c r="D221" s="114">
        <f>VLOOKUP(Companies[[#This Row],[Symbol]],Morningstar,MATCH("mil$ Market Cap",Morningstar_Cols,0),0)</f>
        <v>0</v>
      </c>
      <c r="E221" s="115">
        <f>VLOOKUP(Companies[[#This Row],[Symbol]],Morningstar,MATCH("% Total Return 3 Month",Morningstar_Cols,EXACT_MATCH),EXACT_MATCH)/100</f>
        <v>0</v>
      </c>
      <c r="F221" s="115">
        <f>VLOOKUP(Companies[[#This Row],[Symbol]],Morningstar,MATCH("% Total Return 12 Month",Morningstar_Cols,EXACT_MATCH),EXACT_MATCH)/100</f>
        <v>0</v>
      </c>
      <c r="G221" s="116">
        <f>VLOOKUP(Companies[[#This Row],[Symbol]],Morningstar,MATCH("Price/Sales",Morningstar_Cols,EXACT_MATCH),EXACT_MATCH)</f>
        <v>0</v>
      </c>
      <c r="H221" s="117">
        <f>VLOOKUP(Companies[[#This Row],[Symbol]],Morningstar,MATCH("Price/Fair Value",Morningstar_Cols,EXACT_MATCH),EXACT_MATCH)</f>
        <v>0</v>
      </c>
      <c r="I22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221" s="107">
        <f>VLOOKUP(Companies[[#This Row],[Symbol]],Morningstar,MATCH("% Dividend Yield TTM",Morningstar_Cols,EXACT_MATCH),EXACT_MATCH)/100</f>
        <v>0</v>
      </c>
      <c r="K221" s="119" t="str">
        <f>IFERROR(LOOKUP(2,1/(GrowthCurves[Ticker]=Companies[[#This Row],[Symbol]]),GrowthCurves[Metric]),"")</f>
        <v/>
      </c>
      <c r="L221" s="94">
        <f>RatingDefault+SUM(Companies[[#This Row],[CurvePoints]:[PFVPoints]])</f>
        <v>5</v>
      </c>
      <c r="M221" s="94"/>
      <c r="N221" s="103">
        <f>IF(Companies[[#This Row],[Growth Curve]]&lt;&gt;"",Companies[[#This Row],[Growth Curve]]-3,0)</f>
        <v>0</v>
      </c>
      <c r="O221" s="53">
        <f>IF(Companies[[#This Row],[PSR]]&gt;2,-1,IF(Companies[[#This Row],[PSR]]&lt;1,1,0))</f>
        <v>1</v>
      </c>
      <c r="P221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21" s="53">
        <f>IF(Companies[[#This Row],[PFV]]&lt;0.75,2,IF(Companies[[#This Row],[PFV]]&lt;0.95,1,IF(Companies[[#This Row],[PFV]]&gt;1.25,-2,IF(Companies[[#This Row],[PFV]]&gt;1.15,-1,0))))</f>
        <v>2</v>
      </c>
    </row>
    <row r="222" spans="2:17" s="53" customFormat="1" ht="25.15" customHeight="1" x14ac:dyDescent="0.25">
      <c r="B222" s="11" t="s">
        <v>290</v>
      </c>
      <c r="C222" s="11" t="str">
        <f>VLOOKUP(Companies[[#This Row],[Symbol]],Morningstar,MATCH("Name",Morningstar_Cols,EXACT_MATCH),EXACT_MATCH)</f>
        <v>PBF Energy Inc Class A</v>
      </c>
      <c r="D222" s="114">
        <f>VLOOKUP(Companies[[#This Row],[Symbol]],Morningstar,MATCH("mil$ Market Cap",Morningstar_Cols,0),0)</f>
        <v>1256.54</v>
      </c>
      <c r="E222" s="115">
        <f>VLOOKUP(Companies[[#This Row],[Symbol]],Morningstar,MATCH("% Total Return 3 Month",Morningstar_Cols,EXACT_MATCH),EXACT_MATCH)/100</f>
        <v>-0.63600000000000001</v>
      </c>
      <c r="F222" s="115">
        <f>VLOOKUP(Companies[[#This Row],[Symbol]],Morningstar,MATCH("% Total Return 12 Month",Morningstar_Cols,EXACT_MATCH),EXACT_MATCH)/100</f>
        <v>-0.59989999999999999</v>
      </c>
      <c r="G222" s="116">
        <f>VLOOKUP(Companies[[#This Row],[Symbol]],Morningstar,MATCH("Price/Sales",Morningstar_Cols,EXACT_MATCH),EXACT_MATCH)</f>
        <v>0.05</v>
      </c>
      <c r="H222" s="117">
        <f>VLOOKUP(Companies[[#This Row],[Symbol]],Morningstar,MATCH("Price/Fair Value",Morningstar_Cols,EXACT_MATCH),EXACT_MATCH)</f>
        <v>0.35</v>
      </c>
      <c r="I22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222" s="107">
        <f>VLOOKUP(Companies[[#This Row],[Symbol]],Morningstar,MATCH("% Dividend Yield TTM",Morningstar_Cols,EXACT_MATCH),EXACT_MATCH)/100</f>
        <v>0.11119999999999999</v>
      </c>
      <c r="K222" s="119" t="str">
        <f>IFERROR(LOOKUP(2,1/(GrowthCurves[Ticker]=Companies[[#This Row],[Symbol]]),GrowthCurves[Metric]),"")</f>
        <v>1</v>
      </c>
      <c r="L222" s="94">
        <f>RatingDefault+SUM(Companies[[#This Row],[CurvePoints]:[PFVPoints]])</f>
        <v>3</v>
      </c>
      <c r="M222" s="94"/>
      <c r="N222" s="103">
        <f>IF(Companies[[#This Row],[Growth Curve]]&lt;&gt;"",Companies[[#This Row],[Growth Curve]]-3,0)</f>
        <v>-2</v>
      </c>
      <c r="O222" s="53">
        <f>IF(Companies[[#This Row],[PSR]]&gt;2,-1,IF(Companies[[#This Row],[PSR]]&lt;1,1,0))</f>
        <v>1</v>
      </c>
      <c r="P222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22" s="53">
        <f>IF(Companies[[#This Row],[PFV]]&lt;0.75,2,IF(Companies[[#This Row],[PFV]]&lt;0.95,1,IF(Companies[[#This Row],[PFV]]&gt;1.25,-2,IF(Companies[[#This Row],[PFV]]&gt;1.15,-1,0))))</f>
        <v>2</v>
      </c>
    </row>
    <row r="223" spans="2:17" s="53" customFormat="1" ht="25.15" customHeight="1" x14ac:dyDescent="0.25">
      <c r="B223" s="52" t="s">
        <v>553</v>
      </c>
      <c r="C223" s="11" t="str">
        <f>VLOOKUP(Companies[[#This Row],[Symbol]],Morningstar,MATCH("Name",Morningstar_Cols,EXACT_MATCH),EXACT_MATCH)</f>
        <v>Prestige Consumer Healthcare Inc</v>
      </c>
      <c r="D223" s="114">
        <f>VLOOKUP(Companies[[#This Row],[Symbol]],Morningstar,MATCH("mil$ Market Cap",Morningstar_Cols,0),0)</f>
        <v>1724.37</v>
      </c>
      <c r="E223" s="115">
        <f>VLOOKUP(Companies[[#This Row],[Symbol]],Morningstar,MATCH("% Total Return 3 Month",Morningstar_Cols,EXACT_MATCH),EXACT_MATCH)/100</f>
        <v>-0.14800000000000002</v>
      </c>
      <c r="F223" s="115">
        <f>VLOOKUP(Companies[[#This Row],[Symbol]],Morningstar,MATCH("% Total Return 12 Month",Morningstar_Cols,EXACT_MATCH),EXACT_MATCH)/100</f>
        <v>0.22949999999999998</v>
      </c>
      <c r="G223" s="116">
        <f>VLOOKUP(Companies[[#This Row],[Symbol]],Morningstar,MATCH("Price/Sales",Morningstar_Cols,EXACT_MATCH),EXACT_MATCH)</f>
        <v>1.84</v>
      </c>
      <c r="H223" s="117">
        <f>VLOOKUP(Companies[[#This Row],[Symbol]],Morningstar,MATCH("Price/Fair Value",Morningstar_Cols,EXACT_MATCH),EXACT_MATCH)</f>
        <v>0.82</v>
      </c>
      <c r="I22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23" s="107">
        <f>VLOOKUP(Companies[[#This Row],[Symbol]],Morningstar,MATCH("% Dividend Yield TTM",Morningstar_Cols,EXACT_MATCH),EXACT_MATCH)/100</f>
        <v>0</v>
      </c>
      <c r="K223" s="119" t="str">
        <f>IFERROR(LOOKUP(2,1/(GrowthCurves[Ticker]=Companies[[#This Row],[Symbol]]),GrowthCurves[Metric]),"")</f>
        <v/>
      </c>
      <c r="L223" s="94">
        <f>RatingDefault+SUM(Companies[[#This Row],[CurvePoints]:[PFVPoints]])</f>
        <v>5</v>
      </c>
      <c r="M223" s="94"/>
      <c r="N223" s="102">
        <f>IF(Companies[[#This Row],[Growth Curve]]&lt;&gt;"",Companies[[#This Row],[Growth Curve]]-3,0)</f>
        <v>0</v>
      </c>
      <c r="O223" s="52">
        <f>IF(Companies[[#This Row],[PSR]]&gt;2,-1,IF(Companies[[#This Row],[PSR]]&lt;1,1,0))</f>
        <v>0</v>
      </c>
      <c r="P223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23" s="53">
        <f>IF(Companies[[#This Row],[PFV]]&lt;0.75,2,IF(Companies[[#This Row],[PFV]]&lt;0.95,1,IF(Companies[[#This Row],[PFV]]&gt;1.25,-2,IF(Companies[[#This Row],[PFV]]&gt;1.15,-1,0))))</f>
        <v>1</v>
      </c>
    </row>
    <row r="224" spans="2:17" s="53" customFormat="1" ht="25.15" customHeight="1" x14ac:dyDescent="0.25">
      <c r="B224" s="11" t="s">
        <v>761</v>
      </c>
      <c r="C224" s="11" t="str">
        <f>VLOOKUP(Companies[[#This Row],[Symbol]],Morningstar,MATCH("Name",Morningstar_Cols,EXACT_MATCH),EXACT_MATCH)</f>
        <v>Pitney Bowes Inc</v>
      </c>
      <c r="D224" s="114">
        <f>VLOOKUP(Companies[[#This Row],[Symbol]],Morningstar,MATCH("mil$ Market Cap",Morningstar_Cols,0),0)</f>
        <v>419.31</v>
      </c>
      <c r="E224" s="115">
        <f>VLOOKUP(Companies[[#This Row],[Symbol]],Morningstar,MATCH("% Total Return 3 Month",Morningstar_Cols,EXACT_MATCH),EXACT_MATCH)/100</f>
        <v>-0.4299</v>
      </c>
      <c r="F224" s="115">
        <f>VLOOKUP(Companies[[#This Row],[Symbol]],Morningstar,MATCH("% Total Return 12 Month",Morningstar_Cols,EXACT_MATCH),EXACT_MATCH)/100</f>
        <v>-0.62939999999999996</v>
      </c>
      <c r="G224" s="116">
        <f>VLOOKUP(Companies[[#This Row],[Symbol]],Morningstar,MATCH("Price/Sales",Morningstar_Cols,EXACT_MATCH),EXACT_MATCH)</f>
        <v>0.14000000000000001</v>
      </c>
      <c r="H224" s="117">
        <f>VLOOKUP(Companies[[#This Row],[Symbol]],Morningstar,MATCH("Price/Fair Value",Morningstar_Cols,EXACT_MATCH),EXACT_MATCH)</f>
        <v>0.44</v>
      </c>
      <c r="I22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224" s="107">
        <f>VLOOKUP(Companies[[#This Row],[Symbol]],Morningstar,MATCH("% Dividend Yield TTM",Morningstar_Cols,EXACT_MATCH),EXACT_MATCH)/100</f>
        <v>8.5099999999999995E-2</v>
      </c>
      <c r="K224" s="119" t="str">
        <f>IFERROR(LOOKUP(2,1/(GrowthCurves[Ticker]=Companies[[#This Row],[Symbol]]),GrowthCurves[Metric]),"")</f>
        <v>5</v>
      </c>
      <c r="L224" s="94">
        <f>RatingDefault+SUM(Companies[[#This Row],[CurvePoints]:[PFVPoints]])</f>
        <v>7</v>
      </c>
      <c r="M224" s="94"/>
      <c r="N224" s="103">
        <f>IF(Companies[[#This Row],[Growth Curve]]&lt;&gt;"",Companies[[#This Row],[Growth Curve]]-3,0)</f>
        <v>2</v>
      </c>
      <c r="O224" s="53">
        <f>IF(Companies[[#This Row],[PSR]]&gt;2,-1,IF(Companies[[#This Row],[PSR]]&lt;1,1,0))</f>
        <v>1</v>
      </c>
      <c r="P224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24" s="53">
        <f>IF(Companies[[#This Row],[PFV]]&lt;0.75,2,IF(Companies[[#This Row],[PFV]]&lt;0.95,1,IF(Companies[[#This Row],[PFV]]&gt;1.25,-2,IF(Companies[[#This Row],[PFV]]&gt;1.15,-1,0))))</f>
        <v>2</v>
      </c>
    </row>
    <row r="225" spans="2:17" s="53" customFormat="1" ht="25.15" customHeight="1" x14ac:dyDescent="0.25">
      <c r="B225" s="11" t="s">
        <v>632</v>
      </c>
      <c r="C225" s="11" t="str">
        <f>VLOOKUP(Companies[[#This Row],[Symbol]],Morningstar,MATCH("Name",Morningstar_Cols,EXACT_MATCH),EXACT_MATCH)</f>
        <v>Petroleo Brasileiro SA Petrobras ADR</v>
      </c>
      <c r="D225" s="114">
        <f>VLOOKUP(Companies[[#This Row],[Symbol]],Morningstar,MATCH("mil$ Market Cap",Morningstar_Cols,0),0)</f>
        <v>38204.65</v>
      </c>
      <c r="E225" s="115">
        <f>VLOOKUP(Companies[[#This Row],[Symbol]],Morningstar,MATCH("% Total Return 3 Month",Morningstar_Cols,EXACT_MATCH),EXACT_MATCH)/100</f>
        <v>-0.66060000000000008</v>
      </c>
      <c r="F225" s="115">
        <f>VLOOKUP(Companies[[#This Row],[Symbol]],Morningstar,MATCH("% Total Return 12 Month",Morningstar_Cols,EXACT_MATCH),EXACT_MATCH)/100</f>
        <v>-0.63990000000000002</v>
      </c>
      <c r="G225" s="116">
        <f>VLOOKUP(Companies[[#This Row],[Symbol]],Morningstar,MATCH("Price/Sales",Morningstar_Cols,EXACT_MATCH),EXACT_MATCH)</f>
        <v>0.51</v>
      </c>
      <c r="H225" s="117">
        <f>VLOOKUP(Companies[[#This Row],[Symbol]],Morningstar,MATCH("Price/Fair Value",Morningstar_Cols,EXACT_MATCH),EXACT_MATCH)</f>
        <v>0.39</v>
      </c>
      <c r="I22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225" s="107">
        <f>VLOOKUP(Companies[[#This Row],[Symbol]],Morningstar,MATCH("% Dividend Yield TTM",Morningstar_Cols,EXACT_MATCH),EXACT_MATCH)/100</f>
        <v>4.53E-2</v>
      </c>
      <c r="K225" s="119" t="str">
        <f>IFERROR(LOOKUP(2,1/(GrowthCurves[Ticker]=Companies[[#This Row],[Symbol]]),GrowthCurves[Metric]),"")</f>
        <v>5</v>
      </c>
      <c r="L225" s="94">
        <f>RatingDefault+SUM(Companies[[#This Row],[CurvePoints]:[PFVPoints]])</f>
        <v>7</v>
      </c>
      <c r="M225" s="94"/>
      <c r="N225" s="103">
        <f>IF(Companies[[#This Row],[Growth Curve]]&lt;&gt;"",Companies[[#This Row],[Growth Curve]]-3,0)</f>
        <v>2</v>
      </c>
      <c r="O225" s="53">
        <f>IF(Companies[[#This Row],[PSR]]&gt;2,-1,IF(Companies[[#This Row],[PSR]]&lt;1,1,0))</f>
        <v>1</v>
      </c>
      <c r="P225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25" s="53">
        <f>IF(Companies[[#This Row],[PFV]]&lt;0.75,2,IF(Companies[[#This Row],[PFV]]&lt;0.95,1,IF(Companies[[#This Row],[PFV]]&gt;1.25,-2,IF(Companies[[#This Row],[PFV]]&gt;1.15,-1,0))))</f>
        <v>2</v>
      </c>
    </row>
    <row r="226" spans="2:17" s="53" customFormat="1" ht="25.15" customHeight="1" x14ac:dyDescent="0.25">
      <c r="B226" s="11" t="s">
        <v>907</v>
      </c>
      <c r="C226" s="11" t="str">
        <f>VLOOKUP(Companies[[#This Row],[Symbol]],Morningstar,MATCH("Name",Morningstar_Cols,EXACT_MATCH),EXACT_MATCH)</f>
        <v>PG&amp;E Corp</v>
      </c>
      <c r="D226" s="114">
        <f>VLOOKUP(Companies[[#This Row],[Symbol]],Morningstar,MATCH("mil$ Market Cap",Morningstar_Cols,0),0)</f>
        <v>5414.27</v>
      </c>
      <c r="E226" s="115">
        <f>VLOOKUP(Companies[[#This Row],[Symbol]],Morningstar,MATCH("% Total Return 3 Month",Morningstar_Cols,EXACT_MATCH),EXACT_MATCH)/100</f>
        <v>-0.22699999999999998</v>
      </c>
      <c r="F226" s="115">
        <f>VLOOKUP(Companies[[#This Row],[Symbol]],Morningstar,MATCH("% Total Return 12 Month",Morningstar_Cols,EXACT_MATCH),EXACT_MATCH)/100</f>
        <v>-0.52859999999999996</v>
      </c>
      <c r="G226" s="116">
        <f>VLOOKUP(Companies[[#This Row],[Symbol]],Morningstar,MATCH("Price/Sales",Morningstar_Cols,EXACT_MATCH),EXACT_MATCH)</f>
        <v>0.32</v>
      </c>
      <c r="H226" s="117">
        <f>VLOOKUP(Companies[[#This Row],[Symbol]],Morningstar,MATCH("Price/Fair Value",Morningstar_Cols,EXACT_MATCH),EXACT_MATCH)</f>
        <v>0.93</v>
      </c>
      <c r="I22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226" s="107">
        <f>VLOOKUP(Companies[[#This Row],[Symbol]],Morningstar,MATCH("% Dividend Yield TTM",Morningstar_Cols,EXACT_MATCH),EXACT_MATCH)/100</f>
        <v>0</v>
      </c>
      <c r="K226" s="119" t="str">
        <f>IFERROR(LOOKUP(2,1/(GrowthCurves[Ticker]=Companies[[#This Row],[Symbol]]),GrowthCurves[Metric]),"")</f>
        <v>1</v>
      </c>
      <c r="L226" s="94">
        <f>RatingDefault+SUM(Companies[[#This Row],[CurvePoints]:[PFVPoints]])</f>
        <v>2</v>
      </c>
      <c r="M226" s="94"/>
      <c r="N226" s="103">
        <f>IF(Companies[[#This Row],[Growth Curve]]&lt;&gt;"",Companies[[#This Row],[Growth Curve]]-3,0)</f>
        <v>-2</v>
      </c>
      <c r="O226" s="53">
        <f>IF(Companies[[#This Row],[PSR]]&gt;2,-1,IF(Companies[[#This Row],[PSR]]&lt;1,1,0))</f>
        <v>1</v>
      </c>
      <c r="P226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26" s="53">
        <f>IF(Companies[[#This Row],[PFV]]&lt;0.75,2,IF(Companies[[#This Row],[PFV]]&lt;0.95,1,IF(Companies[[#This Row],[PFV]]&gt;1.25,-2,IF(Companies[[#This Row],[PFV]]&gt;1.15,-1,0))))</f>
        <v>1</v>
      </c>
    </row>
    <row r="227" spans="2:17" s="53" customFormat="1" ht="25.15" customHeight="1" x14ac:dyDescent="0.25">
      <c r="B227" s="11" t="s">
        <v>763</v>
      </c>
      <c r="C227" s="11" t="str">
        <f>VLOOKUP(Companies[[#This Row],[Symbol]],Morningstar,MATCH("Name",Morningstar_Cols,EXACT_MATCH),EXACT_MATCH)</f>
        <v>Patterson Companies Inc</v>
      </c>
      <c r="D227" s="114">
        <f>VLOOKUP(Companies[[#This Row],[Symbol]],Morningstar,MATCH("mil$ Market Cap",Morningstar_Cols,0),0)</f>
        <v>1886.42</v>
      </c>
      <c r="E227" s="115">
        <f>VLOOKUP(Companies[[#This Row],[Symbol]],Morningstar,MATCH("% Total Return 3 Month",Morningstar_Cols,EXACT_MATCH),EXACT_MATCH)/100</f>
        <v>-0.10009999999999999</v>
      </c>
      <c r="F227" s="115">
        <f>VLOOKUP(Companies[[#This Row],[Symbol]],Morningstar,MATCH("% Total Return 12 Month",Morningstar_Cols,EXACT_MATCH),EXACT_MATCH)/100</f>
        <v>-7.0099999999999996E-2</v>
      </c>
      <c r="G227" s="116">
        <f>VLOOKUP(Companies[[#This Row],[Symbol]],Morningstar,MATCH("Price/Sales",Morningstar_Cols,EXACT_MATCH),EXACT_MATCH)</f>
        <v>0.33</v>
      </c>
      <c r="H227" s="117">
        <f>VLOOKUP(Companies[[#This Row],[Symbol]],Morningstar,MATCH("Price/Fair Value",Morningstar_Cols,EXACT_MATCH),EXACT_MATCH)</f>
        <v>0.86</v>
      </c>
      <c r="I22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27" s="107">
        <f>VLOOKUP(Companies[[#This Row],[Symbol]],Morningstar,MATCH("% Dividend Yield TTM",Morningstar_Cols,EXACT_MATCH),EXACT_MATCH)/100</f>
        <v>5.33E-2</v>
      </c>
      <c r="K227" s="119" t="str">
        <f>IFERROR(LOOKUP(2,1/(GrowthCurves[Ticker]=Companies[[#This Row],[Symbol]]),GrowthCurves[Metric]),"")</f>
        <v>3</v>
      </c>
      <c r="L227" s="94">
        <f>RatingDefault+SUM(Companies[[#This Row],[CurvePoints]:[PFVPoints]])</f>
        <v>5</v>
      </c>
      <c r="M227" s="94"/>
      <c r="N227" s="103">
        <f>IF(Companies[[#This Row],[Growth Curve]]&lt;&gt;"",Companies[[#This Row],[Growth Curve]]-3,0)</f>
        <v>0</v>
      </c>
      <c r="O227" s="53">
        <f>IF(Companies[[#This Row],[PSR]]&gt;2,-1,IF(Companies[[#This Row],[PSR]]&lt;1,1,0))</f>
        <v>1</v>
      </c>
      <c r="P227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27" s="53">
        <f>IF(Companies[[#This Row],[PFV]]&lt;0.75,2,IF(Companies[[#This Row],[PFV]]&lt;0.95,1,IF(Companies[[#This Row],[PFV]]&gt;1.25,-2,IF(Companies[[#This Row],[PFV]]&gt;1.15,-1,0))))</f>
        <v>1</v>
      </c>
    </row>
    <row r="228" spans="2:17" s="53" customFormat="1" ht="25.15" customHeight="1" x14ac:dyDescent="0.25">
      <c r="B228" s="11" t="s">
        <v>96</v>
      </c>
      <c r="C228" s="11" t="str">
        <f>VLOOKUP(Companies[[#This Row],[Symbol]],Morningstar,MATCH("Name",Morningstar_Cols,EXACT_MATCH),EXACT_MATCH)</f>
        <v>Penn National Gaming Inc</v>
      </c>
      <c r="D228" s="114">
        <f>VLOOKUP(Companies[[#This Row],[Symbol]],Morningstar,MATCH("mil$ Market Cap",Morningstar_Cols,0),0)</f>
        <v>1733.09</v>
      </c>
      <c r="E228" s="115">
        <f>VLOOKUP(Companies[[#This Row],[Symbol]],Morningstar,MATCH("% Total Return 3 Month",Morningstar_Cols,EXACT_MATCH),EXACT_MATCH)/100</f>
        <v>-0.38109999999999999</v>
      </c>
      <c r="F228" s="115">
        <f>VLOOKUP(Companies[[#This Row],[Symbol]],Morningstar,MATCH("% Total Return 12 Month",Morningstar_Cols,EXACT_MATCH),EXACT_MATCH)/100</f>
        <v>-0.31759999999999999</v>
      </c>
      <c r="G228" s="116">
        <f>VLOOKUP(Companies[[#This Row],[Symbol]],Morningstar,MATCH("Price/Sales",Morningstar_Cols,EXACT_MATCH),EXACT_MATCH)</f>
        <v>0.33</v>
      </c>
      <c r="H228" s="117">
        <f>VLOOKUP(Companies[[#This Row],[Symbol]],Morningstar,MATCH("Price/Fair Value",Morningstar_Cols,EXACT_MATCH),EXACT_MATCH)</f>
        <v>0.41</v>
      </c>
      <c r="I22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28" s="107">
        <f>VLOOKUP(Companies[[#This Row],[Symbol]],Morningstar,MATCH("% Dividend Yield TTM",Morningstar_Cols,EXACT_MATCH),EXACT_MATCH)/100</f>
        <v>0</v>
      </c>
      <c r="K228" s="119" t="str">
        <f>IFERROR(LOOKUP(2,1/(GrowthCurves[Ticker]=Companies[[#This Row],[Symbol]]),GrowthCurves[Metric]),"")</f>
        <v>1</v>
      </c>
      <c r="L228" s="94">
        <f>RatingDefault+SUM(Companies[[#This Row],[CurvePoints]:[PFVPoints]])</f>
        <v>4</v>
      </c>
      <c r="M228" s="94"/>
      <c r="N228" s="103">
        <f>IF(Companies[[#This Row],[Growth Curve]]&lt;&gt;"",Companies[[#This Row],[Growth Curve]]-3,0)</f>
        <v>-2</v>
      </c>
      <c r="O228" s="53">
        <f>IF(Companies[[#This Row],[PSR]]&gt;2,-1,IF(Companies[[#This Row],[PSR]]&lt;1,1,0))</f>
        <v>1</v>
      </c>
      <c r="P228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28" s="53">
        <f>IF(Companies[[#This Row],[PFV]]&lt;0.75,2,IF(Companies[[#This Row],[PFV]]&lt;0.95,1,IF(Companies[[#This Row],[PFV]]&gt;1.25,-2,IF(Companies[[#This Row],[PFV]]&gt;1.15,-1,0))))</f>
        <v>2</v>
      </c>
    </row>
    <row r="229" spans="2:17" s="53" customFormat="1" ht="25.15" customHeight="1" x14ac:dyDescent="0.25">
      <c r="B229" s="11" t="s">
        <v>634</v>
      </c>
      <c r="C229" s="11" t="str">
        <f>VLOOKUP(Companies[[#This Row],[Symbol]],Morningstar,MATCH("Name",Morningstar_Cols,EXACT_MATCH),EXACT_MATCH)</f>
        <v>PepsiCo Inc</v>
      </c>
      <c r="D229" s="114">
        <f>VLOOKUP(Companies[[#This Row],[Symbol]],Morningstar,MATCH("mil$ Market Cap",Morningstar_Cols,0),0)</f>
        <v>165397.5</v>
      </c>
      <c r="E229" s="115">
        <f>VLOOKUP(Companies[[#This Row],[Symbol]],Morningstar,MATCH("% Total Return 3 Month",Morningstar_Cols,EXACT_MATCH),EXACT_MATCH)/100</f>
        <v>-0.1522</v>
      </c>
      <c r="F229" s="115">
        <f>VLOOKUP(Companies[[#This Row],[Symbol]],Morningstar,MATCH("% Total Return 12 Month",Morningstar_Cols,EXACT_MATCH),EXACT_MATCH)/100</f>
        <v>2.2200000000000001E-2</v>
      </c>
      <c r="G229" s="116">
        <f>VLOOKUP(Companies[[#This Row],[Symbol]],Morningstar,MATCH("Price/Sales",Morningstar_Cols,EXACT_MATCH),EXACT_MATCH)</f>
        <v>2.5</v>
      </c>
      <c r="H229" s="117">
        <f>VLOOKUP(Companies[[#This Row],[Symbol]],Morningstar,MATCH("Price/Fair Value",Morningstar_Cols,EXACT_MATCH),EXACT_MATCH)</f>
        <v>0.85</v>
      </c>
      <c r="I22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A</v>
      </c>
      <c r="J229" s="107">
        <f>VLOOKUP(Companies[[#This Row],[Symbol]],Morningstar,MATCH("% Dividend Yield TTM",Morningstar_Cols,EXACT_MATCH),EXACT_MATCH)/100</f>
        <v>3.3099999999999997E-2</v>
      </c>
      <c r="K229" s="119" t="str">
        <f>IFERROR(LOOKUP(2,1/(GrowthCurves[Ticker]=Companies[[#This Row],[Symbol]]),GrowthCurves[Metric]),"")</f>
        <v/>
      </c>
      <c r="L229" s="94">
        <f>RatingDefault+SUM(Companies[[#This Row],[CurvePoints]:[PFVPoints]])</f>
        <v>4</v>
      </c>
      <c r="M229" s="94"/>
      <c r="N229" s="103">
        <f>IF(Companies[[#This Row],[Growth Curve]]&lt;&gt;"",Companies[[#This Row],[Growth Curve]]-3,0)</f>
        <v>0</v>
      </c>
      <c r="O229" s="53">
        <f>IF(Companies[[#This Row],[PSR]]&gt;2,-1,IF(Companies[[#This Row],[PSR]]&lt;1,1,0))</f>
        <v>-1</v>
      </c>
      <c r="P229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29" s="53">
        <f>IF(Companies[[#This Row],[PFV]]&lt;0.75,2,IF(Companies[[#This Row],[PFV]]&lt;0.95,1,IF(Companies[[#This Row],[PFV]]&gt;1.25,-2,IF(Companies[[#This Row],[PFV]]&gt;1.15,-1,0))))</f>
        <v>1</v>
      </c>
    </row>
    <row r="230" spans="2:17" s="53" customFormat="1" ht="25.15" customHeight="1" x14ac:dyDescent="0.25">
      <c r="B230" s="11" t="s">
        <v>804</v>
      </c>
      <c r="C230" s="11" t="str">
        <f>VLOOKUP(Companies[[#This Row],[Symbol]],Morningstar,MATCH("Name",Morningstar_Cols,EXACT_MATCH),EXACT_MATCH)</f>
        <v>Pfizer Inc</v>
      </c>
      <c r="D230" s="114">
        <f>VLOOKUP(Companies[[#This Row],[Symbol]],Morningstar,MATCH("mil$ Market Cap",Morningstar_Cols,0),0)</f>
        <v>174251.34</v>
      </c>
      <c r="E230" s="115">
        <f>VLOOKUP(Companies[[#This Row],[Symbol]],Morningstar,MATCH("% Total Return 3 Month",Morningstar_Cols,EXACT_MATCH),EXACT_MATCH)/100</f>
        <v>-0.2112</v>
      </c>
      <c r="F230" s="115">
        <f>VLOOKUP(Companies[[#This Row],[Symbol]],Morningstar,MATCH("% Total Return 12 Month",Morningstar_Cols,EXACT_MATCH),EXACT_MATCH)/100</f>
        <v>-0.24559999999999998</v>
      </c>
      <c r="G230" s="116">
        <f>VLOOKUP(Companies[[#This Row],[Symbol]],Morningstar,MATCH("Price/Sales",Morningstar_Cols,EXACT_MATCH),EXACT_MATCH)</f>
        <v>3.44</v>
      </c>
      <c r="H230" s="117">
        <f>VLOOKUP(Companies[[#This Row],[Symbol]],Morningstar,MATCH("Price/Fair Value",Morningstar_Cols,EXACT_MATCH),EXACT_MATCH)</f>
        <v>0.68</v>
      </c>
      <c r="I23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30" s="107">
        <f>VLOOKUP(Companies[[#This Row],[Symbol]],Morningstar,MATCH("% Dividend Yield TTM",Morningstar_Cols,EXACT_MATCH),EXACT_MATCH)/100</f>
        <v>4.8600000000000004E-2</v>
      </c>
      <c r="K230" s="119" t="str">
        <f>IFERROR(LOOKUP(2,1/(GrowthCurves[Ticker]=Companies[[#This Row],[Symbol]]),GrowthCurves[Metric]),"")</f>
        <v>5</v>
      </c>
      <c r="L230" s="94">
        <f>RatingDefault+SUM(Companies[[#This Row],[CurvePoints]:[PFVPoints]])</f>
        <v>7</v>
      </c>
      <c r="M230" s="94" t="s">
        <v>1062</v>
      </c>
      <c r="N230" s="102">
        <f>IF(Companies[[#This Row],[Growth Curve]]&lt;&gt;"",Companies[[#This Row],[Growth Curve]]-3,0)</f>
        <v>2</v>
      </c>
      <c r="O230" s="52">
        <f>IF(Companies[[#This Row],[PSR]]&gt;2,-1,IF(Companies[[#This Row],[PSR]]&lt;1,1,0))</f>
        <v>-1</v>
      </c>
      <c r="P230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30" s="53">
        <f>IF(Companies[[#This Row],[PFV]]&lt;0.75,2,IF(Companies[[#This Row],[PFV]]&lt;0.95,1,IF(Companies[[#This Row],[PFV]]&gt;1.25,-2,IF(Companies[[#This Row],[PFV]]&gt;1.15,-1,0))))</f>
        <v>2</v>
      </c>
    </row>
    <row r="231" spans="2:17" s="53" customFormat="1" ht="25.15" customHeight="1" x14ac:dyDescent="0.25">
      <c r="B231" s="11" t="s">
        <v>797</v>
      </c>
      <c r="C231" s="11" t="str">
        <f>VLOOKUP(Companies[[#This Row],[Symbol]],Morningstar,MATCH("Name",Morningstar_Cols,EXACT_MATCH),EXACT_MATCH)</f>
        <v>Procter &amp; Gamble Co</v>
      </c>
      <c r="D231" s="114">
        <f>VLOOKUP(Companies[[#This Row],[Symbol]],Morningstar,MATCH("mil$ Market Cap",Morningstar_Cols,0),0)</f>
        <v>268948.11</v>
      </c>
      <c r="E231" s="115">
        <f>VLOOKUP(Companies[[#This Row],[Symbol]],Morningstar,MATCH("% Total Return 3 Month",Morningstar_Cols,EXACT_MATCH),EXACT_MATCH)/100</f>
        <v>-0.17649999999999999</v>
      </c>
      <c r="F231" s="115">
        <f>VLOOKUP(Companies[[#This Row],[Symbol]],Morningstar,MATCH("% Total Return 12 Month",Morningstar_Cols,EXACT_MATCH),EXACT_MATCH)/100</f>
        <v>4.7699999999999992E-2</v>
      </c>
      <c r="G231" s="116">
        <f>VLOOKUP(Companies[[#This Row],[Symbol]],Morningstar,MATCH("Price/Sales",Morningstar_Cols,EXACT_MATCH),EXACT_MATCH)</f>
        <v>3.99</v>
      </c>
      <c r="H231" s="117">
        <f>VLOOKUP(Companies[[#This Row],[Symbol]],Morningstar,MATCH("Price/Fair Value",Morningstar_Cols,EXACT_MATCH),EXACT_MATCH)</f>
        <v>1</v>
      </c>
      <c r="I23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A</v>
      </c>
      <c r="J231" s="107">
        <f>VLOOKUP(Companies[[#This Row],[Symbol]],Morningstar,MATCH("% Dividend Yield TTM",Morningstar_Cols,EXACT_MATCH),EXACT_MATCH)/100</f>
        <v>2.9300000000000003E-2</v>
      </c>
      <c r="K231" s="119" t="str">
        <f>IFERROR(LOOKUP(2,1/(GrowthCurves[Ticker]=Companies[[#This Row],[Symbol]]),GrowthCurves[Metric]),"")</f>
        <v>5</v>
      </c>
      <c r="L231" s="94">
        <f>RatingDefault+SUM(Companies[[#This Row],[CurvePoints]:[PFVPoints]])</f>
        <v>5</v>
      </c>
      <c r="M231" s="94"/>
      <c r="N231" s="103">
        <f>IF(Companies[[#This Row],[Growth Curve]]&lt;&gt;"",Companies[[#This Row],[Growth Curve]]-3,0)</f>
        <v>2</v>
      </c>
      <c r="O231" s="53">
        <f>IF(Companies[[#This Row],[PSR]]&gt;2,-1,IF(Companies[[#This Row],[PSR]]&lt;1,1,0))</f>
        <v>-1</v>
      </c>
      <c r="P231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31" s="53">
        <f>IF(Companies[[#This Row],[PFV]]&lt;0.75,2,IF(Companies[[#This Row],[PFV]]&lt;0.95,1,IF(Companies[[#This Row],[PFV]]&gt;1.25,-2,IF(Companies[[#This Row],[PFV]]&gt;1.15,-1,0))))</f>
        <v>0</v>
      </c>
    </row>
    <row r="232" spans="2:17" s="53" customFormat="1" ht="25.15" customHeight="1" x14ac:dyDescent="0.25">
      <c r="B232" s="52" t="s">
        <v>874</v>
      </c>
      <c r="C232" s="11" t="str">
        <f>VLOOKUP(Companies[[#This Row],[Symbol]],Morningstar,MATCH("Name",Morningstar_Cols,EXACT_MATCH),EXACT_MATCH)</f>
        <v>Royal Philips NV ADR</v>
      </c>
      <c r="D232" s="114">
        <f>VLOOKUP(Companies[[#This Row],[Symbol]],Morningstar,MATCH("mil$ Market Cap",Morningstar_Cols,0),0)</f>
        <v>30493.18</v>
      </c>
      <c r="E232" s="115">
        <f>VLOOKUP(Companies[[#This Row],[Symbol]],Morningstar,MATCH("% Total Return 3 Month",Morningstar_Cols,EXACT_MATCH),EXACT_MATCH)/100</f>
        <v>-0.27079999999999999</v>
      </c>
      <c r="F232" s="115">
        <f>VLOOKUP(Companies[[#This Row],[Symbol]],Morningstar,MATCH("% Total Return 12 Month",Morningstar_Cols,EXACT_MATCH),EXACT_MATCH)/100</f>
        <v>-0.1056</v>
      </c>
      <c r="G232" s="116">
        <f>VLOOKUP(Companies[[#This Row],[Symbol]],Morningstar,MATCH("Price/Sales",Morningstar_Cols,EXACT_MATCH),EXACT_MATCH)</f>
        <v>1.42</v>
      </c>
      <c r="H232" s="117">
        <f>VLOOKUP(Companies[[#This Row],[Symbol]],Morningstar,MATCH("Price/Fair Value",Morningstar_Cols,EXACT_MATCH),EXACT_MATCH)</f>
        <v>0.72</v>
      </c>
      <c r="I23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32" s="107">
        <f>VLOOKUP(Companies[[#This Row],[Symbol]],Morningstar,MATCH("% Dividend Yield TTM",Morningstar_Cols,EXACT_MATCH),EXACT_MATCH)/100</f>
        <v>2.7799999999999998E-2</v>
      </c>
      <c r="K232" s="119" t="str">
        <f>IFERROR(LOOKUP(2,1/(GrowthCurves[Ticker]=Companies[[#This Row],[Symbol]]),GrowthCurves[Metric]),"")</f>
        <v>2</v>
      </c>
      <c r="L232" s="94">
        <f>RatingDefault+SUM(Companies[[#This Row],[CurvePoints]:[PFVPoints]])</f>
        <v>5</v>
      </c>
      <c r="M232" s="94"/>
      <c r="N232" s="102">
        <f>IF(Companies[[#This Row],[Growth Curve]]&lt;&gt;"",Companies[[#This Row],[Growth Curve]]-3,0)</f>
        <v>-1</v>
      </c>
      <c r="O232" s="52">
        <f>IF(Companies[[#This Row],[PSR]]&gt;2,-1,IF(Companies[[#This Row],[PSR]]&lt;1,1,0))</f>
        <v>0</v>
      </c>
      <c r="P232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32" s="53">
        <f>IF(Companies[[#This Row],[PFV]]&lt;0.75,2,IF(Companies[[#This Row],[PFV]]&lt;0.95,1,IF(Companies[[#This Row],[PFV]]&gt;1.25,-2,IF(Companies[[#This Row],[PFV]]&gt;1.15,-1,0))))</f>
        <v>2</v>
      </c>
    </row>
    <row r="233" spans="2:17" s="53" customFormat="1" ht="25.15" customHeight="1" x14ac:dyDescent="0.25">
      <c r="B233" s="11" t="s">
        <v>220</v>
      </c>
      <c r="C233" s="11" t="str">
        <f>VLOOKUP(Companies[[#This Row],[Symbol]],Morningstar,MATCH("Name",Morningstar_Cols,EXACT_MATCH),EXACT_MATCH)</f>
        <v>PulteGroup Inc</v>
      </c>
      <c r="D233" s="114">
        <f>VLOOKUP(Companies[[#This Row],[Symbol]],Morningstar,MATCH("mil$ Market Cap",Morningstar_Cols,0),0)</f>
        <v>8134.35</v>
      </c>
      <c r="E233" s="115">
        <f>VLOOKUP(Companies[[#This Row],[Symbol]],Morningstar,MATCH("% Total Return 3 Month",Morningstar_Cols,EXACT_MATCH),EXACT_MATCH)/100</f>
        <v>-0.22460000000000002</v>
      </c>
      <c r="F233" s="115">
        <f>VLOOKUP(Companies[[#This Row],[Symbol]],Morningstar,MATCH("% Total Return 12 Month",Morningstar_Cols,EXACT_MATCH),EXACT_MATCH)/100</f>
        <v>0.10890000000000001</v>
      </c>
      <c r="G233" s="116">
        <f>VLOOKUP(Companies[[#This Row],[Symbol]],Morningstar,MATCH("Price/Sales",Morningstar_Cols,EXACT_MATCH),EXACT_MATCH)</f>
        <v>0.81</v>
      </c>
      <c r="H233" s="117">
        <f>VLOOKUP(Companies[[#This Row],[Symbol]],Morningstar,MATCH("Price/Fair Value",Morningstar_Cols,EXACT_MATCH),EXACT_MATCH)</f>
        <v>0.72</v>
      </c>
      <c r="I23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33" s="107">
        <f>VLOOKUP(Companies[[#This Row],[Symbol]],Morningstar,MATCH("% Dividend Yield TTM",Morningstar_Cols,EXACT_MATCH),EXACT_MATCH)/100</f>
        <v>1.5100000000000001E-2</v>
      </c>
      <c r="K233" s="119" t="str">
        <f>IFERROR(LOOKUP(2,1/(GrowthCurves[Ticker]=Companies[[#This Row],[Symbol]]),GrowthCurves[Metric]),"")</f>
        <v>3</v>
      </c>
      <c r="L233" s="94">
        <f>RatingDefault+SUM(Companies[[#This Row],[CurvePoints]:[PFVPoints]])</f>
        <v>7</v>
      </c>
      <c r="M233" s="94"/>
      <c r="N233" s="103">
        <f>IF(Companies[[#This Row],[Growth Curve]]&lt;&gt;"",Companies[[#This Row],[Growth Curve]]-3,0)</f>
        <v>0</v>
      </c>
      <c r="O233" s="53">
        <f>IF(Companies[[#This Row],[PSR]]&gt;2,-1,IF(Companies[[#This Row],[PSR]]&lt;1,1,0))</f>
        <v>1</v>
      </c>
      <c r="P233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33" s="53">
        <f>IF(Companies[[#This Row],[PFV]]&lt;0.75,2,IF(Companies[[#This Row],[PFV]]&lt;0.95,1,IF(Companies[[#This Row],[PFV]]&gt;1.25,-2,IF(Companies[[#This Row],[PFV]]&gt;1.15,-1,0))))</f>
        <v>2</v>
      </c>
    </row>
    <row r="234" spans="2:17" s="53" customFormat="1" ht="25.15" customHeight="1" x14ac:dyDescent="0.25">
      <c r="B234" s="52" t="s">
        <v>22</v>
      </c>
      <c r="C234" s="11" t="str">
        <f>VLOOKUP(Companies[[#This Row],[Symbol]],Morningstar,MATCH("Name",Morningstar_Cols,EXACT_MATCH),EXACT_MATCH)</f>
        <v>ePlus Inc</v>
      </c>
      <c r="D234" s="114">
        <f>VLOOKUP(Companies[[#This Row],[Symbol]],Morningstar,MATCH("mil$ Market Cap",Morningstar_Cols,0),0)</f>
        <v>771.17</v>
      </c>
      <c r="E234" s="115">
        <f>VLOOKUP(Companies[[#This Row],[Symbol]],Morningstar,MATCH("% Total Return 3 Month",Morningstar_Cols,EXACT_MATCH),EXACT_MATCH)/100</f>
        <v>-0.33579999999999999</v>
      </c>
      <c r="F234" s="115">
        <f>VLOOKUP(Companies[[#This Row],[Symbol]],Morningstar,MATCH("% Total Return 12 Month",Morningstar_Cols,EXACT_MATCH),EXACT_MATCH)/100</f>
        <v>-0.36990000000000001</v>
      </c>
      <c r="G234" s="116">
        <f>VLOOKUP(Companies[[#This Row],[Symbol]],Morningstar,MATCH("Price/Sales",Morningstar_Cols,EXACT_MATCH),EXACT_MATCH)</f>
        <v>0.5</v>
      </c>
      <c r="H234" s="117">
        <f>VLOOKUP(Companies[[#This Row],[Symbol]],Morningstar,MATCH("Price/Fair Value",Morningstar_Cols,EXACT_MATCH),EXACT_MATCH)</f>
        <v>0.66</v>
      </c>
      <c r="I23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34" s="107">
        <f>VLOOKUP(Companies[[#This Row],[Symbol]],Morningstar,MATCH("% Dividend Yield TTM",Morningstar_Cols,EXACT_MATCH),EXACT_MATCH)/100</f>
        <v>0</v>
      </c>
      <c r="K234" s="119" t="str">
        <f>IFERROR(LOOKUP(2,1/(GrowthCurves[Ticker]=Companies[[#This Row],[Symbol]]),GrowthCurves[Metric]),"")</f>
        <v>1</v>
      </c>
      <c r="L234" s="94">
        <f>RatingDefault+SUM(Companies[[#This Row],[CurvePoints]:[PFVPoints]])</f>
        <v>4</v>
      </c>
      <c r="M234" s="94"/>
      <c r="N234" s="102">
        <f>IF(Companies[[#This Row],[Growth Curve]]&lt;&gt;"",Companies[[#This Row],[Growth Curve]]-3,0)</f>
        <v>-2</v>
      </c>
      <c r="O234" s="52">
        <f>IF(Companies[[#This Row],[PSR]]&gt;2,-1,IF(Companies[[#This Row],[PSR]]&lt;1,1,0))</f>
        <v>1</v>
      </c>
      <c r="P234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34" s="53">
        <f>IF(Companies[[#This Row],[PFV]]&lt;0.75,2,IF(Companies[[#This Row],[PFV]]&lt;0.95,1,IF(Companies[[#This Row],[PFV]]&gt;1.25,-2,IF(Companies[[#This Row],[PFV]]&gt;1.15,-1,0))))</f>
        <v>2</v>
      </c>
    </row>
    <row r="235" spans="2:17" s="53" customFormat="1" ht="25.15" customHeight="1" x14ac:dyDescent="0.25">
      <c r="B235" s="11" t="s">
        <v>798</v>
      </c>
      <c r="C235" s="11" t="str">
        <f>VLOOKUP(Companies[[#This Row],[Symbol]],Morningstar,MATCH("Name",Morningstar_Cols,EXACT_MATCH),EXACT_MATCH)</f>
        <v>Philip Morris International Inc</v>
      </c>
      <c r="D235" s="114">
        <f>VLOOKUP(Companies[[#This Row],[Symbol]],Morningstar,MATCH("mil$ Market Cap",Morningstar_Cols,0),0)</f>
        <v>117704.74</v>
      </c>
      <c r="E235" s="115">
        <f>VLOOKUP(Companies[[#This Row],[Symbol]],Morningstar,MATCH("% Total Return 3 Month",Morningstar_Cols,EXACT_MATCH),EXACT_MATCH)/100</f>
        <v>-0.1265</v>
      </c>
      <c r="F235" s="115">
        <f>VLOOKUP(Companies[[#This Row],[Symbol]],Morningstar,MATCH("% Total Return 12 Month",Morningstar_Cols,EXACT_MATCH),EXACT_MATCH)/100</f>
        <v>-0.1343</v>
      </c>
      <c r="G235" s="116">
        <f>VLOOKUP(Companies[[#This Row],[Symbol]],Morningstar,MATCH("Price/Sales",Morningstar_Cols,EXACT_MATCH),EXACT_MATCH)</f>
        <v>3.95</v>
      </c>
      <c r="H235" s="117">
        <f>VLOOKUP(Companies[[#This Row],[Symbol]],Morningstar,MATCH("Price/Fair Value",Morningstar_Cols,EXACT_MATCH),EXACT_MATCH)</f>
        <v>0.74</v>
      </c>
      <c r="I23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35" s="107">
        <f>VLOOKUP(Companies[[#This Row],[Symbol]],Morningstar,MATCH("% Dividend Yield TTM",Morningstar_Cols,EXACT_MATCH),EXACT_MATCH)/100</f>
        <v>6.3899999999999998E-2</v>
      </c>
      <c r="K235" s="119" t="str">
        <f>IFERROR(LOOKUP(2,1/(GrowthCurves[Ticker]=Companies[[#This Row],[Symbol]]),GrowthCurves[Metric]),"")</f>
        <v>5</v>
      </c>
      <c r="L235" s="94">
        <f>RatingDefault+SUM(Companies[[#This Row],[CurvePoints]:[PFVPoints]])</f>
        <v>7</v>
      </c>
      <c r="M235" s="94" t="s">
        <v>1063</v>
      </c>
      <c r="N235" s="103">
        <f>IF(Companies[[#This Row],[Growth Curve]]&lt;&gt;"",Companies[[#This Row],[Growth Curve]]-3,0)</f>
        <v>2</v>
      </c>
      <c r="O235" s="53">
        <f>IF(Companies[[#This Row],[PSR]]&gt;2,-1,IF(Companies[[#This Row],[PSR]]&lt;1,1,0))</f>
        <v>-1</v>
      </c>
      <c r="P235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35" s="53">
        <f>IF(Companies[[#This Row],[PFV]]&lt;0.75,2,IF(Companies[[#This Row],[PFV]]&lt;0.95,1,IF(Companies[[#This Row],[PFV]]&gt;1.25,-2,IF(Companies[[#This Row],[PFV]]&gt;1.15,-1,0))))</f>
        <v>2</v>
      </c>
    </row>
    <row r="236" spans="2:17" s="53" customFormat="1" ht="25.15" customHeight="1" x14ac:dyDescent="0.25">
      <c r="B236" s="11" t="s">
        <v>41</v>
      </c>
      <c r="C236" s="11" t="str">
        <f>VLOOKUP(Companies[[#This Row],[Symbol]],Morningstar,MATCH("Name",Morningstar_Cols,EXACT_MATCH),EXACT_MATCH)</f>
        <v>Gold Merger Sub LLC</v>
      </c>
      <c r="D236" s="114">
        <f>VLOOKUP(Companies[[#This Row],[Symbol]],Morningstar,MATCH("mil$ Market Cap",Morningstar_Cols,0),0)</f>
        <v>0</v>
      </c>
      <c r="E236" s="115">
        <f>VLOOKUP(Companies[[#This Row],[Symbol]],Morningstar,MATCH("% Total Return 3 Month",Morningstar_Cols,EXACT_MATCH),EXACT_MATCH)/100</f>
        <v>0</v>
      </c>
      <c r="F236" s="115">
        <f>VLOOKUP(Companies[[#This Row],[Symbol]],Morningstar,MATCH("% Total Return 12 Month",Morningstar_Cols,EXACT_MATCH),EXACT_MATCH)/100</f>
        <v>0</v>
      </c>
      <c r="G236" s="116">
        <f>VLOOKUP(Companies[[#This Row],[Symbol]],Morningstar,MATCH("Price/Sales",Morningstar_Cols,EXACT_MATCH),EXACT_MATCH)</f>
        <v>0</v>
      </c>
      <c r="H236" s="117">
        <f>VLOOKUP(Companies[[#This Row],[Symbol]],Morningstar,MATCH("Price/Fair Value",Morningstar_Cols,EXACT_MATCH),EXACT_MATCH)</f>
        <v>0</v>
      </c>
      <c r="I23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236" s="107">
        <f>VLOOKUP(Companies[[#This Row],[Symbol]],Morningstar,MATCH("% Dividend Yield TTM",Morningstar_Cols,EXACT_MATCH),EXACT_MATCH)/100</f>
        <v>0</v>
      </c>
      <c r="K236" s="119" t="str">
        <f>IFERROR(LOOKUP(2,1/(GrowthCurves[Ticker]=Companies[[#This Row],[Symbol]]),GrowthCurves[Metric]),"")</f>
        <v/>
      </c>
      <c r="L236" s="94">
        <f>RatingDefault+SUM(Companies[[#This Row],[CurvePoints]:[PFVPoints]])</f>
        <v>5</v>
      </c>
      <c r="M236" s="94"/>
      <c r="N236" s="103">
        <f>IF(Companies[[#This Row],[Growth Curve]]&lt;&gt;"",Companies[[#This Row],[Growth Curve]]-3,0)</f>
        <v>0</v>
      </c>
      <c r="O236" s="53">
        <f>IF(Companies[[#This Row],[PSR]]&gt;2,-1,IF(Companies[[#This Row],[PSR]]&lt;1,1,0))</f>
        <v>1</v>
      </c>
      <c r="P236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36" s="53">
        <f>IF(Companies[[#This Row],[PFV]]&lt;0.75,2,IF(Companies[[#This Row],[PFV]]&lt;0.95,1,IF(Companies[[#This Row],[PFV]]&gt;1.25,-2,IF(Companies[[#This Row],[PFV]]&gt;1.15,-1,0))))</f>
        <v>2</v>
      </c>
    </row>
    <row r="237" spans="2:17" s="53" customFormat="1" ht="25.15" customHeight="1" x14ac:dyDescent="0.25">
      <c r="B237" s="11" t="s">
        <v>240</v>
      </c>
      <c r="C237" s="11" t="str">
        <f>VLOOKUP(Companies[[#This Row],[Symbol]],Morningstar,MATCH("Name",Morningstar_Cols,EXACT_MATCH),EXACT_MATCH)</f>
        <v>Pilgrims Pride Corp</v>
      </c>
      <c r="D237" s="114">
        <f>VLOOKUP(Companies[[#This Row],[Symbol]],Morningstar,MATCH("mil$ Market Cap",Morningstar_Cols,0),0)</f>
        <v>4659.54</v>
      </c>
      <c r="E237" s="115">
        <f>VLOOKUP(Companies[[#This Row],[Symbol]],Morningstar,MATCH("% Total Return 3 Month",Morningstar_Cols,EXACT_MATCH),EXACT_MATCH)/100</f>
        <v>-0.46729999999999999</v>
      </c>
      <c r="F237" s="115">
        <f>VLOOKUP(Companies[[#This Row],[Symbol]],Morningstar,MATCH("% Total Return 12 Month",Morningstar_Cols,EXACT_MATCH),EXACT_MATCH)/100</f>
        <v>-0.16289999999999999</v>
      </c>
      <c r="G237" s="116">
        <f>VLOOKUP(Companies[[#This Row],[Symbol]],Morningstar,MATCH("Price/Sales",Morningstar_Cols,EXACT_MATCH),EXACT_MATCH)</f>
        <v>0.4</v>
      </c>
      <c r="H237" s="117">
        <f>VLOOKUP(Companies[[#This Row],[Symbol]],Morningstar,MATCH("Price/Fair Value",Morningstar_Cols,EXACT_MATCH),EXACT_MATCH)</f>
        <v>0.55000000000000004</v>
      </c>
      <c r="I23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37" s="107">
        <f>VLOOKUP(Companies[[#This Row],[Symbol]],Morningstar,MATCH("% Dividend Yield TTM",Morningstar_Cols,EXACT_MATCH),EXACT_MATCH)/100</f>
        <v>0</v>
      </c>
      <c r="K237" s="119" t="str">
        <f>IFERROR(LOOKUP(2,1/(GrowthCurves[Ticker]=Companies[[#This Row],[Symbol]]),GrowthCurves[Metric]),"")</f>
        <v>4</v>
      </c>
      <c r="L237" s="94">
        <f>RatingDefault+SUM(Companies[[#This Row],[CurvePoints]:[PFVPoints]])</f>
        <v>7</v>
      </c>
      <c r="M237" s="94"/>
      <c r="N237" s="103">
        <f>IF(Companies[[#This Row],[Growth Curve]]&lt;&gt;"",Companies[[#This Row],[Growth Curve]]-3,0)</f>
        <v>1</v>
      </c>
      <c r="O237" s="53">
        <f>IF(Companies[[#This Row],[PSR]]&gt;2,-1,IF(Companies[[#This Row],[PSR]]&lt;1,1,0))</f>
        <v>1</v>
      </c>
      <c r="P237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37" s="53">
        <f>IF(Companies[[#This Row],[PFV]]&lt;0.75,2,IF(Companies[[#This Row],[PFV]]&lt;0.95,1,IF(Companies[[#This Row],[PFV]]&gt;1.25,-2,IF(Companies[[#This Row],[PFV]]&gt;1.15,-1,0))))</f>
        <v>2</v>
      </c>
    </row>
    <row r="238" spans="2:17" s="53" customFormat="1" ht="25.15" customHeight="1" x14ac:dyDescent="0.25">
      <c r="B238" s="11" t="s">
        <v>636</v>
      </c>
      <c r="C238" s="11" t="str">
        <f>VLOOKUP(Companies[[#This Row],[Symbol]],Morningstar,MATCH("Name",Morningstar_Cols,EXACT_MATCH),EXACT_MATCH)</f>
        <v>PPL Corp</v>
      </c>
      <c r="D238" s="114">
        <f>VLOOKUP(Companies[[#This Row],[Symbol]],Morningstar,MATCH("mil$ Market Cap",Morningstar_Cols,0),0)</f>
        <v>20086.009999999998</v>
      </c>
      <c r="E238" s="115">
        <f>VLOOKUP(Companies[[#This Row],[Symbol]],Morningstar,MATCH("% Total Return 3 Month",Morningstar_Cols,EXACT_MATCH),EXACT_MATCH)/100</f>
        <v>-0.19510000000000002</v>
      </c>
      <c r="F238" s="115">
        <f>VLOOKUP(Companies[[#This Row],[Symbol]],Morningstar,MATCH("% Total Return 12 Month",Morningstar_Cols,EXACT_MATCH),EXACT_MATCH)/100</f>
        <v>-0.129</v>
      </c>
      <c r="G238" s="116">
        <f>VLOOKUP(Companies[[#This Row],[Symbol]],Morningstar,MATCH("Price/Sales",Morningstar_Cols,EXACT_MATCH),EXACT_MATCH)</f>
        <v>2.4900000000000002</v>
      </c>
      <c r="H238" s="117">
        <f>VLOOKUP(Companies[[#This Row],[Symbol]],Morningstar,MATCH("Price/Fair Value",Morningstar_Cols,EXACT_MATCH),EXACT_MATCH)</f>
        <v>0.82</v>
      </c>
      <c r="I23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38" s="107">
        <f>VLOOKUP(Companies[[#This Row],[Symbol]],Morningstar,MATCH("% Dividend Yield TTM",Morningstar_Cols,EXACT_MATCH),EXACT_MATCH)/100</f>
        <v>6.2100000000000002E-2</v>
      </c>
      <c r="K238" s="119" t="str">
        <f>IFERROR(LOOKUP(2,1/(GrowthCurves[Ticker]=Companies[[#This Row],[Symbol]]),GrowthCurves[Metric]),"")</f>
        <v>3</v>
      </c>
      <c r="L238" s="94">
        <f>RatingDefault+SUM(Companies[[#This Row],[CurvePoints]:[PFVPoints]])</f>
        <v>4</v>
      </c>
      <c r="M238" s="94"/>
      <c r="N238" s="103">
        <f>IF(Companies[[#This Row],[Growth Curve]]&lt;&gt;"",Companies[[#This Row],[Growth Curve]]-3,0)</f>
        <v>0</v>
      </c>
      <c r="O238" s="53">
        <f>IF(Companies[[#This Row],[PSR]]&gt;2,-1,IF(Companies[[#This Row],[PSR]]&lt;1,1,0))</f>
        <v>-1</v>
      </c>
      <c r="P238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38" s="53">
        <f>IF(Companies[[#This Row],[PFV]]&lt;0.75,2,IF(Companies[[#This Row],[PFV]]&lt;0.95,1,IF(Companies[[#This Row],[PFV]]&gt;1.25,-2,IF(Companies[[#This Row],[PFV]]&gt;1.15,-1,0))))</f>
        <v>1</v>
      </c>
    </row>
    <row r="239" spans="2:17" s="53" customFormat="1" ht="25.15" customHeight="1" x14ac:dyDescent="0.25">
      <c r="B239" s="11" t="s">
        <v>205</v>
      </c>
      <c r="C239" s="11" t="str">
        <f>VLOOKUP(Companies[[#This Row],[Symbol]],Morningstar,MATCH("Name",Morningstar_Cols,EXACT_MATCH),EXACT_MATCH)</f>
        <v>The Providence Service Corp</v>
      </c>
      <c r="D239" s="114">
        <f>VLOOKUP(Companies[[#This Row],[Symbol]],Morningstar,MATCH("mil$ Market Cap",Morningstar_Cols,0),0)</f>
        <v>617.54999999999995</v>
      </c>
      <c r="E239" s="115">
        <f>VLOOKUP(Companies[[#This Row],[Symbol]],Morningstar,MATCH("% Total Return 3 Month",Morningstar_Cols,EXACT_MATCH),EXACT_MATCH)/100</f>
        <v>-0.18729999999999999</v>
      </c>
      <c r="F239" s="115">
        <f>VLOOKUP(Companies[[#This Row],[Symbol]],Morningstar,MATCH("% Total Return 12 Month",Morningstar_Cols,EXACT_MATCH),EXACT_MATCH)/100</f>
        <v>-0.2243</v>
      </c>
      <c r="G239" s="116">
        <f>VLOOKUP(Companies[[#This Row],[Symbol]],Morningstar,MATCH("Price/Sales",Morningstar_Cols,EXACT_MATCH),EXACT_MATCH)</f>
        <v>0.4</v>
      </c>
      <c r="H239" s="117">
        <f>VLOOKUP(Companies[[#This Row],[Symbol]],Morningstar,MATCH("Price/Fair Value",Morningstar_Cols,EXACT_MATCH),EXACT_MATCH)</f>
        <v>0.73</v>
      </c>
      <c r="I23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39" s="107">
        <f>VLOOKUP(Companies[[#This Row],[Symbol]],Morningstar,MATCH("% Dividend Yield TTM",Morningstar_Cols,EXACT_MATCH),EXACT_MATCH)/100</f>
        <v>0</v>
      </c>
      <c r="K239" s="119" t="str">
        <f>IFERROR(LOOKUP(2,1/(GrowthCurves[Ticker]=Companies[[#This Row],[Symbol]]),GrowthCurves[Metric]),"")</f>
        <v>3</v>
      </c>
      <c r="L239" s="94">
        <f>RatingDefault+SUM(Companies[[#This Row],[CurvePoints]:[PFVPoints]])</f>
        <v>7</v>
      </c>
      <c r="M239" s="94"/>
      <c r="N239" s="103">
        <f>IF(Companies[[#This Row],[Growth Curve]]&lt;&gt;"",Companies[[#This Row],[Growth Curve]]-3,0)</f>
        <v>0</v>
      </c>
      <c r="O239" s="53">
        <f>IF(Companies[[#This Row],[PSR]]&gt;2,-1,IF(Companies[[#This Row],[PSR]]&lt;1,1,0))</f>
        <v>1</v>
      </c>
      <c r="P239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39" s="53">
        <f>IF(Companies[[#This Row],[PFV]]&lt;0.75,2,IF(Companies[[#This Row],[PFV]]&lt;0.95,1,IF(Companies[[#This Row],[PFV]]&gt;1.25,-2,IF(Companies[[#This Row],[PFV]]&gt;1.15,-1,0))))</f>
        <v>2</v>
      </c>
    </row>
    <row r="240" spans="2:17" s="53" customFormat="1" ht="25.15" customHeight="1" x14ac:dyDescent="0.25">
      <c r="B240" s="11" t="s">
        <v>339</v>
      </c>
      <c r="C240" s="11" t="str">
        <f>VLOOKUP(Companies[[#This Row],[Symbol]],Morningstar,MATCH("Name",Morningstar_Cols,EXACT_MATCH),EXACT_MATCH)</f>
        <v>QuinStreet Inc</v>
      </c>
      <c r="D240" s="114">
        <f>VLOOKUP(Companies[[#This Row],[Symbol]],Morningstar,MATCH("mil$ Market Cap",Morningstar_Cols,0),0)</f>
        <v>429.09</v>
      </c>
      <c r="E240" s="115">
        <f>VLOOKUP(Companies[[#This Row],[Symbol]],Morningstar,MATCH("% Total Return 3 Month",Morningstar_Cols,EXACT_MATCH),EXACT_MATCH)/100</f>
        <v>-0.47310000000000002</v>
      </c>
      <c r="F240" s="115">
        <f>VLOOKUP(Companies[[#This Row],[Symbol]],Morningstar,MATCH("% Total Return 12 Month",Morningstar_Cols,EXACT_MATCH),EXACT_MATCH)/100</f>
        <v>-0.37119999999999997</v>
      </c>
      <c r="G240" s="116">
        <f>VLOOKUP(Companies[[#This Row],[Symbol]],Morningstar,MATCH("Price/Sales",Morningstar_Cols,EXACT_MATCH),EXACT_MATCH)</f>
        <v>0.92</v>
      </c>
      <c r="H240" s="117">
        <f>VLOOKUP(Companies[[#This Row],[Symbol]],Morningstar,MATCH("Price/Fair Value",Morningstar_Cols,EXACT_MATCH),EXACT_MATCH)</f>
        <v>0.56000000000000005</v>
      </c>
      <c r="I24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40" s="107">
        <f>VLOOKUP(Companies[[#This Row],[Symbol]],Morningstar,MATCH("% Dividend Yield TTM",Morningstar_Cols,EXACT_MATCH),EXACT_MATCH)/100</f>
        <v>0</v>
      </c>
      <c r="K240" s="119" t="str">
        <f>IFERROR(LOOKUP(2,1/(GrowthCurves[Ticker]=Companies[[#This Row],[Symbol]]),GrowthCurves[Metric]),"")</f>
        <v/>
      </c>
      <c r="L240" s="94">
        <f>RatingDefault+SUM(Companies[[#This Row],[CurvePoints]:[PFVPoints]])</f>
        <v>6</v>
      </c>
      <c r="M240" s="94"/>
      <c r="N240" s="103">
        <f>IF(Companies[[#This Row],[Growth Curve]]&lt;&gt;"",Companies[[#This Row],[Growth Curve]]-3,0)</f>
        <v>0</v>
      </c>
      <c r="O240" s="53">
        <f>IF(Companies[[#This Row],[PSR]]&gt;2,-1,IF(Companies[[#This Row],[PSR]]&lt;1,1,0))</f>
        <v>1</v>
      </c>
      <c r="P240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40" s="53">
        <f>IF(Companies[[#This Row],[PFV]]&lt;0.75,2,IF(Companies[[#This Row],[PFV]]&lt;0.95,1,IF(Companies[[#This Row],[PFV]]&gt;1.25,-2,IF(Companies[[#This Row],[PFV]]&gt;1.15,-1,0))))</f>
        <v>2</v>
      </c>
    </row>
    <row r="241" spans="2:17" s="53" customFormat="1" ht="25.15" customHeight="1" x14ac:dyDescent="0.25">
      <c r="B241" s="52" t="s">
        <v>872</v>
      </c>
      <c r="C241" s="11" t="str">
        <f>VLOOKUP(Companies[[#This Row],[Symbol]],Morningstar,MATCH("Name",Morningstar_Cols,EXACT_MATCH),EXACT_MATCH)</f>
        <v>Restaurant Brands International Inc</v>
      </c>
      <c r="D241" s="114">
        <f>VLOOKUP(Companies[[#This Row],[Symbol]],Morningstar,MATCH("mil$ Market Cap",Morningstar_Cols,0),0)</f>
        <v>13235.26</v>
      </c>
      <c r="E241" s="115">
        <f>VLOOKUP(Companies[[#This Row],[Symbol]],Morningstar,MATCH("% Total Return 3 Month",Morningstar_Cols,EXACT_MATCH),EXACT_MATCH)/100</f>
        <v>-0.34920000000000001</v>
      </c>
      <c r="F241" s="115">
        <f>VLOOKUP(Companies[[#This Row],[Symbol]],Morningstar,MATCH("% Total Return 12 Month",Morningstar_Cols,EXACT_MATCH),EXACT_MATCH)/100</f>
        <v>-0.28520000000000001</v>
      </c>
      <c r="G241" s="116">
        <f>VLOOKUP(Companies[[#This Row],[Symbol]],Morningstar,MATCH("Price/Sales",Morningstar_Cols,EXACT_MATCH),EXACT_MATCH)</f>
        <v>3.69</v>
      </c>
      <c r="H241" s="117">
        <f>VLOOKUP(Companies[[#This Row],[Symbol]],Morningstar,MATCH("Price/Fair Value",Morningstar_Cols,EXACT_MATCH),EXACT_MATCH)</f>
        <v>0.6</v>
      </c>
      <c r="I24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41" s="107">
        <f>VLOOKUP(Companies[[#This Row],[Symbol]],Morningstar,MATCH("% Dividend Yield TTM",Morningstar_Cols,EXACT_MATCH),EXACT_MATCH)/100</f>
        <v>4.6799999999999994E-2</v>
      </c>
      <c r="K241" s="119" t="str">
        <f>IFERROR(LOOKUP(2,1/(GrowthCurves[Ticker]=Companies[[#This Row],[Symbol]]),GrowthCurves[Metric]),"")</f>
        <v>3</v>
      </c>
      <c r="L241" s="94">
        <f>RatingDefault+SUM(Companies[[#This Row],[CurvePoints]:[PFVPoints]])</f>
        <v>5</v>
      </c>
      <c r="M241" s="94"/>
      <c r="N241" s="102">
        <f>IF(Companies[[#This Row],[Growth Curve]]&lt;&gt;"",Companies[[#This Row],[Growth Curve]]-3,0)</f>
        <v>0</v>
      </c>
      <c r="O241" s="52">
        <f>IF(Companies[[#This Row],[PSR]]&gt;2,-1,IF(Companies[[#This Row],[PSR]]&lt;1,1,0))</f>
        <v>-1</v>
      </c>
      <c r="P241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41" s="53">
        <f>IF(Companies[[#This Row],[PFV]]&lt;0.75,2,IF(Companies[[#This Row],[PFV]]&lt;0.95,1,IF(Companies[[#This Row],[PFV]]&gt;1.25,-2,IF(Companies[[#This Row],[PFV]]&gt;1.15,-1,0))))</f>
        <v>2</v>
      </c>
    </row>
    <row r="242" spans="2:17" s="53" customFormat="1" ht="25.15" customHeight="1" x14ac:dyDescent="0.25">
      <c r="B242" s="11" t="s">
        <v>807</v>
      </c>
      <c r="C242" s="11" t="str">
        <f>VLOOKUP(Companies[[#This Row],[Symbol]],Morningstar,MATCH("Name",Morningstar_Cols,EXACT_MATCH),EXACT_MATCH)</f>
        <v>Reckitt Benckiser Group PLC ADR</v>
      </c>
      <c r="D242" s="114">
        <f>VLOOKUP(Companies[[#This Row],[Symbol]],Morningstar,MATCH("mil$ Market Cap",Morningstar_Cols,0),0)</f>
        <v>47672.07</v>
      </c>
      <c r="E242" s="115">
        <f>VLOOKUP(Companies[[#This Row],[Symbol]],Morningstar,MATCH("% Total Return 3 Month",Morningstar_Cols,EXACT_MATCH),EXACT_MATCH)/100</f>
        <v>-0.17780000000000001</v>
      </c>
      <c r="F242" s="115">
        <f>VLOOKUP(Companies[[#This Row],[Symbol]],Morningstar,MATCH("% Total Return 12 Month",Morningstar_Cols,EXACT_MATCH),EXACT_MATCH)/100</f>
        <v>-0.14940000000000001</v>
      </c>
      <c r="G242" s="116">
        <f>VLOOKUP(Companies[[#This Row],[Symbol]],Morningstar,MATCH("Price/Sales",Morningstar_Cols,EXACT_MATCH),EXACT_MATCH)</f>
        <v>2.9</v>
      </c>
      <c r="H242" s="117">
        <f>VLOOKUP(Companies[[#This Row],[Symbol]],Morningstar,MATCH("Price/Fair Value",Morningstar_Cols,EXACT_MATCH),EXACT_MATCH)</f>
        <v>0.8</v>
      </c>
      <c r="I24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242" s="107">
        <f>VLOOKUP(Companies[[#This Row],[Symbol]],Morningstar,MATCH("% Dividend Yield TTM",Morningstar_Cols,EXACT_MATCH),EXACT_MATCH)/100</f>
        <v>3.2400000000000005E-2</v>
      </c>
      <c r="K242" s="119" t="str">
        <f>IFERROR(LOOKUP(2,1/(GrowthCurves[Ticker]=Companies[[#This Row],[Symbol]]),GrowthCurves[Metric]),"")</f>
        <v>3</v>
      </c>
      <c r="L242" s="94">
        <f>RatingDefault+SUM(Companies[[#This Row],[CurvePoints]:[PFVPoints]])</f>
        <v>2</v>
      </c>
      <c r="M242" s="94"/>
      <c r="N242" s="102">
        <f>IF(Companies[[#This Row],[Growth Curve]]&lt;&gt;"",Companies[[#This Row],[Growth Curve]]-3,0)</f>
        <v>0</v>
      </c>
      <c r="O242" s="52">
        <f>IF(Companies[[#This Row],[PSR]]&gt;2,-1,IF(Companies[[#This Row],[PSR]]&lt;1,1,0))</f>
        <v>-1</v>
      </c>
      <c r="P242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42" s="53">
        <f>IF(Companies[[#This Row],[PFV]]&lt;0.75,2,IF(Companies[[#This Row],[PFV]]&lt;0.95,1,IF(Companies[[#This Row],[PFV]]&gt;1.25,-2,IF(Companies[[#This Row],[PFV]]&gt;1.15,-1,0))))</f>
        <v>1</v>
      </c>
    </row>
    <row r="243" spans="2:17" s="53" customFormat="1" ht="25.15" customHeight="1" x14ac:dyDescent="0.25">
      <c r="B243" s="11" t="s">
        <v>680</v>
      </c>
      <c r="C243" s="11" t="str">
        <f>VLOOKUP(Companies[[#This Row],[Symbol]],Morningstar,MATCH("Name",Morningstar_Cols,EXACT_MATCH),EXACT_MATCH)</f>
        <v>Rent-A-Center Inc</v>
      </c>
      <c r="D243" s="114">
        <f>VLOOKUP(Companies[[#This Row],[Symbol]],Morningstar,MATCH("mil$ Market Cap",Morningstar_Cols,0),0)</f>
        <v>938.09</v>
      </c>
      <c r="E243" s="115">
        <f>VLOOKUP(Companies[[#This Row],[Symbol]],Morningstar,MATCH("% Total Return 3 Month",Morningstar_Cols,EXACT_MATCH),EXACT_MATCH)/100</f>
        <v>-0.4219</v>
      </c>
      <c r="F243" s="115">
        <f>VLOOKUP(Companies[[#This Row],[Symbol]],Morningstar,MATCH("% Total Return 12 Month",Morningstar_Cols,EXACT_MATCH),EXACT_MATCH)/100</f>
        <v>-0.24299999999999999</v>
      </c>
      <c r="G243" s="116">
        <f>VLOOKUP(Companies[[#This Row],[Symbol]],Morningstar,MATCH("Price/Sales",Morningstar_Cols,EXACT_MATCH),EXACT_MATCH)</f>
        <v>0.36</v>
      </c>
      <c r="H243" s="117">
        <f>VLOOKUP(Companies[[#This Row],[Symbol]],Morningstar,MATCH("Price/Fair Value",Morningstar_Cols,EXACT_MATCH),EXACT_MATCH)</f>
        <v>0.59</v>
      </c>
      <c r="I24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43" s="107">
        <f>VLOOKUP(Companies[[#This Row],[Symbol]],Morningstar,MATCH("% Dividend Yield TTM",Morningstar_Cols,EXACT_MATCH),EXACT_MATCH)/100</f>
        <v>3.4200000000000001E-2</v>
      </c>
      <c r="K243" s="119" t="str">
        <f>IFERROR(LOOKUP(2,1/(GrowthCurves[Ticker]=Companies[[#This Row],[Symbol]]),GrowthCurves[Metric]),"")</f>
        <v>3</v>
      </c>
      <c r="L243" s="94">
        <f>RatingDefault+SUM(Companies[[#This Row],[CurvePoints]:[PFVPoints]])</f>
        <v>6</v>
      </c>
      <c r="M243" s="94"/>
      <c r="N243" s="103">
        <f>IF(Companies[[#This Row],[Growth Curve]]&lt;&gt;"",Companies[[#This Row],[Growth Curve]]-3,0)</f>
        <v>0</v>
      </c>
      <c r="O243" s="53">
        <f>IF(Companies[[#This Row],[PSR]]&gt;2,-1,IF(Companies[[#This Row],[PSR]]&lt;1,1,0))</f>
        <v>1</v>
      </c>
      <c r="P243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43" s="53">
        <f>IF(Companies[[#This Row],[PFV]]&lt;0.75,2,IF(Companies[[#This Row],[PFV]]&lt;0.95,1,IF(Companies[[#This Row],[PFV]]&gt;1.25,-2,IF(Companies[[#This Row],[PFV]]&gt;1.15,-1,0))))</f>
        <v>2</v>
      </c>
    </row>
    <row r="244" spans="2:17" s="53" customFormat="1" ht="25.15" customHeight="1" x14ac:dyDescent="0.25">
      <c r="B244" s="11" t="s">
        <v>341</v>
      </c>
      <c r="C244" s="11" t="str">
        <f>VLOOKUP(Companies[[#This Row],[Symbol]],Morningstar,MATCH("Name",Morningstar_Cols,EXACT_MATCH),EXACT_MATCH)</f>
        <v>R1 RCM Inc</v>
      </c>
      <c r="D244" s="114">
        <f>VLOOKUP(Companies[[#This Row],[Symbol]],Morningstar,MATCH("mil$ Market Cap",Morningstar_Cols,0),0)</f>
        <v>1117.1600000000001</v>
      </c>
      <c r="E244" s="115">
        <f>VLOOKUP(Companies[[#This Row],[Symbol]],Morningstar,MATCH("% Total Return 3 Month",Morningstar_Cols,EXACT_MATCH),EXACT_MATCH)/100</f>
        <v>-0.23800000000000002</v>
      </c>
      <c r="F244" s="115">
        <f>VLOOKUP(Companies[[#This Row],[Symbol]],Morningstar,MATCH("% Total Return 12 Month",Morningstar_Cols,EXACT_MATCH),EXACT_MATCH)/100</f>
        <v>-2.06E-2</v>
      </c>
      <c r="G244" s="116">
        <f>VLOOKUP(Companies[[#This Row],[Symbol]],Morningstar,MATCH("Price/Sales",Morningstar_Cols,EXACT_MATCH),EXACT_MATCH)</f>
        <v>0.91</v>
      </c>
      <c r="H244" s="117">
        <f>VLOOKUP(Companies[[#This Row],[Symbol]],Morningstar,MATCH("Price/Fair Value",Morningstar_Cols,EXACT_MATCH),EXACT_MATCH)</f>
        <v>0.82</v>
      </c>
      <c r="I24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44" s="107">
        <f>VLOOKUP(Companies[[#This Row],[Symbol]],Morningstar,MATCH("% Dividend Yield TTM",Morningstar_Cols,EXACT_MATCH),EXACT_MATCH)/100</f>
        <v>0</v>
      </c>
      <c r="K244" s="119" t="str">
        <f>IFERROR(LOOKUP(2,1/(GrowthCurves[Ticker]=Companies[[#This Row],[Symbol]]),GrowthCurves[Metric]),"")</f>
        <v/>
      </c>
      <c r="L244" s="94">
        <f>RatingDefault+SUM(Companies[[#This Row],[CurvePoints]:[PFVPoints]])</f>
        <v>5</v>
      </c>
      <c r="M244" s="94"/>
      <c r="N244" s="103">
        <f>IF(Companies[[#This Row],[Growth Curve]]&lt;&gt;"",Companies[[#This Row],[Growth Curve]]-3,0)</f>
        <v>0</v>
      </c>
      <c r="O244" s="53">
        <f>IF(Companies[[#This Row],[PSR]]&gt;2,-1,IF(Companies[[#This Row],[PSR]]&lt;1,1,0))</f>
        <v>1</v>
      </c>
      <c r="P244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44" s="53">
        <f>IF(Companies[[#This Row],[PFV]]&lt;0.75,2,IF(Companies[[#This Row],[PFV]]&lt;0.95,1,IF(Companies[[#This Row],[PFV]]&gt;1.25,-2,IF(Companies[[#This Row],[PFV]]&gt;1.15,-1,0))))</f>
        <v>1</v>
      </c>
    </row>
    <row r="245" spans="2:17" s="53" customFormat="1" ht="25.15" customHeight="1" x14ac:dyDescent="0.25">
      <c r="B245" s="11" t="s">
        <v>250</v>
      </c>
      <c r="C245" s="11" t="str">
        <f>VLOOKUP(Companies[[#This Row],[Symbol]],Morningstar,MATCH("Name",Morningstar_Cols,EXACT_MATCH),EXACT_MATCH)</f>
        <v>RadNet Inc</v>
      </c>
      <c r="D245" s="114">
        <f>VLOOKUP(Companies[[#This Row],[Symbol]],Morningstar,MATCH("mil$ Market Cap",Morningstar_Cols,0),0)</f>
        <v>791.27</v>
      </c>
      <c r="E245" s="115">
        <f>VLOOKUP(Companies[[#This Row],[Symbol]],Morningstar,MATCH("% Total Return 3 Month",Morningstar_Cols,EXACT_MATCH),EXACT_MATCH)/100</f>
        <v>-0.23230000000000001</v>
      </c>
      <c r="F245" s="115">
        <f>VLOOKUP(Companies[[#This Row],[Symbol]],Morningstar,MATCH("% Total Return 12 Month",Morningstar_Cols,EXACT_MATCH),EXACT_MATCH)/100</f>
        <v>9.9299999999999999E-2</v>
      </c>
      <c r="G245" s="116">
        <f>VLOOKUP(Companies[[#This Row],[Symbol]],Morningstar,MATCH("Price/Sales",Morningstar_Cols,EXACT_MATCH),EXACT_MATCH)</f>
        <v>0.71</v>
      </c>
      <c r="H245" s="117">
        <f>VLOOKUP(Companies[[#This Row],[Symbol]],Morningstar,MATCH("Price/Fair Value",Morningstar_Cols,EXACT_MATCH),EXACT_MATCH)</f>
        <v>0.76</v>
      </c>
      <c r="I24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45" s="107">
        <f>VLOOKUP(Companies[[#This Row],[Symbol]],Morningstar,MATCH("% Dividend Yield TTM",Morningstar_Cols,EXACT_MATCH),EXACT_MATCH)/100</f>
        <v>0</v>
      </c>
      <c r="K245" s="119" t="str">
        <f>IFERROR(LOOKUP(2,1/(GrowthCurves[Ticker]=Companies[[#This Row],[Symbol]]),GrowthCurves[Metric]),"")</f>
        <v>3</v>
      </c>
      <c r="L245" s="94">
        <f>RatingDefault+SUM(Companies[[#This Row],[CurvePoints]:[PFVPoints]])</f>
        <v>5</v>
      </c>
      <c r="M245" s="94"/>
      <c r="N245" s="103">
        <f>IF(Companies[[#This Row],[Growth Curve]]&lt;&gt;"",Companies[[#This Row],[Growth Curve]]-3,0)</f>
        <v>0</v>
      </c>
      <c r="O245" s="53">
        <f>IF(Companies[[#This Row],[PSR]]&gt;2,-1,IF(Companies[[#This Row],[PSR]]&lt;1,1,0))</f>
        <v>1</v>
      </c>
      <c r="P245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45" s="53">
        <f>IF(Companies[[#This Row],[PFV]]&lt;0.75,2,IF(Companies[[#This Row],[PFV]]&lt;0.95,1,IF(Companies[[#This Row],[PFV]]&gt;1.25,-2,IF(Companies[[#This Row],[PFV]]&gt;1.15,-1,0))))</f>
        <v>1</v>
      </c>
    </row>
    <row r="246" spans="2:17" s="53" customFormat="1" ht="25.15" customHeight="1" x14ac:dyDescent="0.25">
      <c r="B246" s="11" t="s">
        <v>861</v>
      </c>
      <c r="C246" s="11" t="str">
        <f>VLOOKUP(Companies[[#This Row],[Symbol]],Morningstar,MATCH("Name",Morningstar_Cols,EXACT_MATCH),EXACT_MATCH)</f>
        <v>Royal Dutch Shell PLC ADR Class A</v>
      </c>
      <c r="D246" s="114">
        <f>VLOOKUP(Companies[[#This Row],[Symbol]],Morningstar,MATCH("mil$ Market Cap",Morningstar_Cols,0),0)</f>
        <v>110186.56</v>
      </c>
      <c r="E246" s="115">
        <f>VLOOKUP(Companies[[#This Row],[Symbol]],Morningstar,MATCH("% Total Return 3 Month",Morningstar_Cols,EXACT_MATCH),EXACT_MATCH)/100</f>
        <v>-0.47590000000000005</v>
      </c>
      <c r="F246" s="115">
        <f>VLOOKUP(Companies[[#This Row],[Symbol]],Morningstar,MATCH("% Total Return 12 Month",Morningstar_Cols,EXACT_MATCH),EXACT_MATCH)/100</f>
        <v>-0.46049999999999996</v>
      </c>
      <c r="G246" s="116">
        <f>VLOOKUP(Companies[[#This Row],[Symbol]],Morningstar,MATCH("Price/Sales",Morningstar_Cols,EXACT_MATCH),EXACT_MATCH)</f>
        <v>0.34</v>
      </c>
      <c r="H246" s="117">
        <f>VLOOKUP(Companies[[#This Row],[Symbol]],Morningstar,MATCH("Price/Fair Value",Morningstar_Cols,EXACT_MATCH),EXACT_MATCH)</f>
        <v>0.37</v>
      </c>
      <c r="I24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46" s="107">
        <f>VLOOKUP(Companies[[#This Row],[Symbol]],Morningstar,MATCH("% Dividend Yield TTM",Morningstar_Cols,EXACT_MATCH),EXACT_MATCH)/100</f>
        <v>0.12820000000000001</v>
      </c>
      <c r="K246" s="119" t="str">
        <f>IFERROR(LOOKUP(2,1/(GrowthCurves[Ticker]=Companies[[#This Row],[Symbol]]),GrowthCurves[Metric]),"")</f>
        <v>1</v>
      </c>
      <c r="L246" s="94">
        <f>RatingDefault+SUM(Companies[[#This Row],[CurvePoints]:[PFVPoints]])</f>
        <v>4</v>
      </c>
      <c r="M246" s="94"/>
      <c r="N246" s="103">
        <f>IF(Companies[[#This Row],[Growth Curve]]&lt;&gt;"",Companies[[#This Row],[Growth Curve]]-3,0)</f>
        <v>-2</v>
      </c>
      <c r="O246" s="53">
        <f>IF(Companies[[#This Row],[PSR]]&gt;2,-1,IF(Companies[[#This Row],[PSR]]&lt;1,1,0))</f>
        <v>1</v>
      </c>
      <c r="P246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46" s="53">
        <f>IF(Companies[[#This Row],[PFV]]&lt;0.75,2,IF(Companies[[#This Row],[PFV]]&lt;0.95,1,IF(Companies[[#This Row],[PFV]]&gt;1.25,-2,IF(Companies[[#This Row],[PFV]]&gt;1.15,-1,0))))</f>
        <v>2</v>
      </c>
    </row>
    <row r="247" spans="2:17" s="53" customFormat="1" ht="25.15" customHeight="1" x14ac:dyDescent="0.25">
      <c r="B247" s="52" t="s">
        <v>1267</v>
      </c>
      <c r="C247" s="11" t="str">
        <f>VLOOKUP(Companies[[#This Row],[Symbol]],Morningstar,MATCH("Name",Morningstar_Cols,EXACT_MATCH),EXACT_MATCH)</f>
        <v>RPC Inc</v>
      </c>
      <c r="D247" s="114">
        <f>VLOOKUP(Companies[[#This Row],[Symbol]],Morningstar,MATCH("mil$ Market Cap",Morningstar_Cols,0),0)</f>
        <v>425.65</v>
      </c>
      <c r="E247" s="115">
        <f>VLOOKUP(Companies[[#This Row],[Symbol]],Morningstar,MATCH("% Total Return 3 Month",Morningstar_Cols,EXACT_MATCH),EXACT_MATCH)/100</f>
        <v>-0.53410000000000002</v>
      </c>
      <c r="F247" s="115">
        <f>VLOOKUP(Companies[[#This Row],[Symbol]],Morningstar,MATCH("% Total Return 12 Month",Morningstar_Cols,EXACT_MATCH),EXACT_MATCH)/100</f>
        <v>-0.77829999999999999</v>
      </c>
      <c r="G247" s="116">
        <f>VLOOKUP(Companies[[#This Row],[Symbol]],Morningstar,MATCH("Price/Sales",Morningstar_Cols,EXACT_MATCH),EXACT_MATCH)</f>
        <v>0.35</v>
      </c>
      <c r="H247" s="117">
        <f>VLOOKUP(Companies[[#This Row],[Symbol]],Morningstar,MATCH("Price/Fair Value",Morningstar_Cols,EXACT_MATCH),EXACT_MATCH)</f>
        <v>0.32</v>
      </c>
      <c r="I24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47" s="107">
        <f>VLOOKUP(Companies[[#This Row],[Symbol]],Morningstar,MATCH("% Dividend Yield TTM",Morningstar_Cols,EXACT_MATCH),EXACT_MATCH)/100</f>
        <v>7.0800000000000002E-2</v>
      </c>
      <c r="K247" s="119" t="str">
        <f>IFERROR(LOOKUP(2,1/(GrowthCurves[Ticker]=Companies[[#This Row],[Symbol]]),GrowthCurves[Metric]),"")</f>
        <v>3</v>
      </c>
      <c r="L247" s="94">
        <f>RatingDefault+SUM(Companies[[#This Row],[CurvePoints]:[PFVPoints]])</f>
        <v>6</v>
      </c>
      <c r="M247" s="94"/>
      <c r="N247" s="102">
        <f>IF(Companies[[#This Row],[Growth Curve]]&lt;&gt;"",Companies[[#This Row],[Growth Curve]]-3,0)</f>
        <v>0</v>
      </c>
      <c r="O247" s="52">
        <f>IF(Companies[[#This Row],[PSR]]&gt;2,-1,IF(Companies[[#This Row],[PSR]]&lt;1,1,0))</f>
        <v>1</v>
      </c>
      <c r="P247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47" s="53">
        <f>IF(Companies[[#This Row],[PFV]]&lt;0.75,2,IF(Companies[[#This Row],[PFV]]&lt;0.95,1,IF(Companies[[#This Row],[PFV]]&gt;1.25,-2,IF(Companies[[#This Row],[PFV]]&gt;1.15,-1,0))))</f>
        <v>2</v>
      </c>
    </row>
    <row r="248" spans="2:17" s="53" customFormat="1" ht="25.15" customHeight="1" x14ac:dyDescent="0.25">
      <c r="B248" s="11" t="s">
        <v>765</v>
      </c>
      <c r="C248" s="11" t="str">
        <f>VLOOKUP(Companies[[#This Row],[Symbol]],Morningstar,MATCH("Name",Morningstar_Cols,EXACT_MATCH),EXACT_MATCH)</f>
        <v>REV Group Inc</v>
      </c>
      <c r="D248" s="114">
        <f>VLOOKUP(Companies[[#This Row],[Symbol]],Morningstar,MATCH("mil$ Market Cap",Morningstar_Cols,0),0)</f>
        <v>382.08</v>
      </c>
      <c r="E248" s="115">
        <f>VLOOKUP(Companies[[#This Row],[Symbol]],Morningstar,MATCH("% Total Return 3 Month",Morningstar_Cols,EXACT_MATCH),EXACT_MATCH)/100</f>
        <v>-0.59660000000000002</v>
      </c>
      <c r="F248" s="115">
        <f>VLOOKUP(Companies[[#This Row],[Symbol]],Morningstar,MATCH("% Total Return 12 Month",Morningstar_Cols,EXACT_MATCH),EXACT_MATCH)/100</f>
        <v>-0.47350000000000003</v>
      </c>
      <c r="G248" s="116">
        <f>VLOOKUP(Companies[[#This Row],[Symbol]],Morningstar,MATCH("Price/Sales",Morningstar_Cols,EXACT_MATCH),EXACT_MATCH)</f>
        <v>0.16</v>
      </c>
      <c r="H248" s="117">
        <f>VLOOKUP(Companies[[#This Row],[Symbol]],Morningstar,MATCH("Price/Fair Value",Morningstar_Cols,EXACT_MATCH),EXACT_MATCH)</f>
        <v>0.44</v>
      </c>
      <c r="I24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248" s="107">
        <f>VLOOKUP(Companies[[#This Row],[Symbol]],Morningstar,MATCH("% Dividend Yield TTM",Morningstar_Cols,EXACT_MATCH),EXACT_MATCH)/100</f>
        <v>3.73E-2</v>
      </c>
      <c r="K248" s="119" t="str">
        <f>IFERROR(LOOKUP(2,1/(GrowthCurves[Ticker]=Companies[[#This Row],[Symbol]]),GrowthCurves[Metric]),"")</f>
        <v>1</v>
      </c>
      <c r="L248" s="94">
        <f>RatingDefault+SUM(Companies[[#This Row],[CurvePoints]:[PFVPoints]])</f>
        <v>3</v>
      </c>
      <c r="M248" s="94"/>
      <c r="N248" s="103">
        <f>IF(Companies[[#This Row],[Growth Curve]]&lt;&gt;"",Companies[[#This Row],[Growth Curve]]-3,0)</f>
        <v>-2</v>
      </c>
      <c r="O248" s="53">
        <f>IF(Companies[[#This Row],[PSR]]&gt;2,-1,IF(Companies[[#This Row],[PSR]]&lt;1,1,0))</f>
        <v>1</v>
      </c>
      <c r="P248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48" s="53">
        <f>IF(Companies[[#This Row],[PFV]]&lt;0.75,2,IF(Companies[[#This Row],[PFV]]&lt;0.95,1,IF(Companies[[#This Row],[PFV]]&gt;1.25,-2,IF(Companies[[#This Row],[PFV]]&gt;1.15,-1,0))))</f>
        <v>2</v>
      </c>
    </row>
    <row r="249" spans="2:17" s="53" customFormat="1" ht="25.15" customHeight="1" x14ac:dyDescent="0.25">
      <c r="B249" s="11" t="s">
        <v>99</v>
      </c>
      <c r="C249" s="11" t="str">
        <f>VLOOKUP(Companies[[#This Row],[Symbol]],Morningstar,MATCH("Name",Morningstar_Cols,EXACT_MATCH),EXACT_MATCH)</f>
        <v>Resolute Forest Products Inc</v>
      </c>
      <c r="D249" s="114">
        <f>VLOOKUP(Companies[[#This Row],[Symbol]],Morningstar,MATCH("mil$ Market Cap",Morningstar_Cols,0),0)</f>
        <v>179.37</v>
      </c>
      <c r="E249" s="115">
        <f>VLOOKUP(Companies[[#This Row],[Symbol]],Morningstar,MATCH("% Total Return 3 Month",Morningstar_Cols,EXACT_MATCH),EXACT_MATCH)/100</f>
        <v>-0.55899999999999994</v>
      </c>
      <c r="F249" s="115">
        <f>VLOOKUP(Companies[[#This Row],[Symbol]],Morningstar,MATCH("% Total Return 12 Month",Morningstar_Cols,EXACT_MATCH),EXACT_MATCH)/100</f>
        <v>-0.77300000000000002</v>
      </c>
      <c r="G249" s="116">
        <f>VLOOKUP(Companies[[#This Row],[Symbol]],Morningstar,MATCH("Price/Sales",Morningstar_Cols,EXACT_MATCH),EXACT_MATCH)</f>
        <v>7.0000000000000007E-2</v>
      </c>
      <c r="H249" s="117">
        <f>VLOOKUP(Companies[[#This Row],[Symbol]],Morningstar,MATCH("Price/Fair Value",Morningstar_Cols,EXACT_MATCH),EXACT_MATCH)</f>
        <v>0.44</v>
      </c>
      <c r="I24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249" s="107">
        <f>VLOOKUP(Companies[[#This Row],[Symbol]],Morningstar,MATCH("% Dividend Yield TTM",Morningstar_Cols,EXACT_MATCH),EXACT_MATCH)/100</f>
        <v>0</v>
      </c>
      <c r="K249" s="119" t="str">
        <f>IFERROR(LOOKUP(2,1/(GrowthCurves[Ticker]=Companies[[#This Row],[Symbol]]),GrowthCurves[Metric]),"")</f>
        <v>1</v>
      </c>
      <c r="L249" s="94">
        <f>RatingDefault+SUM(Companies[[#This Row],[CurvePoints]:[PFVPoints]])</f>
        <v>3</v>
      </c>
      <c r="M249" s="94"/>
      <c r="N249" s="103">
        <f>IF(Companies[[#This Row],[Growth Curve]]&lt;&gt;"",Companies[[#This Row],[Growth Curve]]-3,0)</f>
        <v>-2</v>
      </c>
      <c r="O249" s="53">
        <f>IF(Companies[[#This Row],[PSR]]&gt;2,-1,IF(Companies[[#This Row],[PSR]]&lt;1,1,0))</f>
        <v>1</v>
      </c>
      <c r="P249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49" s="53">
        <f>IF(Companies[[#This Row],[PFV]]&lt;0.75,2,IF(Companies[[#This Row],[PFV]]&lt;0.95,1,IF(Companies[[#This Row],[PFV]]&gt;1.25,-2,IF(Companies[[#This Row],[PFV]]&gt;1.15,-1,0))))</f>
        <v>2</v>
      </c>
    </row>
    <row r="250" spans="2:17" s="53" customFormat="1" ht="25.15" customHeight="1" x14ac:dyDescent="0.25">
      <c r="B250" s="11" t="s">
        <v>343</v>
      </c>
      <c r="C250" s="11" t="str">
        <f>VLOOKUP(Companies[[#This Row],[Symbol]],Morningstar,MATCH("Name",Morningstar_Cols,EXACT_MATCH),EXACT_MATCH)</f>
        <v>RH</v>
      </c>
      <c r="D250" s="114">
        <f>VLOOKUP(Companies[[#This Row],[Symbol]],Morningstar,MATCH("mil$ Market Cap",Morningstar_Cols,0),0)</f>
        <v>2203.1</v>
      </c>
      <c r="E250" s="115">
        <f>VLOOKUP(Companies[[#This Row],[Symbol]],Morningstar,MATCH("% Total Return 3 Month",Morningstar_Cols,EXACT_MATCH),EXACT_MATCH)/100</f>
        <v>-0.51129999999999998</v>
      </c>
      <c r="F250" s="115">
        <f>VLOOKUP(Companies[[#This Row],[Symbol]],Morningstar,MATCH("% Total Return 12 Month",Morningstar_Cols,EXACT_MATCH),EXACT_MATCH)/100</f>
        <v>-0.24109999999999998</v>
      </c>
      <c r="G250" s="116">
        <f>VLOOKUP(Companies[[#This Row],[Symbol]],Morningstar,MATCH("Price/Sales",Morningstar_Cols,EXACT_MATCH),EXACT_MATCH)</f>
        <v>1.06</v>
      </c>
      <c r="H250" s="117">
        <f>VLOOKUP(Companies[[#This Row],[Symbol]],Morningstar,MATCH("Price/Fair Value",Morningstar_Cols,EXACT_MATCH),EXACT_MATCH)</f>
        <v>0.69</v>
      </c>
      <c r="I25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50" s="107">
        <f>VLOOKUP(Companies[[#This Row],[Symbol]],Morningstar,MATCH("% Dividend Yield TTM",Morningstar_Cols,EXACT_MATCH),EXACT_MATCH)/100</f>
        <v>0</v>
      </c>
      <c r="K250" s="119" t="str">
        <f>IFERROR(LOOKUP(2,1/(GrowthCurves[Ticker]=Companies[[#This Row],[Symbol]]),GrowthCurves[Metric]),"")</f>
        <v/>
      </c>
      <c r="L250" s="94">
        <f>RatingDefault+SUM(Companies[[#This Row],[CurvePoints]:[PFVPoints]])</f>
        <v>5</v>
      </c>
      <c r="M250" s="94"/>
      <c r="N250" s="103">
        <f>IF(Companies[[#This Row],[Growth Curve]]&lt;&gt;"",Companies[[#This Row],[Growth Curve]]-3,0)</f>
        <v>0</v>
      </c>
      <c r="O250" s="53">
        <f>IF(Companies[[#This Row],[PSR]]&gt;2,-1,IF(Companies[[#This Row],[PSR]]&lt;1,1,0))</f>
        <v>0</v>
      </c>
      <c r="P250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50" s="53">
        <f>IF(Companies[[#This Row],[PFV]]&lt;0.75,2,IF(Companies[[#This Row],[PFV]]&lt;0.95,1,IF(Companies[[#This Row],[PFV]]&gt;1.25,-2,IF(Companies[[#This Row],[PFV]]&gt;1.15,-1,0))))</f>
        <v>2</v>
      </c>
    </row>
    <row r="251" spans="2:17" s="53" customFormat="1" ht="25.15" customHeight="1" x14ac:dyDescent="0.25">
      <c r="B251" s="11" t="s">
        <v>638</v>
      </c>
      <c r="C251" s="11" t="str">
        <f>VLOOKUP(Companies[[#This Row],[Symbol]],Morningstar,MATCH("Name",Morningstar_Cols,EXACT_MATCH),EXACT_MATCH)</f>
        <v>Roche Holding AG ADR</v>
      </c>
      <c r="D251" s="114">
        <f>VLOOKUP(Companies[[#This Row],[Symbol]],Morningstar,MATCH("mil$ Market Cap",Morningstar_Cols,0),0)</f>
        <v>268448.71000000002</v>
      </c>
      <c r="E251" s="115">
        <f>VLOOKUP(Companies[[#This Row],[Symbol]],Morningstar,MATCH("% Total Return 3 Month",Morningstar_Cols,EXACT_MATCH),EXACT_MATCH)/100</f>
        <v>-7.2300000000000003E-2</v>
      </c>
      <c r="F251" s="115">
        <f>VLOOKUP(Companies[[#This Row],[Symbol]],Morningstar,MATCH("% Total Return 12 Month",Morningstar_Cols,EXACT_MATCH),EXACT_MATCH)/100</f>
        <v>6.2899999999999998E-2</v>
      </c>
      <c r="G251" s="116">
        <f>VLOOKUP(Companies[[#This Row],[Symbol]],Morningstar,MATCH("Price/Sales",Morningstar_Cols,EXACT_MATCH),EXACT_MATCH)</f>
        <v>4.0599999999999996</v>
      </c>
      <c r="H251" s="117">
        <f>VLOOKUP(Companies[[#This Row],[Symbol]],Morningstar,MATCH("Price/Fair Value",Morningstar_Cols,EXACT_MATCH),EXACT_MATCH)</f>
        <v>0.78</v>
      </c>
      <c r="I25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251" s="107">
        <f>VLOOKUP(Companies[[#This Row],[Symbol]],Morningstar,MATCH("% Dividend Yield TTM",Morningstar_Cols,EXACT_MATCH),EXACT_MATCH)/100</f>
        <v>3.0099999999999998E-2</v>
      </c>
      <c r="K251" s="119" t="str">
        <f>IFERROR(LOOKUP(2,1/(GrowthCurves[Ticker]=Companies[[#This Row],[Symbol]]),GrowthCurves[Metric]),"")</f>
        <v>3</v>
      </c>
      <c r="L251" s="94">
        <f>RatingDefault+SUM(Companies[[#This Row],[CurvePoints]:[PFVPoints]])</f>
        <v>2</v>
      </c>
      <c r="M251" s="94"/>
      <c r="N251" s="103">
        <f>IF(Companies[[#This Row],[Growth Curve]]&lt;&gt;"",Companies[[#This Row],[Growth Curve]]-3,0)</f>
        <v>0</v>
      </c>
      <c r="O251" s="53">
        <f>IF(Companies[[#This Row],[PSR]]&gt;2,-1,IF(Companies[[#This Row],[PSR]]&lt;1,1,0))</f>
        <v>-1</v>
      </c>
      <c r="P251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51" s="53">
        <f>IF(Companies[[#This Row],[PFV]]&lt;0.75,2,IF(Companies[[#This Row],[PFV]]&lt;0.95,1,IF(Companies[[#This Row],[PFV]]&gt;1.25,-2,IF(Companies[[#This Row],[PFV]]&gt;1.15,-1,0))))</f>
        <v>1</v>
      </c>
    </row>
    <row r="252" spans="2:17" s="53" customFormat="1" ht="25.15" customHeight="1" x14ac:dyDescent="0.25">
      <c r="B252" s="11" t="s">
        <v>360</v>
      </c>
      <c r="C252" s="11" t="str">
        <f>VLOOKUP(Companies[[#This Row],[Symbol]],Morningstar,MATCH("Name",Morningstar_Cols,EXACT_MATCH),EXACT_MATCH)</f>
        <v>Ralph Lauren Corp Class A</v>
      </c>
      <c r="D252" s="114">
        <f>VLOOKUP(Companies[[#This Row],[Symbol]],Morningstar,MATCH("mil$ Market Cap",Morningstar_Cols,0),0)</f>
        <v>5868.36</v>
      </c>
      <c r="E252" s="115">
        <f>VLOOKUP(Companies[[#This Row],[Symbol]],Morningstar,MATCH("% Total Return 3 Month",Morningstar_Cols,EXACT_MATCH),EXACT_MATCH)/100</f>
        <v>-0.30579999999999996</v>
      </c>
      <c r="F252" s="115">
        <f>VLOOKUP(Companies[[#This Row],[Symbol]],Morningstar,MATCH("% Total Return 12 Month",Morningstar_Cols,EXACT_MATCH),EXACT_MATCH)/100</f>
        <v>-0.3296</v>
      </c>
      <c r="G252" s="116">
        <f>VLOOKUP(Companies[[#This Row],[Symbol]],Morningstar,MATCH("Price/Sales",Morningstar_Cols,EXACT_MATCH),EXACT_MATCH)</f>
        <v>0.98</v>
      </c>
      <c r="H252" s="117">
        <f>VLOOKUP(Companies[[#This Row],[Symbol]],Morningstar,MATCH("Price/Fair Value",Morningstar_Cols,EXACT_MATCH),EXACT_MATCH)</f>
        <v>0.66</v>
      </c>
      <c r="I25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52" s="107">
        <f>VLOOKUP(Companies[[#This Row],[Symbol]],Morningstar,MATCH("% Dividend Yield TTM",Morningstar_Cols,EXACT_MATCH),EXACT_MATCH)/100</f>
        <v>3.3700000000000001E-2</v>
      </c>
      <c r="K252" s="119" t="str">
        <f>IFERROR(LOOKUP(2,1/(GrowthCurves[Ticker]=Companies[[#This Row],[Symbol]]),GrowthCurves[Metric]),"")</f>
        <v/>
      </c>
      <c r="L252" s="94">
        <f>RatingDefault+SUM(Companies[[#This Row],[CurvePoints]:[PFVPoints]])</f>
        <v>6</v>
      </c>
      <c r="M252" s="94"/>
      <c r="N252" s="103">
        <f>IF(Companies[[#This Row],[Growth Curve]]&lt;&gt;"",Companies[[#This Row],[Growth Curve]]-3,0)</f>
        <v>0</v>
      </c>
      <c r="O252" s="53">
        <f>IF(Companies[[#This Row],[PSR]]&gt;2,-1,IF(Companies[[#This Row],[PSR]]&lt;1,1,0))</f>
        <v>1</v>
      </c>
      <c r="P252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52" s="53">
        <f>IF(Companies[[#This Row],[PFV]]&lt;0.75,2,IF(Companies[[#This Row],[PFV]]&lt;0.95,1,IF(Companies[[#This Row],[PFV]]&gt;1.25,-2,IF(Companies[[#This Row],[PFV]]&gt;1.15,-1,0))))</f>
        <v>2</v>
      </c>
    </row>
    <row r="253" spans="2:17" s="53" customFormat="1" ht="25.15" customHeight="1" x14ac:dyDescent="0.25">
      <c r="B253" s="52" t="s">
        <v>706</v>
      </c>
      <c r="C253" s="11" t="str">
        <f>VLOOKUP(Companies[[#This Row],[Symbol]],Morningstar,MATCH("Name",Morningstar_Cols,EXACT_MATCH),EXACT_MATCH)</f>
        <v>Range Resources Corp</v>
      </c>
      <c r="D253" s="114">
        <f>VLOOKUP(Companies[[#This Row],[Symbol]],Morningstar,MATCH("mil$ Market Cap",Morningstar_Cols,0),0)</f>
        <v>578.20000000000005</v>
      </c>
      <c r="E253" s="115">
        <f>VLOOKUP(Companies[[#This Row],[Symbol]],Morningstar,MATCH("% Total Return 3 Month",Morningstar_Cols,EXACT_MATCH),EXACT_MATCH)/100</f>
        <v>-0.55100000000000005</v>
      </c>
      <c r="F253" s="115">
        <f>VLOOKUP(Companies[[#This Row],[Symbol]],Morningstar,MATCH("% Total Return 12 Month",Morningstar_Cols,EXACT_MATCH),EXACT_MATCH)/100</f>
        <v>-0.79310000000000003</v>
      </c>
      <c r="G253" s="116">
        <f>VLOOKUP(Companies[[#This Row],[Symbol]],Morningstar,MATCH("Price/Sales",Morningstar_Cols,EXACT_MATCH),EXACT_MATCH)</f>
        <v>0.22</v>
      </c>
      <c r="H253" s="117">
        <f>VLOOKUP(Companies[[#This Row],[Symbol]],Morningstar,MATCH("Price/Fair Value",Morningstar_Cols,EXACT_MATCH),EXACT_MATCH)</f>
        <v>0.4</v>
      </c>
      <c r="I25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253" s="107">
        <f>VLOOKUP(Companies[[#This Row],[Symbol]],Morningstar,MATCH("% Dividend Yield TTM",Morningstar_Cols,EXACT_MATCH),EXACT_MATCH)/100</f>
        <v>3.8599999999999995E-2</v>
      </c>
      <c r="K253" s="119" t="str">
        <f>IFERROR(LOOKUP(2,1/(GrowthCurves[Ticker]=Companies[[#This Row],[Symbol]]),GrowthCurves[Metric]),"")</f>
        <v>2</v>
      </c>
      <c r="L253" s="94">
        <f>RatingDefault+SUM(Companies[[#This Row],[CurvePoints]:[PFVPoints]])</f>
        <v>4</v>
      </c>
      <c r="M253" s="94"/>
      <c r="N253" s="102">
        <f>IF(Companies[[#This Row],[Growth Curve]]&lt;&gt;"",Companies[[#This Row],[Growth Curve]]-3,0)</f>
        <v>-1</v>
      </c>
      <c r="O253" s="52">
        <f>IF(Companies[[#This Row],[PSR]]&gt;2,-1,IF(Companies[[#This Row],[PSR]]&lt;1,1,0))</f>
        <v>1</v>
      </c>
      <c r="P253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53" s="53">
        <f>IF(Companies[[#This Row],[PFV]]&lt;0.75,2,IF(Companies[[#This Row],[PFV]]&lt;0.95,1,IF(Companies[[#This Row],[PFV]]&gt;1.25,-2,IF(Companies[[#This Row],[PFV]]&gt;1.15,-1,0))))</f>
        <v>2</v>
      </c>
    </row>
    <row r="254" spans="2:17" s="53" customFormat="1" ht="25.15" customHeight="1" x14ac:dyDescent="0.25">
      <c r="B254" s="11" t="s">
        <v>37</v>
      </c>
      <c r="C254" s="11" t="str">
        <f>VLOOKUP(Companies[[#This Row],[Symbol]],Morningstar,MATCH("Name",Morningstar_Cols,EXACT_MATCH),EXACT_MATCH)</f>
        <v>Rush Enterprises Inc A</v>
      </c>
      <c r="D254" s="114">
        <f>VLOOKUP(Companies[[#This Row],[Symbol]],Morningstar,MATCH("mil$ Market Cap",Morningstar_Cols,0),0)</f>
        <v>1162</v>
      </c>
      <c r="E254" s="115">
        <f>VLOOKUP(Companies[[#This Row],[Symbol]],Morningstar,MATCH("% Total Return 3 Month",Morningstar_Cols,EXACT_MATCH),EXACT_MATCH)/100</f>
        <v>-0.36950000000000005</v>
      </c>
      <c r="F254" s="115">
        <f>VLOOKUP(Companies[[#This Row],[Symbol]],Morningstar,MATCH("% Total Return 12 Month",Morningstar_Cols,EXACT_MATCH),EXACT_MATCH)/100</f>
        <v>-0.24489999999999998</v>
      </c>
      <c r="G254" s="116">
        <f>VLOOKUP(Companies[[#This Row],[Symbol]],Morningstar,MATCH("Price/Sales",Morningstar_Cols,EXACT_MATCH),EXACT_MATCH)</f>
        <v>0.21</v>
      </c>
      <c r="H254" s="117">
        <f>VLOOKUP(Companies[[#This Row],[Symbol]],Morningstar,MATCH("Price/Fair Value",Morningstar_Cols,EXACT_MATCH),EXACT_MATCH)</f>
        <v>0.67</v>
      </c>
      <c r="I25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54" s="107">
        <f>VLOOKUP(Companies[[#This Row],[Symbol]],Morningstar,MATCH("% Dividend Yield TTM",Morningstar_Cols,EXACT_MATCH),EXACT_MATCH)/100</f>
        <v>1.6500000000000001E-2</v>
      </c>
      <c r="K254" s="119" t="str">
        <f>IFERROR(LOOKUP(2,1/(GrowthCurves[Ticker]=Companies[[#This Row],[Symbol]]),GrowthCurves[Metric]),"")</f>
        <v>2</v>
      </c>
      <c r="L254" s="94">
        <f>RatingDefault+SUM(Companies[[#This Row],[CurvePoints]:[PFVPoints]])</f>
        <v>5</v>
      </c>
      <c r="M254" s="94"/>
      <c r="N254" s="103">
        <f>IF(Companies[[#This Row],[Growth Curve]]&lt;&gt;"",Companies[[#This Row],[Growth Curve]]-3,0)</f>
        <v>-1</v>
      </c>
      <c r="O254" s="53">
        <f>IF(Companies[[#This Row],[PSR]]&gt;2,-1,IF(Companies[[#This Row],[PSR]]&lt;1,1,0))</f>
        <v>1</v>
      </c>
      <c r="P254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54" s="53">
        <f>IF(Companies[[#This Row],[PFV]]&lt;0.75,2,IF(Companies[[#This Row],[PFV]]&lt;0.95,1,IF(Companies[[#This Row],[PFV]]&gt;1.25,-2,IF(Companies[[#This Row],[PFV]]&gt;1.15,-1,0))))</f>
        <v>2</v>
      </c>
    </row>
    <row r="255" spans="2:17" s="53" customFormat="1" ht="25.15" customHeight="1" x14ac:dyDescent="0.25">
      <c r="B255" s="52" t="s">
        <v>873</v>
      </c>
      <c r="C255" s="11" t="str">
        <f>VLOOKUP(Companies[[#This Row],[Symbol]],Morningstar,MATCH("Name",Morningstar_Cols,EXACT_MATCH),EXACT_MATCH)</f>
        <v>Rolls-Royce Holdings PLC ADR</v>
      </c>
      <c r="D255" s="114">
        <f>VLOOKUP(Companies[[#This Row],[Symbol]],Morningstar,MATCH("mil$ Market Cap",Morningstar_Cols,0),0)</f>
        <v>11497.1</v>
      </c>
      <c r="E255" s="115">
        <f>VLOOKUP(Companies[[#This Row],[Symbol]],Morningstar,MATCH("% Total Return 3 Month",Morningstar_Cols,EXACT_MATCH),EXACT_MATCH)/100</f>
        <v>-0.35240000000000005</v>
      </c>
      <c r="F255" s="115">
        <f>VLOOKUP(Companies[[#This Row],[Symbol]],Morningstar,MATCH("% Total Return 12 Month",Morningstar_Cols,EXACT_MATCH),EXACT_MATCH)/100</f>
        <v>-0.47490000000000004</v>
      </c>
      <c r="G255" s="116">
        <f>VLOOKUP(Companies[[#This Row],[Symbol]],Morningstar,MATCH("Price/Sales",Morningstar_Cols,EXACT_MATCH),EXACT_MATCH)</f>
        <v>0.55000000000000004</v>
      </c>
      <c r="H255" s="117">
        <f>VLOOKUP(Companies[[#This Row],[Symbol]],Morningstar,MATCH("Price/Fair Value",Morningstar_Cols,EXACT_MATCH),EXACT_MATCH)</f>
        <v>0.53</v>
      </c>
      <c r="I25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255" s="107">
        <f>VLOOKUP(Companies[[#This Row],[Symbol]],Morningstar,MATCH("% Dividend Yield TTM",Morningstar_Cols,EXACT_MATCH),EXACT_MATCH)/100</f>
        <v>2.4900000000000002E-2</v>
      </c>
      <c r="K255" s="119" t="str">
        <f>IFERROR(LOOKUP(2,1/(GrowthCurves[Ticker]=Companies[[#This Row],[Symbol]]),GrowthCurves[Metric]),"")</f>
        <v>2</v>
      </c>
      <c r="L255" s="94">
        <f>RatingDefault+SUM(Companies[[#This Row],[CurvePoints]:[PFVPoints]])</f>
        <v>4</v>
      </c>
      <c r="M255" s="94"/>
      <c r="N255" s="102">
        <f>IF(Companies[[#This Row],[Growth Curve]]&lt;&gt;"",Companies[[#This Row],[Growth Curve]]-3,0)</f>
        <v>-1</v>
      </c>
      <c r="O255" s="52">
        <f>IF(Companies[[#This Row],[PSR]]&gt;2,-1,IF(Companies[[#This Row],[PSR]]&lt;1,1,0))</f>
        <v>1</v>
      </c>
      <c r="P255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55" s="53">
        <f>IF(Companies[[#This Row],[PFV]]&lt;0.75,2,IF(Companies[[#This Row],[PFV]]&lt;0.95,1,IF(Companies[[#This Row],[PFV]]&gt;1.25,-2,IF(Companies[[#This Row],[PFV]]&gt;1.15,-1,0))))</f>
        <v>2</v>
      </c>
    </row>
    <row r="256" spans="2:17" s="53" customFormat="1" ht="25.15" customHeight="1" x14ac:dyDescent="0.25">
      <c r="B256" s="11" t="s">
        <v>640</v>
      </c>
      <c r="C256" s="11" t="str">
        <f>VLOOKUP(Companies[[#This Row],[Symbol]],Morningstar,MATCH("Name",Morningstar_Cols,EXACT_MATCH),EXACT_MATCH)</f>
        <v>Starbucks Corp</v>
      </c>
      <c r="D256" s="114">
        <f>VLOOKUP(Companies[[#This Row],[Symbol]],Morningstar,MATCH("mil$ Market Cap",Morningstar_Cols,0),0)</f>
        <v>77382.039999999994</v>
      </c>
      <c r="E256" s="115">
        <f>VLOOKUP(Companies[[#This Row],[Symbol]],Morningstar,MATCH("% Total Return 3 Month",Morningstar_Cols,EXACT_MATCH),EXACT_MATCH)/100</f>
        <v>-0.29139999999999999</v>
      </c>
      <c r="F256" s="115">
        <f>VLOOKUP(Companies[[#This Row],[Symbol]],Morningstar,MATCH("% Total Return 12 Month",Morningstar_Cols,EXACT_MATCH),EXACT_MATCH)/100</f>
        <v>-9.1499999999999998E-2</v>
      </c>
      <c r="G256" s="116">
        <f>VLOOKUP(Companies[[#This Row],[Symbol]],Morningstar,MATCH("Price/Sales",Morningstar_Cols,EXACT_MATCH),EXACT_MATCH)</f>
        <v>2.97</v>
      </c>
      <c r="H256" s="117">
        <f>VLOOKUP(Companies[[#This Row],[Symbol]],Morningstar,MATCH("Price/Fair Value",Morningstar_Cols,EXACT_MATCH),EXACT_MATCH)</f>
        <v>0.72</v>
      </c>
      <c r="I25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56" s="107">
        <f>VLOOKUP(Companies[[#This Row],[Symbol]],Morningstar,MATCH("% Dividend Yield TTM",Morningstar_Cols,EXACT_MATCH),EXACT_MATCH)/100</f>
        <v>2.4799999999999999E-2</v>
      </c>
      <c r="K256" s="119" t="str">
        <f>IFERROR(LOOKUP(2,1/(GrowthCurves[Ticker]=Companies[[#This Row],[Symbol]]),GrowthCurves[Metric]),"")</f>
        <v>5</v>
      </c>
      <c r="L256" s="94">
        <f>RatingDefault+SUM(Companies[[#This Row],[CurvePoints]:[PFVPoints]])</f>
        <v>7</v>
      </c>
      <c r="M256" s="94"/>
      <c r="N256" s="103">
        <f>IF(Companies[[#This Row],[Growth Curve]]&lt;&gt;"",Companies[[#This Row],[Growth Curve]]-3,0)</f>
        <v>2</v>
      </c>
      <c r="O256" s="53">
        <f>IF(Companies[[#This Row],[PSR]]&gt;2,-1,IF(Companies[[#This Row],[PSR]]&lt;1,1,0))</f>
        <v>-1</v>
      </c>
      <c r="P256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56" s="53">
        <f>IF(Companies[[#This Row],[PFV]]&lt;0.75,2,IF(Companies[[#This Row],[PFV]]&lt;0.95,1,IF(Companies[[#This Row],[PFV]]&gt;1.25,-2,IF(Companies[[#This Row],[PFV]]&gt;1.15,-1,0))))</f>
        <v>2</v>
      </c>
    </row>
    <row r="257" spans="2:17" s="53" customFormat="1" ht="25.15" customHeight="1" x14ac:dyDescent="0.25">
      <c r="B257" s="52" t="s">
        <v>640</v>
      </c>
      <c r="C257" s="11" t="str">
        <f>VLOOKUP(Companies[[#This Row],[Symbol]],Morningstar,MATCH("Name",Morningstar_Cols,EXACT_MATCH),EXACT_MATCH)</f>
        <v>Starbucks Corp</v>
      </c>
      <c r="D257" s="114">
        <f>VLOOKUP(Companies[[#This Row],[Symbol]],Morningstar,MATCH("mil$ Market Cap",Morningstar_Cols,0),0)</f>
        <v>77382.039999999994</v>
      </c>
      <c r="E257" s="115">
        <f>VLOOKUP(Companies[[#This Row],[Symbol]],Morningstar,MATCH("% Total Return 3 Month",Morningstar_Cols,EXACT_MATCH),EXACT_MATCH)/100</f>
        <v>-0.29139999999999999</v>
      </c>
      <c r="F257" s="115">
        <f>VLOOKUP(Companies[[#This Row],[Symbol]],Morningstar,MATCH("% Total Return 12 Month",Morningstar_Cols,EXACT_MATCH),EXACT_MATCH)/100</f>
        <v>-9.1499999999999998E-2</v>
      </c>
      <c r="G257" s="116">
        <f>VLOOKUP(Companies[[#This Row],[Symbol]],Morningstar,MATCH("Price/Sales",Morningstar_Cols,EXACT_MATCH),EXACT_MATCH)</f>
        <v>2.97</v>
      </c>
      <c r="H257" s="117">
        <f>VLOOKUP(Companies[[#This Row],[Symbol]],Morningstar,MATCH("Price/Fair Value",Morningstar_Cols,EXACT_MATCH),EXACT_MATCH)</f>
        <v>0.72</v>
      </c>
      <c r="I25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57" s="107">
        <f>VLOOKUP(Companies[[#This Row],[Symbol]],Morningstar,MATCH("% Dividend Yield TTM",Morningstar_Cols,EXACT_MATCH),EXACT_MATCH)/100</f>
        <v>2.4799999999999999E-2</v>
      </c>
      <c r="K257" s="119" t="str">
        <f>IFERROR(LOOKUP(2,1/(GrowthCurves[Ticker]=Companies[[#This Row],[Symbol]]),GrowthCurves[Metric]),"")</f>
        <v>5</v>
      </c>
      <c r="L257" s="94">
        <f>RatingDefault+SUM(Companies[[#This Row],[CurvePoints]:[PFVPoints]])</f>
        <v>7</v>
      </c>
      <c r="M257" s="94"/>
      <c r="N257" s="102">
        <f>IF(Companies[[#This Row],[Growth Curve]]&lt;&gt;"",Companies[[#This Row],[Growth Curve]]-3,0)</f>
        <v>2</v>
      </c>
      <c r="O257" s="52">
        <f>IF(Companies[[#This Row],[PSR]]&gt;2,-1,IF(Companies[[#This Row],[PSR]]&lt;1,1,0))</f>
        <v>-1</v>
      </c>
      <c r="P257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57" s="53">
        <f>IF(Companies[[#This Row],[PFV]]&lt;0.75,2,IF(Companies[[#This Row],[PFV]]&lt;0.95,1,IF(Companies[[#This Row],[PFV]]&gt;1.25,-2,IF(Companies[[#This Row],[PFV]]&gt;1.15,-1,0))))</f>
        <v>2</v>
      </c>
    </row>
    <row r="258" spans="2:17" s="53" customFormat="1" ht="25.15" customHeight="1" x14ac:dyDescent="0.25">
      <c r="B258" s="52" t="s">
        <v>642</v>
      </c>
      <c r="C258" s="11" t="str">
        <f>VLOOKUP(Companies[[#This Row],[Symbol]],Morningstar,MATCH("Name",Morningstar_Cols,EXACT_MATCH),EXACT_MATCH)</f>
        <v>SCANA Corp</v>
      </c>
      <c r="D258" s="114">
        <f>VLOOKUP(Companies[[#This Row],[Symbol]],Morningstar,MATCH("mil$ Market Cap",Morningstar_Cols,0),0)</f>
        <v>0</v>
      </c>
      <c r="E258" s="115">
        <f>VLOOKUP(Companies[[#This Row],[Symbol]],Morningstar,MATCH("% Total Return 3 Month",Morningstar_Cols,EXACT_MATCH),EXACT_MATCH)/100</f>
        <v>0</v>
      </c>
      <c r="F258" s="115">
        <f>VLOOKUP(Companies[[#This Row],[Symbol]],Morningstar,MATCH("% Total Return 12 Month",Morningstar_Cols,EXACT_MATCH),EXACT_MATCH)/100</f>
        <v>0</v>
      </c>
      <c r="G258" s="116">
        <f>VLOOKUP(Companies[[#This Row],[Symbol]],Morningstar,MATCH("Price/Sales",Morningstar_Cols,EXACT_MATCH),EXACT_MATCH)</f>
        <v>0</v>
      </c>
      <c r="H258" s="117">
        <f>VLOOKUP(Companies[[#This Row],[Symbol]],Morningstar,MATCH("Price/Fair Value",Morningstar_Cols,EXACT_MATCH),EXACT_MATCH)</f>
        <v>0</v>
      </c>
      <c r="I25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258" s="107">
        <f>VLOOKUP(Companies[[#This Row],[Symbol]],Morningstar,MATCH("% Dividend Yield TTM",Morningstar_Cols,EXACT_MATCH),EXACT_MATCH)/100</f>
        <v>0</v>
      </c>
      <c r="K258" s="119" t="str">
        <f>IFERROR(LOOKUP(2,1/(GrowthCurves[Ticker]=Companies[[#This Row],[Symbol]]),GrowthCurves[Metric]),"")</f>
        <v>5</v>
      </c>
      <c r="L258" s="94">
        <f>RatingDefault+SUM(Companies[[#This Row],[CurvePoints]:[PFVPoints]])</f>
        <v>7</v>
      </c>
      <c r="M258" s="94"/>
      <c r="N258" s="102">
        <f>IF(Companies[[#This Row],[Growth Curve]]&lt;&gt;"",Companies[[#This Row],[Growth Curve]]-3,0)</f>
        <v>2</v>
      </c>
      <c r="O258" s="52">
        <f>IF(Companies[[#This Row],[PSR]]&gt;2,-1,IF(Companies[[#This Row],[PSR]]&lt;1,1,0))</f>
        <v>1</v>
      </c>
      <c r="P258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58" s="53">
        <f>IF(Companies[[#This Row],[PFV]]&lt;0.75,2,IF(Companies[[#This Row],[PFV]]&lt;0.95,1,IF(Companies[[#This Row],[PFV]]&gt;1.25,-2,IF(Companies[[#This Row],[PFV]]&gt;1.15,-1,0))))</f>
        <v>2</v>
      </c>
    </row>
    <row r="259" spans="2:17" s="53" customFormat="1" ht="25.15" customHeight="1" x14ac:dyDescent="0.25">
      <c r="B259" s="11" t="s">
        <v>270</v>
      </c>
      <c r="C259" s="11" t="str">
        <f>VLOOKUP(Companies[[#This Row],[Symbol]],Morningstar,MATCH("Name",Morningstar_Cols,EXACT_MATCH),EXACT_MATCH)</f>
        <v>Schnitzer Steel Industries Inc Class A</v>
      </c>
      <c r="D259" s="114">
        <f>VLOOKUP(Companies[[#This Row],[Symbol]],Morningstar,MATCH("mil$ Market Cap",Morningstar_Cols,0),0)</f>
        <v>377.56</v>
      </c>
      <c r="E259" s="115">
        <f>VLOOKUP(Companies[[#This Row],[Symbol]],Morningstar,MATCH("% Total Return 3 Month",Morningstar_Cols,EXACT_MATCH),EXACT_MATCH)/100</f>
        <v>-0.41830000000000001</v>
      </c>
      <c r="F259" s="115">
        <f>VLOOKUP(Companies[[#This Row],[Symbol]],Morningstar,MATCH("% Total Return 12 Month",Morningstar_Cols,EXACT_MATCH),EXACT_MATCH)/100</f>
        <v>-0.42259999999999998</v>
      </c>
      <c r="G259" s="116">
        <f>VLOOKUP(Companies[[#This Row],[Symbol]],Morningstar,MATCH("Price/Sales",Morningstar_Cols,EXACT_MATCH),EXACT_MATCH)</f>
        <v>0.2</v>
      </c>
      <c r="H259" s="117">
        <f>VLOOKUP(Companies[[#This Row],[Symbol]],Morningstar,MATCH("Price/Fair Value",Morningstar_Cols,EXACT_MATCH),EXACT_MATCH)</f>
        <v>0.82</v>
      </c>
      <c r="I25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59" s="107">
        <f>VLOOKUP(Companies[[#This Row],[Symbol]],Morningstar,MATCH("% Dividend Yield TTM",Morningstar_Cols,EXACT_MATCH),EXACT_MATCH)/100</f>
        <v>5.8499999999999996E-2</v>
      </c>
      <c r="K259" s="119" t="str">
        <f>IFERROR(LOOKUP(2,1/(GrowthCurves[Ticker]=Companies[[#This Row],[Symbol]]),GrowthCurves[Metric]),"")</f>
        <v/>
      </c>
      <c r="L259" s="94">
        <f>RatingDefault+SUM(Companies[[#This Row],[CurvePoints]:[PFVPoints]])</f>
        <v>5</v>
      </c>
      <c r="M259" s="94"/>
      <c r="N259" s="103">
        <f>IF(Companies[[#This Row],[Growth Curve]]&lt;&gt;"",Companies[[#This Row],[Growth Curve]]-3,0)</f>
        <v>0</v>
      </c>
      <c r="O259" s="53">
        <f>IF(Companies[[#This Row],[PSR]]&gt;2,-1,IF(Companies[[#This Row],[PSR]]&lt;1,1,0))</f>
        <v>1</v>
      </c>
      <c r="P259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59" s="53">
        <f>IF(Companies[[#This Row],[PFV]]&lt;0.75,2,IF(Companies[[#This Row],[PFV]]&lt;0.95,1,IF(Companies[[#This Row],[PFV]]&gt;1.25,-2,IF(Companies[[#This Row],[PFV]]&gt;1.15,-1,0))))</f>
        <v>1</v>
      </c>
    </row>
    <row r="260" spans="2:17" s="53" customFormat="1" ht="25.15" customHeight="1" x14ac:dyDescent="0.25">
      <c r="B260" s="11" t="s">
        <v>929</v>
      </c>
      <c r="C260" s="11" t="str">
        <f>VLOOKUP(Companies[[#This Row],[Symbol]],Morningstar,MATCH("Name",Morningstar_Cols,EXACT_MATCH),EXACT_MATCH)</f>
        <v>ProShares UltraPro Short Dow30</v>
      </c>
      <c r="D260" s="114">
        <f>VLOOKUP(Companies[[#This Row],[Symbol]],Morningstar,MATCH("mil$ Market Cap",Morningstar_Cols,0),0)</f>
        <v>0</v>
      </c>
      <c r="E260" s="115">
        <f>VLOOKUP(Companies[[#This Row],[Symbol]],Morningstar,MATCH("% Total Return 3 Month",Morningstar_Cols,EXACT_MATCH),EXACT_MATCH)/100</f>
        <v>0.90959999999999996</v>
      </c>
      <c r="F260" s="115">
        <f>VLOOKUP(Companies[[#This Row],[Symbol]],Morningstar,MATCH("% Total Return 12 Month",Morningstar_Cols,EXACT_MATCH),EXACT_MATCH)/100</f>
        <v>0.34939999999999999</v>
      </c>
      <c r="G260" s="116">
        <f>VLOOKUP(Companies[[#This Row],[Symbol]],Morningstar,MATCH("Price/Sales",Morningstar_Cols,EXACT_MATCH),EXACT_MATCH)</f>
        <v>0</v>
      </c>
      <c r="H260" s="117">
        <f>VLOOKUP(Companies[[#This Row],[Symbol]],Morningstar,MATCH("Price/Fair Value",Morningstar_Cols,EXACT_MATCH),EXACT_MATCH)</f>
        <v>0</v>
      </c>
      <c r="I26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260" s="107">
        <f>VLOOKUP(Companies[[#This Row],[Symbol]],Morningstar,MATCH("% Dividend Yield TTM",Morningstar_Cols,EXACT_MATCH),EXACT_MATCH)/100</f>
        <v>1.6E-2</v>
      </c>
      <c r="K260" s="119" t="str">
        <f>IFERROR(LOOKUP(2,1/(GrowthCurves[Ticker]=Companies[[#This Row],[Symbol]]),GrowthCurves[Metric]),"")</f>
        <v/>
      </c>
      <c r="L260" s="94">
        <f>RatingDefault+SUM(Companies[[#This Row],[CurvePoints]:[PFVPoints]])</f>
        <v>5</v>
      </c>
      <c r="M260" s="94"/>
      <c r="N260" s="103">
        <f>IF(Companies[[#This Row],[Growth Curve]]&lt;&gt;"",Companies[[#This Row],[Growth Curve]]-3,0)</f>
        <v>0</v>
      </c>
      <c r="O260" s="53">
        <f>IF(Companies[[#This Row],[PSR]]&gt;2,-1,IF(Companies[[#This Row],[PSR]]&lt;1,1,0))</f>
        <v>1</v>
      </c>
      <c r="P260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60" s="53">
        <f>IF(Companies[[#This Row],[PFV]]&lt;0.75,2,IF(Companies[[#This Row],[PFV]]&lt;0.95,1,IF(Companies[[#This Row],[PFV]]&gt;1.25,-2,IF(Companies[[#This Row],[PFV]]&gt;1.15,-1,0))))</f>
        <v>2</v>
      </c>
    </row>
    <row r="261" spans="2:17" s="53" customFormat="1" ht="25.15" customHeight="1" x14ac:dyDescent="0.25">
      <c r="B261" s="11" t="s">
        <v>291</v>
      </c>
      <c r="C261" s="11" t="str">
        <f>VLOOKUP(Companies[[#This Row],[Symbol]],Morningstar,MATCH("Name",Morningstar_Cols,EXACT_MATCH),EXACT_MATCH)</f>
        <v>Select Medical Holdings Corp</v>
      </c>
      <c r="D261" s="114">
        <f>VLOOKUP(Companies[[#This Row],[Symbol]],Morningstar,MATCH("mil$ Market Cap",Morningstar_Cols,0),0)</f>
        <v>2394.84</v>
      </c>
      <c r="E261" s="115">
        <f>VLOOKUP(Companies[[#This Row],[Symbol]],Morningstar,MATCH("% Total Return 3 Month",Morningstar_Cols,EXACT_MATCH),EXACT_MATCH)/100</f>
        <v>-0.2306</v>
      </c>
      <c r="F261" s="115">
        <f>VLOOKUP(Companies[[#This Row],[Symbol]],Morningstar,MATCH("% Total Return 12 Month",Morningstar_Cols,EXACT_MATCH),EXACT_MATCH)/100</f>
        <v>0.26679999999999998</v>
      </c>
      <c r="G261" s="116">
        <f>VLOOKUP(Companies[[#This Row],[Symbol]],Morningstar,MATCH("Price/Sales",Morningstar_Cols,EXACT_MATCH),EXACT_MATCH)</f>
        <v>0.42</v>
      </c>
      <c r="H261" s="117">
        <f>VLOOKUP(Companies[[#This Row],[Symbol]],Morningstar,MATCH("Price/Fair Value",Morningstar_Cols,EXACT_MATCH),EXACT_MATCH)</f>
        <v>0.68</v>
      </c>
      <c r="I26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61" s="107">
        <f>VLOOKUP(Companies[[#This Row],[Symbol]],Morningstar,MATCH("% Dividend Yield TTM",Morningstar_Cols,EXACT_MATCH),EXACT_MATCH)/100</f>
        <v>0</v>
      </c>
      <c r="K261" s="119" t="str">
        <f>IFERROR(LOOKUP(2,1/(GrowthCurves[Ticker]=Companies[[#This Row],[Symbol]]),GrowthCurves[Metric]),"")</f>
        <v>3</v>
      </c>
      <c r="L261" s="94">
        <f>RatingDefault+SUM(Companies[[#This Row],[CurvePoints]:[PFVPoints]])</f>
        <v>6</v>
      </c>
      <c r="M261" s="94"/>
      <c r="N261" s="103">
        <f>IF(Companies[[#This Row],[Growth Curve]]&lt;&gt;"",Companies[[#This Row],[Growth Curve]]-3,0)</f>
        <v>0</v>
      </c>
      <c r="O261" s="53">
        <f>IF(Companies[[#This Row],[PSR]]&gt;2,-1,IF(Companies[[#This Row],[PSR]]&lt;1,1,0))</f>
        <v>1</v>
      </c>
      <c r="P261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61" s="53">
        <f>IF(Companies[[#This Row],[PFV]]&lt;0.75,2,IF(Companies[[#This Row],[PFV]]&lt;0.95,1,IF(Companies[[#This Row],[PFV]]&gt;1.25,-2,IF(Companies[[#This Row],[PFV]]&gt;1.15,-1,0))))</f>
        <v>2</v>
      </c>
    </row>
    <row r="262" spans="2:17" s="53" customFormat="1" ht="25.15" customHeight="1" x14ac:dyDescent="0.25">
      <c r="B262" s="11" t="s">
        <v>796</v>
      </c>
      <c r="C262" s="11" t="str">
        <f>VLOOKUP(Companies[[#This Row],[Symbol]],Morningstar,MATCH("Name",Morningstar_Cols,EXACT_MATCH),EXACT_MATCH)</f>
        <v>Spectra Energy Partners LP</v>
      </c>
      <c r="D262" s="114">
        <f>VLOOKUP(Companies[[#This Row],[Symbol]],Morningstar,MATCH("mil$ Market Cap",Morningstar_Cols,0),0)</f>
        <v>0</v>
      </c>
      <c r="E262" s="115">
        <f>VLOOKUP(Companies[[#This Row],[Symbol]],Morningstar,MATCH("% Total Return 3 Month",Morningstar_Cols,EXACT_MATCH),EXACT_MATCH)/100</f>
        <v>0</v>
      </c>
      <c r="F262" s="115">
        <f>VLOOKUP(Companies[[#This Row],[Symbol]],Morningstar,MATCH("% Total Return 12 Month",Morningstar_Cols,EXACT_MATCH),EXACT_MATCH)/100</f>
        <v>0</v>
      </c>
      <c r="G262" s="116">
        <f>VLOOKUP(Companies[[#This Row],[Symbol]],Morningstar,MATCH("Price/Sales",Morningstar_Cols,EXACT_MATCH),EXACT_MATCH)</f>
        <v>0</v>
      </c>
      <c r="H262" s="117">
        <f>VLOOKUP(Companies[[#This Row],[Symbol]],Morningstar,MATCH("Price/Fair Value",Morningstar_Cols,EXACT_MATCH),EXACT_MATCH)</f>
        <v>0</v>
      </c>
      <c r="I26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262" s="107">
        <f>VLOOKUP(Companies[[#This Row],[Symbol]],Morningstar,MATCH("% Dividend Yield TTM",Morningstar_Cols,EXACT_MATCH),EXACT_MATCH)/100</f>
        <v>0</v>
      </c>
      <c r="K262" s="119" t="str">
        <f>IFERROR(LOOKUP(2,1/(GrowthCurves[Ticker]=Companies[[#This Row],[Symbol]]),GrowthCurves[Metric]),"")</f>
        <v>3</v>
      </c>
      <c r="L262" s="94">
        <f>RatingDefault+SUM(Companies[[#This Row],[CurvePoints]:[PFVPoints]])</f>
        <v>5</v>
      </c>
      <c r="M262" s="94"/>
      <c r="N262" s="103">
        <f>IF(Companies[[#This Row],[Growth Curve]]&lt;&gt;"",Companies[[#This Row],[Growth Curve]]-3,0)</f>
        <v>0</v>
      </c>
      <c r="O262" s="53">
        <f>IF(Companies[[#This Row],[PSR]]&gt;2,-1,IF(Companies[[#This Row],[PSR]]&lt;1,1,0))</f>
        <v>1</v>
      </c>
      <c r="P262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62" s="53">
        <f>IF(Companies[[#This Row],[PFV]]&lt;0.75,2,IF(Companies[[#This Row],[PFV]]&lt;0.95,1,IF(Companies[[#This Row],[PFV]]&gt;1.25,-2,IF(Companies[[#This Row],[PFV]]&gt;1.15,-1,0))))</f>
        <v>2</v>
      </c>
    </row>
    <row r="263" spans="2:17" s="53" customFormat="1" ht="25.15" customHeight="1" x14ac:dyDescent="0.25">
      <c r="B263" s="11" t="s">
        <v>344</v>
      </c>
      <c r="C263" s="11" t="str">
        <f>VLOOKUP(Companies[[#This Row],[Symbol]],Morningstar,MATCH("Name",Morningstar_Cols,EXACT_MATCH),EXACT_MATCH)</f>
        <v>Scientific Games Corp Class A</v>
      </c>
      <c r="D263" s="114">
        <f>VLOOKUP(Companies[[#This Row],[Symbol]],Morningstar,MATCH("mil$ Market Cap",Morningstar_Cols,0),0)</f>
        <v>749.09</v>
      </c>
      <c r="E263" s="115">
        <f>VLOOKUP(Companies[[#This Row],[Symbol]],Morningstar,MATCH("% Total Return 3 Month",Morningstar_Cols,EXACT_MATCH),EXACT_MATCH)/100</f>
        <v>-0.70889999999999997</v>
      </c>
      <c r="F263" s="115">
        <f>VLOOKUP(Companies[[#This Row],[Symbol]],Morningstar,MATCH("% Total Return 12 Month",Morningstar_Cols,EXACT_MATCH),EXACT_MATCH)/100</f>
        <v>-0.64790000000000003</v>
      </c>
      <c r="G263" s="116">
        <f>VLOOKUP(Companies[[#This Row],[Symbol]],Morningstar,MATCH("Price/Sales",Morningstar_Cols,EXACT_MATCH),EXACT_MATCH)</f>
        <v>0.22</v>
      </c>
      <c r="H263" s="117">
        <f>VLOOKUP(Companies[[#This Row],[Symbol]],Morningstar,MATCH("Price/Fair Value",Morningstar_Cols,EXACT_MATCH),EXACT_MATCH)</f>
        <v>0.43</v>
      </c>
      <c r="I26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263" s="107">
        <f>VLOOKUP(Companies[[#This Row],[Symbol]],Morningstar,MATCH("% Dividend Yield TTM",Morningstar_Cols,EXACT_MATCH),EXACT_MATCH)/100</f>
        <v>0</v>
      </c>
      <c r="K263" s="119" t="str">
        <f>IFERROR(LOOKUP(2,1/(GrowthCurves[Ticker]=Companies[[#This Row],[Symbol]]),GrowthCurves[Metric]),"")</f>
        <v>1</v>
      </c>
      <c r="L263" s="94">
        <f>RatingDefault+SUM(Companies[[#This Row],[CurvePoints]:[PFVPoints]])</f>
        <v>3</v>
      </c>
      <c r="M263" s="94"/>
      <c r="N263" s="103">
        <f>IF(Companies[[#This Row],[Growth Curve]]&lt;&gt;"",Companies[[#This Row],[Growth Curve]]-3,0)</f>
        <v>-2</v>
      </c>
      <c r="O263" s="53">
        <f>IF(Companies[[#This Row],[PSR]]&gt;2,-1,IF(Companies[[#This Row],[PSR]]&lt;1,1,0))</f>
        <v>1</v>
      </c>
      <c r="P263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63" s="53">
        <f>IF(Companies[[#This Row],[PFV]]&lt;0.75,2,IF(Companies[[#This Row],[PFV]]&lt;0.95,1,IF(Companies[[#This Row],[PFV]]&gt;1.25,-2,IF(Companies[[#This Row],[PFV]]&gt;1.15,-1,0))))</f>
        <v>2</v>
      </c>
    </row>
    <row r="264" spans="2:17" s="53" customFormat="1" ht="25.15" customHeight="1" x14ac:dyDescent="0.25">
      <c r="B264" s="11" t="s">
        <v>931</v>
      </c>
      <c r="C264" s="11" t="str">
        <f>VLOOKUP(Companies[[#This Row],[Symbol]],Morningstar,MATCH("Name",Morningstar_Cols,EXACT_MATCH),EXACT_MATCH)</f>
        <v>ProShares Short S&amp;P500</v>
      </c>
      <c r="D264" s="114">
        <f>VLOOKUP(Companies[[#This Row],[Symbol]],Morningstar,MATCH("mil$ Market Cap",Morningstar_Cols,0),0)</f>
        <v>0</v>
      </c>
      <c r="E264" s="115">
        <f>VLOOKUP(Companies[[#This Row],[Symbol]],Morningstar,MATCH("% Total Return 3 Month",Morningstar_Cols,EXACT_MATCH),EXACT_MATCH)/100</f>
        <v>0.24079999999999999</v>
      </c>
      <c r="F264" s="115">
        <f>VLOOKUP(Companies[[#This Row],[Symbol]],Morningstar,MATCH("% Total Return 12 Month",Morningstar_Cols,EXACT_MATCH),EXACT_MATCH)/100</f>
        <v>9.4899999999999998E-2</v>
      </c>
      <c r="G264" s="116">
        <f>VLOOKUP(Companies[[#This Row],[Symbol]],Morningstar,MATCH("Price/Sales",Morningstar_Cols,EXACT_MATCH),EXACT_MATCH)</f>
        <v>0</v>
      </c>
      <c r="H264" s="117">
        <f>VLOOKUP(Companies[[#This Row],[Symbol]],Morningstar,MATCH("Price/Fair Value",Morningstar_Cols,EXACT_MATCH),EXACT_MATCH)</f>
        <v>0</v>
      </c>
      <c r="I26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264" s="107">
        <f>VLOOKUP(Companies[[#This Row],[Symbol]],Morningstar,MATCH("% Dividend Yield TTM",Morningstar_Cols,EXACT_MATCH),EXACT_MATCH)/100</f>
        <v>1.6200000000000003E-2</v>
      </c>
      <c r="K264" s="119" t="str">
        <f>IFERROR(LOOKUP(2,1/(GrowthCurves[Ticker]=Companies[[#This Row],[Symbol]]),GrowthCurves[Metric]),"")</f>
        <v/>
      </c>
      <c r="L264" s="94">
        <f>RatingDefault+SUM(Companies[[#This Row],[CurvePoints]:[PFVPoints]])</f>
        <v>5</v>
      </c>
      <c r="M264" s="94"/>
      <c r="N264" s="103">
        <f>IF(Companies[[#This Row],[Growth Curve]]&lt;&gt;"",Companies[[#This Row],[Growth Curve]]-3,0)</f>
        <v>0</v>
      </c>
      <c r="O264" s="53">
        <f>IF(Companies[[#This Row],[PSR]]&gt;2,-1,IF(Companies[[#This Row],[PSR]]&lt;1,1,0))</f>
        <v>1</v>
      </c>
      <c r="P264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64" s="53">
        <f>IF(Companies[[#This Row],[PFV]]&lt;0.75,2,IF(Companies[[#This Row],[PFV]]&lt;0.95,1,IF(Companies[[#This Row],[PFV]]&gt;1.25,-2,IF(Companies[[#This Row],[PFV]]&gt;1.15,-1,0))))</f>
        <v>2</v>
      </c>
    </row>
    <row r="265" spans="2:17" s="53" customFormat="1" ht="25.15" customHeight="1" x14ac:dyDescent="0.25">
      <c r="B265" s="52" t="s">
        <v>876</v>
      </c>
      <c r="C265" s="11" t="str">
        <f>VLOOKUP(Companies[[#This Row],[Symbol]],Morningstar,MATCH("Name",Morningstar_Cols,EXACT_MATCH),EXACT_MATCH)</f>
        <v>SINA Corp</v>
      </c>
      <c r="D265" s="114">
        <f>VLOOKUP(Companies[[#This Row],[Symbol]],Morningstar,MATCH("mil$ Market Cap",Morningstar_Cols,0),0)</f>
        <v>2166.5700000000002</v>
      </c>
      <c r="E265" s="115">
        <f>VLOOKUP(Companies[[#This Row],[Symbol]],Morningstar,MATCH("% Total Return 3 Month",Morningstar_Cols,EXACT_MATCH),EXACT_MATCH)/100</f>
        <v>-0.18160000000000001</v>
      </c>
      <c r="F265" s="115">
        <f>VLOOKUP(Companies[[#This Row],[Symbol]],Morningstar,MATCH("% Total Return 12 Month",Morningstar_Cols,EXACT_MATCH),EXACT_MATCH)/100</f>
        <v>-0.49299999999999999</v>
      </c>
      <c r="G265" s="116">
        <f>VLOOKUP(Companies[[#This Row],[Symbol]],Morningstar,MATCH("Price/Sales",Morningstar_Cols,EXACT_MATCH),EXACT_MATCH)</f>
        <v>1</v>
      </c>
      <c r="H265" s="117">
        <f>VLOOKUP(Companies[[#This Row],[Symbol]],Morningstar,MATCH("Price/Fair Value",Morningstar_Cols,EXACT_MATCH),EXACT_MATCH)</f>
        <v>0.68</v>
      </c>
      <c r="I26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65" s="107">
        <f>VLOOKUP(Companies[[#This Row],[Symbol]],Morningstar,MATCH("% Dividend Yield TTM",Morningstar_Cols,EXACT_MATCH),EXACT_MATCH)/100</f>
        <v>0</v>
      </c>
      <c r="K265" s="119" t="str">
        <f>IFERROR(LOOKUP(2,1/(GrowthCurves[Ticker]=Companies[[#This Row],[Symbol]]),GrowthCurves[Metric]),"")</f>
        <v>3</v>
      </c>
      <c r="L265" s="94">
        <f>RatingDefault+SUM(Companies[[#This Row],[CurvePoints]:[PFVPoints]])</f>
        <v>5</v>
      </c>
      <c r="M265" s="94"/>
      <c r="N265" s="102">
        <f>IF(Companies[[#This Row],[Growth Curve]]&lt;&gt;"",Companies[[#This Row],[Growth Curve]]-3,0)</f>
        <v>0</v>
      </c>
      <c r="O265" s="52">
        <f>IF(Companies[[#This Row],[PSR]]&gt;2,-1,IF(Companies[[#This Row],[PSR]]&lt;1,1,0))</f>
        <v>0</v>
      </c>
      <c r="P265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65" s="53">
        <f>IF(Companies[[#This Row],[PFV]]&lt;0.75,2,IF(Companies[[#This Row],[PFV]]&lt;0.95,1,IF(Companies[[#This Row],[PFV]]&gt;1.25,-2,IF(Companies[[#This Row],[PFV]]&gt;1.15,-1,0))))</f>
        <v>2</v>
      </c>
    </row>
    <row r="266" spans="2:17" s="53" customFormat="1" ht="25.15" customHeight="1" x14ac:dyDescent="0.25">
      <c r="B266" s="11" t="s">
        <v>380</v>
      </c>
      <c r="C266" s="11" t="str">
        <f>VLOOKUP(Companies[[#This Row],[Symbol]],Morningstar,MATCH("Name",Morningstar_Cols,EXACT_MATCH),EXACT_MATCH)</f>
        <v>Skyline Champion Corp</v>
      </c>
      <c r="D266" s="114">
        <f>VLOOKUP(Companies[[#This Row],[Symbol]],Morningstar,MATCH("mil$ Market Cap",Morningstar_Cols,0),0)</f>
        <v>1039.81</v>
      </c>
      <c r="E266" s="115">
        <f>VLOOKUP(Companies[[#This Row],[Symbol]],Morningstar,MATCH("% Total Return 3 Month",Morningstar_Cols,EXACT_MATCH),EXACT_MATCH)/100</f>
        <v>-0.45140000000000002</v>
      </c>
      <c r="F266" s="115">
        <f>VLOOKUP(Companies[[#This Row],[Symbol]],Morningstar,MATCH("% Total Return 12 Month",Morningstar_Cols,EXACT_MATCH),EXACT_MATCH)/100</f>
        <v>-0.1082</v>
      </c>
      <c r="G266" s="116">
        <f>VLOOKUP(Companies[[#This Row],[Symbol]],Morningstar,MATCH("Price/Sales",Morningstar_Cols,EXACT_MATCH),EXACT_MATCH)</f>
        <v>0.74</v>
      </c>
      <c r="H266" s="117">
        <f>VLOOKUP(Companies[[#This Row],[Symbol]],Morningstar,MATCH("Price/Fair Value",Morningstar_Cols,EXACT_MATCH),EXACT_MATCH)</f>
        <v>0.61</v>
      </c>
      <c r="I26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66" s="107">
        <f>VLOOKUP(Companies[[#This Row],[Symbol]],Morningstar,MATCH("% Dividend Yield TTM",Morningstar_Cols,EXACT_MATCH),EXACT_MATCH)/100</f>
        <v>0</v>
      </c>
      <c r="K266" s="119" t="str">
        <f>IFERROR(LOOKUP(2,1/(GrowthCurves[Ticker]=Companies[[#This Row],[Symbol]]),GrowthCurves[Metric]),"")</f>
        <v/>
      </c>
      <c r="L266" s="94">
        <f>RatingDefault+SUM(Companies[[#This Row],[CurvePoints]:[PFVPoints]])</f>
        <v>7</v>
      </c>
      <c r="M266" s="94"/>
      <c r="N266" s="103">
        <f>IF(Companies[[#This Row],[Growth Curve]]&lt;&gt;"",Companies[[#This Row],[Growth Curve]]-3,0)</f>
        <v>0</v>
      </c>
      <c r="O266" s="53">
        <f>IF(Companies[[#This Row],[PSR]]&gt;2,-1,IF(Companies[[#This Row],[PSR]]&lt;1,1,0))</f>
        <v>1</v>
      </c>
      <c r="P266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66" s="53">
        <f>IF(Companies[[#This Row],[PFV]]&lt;0.75,2,IF(Companies[[#This Row],[PFV]]&lt;0.95,1,IF(Companies[[#This Row],[PFV]]&gt;1.25,-2,IF(Companies[[#This Row],[PFV]]&gt;1.15,-1,0))))</f>
        <v>2</v>
      </c>
    </row>
    <row r="267" spans="2:17" s="53" customFormat="1" ht="25.15" customHeight="1" x14ac:dyDescent="0.25">
      <c r="B267" s="11" t="s">
        <v>208</v>
      </c>
      <c r="C267" s="11" t="str">
        <f>VLOOKUP(Companies[[#This Row],[Symbol]],Morningstar,MATCH("Name",Morningstar_Cols,EXACT_MATCH),EXACT_MATCH)</f>
        <v>SkyWest Inc</v>
      </c>
      <c r="D267" s="114">
        <f>VLOOKUP(Companies[[#This Row],[Symbol]],Morningstar,MATCH("mil$ Market Cap",Morningstar_Cols,0),0)</f>
        <v>1287.0999999999999</v>
      </c>
      <c r="E267" s="115">
        <f>VLOOKUP(Companies[[#This Row],[Symbol]],Morningstar,MATCH("% Total Return 3 Month",Morningstar_Cols,EXACT_MATCH),EXACT_MATCH)/100</f>
        <v>-0.58640000000000003</v>
      </c>
      <c r="F267" s="115">
        <f>VLOOKUP(Companies[[#This Row],[Symbol]],Morningstar,MATCH("% Total Return 12 Month",Morningstar_Cols,EXACT_MATCH),EXACT_MATCH)/100</f>
        <v>-0.4677</v>
      </c>
      <c r="G267" s="116">
        <f>VLOOKUP(Companies[[#This Row],[Symbol]],Morningstar,MATCH("Price/Sales",Morningstar_Cols,EXACT_MATCH),EXACT_MATCH)</f>
        <v>0.44</v>
      </c>
      <c r="H267" s="117">
        <f>VLOOKUP(Companies[[#This Row],[Symbol]],Morningstar,MATCH("Price/Fair Value",Morningstar_Cols,EXACT_MATCH),EXACT_MATCH)</f>
        <v>0.38</v>
      </c>
      <c r="I26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67" s="107">
        <f>VLOOKUP(Companies[[#This Row],[Symbol]],Morningstar,MATCH("% Dividend Yield TTM",Morningstar_Cols,EXACT_MATCH),EXACT_MATCH)/100</f>
        <v>1.83E-2</v>
      </c>
      <c r="K267" s="119" t="str">
        <f>IFERROR(LOOKUP(2,1/(GrowthCurves[Ticker]=Companies[[#This Row],[Symbol]]),GrowthCurves[Metric]),"")</f>
        <v>2</v>
      </c>
      <c r="L267" s="94">
        <f>RatingDefault+SUM(Companies[[#This Row],[CurvePoints]:[PFVPoints]])</f>
        <v>5</v>
      </c>
      <c r="M267" s="94"/>
      <c r="N267" s="103">
        <f>IF(Companies[[#This Row],[Growth Curve]]&lt;&gt;"",Companies[[#This Row],[Growth Curve]]-3,0)</f>
        <v>-1</v>
      </c>
      <c r="O267" s="53">
        <f>IF(Companies[[#This Row],[PSR]]&gt;2,-1,IF(Companies[[#This Row],[PSR]]&lt;1,1,0))</f>
        <v>1</v>
      </c>
      <c r="P267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67" s="53">
        <f>IF(Companies[[#This Row],[PFV]]&lt;0.75,2,IF(Companies[[#This Row],[PFV]]&lt;0.95,1,IF(Companies[[#This Row],[PFV]]&gt;1.25,-2,IF(Companies[[#This Row],[PFV]]&gt;1.15,-1,0))))</f>
        <v>2</v>
      </c>
    </row>
    <row r="268" spans="2:17" s="53" customFormat="1" ht="25.15" customHeight="1" x14ac:dyDescent="0.25">
      <c r="B268" s="11" t="s">
        <v>914</v>
      </c>
      <c r="C268" s="11" t="str">
        <f>VLOOKUP(Companies[[#This Row],[Symbol]],Morningstar,MATCH("Name",Morningstar_Cols,EXACT_MATCH),EXACT_MATCH)</f>
        <v>SL Green Realty Corp</v>
      </c>
      <c r="D268" s="114">
        <f>VLOOKUP(Companies[[#This Row],[Symbol]],Morningstar,MATCH("mil$ Market Cap",Morningstar_Cols,0),0)</f>
        <v>4947.3500000000004</v>
      </c>
      <c r="E268" s="115">
        <f>VLOOKUP(Companies[[#This Row],[Symbol]],Morningstar,MATCH("% Total Return 3 Month",Morningstar_Cols,EXACT_MATCH),EXACT_MATCH)/100</f>
        <v>-0.313</v>
      </c>
      <c r="F268" s="115">
        <f>VLOOKUP(Companies[[#This Row],[Symbol]],Morningstar,MATCH("% Total Return 12 Month",Morningstar_Cols,EXACT_MATCH),EXACT_MATCH)/100</f>
        <v>-0.30980000000000002</v>
      </c>
      <c r="G268" s="116">
        <f>VLOOKUP(Companies[[#This Row],[Symbol]],Morningstar,MATCH("Price/Sales",Morningstar_Cols,EXACT_MATCH),EXACT_MATCH)</f>
        <v>4.43</v>
      </c>
      <c r="H268" s="117">
        <f>VLOOKUP(Companies[[#This Row],[Symbol]],Morningstar,MATCH("Price/Fair Value",Morningstar_Cols,EXACT_MATCH),EXACT_MATCH)</f>
        <v>0.63</v>
      </c>
      <c r="I26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68" s="107">
        <f>VLOOKUP(Companies[[#This Row],[Symbol]],Morningstar,MATCH("% Dividend Yield TTM",Morningstar_Cols,EXACT_MATCH),EXACT_MATCH)/100</f>
        <v>5.7300000000000004E-2</v>
      </c>
      <c r="K268" s="119" t="str">
        <f>IFERROR(LOOKUP(2,1/(GrowthCurves[Ticker]=Companies[[#This Row],[Symbol]]),GrowthCurves[Metric]),"")</f>
        <v>3</v>
      </c>
      <c r="L268" s="94">
        <f>RatingDefault+SUM(Companies[[#This Row],[CurvePoints]:[PFVPoints]])</f>
        <v>5</v>
      </c>
      <c r="M268" s="94"/>
      <c r="N268" s="103">
        <f>IF(Companies[[#This Row],[Growth Curve]]&lt;&gt;"",Companies[[#This Row],[Growth Curve]]-3,0)</f>
        <v>0</v>
      </c>
      <c r="O268" s="53">
        <f>IF(Companies[[#This Row],[PSR]]&gt;2,-1,IF(Companies[[#This Row],[PSR]]&lt;1,1,0))</f>
        <v>-1</v>
      </c>
      <c r="P268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68" s="53">
        <f>IF(Companies[[#This Row],[PFV]]&lt;0.75,2,IF(Companies[[#This Row],[PFV]]&lt;0.95,1,IF(Companies[[#This Row],[PFV]]&gt;1.25,-2,IF(Companies[[#This Row],[PFV]]&gt;1.15,-1,0))))</f>
        <v>2</v>
      </c>
    </row>
    <row r="269" spans="2:17" s="53" customFormat="1" ht="25.15" customHeight="1" x14ac:dyDescent="0.25">
      <c r="B269" s="52" t="s">
        <v>682</v>
      </c>
      <c r="C269" s="11" t="str">
        <f>VLOOKUP(Companies[[#This Row],[Symbol]],Morningstar,MATCH("Name",Morningstar_Cols,EXACT_MATCH),EXACT_MATCH)</f>
        <v>Super Micro Computer Inc</v>
      </c>
      <c r="D269" s="114">
        <f>VLOOKUP(Companies[[#This Row],[Symbol]],Morningstar,MATCH("mil$ Market Cap",Morningstar_Cols,0),0)</f>
        <v>1117.48</v>
      </c>
      <c r="E269" s="115">
        <f>VLOOKUP(Companies[[#This Row],[Symbol]],Morningstar,MATCH("% Total Return 3 Month",Morningstar_Cols,EXACT_MATCH),EXACT_MATCH)/100</f>
        <v>9.1000000000000004E-3</v>
      </c>
      <c r="F269" s="115">
        <f>VLOOKUP(Companies[[#This Row],[Symbol]],Morningstar,MATCH("% Total Return 12 Month",Morningstar_Cols,EXACT_MATCH),EXACT_MATCH)/100</f>
        <v>0.13269999999999998</v>
      </c>
      <c r="G269" s="116">
        <f>VLOOKUP(Companies[[#This Row],[Symbol]],Morningstar,MATCH("Price/Sales",Morningstar_Cols,EXACT_MATCH),EXACT_MATCH)</f>
        <v>0.34</v>
      </c>
      <c r="H269" s="117">
        <f>VLOOKUP(Companies[[#This Row],[Symbol]],Morningstar,MATCH("Price/Fair Value",Morningstar_Cols,EXACT_MATCH),EXACT_MATCH)</f>
        <v>0.81</v>
      </c>
      <c r="I26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69" s="107">
        <f>VLOOKUP(Companies[[#This Row],[Symbol]],Morningstar,MATCH("% Dividend Yield TTM",Morningstar_Cols,EXACT_MATCH),EXACT_MATCH)/100</f>
        <v>0</v>
      </c>
      <c r="K269" s="119" t="str">
        <f>IFERROR(LOOKUP(2,1/(GrowthCurves[Ticker]=Companies[[#This Row],[Symbol]]),GrowthCurves[Metric]),"")</f>
        <v>3</v>
      </c>
      <c r="L269" s="94">
        <f>RatingDefault+SUM(Companies[[#This Row],[CurvePoints]:[PFVPoints]])</f>
        <v>6</v>
      </c>
      <c r="M269" s="94"/>
      <c r="N269" s="102">
        <f>IF(Companies[[#This Row],[Growth Curve]]&lt;&gt;"",Companies[[#This Row],[Growth Curve]]-3,0)</f>
        <v>0</v>
      </c>
      <c r="O269" s="52">
        <f>IF(Companies[[#This Row],[PSR]]&gt;2,-1,IF(Companies[[#This Row],[PSR]]&lt;1,1,0))</f>
        <v>1</v>
      </c>
      <c r="P269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69" s="53">
        <f>IF(Companies[[#This Row],[PFV]]&lt;0.75,2,IF(Companies[[#This Row],[PFV]]&lt;0.95,1,IF(Companies[[#This Row],[PFV]]&gt;1.25,-2,IF(Companies[[#This Row],[PFV]]&gt;1.15,-1,0))))</f>
        <v>1</v>
      </c>
    </row>
    <row r="270" spans="2:17" s="53" customFormat="1" ht="25.15" customHeight="1" x14ac:dyDescent="0.25">
      <c r="B270" s="11" t="s">
        <v>191</v>
      </c>
      <c r="C270" s="11" t="str">
        <f>VLOOKUP(Companies[[#This Row],[Symbol]],Morningstar,MATCH("Name",Morningstar_Cols,EXACT_MATCH),EXACT_MATCH)</f>
        <v>Sony Corp ADR</v>
      </c>
      <c r="D270" s="114">
        <f>VLOOKUP(Companies[[#This Row],[Symbol]],Morningstar,MATCH("mil$ Market Cap",Morningstar_Cols,0),0)</f>
        <v>70948.570000000007</v>
      </c>
      <c r="E270" s="115">
        <f>VLOOKUP(Companies[[#This Row],[Symbol]],Morningstar,MATCH("% Total Return 3 Month",Morningstar_Cols,EXACT_MATCH),EXACT_MATCH)/100</f>
        <v>-0.21909999999999999</v>
      </c>
      <c r="F270" s="115">
        <f>VLOOKUP(Companies[[#This Row],[Symbol]],Morningstar,MATCH("% Total Return 12 Month",Morningstar_Cols,EXACT_MATCH),EXACT_MATCH)/100</f>
        <v>0.1431</v>
      </c>
      <c r="G270" s="116">
        <f>VLOOKUP(Companies[[#This Row],[Symbol]],Morningstar,MATCH("Price/Sales",Morningstar_Cols,EXACT_MATCH),EXACT_MATCH)</f>
        <v>0.83</v>
      </c>
      <c r="H270" s="117">
        <f>VLOOKUP(Companies[[#This Row],[Symbol]],Morningstar,MATCH("Price/Fair Value",Morningstar_Cols,EXACT_MATCH),EXACT_MATCH)</f>
        <v>0.8</v>
      </c>
      <c r="I27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270" s="107">
        <f>VLOOKUP(Companies[[#This Row],[Symbol]],Morningstar,MATCH("% Dividend Yield TTM",Morningstar_Cols,EXACT_MATCH),EXACT_MATCH)/100</f>
        <v>6.9999999999999993E-3</v>
      </c>
      <c r="K270" s="119" t="str">
        <f>IFERROR(LOOKUP(2,1/(GrowthCurves[Ticker]=Companies[[#This Row],[Symbol]]),GrowthCurves[Metric]),"")</f>
        <v/>
      </c>
      <c r="L270" s="94">
        <f>RatingDefault+SUM(Companies[[#This Row],[CurvePoints]:[PFVPoints]])</f>
        <v>4</v>
      </c>
      <c r="M270" s="94"/>
      <c r="N270" s="103">
        <f>IF(Companies[[#This Row],[Growth Curve]]&lt;&gt;"",Companies[[#This Row],[Growth Curve]]-3,0)</f>
        <v>0</v>
      </c>
      <c r="O270" s="53">
        <f>IF(Companies[[#This Row],[PSR]]&gt;2,-1,IF(Companies[[#This Row],[PSR]]&lt;1,1,0))</f>
        <v>1</v>
      </c>
      <c r="P270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70" s="53">
        <f>IF(Companies[[#This Row],[PFV]]&lt;0.75,2,IF(Companies[[#This Row],[PFV]]&lt;0.95,1,IF(Companies[[#This Row],[PFV]]&gt;1.25,-2,IF(Companies[[#This Row],[PFV]]&gt;1.15,-1,0))))</f>
        <v>1</v>
      </c>
    </row>
    <row r="271" spans="2:17" s="53" customFormat="1" ht="25.15" customHeight="1" x14ac:dyDescent="0.25">
      <c r="B271" s="52" t="s">
        <v>768</v>
      </c>
      <c r="C271" s="11" t="str">
        <f>VLOOKUP(Companies[[#This Row],[Symbol]],Morningstar,MATCH("Name",Morningstar_Cols,EXACT_MATCH),EXACT_MATCH)</f>
        <v>Sohu.com Ltd ADR</v>
      </c>
      <c r="D271" s="114">
        <f>VLOOKUP(Companies[[#This Row],[Symbol]],Morningstar,MATCH("mil$ Market Cap",Morningstar_Cols,0),0)</f>
        <v>341.68</v>
      </c>
      <c r="E271" s="115">
        <f>VLOOKUP(Companies[[#This Row],[Symbol]],Morningstar,MATCH("% Total Return 3 Month",Morningstar_Cols,EXACT_MATCH),EXACT_MATCH)/100</f>
        <v>-0.17149999999999999</v>
      </c>
      <c r="F271" s="115">
        <f>VLOOKUP(Companies[[#This Row],[Symbol]],Morningstar,MATCH("% Total Return 12 Month",Morningstar_Cols,EXACT_MATCH),EXACT_MATCH)/100</f>
        <v>-0.55899999999999994</v>
      </c>
      <c r="G271" s="116">
        <f>VLOOKUP(Companies[[#This Row],[Symbol]],Morningstar,MATCH("Price/Sales",Morningstar_Cols,EXACT_MATCH),EXACT_MATCH)</f>
        <v>0.19</v>
      </c>
      <c r="H271" s="117">
        <f>VLOOKUP(Companies[[#This Row],[Symbol]],Morningstar,MATCH("Price/Fair Value",Morningstar_Cols,EXACT_MATCH),EXACT_MATCH)</f>
        <v>0.51</v>
      </c>
      <c r="I27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71" s="107">
        <f>VLOOKUP(Companies[[#This Row],[Symbol]],Morningstar,MATCH("% Dividend Yield TTM",Morningstar_Cols,EXACT_MATCH),EXACT_MATCH)/100</f>
        <v>0</v>
      </c>
      <c r="K271" s="119" t="str">
        <f>IFERROR(LOOKUP(2,1/(GrowthCurves[Ticker]=Companies[[#This Row],[Symbol]]),GrowthCurves[Metric]),"")</f>
        <v>3</v>
      </c>
      <c r="L271" s="94">
        <f>RatingDefault+SUM(Companies[[#This Row],[CurvePoints]:[PFVPoints]])</f>
        <v>6</v>
      </c>
      <c r="M271" s="94"/>
      <c r="N271" s="102">
        <f>IF(Companies[[#This Row],[Growth Curve]]&lt;&gt;"",Companies[[#This Row],[Growth Curve]]-3,0)</f>
        <v>0</v>
      </c>
      <c r="O271" s="52">
        <f>IF(Companies[[#This Row],[PSR]]&gt;2,-1,IF(Companies[[#This Row],[PSR]]&lt;1,1,0))</f>
        <v>1</v>
      </c>
      <c r="P271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71" s="53">
        <f>IF(Companies[[#This Row],[PFV]]&lt;0.75,2,IF(Companies[[#This Row],[PFV]]&lt;0.95,1,IF(Companies[[#This Row],[PFV]]&gt;1.25,-2,IF(Companies[[#This Row],[PFV]]&gt;1.15,-1,0))))</f>
        <v>2</v>
      </c>
    </row>
    <row r="272" spans="2:17" s="53" customFormat="1" ht="25.15" customHeight="1" x14ac:dyDescent="0.25">
      <c r="B272" s="11" t="s">
        <v>98</v>
      </c>
      <c r="C272" s="11" t="str">
        <f>VLOOKUP(Companies[[#This Row],[Symbol]],Morningstar,MATCH("Name",Morningstar_Cols,EXACT_MATCH),EXACT_MATCH)</f>
        <v>Spartan Motors Inc</v>
      </c>
      <c r="D272" s="114">
        <f>VLOOKUP(Companies[[#This Row],[Symbol]],Morningstar,MATCH("mil$ Market Cap",Morningstar_Cols,0),0)</f>
        <v>402.49</v>
      </c>
      <c r="E272" s="115">
        <f>VLOOKUP(Companies[[#This Row],[Symbol]],Morningstar,MATCH("% Total Return 3 Month",Morningstar_Cols,EXACT_MATCH),EXACT_MATCH)/100</f>
        <v>-0.37450000000000006</v>
      </c>
      <c r="F272" s="115">
        <f>VLOOKUP(Companies[[#This Row],[Symbol]],Morningstar,MATCH("% Total Return 12 Month",Morningstar_Cols,EXACT_MATCH),EXACT_MATCH)/100</f>
        <v>0.30180000000000001</v>
      </c>
      <c r="G272" s="116">
        <f>VLOOKUP(Companies[[#This Row],[Symbol]],Morningstar,MATCH("Price/Sales",Morningstar_Cols,EXACT_MATCH),EXACT_MATCH)</f>
        <v>0.4</v>
      </c>
      <c r="H272" s="117">
        <f>VLOOKUP(Companies[[#This Row],[Symbol]],Morningstar,MATCH("Price/Fair Value",Morningstar_Cols,EXACT_MATCH),EXACT_MATCH)</f>
        <v>0.62</v>
      </c>
      <c r="I27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72" s="107">
        <f>VLOOKUP(Companies[[#This Row],[Symbol]],Morningstar,MATCH("% Dividend Yield TTM",Morningstar_Cols,EXACT_MATCH),EXACT_MATCH)/100</f>
        <v>8.6999999999999994E-3</v>
      </c>
      <c r="K272" s="119" t="str">
        <f>IFERROR(LOOKUP(2,1/(GrowthCurves[Ticker]=Companies[[#This Row],[Symbol]]),GrowthCurves[Metric]),"")</f>
        <v>1</v>
      </c>
      <c r="L272" s="94">
        <f>RatingDefault+SUM(Companies[[#This Row],[CurvePoints]:[PFVPoints]])</f>
        <v>4</v>
      </c>
      <c r="M272" s="94"/>
      <c r="N272" s="103">
        <f>IF(Companies[[#This Row],[Growth Curve]]&lt;&gt;"",Companies[[#This Row],[Growth Curve]]-3,0)</f>
        <v>-2</v>
      </c>
      <c r="O272" s="53">
        <f>IF(Companies[[#This Row],[PSR]]&gt;2,-1,IF(Companies[[#This Row],[PSR]]&lt;1,1,0))</f>
        <v>1</v>
      </c>
      <c r="P272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72" s="53">
        <f>IF(Companies[[#This Row],[PFV]]&lt;0.75,2,IF(Companies[[#This Row],[PFV]]&lt;0.95,1,IF(Companies[[#This Row],[PFV]]&gt;1.25,-2,IF(Companies[[#This Row],[PFV]]&gt;1.15,-1,0))))</f>
        <v>2</v>
      </c>
    </row>
    <row r="273" spans="2:17" s="53" customFormat="1" ht="25.15" customHeight="1" x14ac:dyDescent="0.25">
      <c r="B273" s="52" t="s">
        <v>707</v>
      </c>
      <c r="C273" s="11" t="str">
        <f>VLOOKUP(Companies[[#This Row],[Symbol]],Morningstar,MATCH("Name",Morningstar_Cols,EXACT_MATCH),EXACT_MATCH)</f>
        <v>Spectrum Brands Holdings Inc</v>
      </c>
      <c r="D273" s="114">
        <f>VLOOKUP(Companies[[#This Row],[Symbol]],Morningstar,MATCH("mil$ Market Cap",Morningstar_Cols,0),0)</f>
        <v>1935.84</v>
      </c>
      <c r="E273" s="115">
        <f>VLOOKUP(Companies[[#This Row],[Symbol]],Morningstar,MATCH("% Total Return 3 Month",Morningstar_Cols,EXACT_MATCH),EXACT_MATCH)/100</f>
        <v>-0.33889999999999998</v>
      </c>
      <c r="F273" s="115">
        <f>VLOOKUP(Companies[[#This Row],[Symbol]],Morningstar,MATCH("% Total Return 12 Month",Morningstar_Cols,EXACT_MATCH),EXACT_MATCH)/100</f>
        <v>-0.24</v>
      </c>
      <c r="G273" s="116">
        <f>VLOOKUP(Companies[[#This Row],[Symbol]],Morningstar,MATCH("Price/Sales",Morningstar_Cols,EXACT_MATCH),EXACT_MATCH)</f>
        <v>0.54</v>
      </c>
      <c r="H273" s="117">
        <f>VLOOKUP(Companies[[#This Row],[Symbol]],Morningstar,MATCH("Price/Fair Value",Morningstar_Cols,EXACT_MATCH),EXACT_MATCH)</f>
        <v>0.68</v>
      </c>
      <c r="I27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73" s="107">
        <f>VLOOKUP(Companies[[#This Row],[Symbol]],Morningstar,MATCH("% Dividend Yield TTM",Morningstar_Cols,EXACT_MATCH),EXACT_MATCH)/100</f>
        <v>4.0899999999999999E-2</v>
      </c>
      <c r="K273" s="119" t="str">
        <f>IFERROR(LOOKUP(2,1/(GrowthCurves[Ticker]=Companies[[#This Row],[Symbol]]),GrowthCurves[Metric]),"")</f>
        <v>1</v>
      </c>
      <c r="L273" s="94">
        <f>RatingDefault+SUM(Companies[[#This Row],[CurvePoints]:[PFVPoints]])</f>
        <v>4</v>
      </c>
      <c r="M273" s="94"/>
      <c r="N273" s="102">
        <f>IF(Companies[[#This Row],[Growth Curve]]&lt;&gt;"",Companies[[#This Row],[Growth Curve]]-3,0)</f>
        <v>-2</v>
      </c>
      <c r="O273" s="52">
        <f>IF(Companies[[#This Row],[PSR]]&gt;2,-1,IF(Companies[[#This Row],[PSR]]&lt;1,1,0))</f>
        <v>1</v>
      </c>
      <c r="P273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73" s="53">
        <f>IF(Companies[[#This Row],[PFV]]&lt;0.75,2,IF(Companies[[#This Row],[PFV]]&lt;0.95,1,IF(Companies[[#This Row],[PFV]]&gt;1.25,-2,IF(Companies[[#This Row],[PFV]]&gt;1.15,-1,0))))</f>
        <v>2</v>
      </c>
    </row>
    <row r="274" spans="2:17" s="53" customFormat="1" ht="25.15" customHeight="1" x14ac:dyDescent="0.25">
      <c r="B274" s="52" t="s">
        <v>684</v>
      </c>
      <c r="C274" s="11" t="str">
        <f>VLOOKUP(Companies[[#This Row],[Symbol]],Morningstar,MATCH("Name",Morningstar_Cols,EXACT_MATCH),EXACT_MATCH)</f>
        <v>SpartanNash Co</v>
      </c>
      <c r="D274" s="114">
        <f>VLOOKUP(Companies[[#This Row],[Symbol]],Morningstar,MATCH("mil$ Market Cap",Morningstar_Cols,0),0)</f>
        <v>366.03</v>
      </c>
      <c r="E274" s="115">
        <f>VLOOKUP(Companies[[#This Row],[Symbol]],Morningstar,MATCH("% Total Return 3 Month",Morningstar_Cols,EXACT_MATCH),EXACT_MATCH)/100</f>
        <v>-0.29580000000000001</v>
      </c>
      <c r="F274" s="115">
        <f>VLOOKUP(Companies[[#This Row],[Symbol]],Morningstar,MATCH("% Total Return 12 Month",Morningstar_Cols,EXACT_MATCH),EXACT_MATCH)/100</f>
        <v>-0.38090000000000002</v>
      </c>
      <c r="G274" s="116">
        <f>VLOOKUP(Companies[[#This Row],[Symbol]],Morningstar,MATCH("Price/Sales",Morningstar_Cols,EXACT_MATCH),EXACT_MATCH)</f>
        <v>0.04</v>
      </c>
      <c r="H274" s="117">
        <f>VLOOKUP(Companies[[#This Row],[Symbol]],Morningstar,MATCH("Price/Fair Value",Morningstar_Cols,EXACT_MATCH),EXACT_MATCH)</f>
        <v>0.67</v>
      </c>
      <c r="I27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274" s="107">
        <f>VLOOKUP(Companies[[#This Row],[Symbol]],Morningstar,MATCH("% Dividend Yield TTM",Morningstar_Cols,EXACT_MATCH),EXACT_MATCH)/100</f>
        <v>8.1600000000000006E-2</v>
      </c>
      <c r="K274" s="119" t="str">
        <f>IFERROR(LOOKUP(2,1/(GrowthCurves[Ticker]=Companies[[#This Row],[Symbol]]),GrowthCurves[Metric]),"")</f>
        <v/>
      </c>
      <c r="L274" s="94">
        <f>RatingDefault+SUM(Companies[[#This Row],[CurvePoints]:[PFVPoints]])</f>
        <v>5</v>
      </c>
      <c r="M274" s="94"/>
      <c r="N274" s="102">
        <f>IF(Companies[[#This Row],[Growth Curve]]&lt;&gt;"",Companies[[#This Row],[Growth Curve]]-3,0)</f>
        <v>0</v>
      </c>
      <c r="O274" s="52">
        <f>IF(Companies[[#This Row],[PSR]]&gt;2,-1,IF(Companies[[#This Row],[PSR]]&lt;1,1,0))</f>
        <v>1</v>
      </c>
      <c r="P274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74" s="53">
        <f>IF(Companies[[#This Row],[PFV]]&lt;0.75,2,IF(Companies[[#This Row],[PFV]]&lt;0.95,1,IF(Companies[[#This Row],[PFV]]&gt;1.25,-2,IF(Companies[[#This Row],[PFV]]&gt;1.15,-1,0))))</f>
        <v>2</v>
      </c>
    </row>
    <row r="275" spans="2:17" s="53" customFormat="1" ht="25.15" customHeight="1" x14ac:dyDescent="0.25">
      <c r="B275" s="52" t="s">
        <v>877</v>
      </c>
      <c r="C275" s="11" t="str">
        <f>VLOOKUP(Companies[[#This Row],[Symbol]],Morningstar,MATCH("Name",Morningstar_Cols,EXACT_MATCH),EXACT_MATCH)</f>
        <v>Sociedad Quimica Y Minera De Chile SA ADR</v>
      </c>
      <c r="D275" s="114">
        <f>VLOOKUP(Companies[[#This Row],[Symbol]],Morningstar,MATCH("mil$ Market Cap",Morningstar_Cols,0),0)</f>
        <v>5842.94</v>
      </c>
      <c r="E275" s="115">
        <f>VLOOKUP(Companies[[#This Row],[Symbol]],Morningstar,MATCH("% Total Return 3 Month",Morningstar_Cols,EXACT_MATCH),EXACT_MATCH)/100</f>
        <v>-0.19420000000000001</v>
      </c>
      <c r="F275" s="115">
        <f>VLOOKUP(Companies[[#This Row],[Symbol]],Morningstar,MATCH("% Total Return 12 Month",Morningstar_Cols,EXACT_MATCH),EXACT_MATCH)/100</f>
        <v>-0.42210000000000003</v>
      </c>
      <c r="G275" s="116">
        <f>VLOOKUP(Companies[[#This Row],[Symbol]],Morningstar,MATCH("Price/Sales",Morningstar_Cols,EXACT_MATCH),EXACT_MATCH)</f>
        <v>3</v>
      </c>
      <c r="H275" s="117">
        <f>VLOOKUP(Companies[[#This Row],[Symbol]],Morningstar,MATCH("Price/Fair Value",Morningstar_Cols,EXACT_MATCH),EXACT_MATCH)</f>
        <v>0.38</v>
      </c>
      <c r="I27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75" s="107">
        <f>VLOOKUP(Companies[[#This Row],[Symbol]],Morningstar,MATCH("% Dividend Yield TTM",Morningstar_Cols,EXACT_MATCH),EXACT_MATCH)/100</f>
        <v>5.7999999999999996E-2</v>
      </c>
      <c r="K275" s="119" t="str">
        <f>IFERROR(LOOKUP(2,1/(GrowthCurves[Ticker]=Companies[[#This Row],[Symbol]]),GrowthCurves[Metric]),"")</f>
        <v>5</v>
      </c>
      <c r="L275" s="94">
        <f>RatingDefault+SUM(Companies[[#This Row],[CurvePoints]:[PFVPoints]])</f>
        <v>6</v>
      </c>
      <c r="M275" s="94"/>
      <c r="N275" s="102">
        <f>IF(Companies[[#This Row],[Growth Curve]]&lt;&gt;"",Companies[[#This Row],[Growth Curve]]-3,0)</f>
        <v>2</v>
      </c>
      <c r="O275" s="52">
        <f>IF(Companies[[#This Row],[PSR]]&gt;2,-1,IF(Companies[[#This Row],[PSR]]&lt;1,1,0))</f>
        <v>-1</v>
      </c>
      <c r="P275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75" s="53">
        <f>IF(Companies[[#This Row],[PFV]]&lt;0.75,2,IF(Companies[[#This Row],[PFV]]&lt;0.95,1,IF(Companies[[#This Row],[PFV]]&gt;1.25,-2,IF(Companies[[#This Row],[PFV]]&gt;1.15,-1,0))))</f>
        <v>2</v>
      </c>
    </row>
    <row r="276" spans="2:17" s="53" customFormat="1" ht="25.15" customHeight="1" x14ac:dyDescent="0.25">
      <c r="B276" s="11" t="s">
        <v>934</v>
      </c>
      <c r="C276" s="11" t="str">
        <f>VLOOKUP(Companies[[#This Row],[Symbol]],Morningstar,MATCH("Name",Morningstar_Cols,EXACT_MATCH),EXACT_MATCH)</f>
        <v>ProShares UltraPro Short QQQ</v>
      </c>
      <c r="D276" s="114">
        <f>VLOOKUP(Companies[[#This Row],[Symbol]],Morningstar,MATCH("mil$ Market Cap",Morningstar_Cols,0),0)</f>
        <v>0</v>
      </c>
      <c r="E276" s="115">
        <f>VLOOKUP(Companies[[#This Row],[Symbol]],Morningstar,MATCH("% Total Return 3 Month",Morningstar_Cols,EXACT_MATCH),EXACT_MATCH)/100</f>
        <v>0.31379999999999997</v>
      </c>
      <c r="F276" s="115">
        <f>VLOOKUP(Companies[[#This Row],[Symbol]],Morningstar,MATCH("% Total Return 12 Month",Morningstar_Cols,EXACT_MATCH),EXACT_MATCH)/100</f>
        <v>-0.25030000000000002</v>
      </c>
      <c r="G276" s="116">
        <f>VLOOKUP(Companies[[#This Row],[Symbol]],Morningstar,MATCH("Price/Sales",Morningstar_Cols,EXACT_MATCH),EXACT_MATCH)</f>
        <v>0</v>
      </c>
      <c r="H276" s="117">
        <f>VLOOKUP(Companies[[#This Row],[Symbol]],Morningstar,MATCH("Price/Fair Value",Morningstar_Cols,EXACT_MATCH),EXACT_MATCH)</f>
        <v>0</v>
      </c>
      <c r="I27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276" s="107">
        <f>VLOOKUP(Companies[[#This Row],[Symbol]],Morningstar,MATCH("% Dividend Yield TTM",Morningstar_Cols,EXACT_MATCH),EXACT_MATCH)/100</f>
        <v>2.7699999999999999E-2</v>
      </c>
      <c r="K276" s="119" t="str">
        <f>IFERROR(LOOKUP(2,1/(GrowthCurves[Ticker]=Companies[[#This Row],[Symbol]]),GrowthCurves[Metric]),"")</f>
        <v/>
      </c>
      <c r="L276" s="94">
        <f>RatingDefault+SUM(Companies[[#This Row],[CurvePoints]:[PFVPoints]])</f>
        <v>5</v>
      </c>
      <c r="M276" s="94"/>
      <c r="N276" s="103">
        <f>IF(Companies[[#This Row],[Growth Curve]]&lt;&gt;"",Companies[[#This Row],[Growth Curve]]-3,0)</f>
        <v>0</v>
      </c>
      <c r="O276" s="53">
        <f>IF(Companies[[#This Row],[PSR]]&gt;2,-1,IF(Companies[[#This Row],[PSR]]&lt;1,1,0))</f>
        <v>1</v>
      </c>
      <c r="P276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76" s="53">
        <f>IF(Companies[[#This Row],[PFV]]&lt;0.75,2,IF(Companies[[#This Row],[PFV]]&lt;0.95,1,IF(Companies[[#This Row],[PFV]]&gt;1.25,-2,IF(Companies[[#This Row],[PFV]]&gt;1.15,-1,0))))</f>
        <v>2</v>
      </c>
    </row>
    <row r="277" spans="2:17" s="53" customFormat="1" ht="25.15" customHeight="1" x14ac:dyDescent="0.25">
      <c r="B277" s="11" t="s">
        <v>361</v>
      </c>
      <c r="C277" s="11" t="str">
        <f>VLOOKUP(Companies[[#This Row],[Symbol]],Morningstar,MATCH("Name",Morningstar_Cols,EXACT_MATCH),EXACT_MATCH)</f>
        <v>Stoneridge Inc</v>
      </c>
      <c r="D277" s="114">
        <f>VLOOKUP(Companies[[#This Row],[Symbol]],Morningstar,MATCH("mil$ Market Cap",Morningstar_Cols,0),0)</f>
        <v>495.27</v>
      </c>
      <c r="E277" s="115">
        <f>VLOOKUP(Companies[[#This Row],[Symbol]],Morningstar,MATCH("% Total Return 3 Month",Morningstar_Cols,EXACT_MATCH),EXACT_MATCH)/100</f>
        <v>-0.45380000000000004</v>
      </c>
      <c r="F277" s="115">
        <f>VLOOKUP(Companies[[#This Row],[Symbol]],Morningstar,MATCH("% Total Return 12 Month",Morningstar_Cols,EXACT_MATCH),EXACT_MATCH)/100</f>
        <v>-0.37990000000000002</v>
      </c>
      <c r="G277" s="116">
        <f>VLOOKUP(Companies[[#This Row],[Symbol]],Morningstar,MATCH("Price/Sales",Morningstar_Cols,EXACT_MATCH),EXACT_MATCH)</f>
        <v>0.61</v>
      </c>
      <c r="H277" s="117">
        <f>VLOOKUP(Companies[[#This Row],[Symbol]],Morningstar,MATCH("Price/Fair Value",Morningstar_Cols,EXACT_MATCH),EXACT_MATCH)</f>
        <v>0.62</v>
      </c>
      <c r="I27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77" s="107">
        <f>VLOOKUP(Companies[[#This Row],[Symbol]],Morningstar,MATCH("% Dividend Yield TTM",Morningstar_Cols,EXACT_MATCH),EXACT_MATCH)/100</f>
        <v>0</v>
      </c>
      <c r="K277" s="119" t="str">
        <f>IFERROR(LOOKUP(2,1/(GrowthCurves[Ticker]=Companies[[#This Row],[Symbol]]),GrowthCurves[Metric]),"")</f>
        <v>2</v>
      </c>
      <c r="L277" s="94">
        <f>RatingDefault+SUM(Companies[[#This Row],[CurvePoints]:[PFVPoints]])</f>
        <v>6</v>
      </c>
      <c r="M277" s="94"/>
      <c r="N277" s="103">
        <f>IF(Companies[[#This Row],[Growth Curve]]&lt;&gt;"",Companies[[#This Row],[Growth Curve]]-3,0)</f>
        <v>-1</v>
      </c>
      <c r="O277" s="53">
        <f>IF(Companies[[#This Row],[PSR]]&gt;2,-1,IF(Companies[[#This Row],[PSR]]&lt;1,1,0))</f>
        <v>1</v>
      </c>
      <c r="P277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77" s="53">
        <f>IF(Companies[[#This Row],[PFV]]&lt;0.75,2,IF(Companies[[#This Row],[PFV]]&lt;0.95,1,IF(Companies[[#This Row],[PFV]]&gt;1.25,-2,IF(Companies[[#This Row],[PFV]]&gt;1.15,-1,0))))</f>
        <v>2</v>
      </c>
    </row>
    <row r="278" spans="2:17" s="53" customFormat="1" ht="25.15" customHeight="1" x14ac:dyDescent="0.25">
      <c r="B278" s="52" t="s">
        <v>708</v>
      </c>
      <c r="C278" s="11" t="str">
        <f>VLOOKUP(Companies[[#This Row],[Symbol]],Morningstar,MATCH("Name",Morningstar_Cols,EXACT_MATCH),EXACT_MATCH)</f>
        <v>The E W Scripps Co Class A</v>
      </c>
      <c r="D278" s="114">
        <f>VLOOKUP(Companies[[#This Row],[Symbol]],Morningstar,MATCH("mil$ Market Cap",Morningstar_Cols,0),0)</f>
        <v>692.02</v>
      </c>
      <c r="E278" s="115">
        <f>VLOOKUP(Companies[[#This Row],[Symbol]],Morningstar,MATCH("% Total Return 3 Month",Morningstar_Cols,EXACT_MATCH),EXACT_MATCH)/100</f>
        <v>-0.46590000000000004</v>
      </c>
      <c r="F278" s="115">
        <f>VLOOKUP(Companies[[#This Row],[Symbol]],Morningstar,MATCH("% Total Return 12 Month",Morningstar_Cols,EXACT_MATCH),EXACT_MATCH)/100</f>
        <v>-0.64910000000000001</v>
      </c>
      <c r="G278" s="116">
        <f>VLOOKUP(Companies[[#This Row],[Symbol]],Morningstar,MATCH("Price/Sales",Morningstar_Cols,EXACT_MATCH),EXACT_MATCH)</f>
        <v>0.49</v>
      </c>
      <c r="H278" s="117">
        <f>VLOOKUP(Companies[[#This Row],[Symbol]],Morningstar,MATCH("Price/Fair Value",Morningstar_Cols,EXACT_MATCH),EXACT_MATCH)</f>
        <v>0.56999999999999995</v>
      </c>
      <c r="I27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278" s="107">
        <f>VLOOKUP(Companies[[#This Row],[Symbol]],Morningstar,MATCH("% Dividend Yield TTM",Morningstar_Cols,EXACT_MATCH),EXACT_MATCH)/100</f>
        <v>2.53E-2</v>
      </c>
      <c r="K278" s="119" t="str">
        <f>IFERROR(LOOKUP(2,1/(GrowthCurves[Ticker]=Companies[[#This Row],[Symbol]]),GrowthCurves[Metric]),"")</f>
        <v/>
      </c>
      <c r="L278" s="94">
        <f>RatingDefault+SUM(Companies[[#This Row],[CurvePoints]:[PFVPoints]])</f>
        <v>5</v>
      </c>
      <c r="M278" s="94"/>
      <c r="N278" s="102">
        <f>IF(Companies[[#This Row],[Growth Curve]]&lt;&gt;"",Companies[[#This Row],[Growth Curve]]-3,0)</f>
        <v>0</v>
      </c>
      <c r="O278" s="52">
        <f>IF(Companies[[#This Row],[PSR]]&gt;2,-1,IF(Companies[[#This Row],[PSR]]&lt;1,1,0))</f>
        <v>1</v>
      </c>
      <c r="P278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78" s="53">
        <f>IF(Companies[[#This Row],[PFV]]&lt;0.75,2,IF(Companies[[#This Row],[PFV]]&lt;0.95,1,IF(Companies[[#This Row],[PFV]]&gt;1.25,-2,IF(Companies[[#This Row],[PFV]]&gt;1.15,-1,0))))</f>
        <v>2</v>
      </c>
    </row>
    <row r="279" spans="2:17" s="53" customFormat="1" ht="25.15" customHeight="1" x14ac:dyDescent="0.25">
      <c r="B279" s="11" t="s">
        <v>194</v>
      </c>
      <c r="C279" s="11" t="str">
        <f>VLOOKUP(Companies[[#This Row],[Symbol]],Morningstar,MATCH("Name",Morningstar_Cols,EXACT_MATCH),EXACT_MATCH)</f>
        <v>Synaptics Inc</v>
      </c>
      <c r="D279" s="114">
        <f>VLOOKUP(Companies[[#This Row],[Symbol]],Morningstar,MATCH("mil$ Market Cap",Morningstar_Cols,0),0)</f>
        <v>1962.77</v>
      </c>
      <c r="E279" s="115">
        <f>VLOOKUP(Companies[[#This Row],[Symbol]],Morningstar,MATCH("% Total Return 3 Month",Morningstar_Cols,EXACT_MATCH),EXACT_MATCH)/100</f>
        <v>-3.8800000000000001E-2</v>
      </c>
      <c r="F279" s="115">
        <f>VLOOKUP(Companies[[#This Row],[Symbol]],Morningstar,MATCH("% Total Return 12 Month",Morningstar_Cols,EXACT_MATCH),EXACT_MATCH)/100</f>
        <v>0.33360000000000001</v>
      </c>
      <c r="G279" s="116">
        <f>VLOOKUP(Companies[[#This Row],[Symbol]],Morningstar,MATCH("Price/Sales",Morningstar_Cols,EXACT_MATCH),EXACT_MATCH)</f>
        <v>1.44</v>
      </c>
      <c r="H279" s="117">
        <f>VLOOKUP(Companies[[#This Row],[Symbol]],Morningstar,MATCH("Price/Fair Value",Morningstar_Cols,EXACT_MATCH),EXACT_MATCH)</f>
        <v>1.05</v>
      </c>
      <c r="I27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79" s="107">
        <f>VLOOKUP(Companies[[#This Row],[Symbol]],Morningstar,MATCH("% Dividend Yield TTM",Morningstar_Cols,EXACT_MATCH),EXACT_MATCH)/100</f>
        <v>0</v>
      </c>
      <c r="K279" s="119" t="str">
        <f>IFERROR(LOOKUP(2,1/(GrowthCurves[Ticker]=Companies[[#This Row],[Symbol]]),GrowthCurves[Metric]),"")</f>
        <v>1</v>
      </c>
      <c r="L279" s="94">
        <f>RatingDefault+SUM(Companies[[#This Row],[CurvePoints]:[PFVPoints]])</f>
        <v>1</v>
      </c>
      <c r="M279" s="94"/>
      <c r="N279" s="103">
        <f>IF(Companies[[#This Row],[Growth Curve]]&lt;&gt;"",Companies[[#This Row],[Growth Curve]]-3,0)</f>
        <v>-2</v>
      </c>
      <c r="O279" s="53">
        <f>IF(Companies[[#This Row],[PSR]]&gt;2,-1,IF(Companies[[#This Row],[PSR]]&lt;1,1,0))</f>
        <v>0</v>
      </c>
      <c r="P279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79" s="53">
        <f>IF(Companies[[#This Row],[PFV]]&lt;0.75,2,IF(Companies[[#This Row],[PFV]]&lt;0.95,1,IF(Companies[[#This Row],[PFV]]&gt;1.25,-2,IF(Companies[[#This Row],[PFV]]&gt;1.15,-1,0))))</f>
        <v>0</v>
      </c>
    </row>
    <row r="280" spans="2:17" s="53" customFormat="1" ht="25.15" customHeight="1" x14ac:dyDescent="0.25">
      <c r="B280" s="11" t="s">
        <v>43</v>
      </c>
      <c r="C280" s="11" t="str">
        <f>VLOOKUP(Companies[[#This Row],[Symbol]],Morningstar,MATCH("Name",Morningstar_Cols,EXACT_MATCH),EXACT_MATCH)</f>
        <v>Systemax Inc</v>
      </c>
      <c r="D280" s="114">
        <f>VLOOKUP(Companies[[#This Row],[Symbol]],Morningstar,MATCH("mil$ Market Cap",Morningstar_Cols,0),0)</f>
        <v>624.52</v>
      </c>
      <c r="E280" s="115">
        <f>VLOOKUP(Companies[[#This Row],[Symbol]],Morningstar,MATCH("% Total Return 3 Month",Morningstar_Cols,EXACT_MATCH),EXACT_MATCH)/100</f>
        <v>-0.32229999999999998</v>
      </c>
      <c r="F280" s="115">
        <f>VLOOKUP(Companies[[#This Row],[Symbol]],Morningstar,MATCH("% Total Return 12 Month",Morningstar_Cols,EXACT_MATCH),EXACT_MATCH)/100</f>
        <v>-0.15380000000000002</v>
      </c>
      <c r="G280" s="116">
        <f>VLOOKUP(Companies[[#This Row],[Symbol]],Morningstar,MATCH("Price/Sales",Morningstar_Cols,EXACT_MATCH),EXACT_MATCH)</f>
        <v>0.67</v>
      </c>
      <c r="H280" s="117">
        <f>VLOOKUP(Companies[[#This Row],[Symbol]],Morningstar,MATCH("Price/Fair Value",Morningstar_Cols,EXACT_MATCH),EXACT_MATCH)</f>
        <v>0.78</v>
      </c>
      <c r="I28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80" s="107">
        <f>VLOOKUP(Companies[[#This Row],[Symbol]],Morningstar,MATCH("% Dividend Yield TTM",Morningstar_Cols,EXACT_MATCH),EXACT_MATCH)/100</f>
        <v>3.1800000000000002E-2</v>
      </c>
      <c r="K280" s="119" t="str">
        <f>IFERROR(LOOKUP(2,1/(GrowthCurves[Ticker]=Companies[[#This Row],[Symbol]]),GrowthCurves[Metric]),"")</f>
        <v>1</v>
      </c>
      <c r="L280" s="94">
        <f>RatingDefault+SUM(Companies[[#This Row],[CurvePoints]:[PFVPoints]])</f>
        <v>3</v>
      </c>
      <c r="M280" s="94"/>
      <c r="N280" s="103">
        <f>IF(Companies[[#This Row],[Growth Curve]]&lt;&gt;"",Companies[[#This Row],[Growth Curve]]-3,0)</f>
        <v>-2</v>
      </c>
      <c r="O280" s="53">
        <f>IF(Companies[[#This Row],[PSR]]&gt;2,-1,IF(Companies[[#This Row],[PSR]]&lt;1,1,0))</f>
        <v>1</v>
      </c>
      <c r="P280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80" s="53">
        <f>IF(Companies[[#This Row],[PFV]]&lt;0.75,2,IF(Companies[[#This Row],[PFV]]&lt;0.95,1,IF(Companies[[#This Row],[PFV]]&gt;1.25,-2,IF(Companies[[#This Row],[PFV]]&gt;1.15,-1,0))))</f>
        <v>1</v>
      </c>
    </row>
    <row r="281" spans="2:17" s="53" customFormat="1" ht="25.15" customHeight="1" x14ac:dyDescent="0.25">
      <c r="B281" s="52" t="s">
        <v>477</v>
      </c>
      <c r="C281" s="11" t="str">
        <f>VLOOKUP(Companies[[#This Row],[Symbol]],Morningstar,MATCH("Name",Morningstar_Cols,EXACT_MATCH),EXACT_MATCH)</f>
        <v>AT&amp;T Inc</v>
      </c>
      <c r="D281" s="114">
        <f>VLOOKUP(Companies[[#This Row],[Symbol]],Morningstar,MATCH("mil$ Market Cap",Morningstar_Cols,0),0)</f>
        <v>235534.03</v>
      </c>
      <c r="E281" s="115">
        <f>VLOOKUP(Companies[[#This Row],[Symbol]],Morningstar,MATCH("% Total Return 3 Month",Morningstar_Cols,EXACT_MATCH),EXACT_MATCH)/100</f>
        <v>-0.16949999999999998</v>
      </c>
      <c r="F281" s="115">
        <f>VLOOKUP(Companies[[#This Row],[Symbol]],Morningstar,MATCH("% Total Return 12 Month",Morningstar_Cols,EXACT_MATCH),EXACT_MATCH)/100</f>
        <v>8.9800000000000005E-2</v>
      </c>
      <c r="G281" s="116">
        <f>VLOOKUP(Companies[[#This Row],[Symbol]],Morningstar,MATCH("Price/Sales",Morningstar_Cols,EXACT_MATCH),EXACT_MATCH)</f>
        <v>1.33</v>
      </c>
      <c r="H281" s="117">
        <f>VLOOKUP(Companies[[#This Row],[Symbol]],Morningstar,MATCH("Price/Fair Value",Morningstar_Cols,EXACT_MATCH),EXACT_MATCH)</f>
        <v>0.84</v>
      </c>
      <c r="I28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81" s="107">
        <f>VLOOKUP(Companies[[#This Row],[Symbol]],Morningstar,MATCH("% Dividend Yield TTM",Morningstar_Cols,EXACT_MATCH),EXACT_MATCH)/100</f>
        <v>6.54E-2</v>
      </c>
      <c r="K281" s="119" t="str">
        <f>IFERROR(LOOKUP(2,1/(GrowthCurves[Ticker]=Companies[[#This Row],[Symbol]]),GrowthCurves[Metric]),"")</f>
        <v>3</v>
      </c>
      <c r="L281" s="94">
        <f>RatingDefault+SUM(Companies[[#This Row],[CurvePoints]:[PFVPoints]])</f>
        <v>5</v>
      </c>
      <c r="M281" s="94"/>
      <c r="N281" s="102">
        <f>IF(Companies[[#This Row],[Growth Curve]]&lt;&gt;"",Companies[[#This Row],[Growth Curve]]-3,0)</f>
        <v>0</v>
      </c>
      <c r="O281" s="52">
        <f>IF(Companies[[#This Row],[PSR]]&gt;2,-1,IF(Companies[[#This Row],[PSR]]&lt;1,1,0))</f>
        <v>0</v>
      </c>
      <c r="P281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81" s="53">
        <f>IF(Companies[[#This Row],[PFV]]&lt;0.75,2,IF(Companies[[#This Row],[PFV]]&lt;0.95,1,IF(Companies[[#This Row],[PFV]]&gt;1.25,-2,IF(Companies[[#This Row],[PFV]]&gt;1.15,-1,0))))</f>
        <v>1</v>
      </c>
    </row>
    <row r="282" spans="2:17" s="53" customFormat="1" ht="25.15" customHeight="1" x14ac:dyDescent="0.25">
      <c r="B282" s="52" t="s">
        <v>714</v>
      </c>
      <c r="C282" s="11" t="str">
        <f>VLOOKUP(Companies[[#This Row],[Symbol]],Morningstar,MATCH("Name",Morningstar_Cols,EXACT_MATCH),EXACT_MATCH)</f>
        <v>Del Taco Restaurants Inc</v>
      </c>
      <c r="D282" s="114">
        <f>VLOOKUP(Companies[[#This Row],[Symbol]],Morningstar,MATCH("mil$ Market Cap",Morningstar_Cols,0),0)</f>
        <v>142.68</v>
      </c>
      <c r="E282" s="115">
        <f>VLOOKUP(Companies[[#This Row],[Symbol]],Morningstar,MATCH("% Total Return 3 Month",Morningstar_Cols,EXACT_MATCH),EXACT_MATCH)/100</f>
        <v>-0.50190000000000001</v>
      </c>
      <c r="F282" s="115">
        <f>VLOOKUP(Companies[[#This Row],[Symbol]],Morningstar,MATCH("% Total Return 12 Month",Morningstar_Cols,EXACT_MATCH),EXACT_MATCH)/100</f>
        <v>-0.62029999999999996</v>
      </c>
      <c r="G282" s="116">
        <f>VLOOKUP(Companies[[#This Row],[Symbol]],Morningstar,MATCH("Price/Sales",Morningstar_Cols,EXACT_MATCH),EXACT_MATCH)</f>
        <v>0.28000000000000003</v>
      </c>
      <c r="H282" s="117">
        <f>VLOOKUP(Companies[[#This Row],[Symbol]],Morningstar,MATCH("Price/Fair Value",Morningstar_Cols,EXACT_MATCH),EXACT_MATCH)</f>
        <v>0.35</v>
      </c>
      <c r="I28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82" s="107">
        <f>VLOOKUP(Companies[[#This Row],[Symbol]],Morningstar,MATCH("% Dividend Yield TTM",Morningstar_Cols,EXACT_MATCH),EXACT_MATCH)/100</f>
        <v>0</v>
      </c>
      <c r="K282" s="119" t="str">
        <f>IFERROR(LOOKUP(2,1/(GrowthCurves[Ticker]=Companies[[#This Row],[Symbol]]),GrowthCurves[Metric]),"")</f>
        <v>1</v>
      </c>
      <c r="L282" s="94">
        <f>RatingDefault+SUM(Companies[[#This Row],[CurvePoints]:[PFVPoints]])</f>
        <v>4</v>
      </c>
      <c r="M282" s="94"/>
      <c r="N282" s="102">
        <f>IF(Companies[[#This Row],[Growth Curve]]&lt;&gt;"",Companies[[#This Row],[Growth Curve]]-3,0)</f>
        <v>-2</v>
      </c>
      <c r="O282" s="52">
        <f>IF(Companies[[#This Row],[PSR]]&gt;2,-1,IF(Companies[[#This Row],[PSR]]&lt;1,1,0))</f>
        <v>1</v>
      </c>
      <c r="P282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82" s="53">
        <f>IF(Companies[[#This Row],[PFV]]&lt;0.75,2,IF(Companies[[#This Row],[PFV]]&lt;0.95,1,IF(Companies[[#This Row],[PFV]]&gt;1.25,-2,IF(Companies[[#This Row],[PFV]]&gt;1.15,-1,0))))</f>
        <v>2</v>
      </c>
    </row>
    <row r="283" spans="2:17" s="53" customFormat="1" ht="25.15" customHeight="1" x14ac:dyDescent="0.25">
      <c r="B283" s="52" t="s">
        <v>878</v>
      </c>
      <c r="C283" s="11" t="str">
        <f>VLOOKUP(Companies[[#This Row],[Symbol]],Morningstar,MATCH("Name",Morningstar_Cols,EXACT_MATCH),EXACT_MATCH)</f>
        <v>Tencent Holdings Ltd ADR</v>
      </c>
      <c r="D283" s="114">
        <f>VLOOKUP(Companies[[#This Row],[Symbol]],Morningstar,MATCH("mil$ Market Cap",Morningstar_Cols,0),0)</f>
        <v>489251.18</v>
      </c>
      <c r="E283" s="115">
        <f>VLOOKUP(Companies[[#This Row],[Symbol]],Morningstar,MATCH("% Total Return 3 Month",Morningstar_Cols,EXACT_MATCH),EXACT_MATCH)/100</f>
        <v>-4.5899999999999996E-2</v>
      </c>
      <c r="F283" s="115">
        <f>VLOOKUP(Companies[[#This Row],[Symbol]],Morningstar,MATCH("% Total Return 12 Month",Morningstar_Cols,EXACT_MATCH),EXACT_MATCH)/100</f>
        <v>-4.2000000000000003E-2</v>
      </c>
      <c r="G283" s="116">
        <f>VLOOKUP(Companies[[#This Row],[Symbol]],Morningstar,MATCH("Price/Sales",Morningstar_Cols,EXACT_MATCH),EXACT_MATCH)</f>
        <v>8.58</v>
      </c>
      <c r="H283" s="117">
        <f>VLOOKUP(Companies[[#This Row],[Symbol]],Morningstar,MATCH("Price/Fair Value",Morningstar_Cols,EXACT_MATCH),EXACT_MATCH)</f>
        <v>0.78</v>
      </c>
      <c r="I28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A</v>
      </c>
      <c r="J283" s="107">
        <f>VLOOKUP(Companies[[#This Row],[Symbol]],Morningstar,MATCH("% Dividend Yield TTM",Morningstar_Cols,EXACT_MATCH),EXACT_MATCH)/100</f>
        <v>2.8999999999999998E-3</v>
      </c>
      <c r="K283" s="119" t="str">
        <f>IFERROR(LOOKUP(2,1/(GrowthCurves[Ticker]=Companies[[#This Row],[Symbol]]),GrowthCurves[Metric]),"")</f>
        <v>3</v>
      </c>
      <c r="L283" s="94">
        <f>RatingDefault+SUM(Companies[[#This Row],[CurvePoints]:[PFVPoints]])</f>
        <v>4</v>
      </c>
      <c r="M283" s="94"/>
      <c r="N283" s="102">
        <f>IF(Companies[[#This Row],[Growth Curve]]&lt;&gt;"",Companies[[#This Row],[Growth Curve]]-3,0)</f>
        <v>0</v>
      </c>
      <c r="O283" s="52">
        <f>IF(Companies[[#This Row],[PSR]]&gt;2,-1,IF(Companies[[#This Row],[PSR]]&lt;1,1,0))</f>
        <v>-1</v>
      </c>
      <c r="P283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83" s="53">
        <f>IF(Companies[[#This Row],[PFV]]&lt;0.75,2,IF(Companies[[#This Row],[PFV]]&lt;0.95,1,IF(Companies[[#This Row],[PFV]]&gt;1.25,-2,IF(Companies[[#This Row],[PFV]]&gt;1.15,-1,0))))</f>
        <v>1</v>
      </c>
    </row>
    <row r="284" spans="2:17" s="53" customFormat="1" ht="25.15" customHeight="1" x14ac:dyDescent="0.25">
      <c r="B284" s="11" t="s">
        <v>894</v>
      </c>
      <c r="C284" s="11" t="str">
        <f>VLOOKUP(Companies[[#This Row],[Symbol]],Morningstar,MATCH("Name",Morningstar_Cols,EXACT_MATCH),EXACT_MATCH)</f>
        <v>Teladoc Health Inc</v>
      </c>
      <c r="D284" s="114">
        <f>VLOOKUP(Companies[[#This Row],[Symbol]],Morningstar,MATCH("mil$ Market Cap",Morningstar_Cols,0),0)</f>
        <v>8420.5400000000009</v>
      </c>
      <c r="E284" s="115">
        <f>VLOOKUP(Companies[[#This Row],[Symbol]],Morningstar,MATCH("% Total Return 3 Month",Morningstar_Cols,EXACT_MATCH),EXACT_MATCH)/100</f>
        <v>0.54189999999999994</v>
      </c>
      <c r="F284" s="115">
        <f>VLOOKUP(Companies[[#This Row],[Symbol]],Morningstar,MATCH("% Total Return 12 Month",Morningstar_Cols,EXACT_MATCH),EXACT_MATCH)/100</f>
        <v>1.0451000000000001</v>
      </c>
      <c r="G284" s="116">
        <f>VLOOKUP(Companies[[#This Row],[Symbol]],Morningstar,MATCH("Price/Sales",Morningstar_Cols,EXACT_MATCH),EXACT_MATCH)</f>
        <v>14.98</v>
      </c>
      <c r="H284" s="117">
        <f>VLOOKUP(Companies[[#This Row],[Symbol]],Morningstar,MATCH("Price/Fair Value",Morningstar_Cols,EXACT_MATCH),EXACT_MATCH)</f>
        <v>1.05</v>
      </c>
      <c r="I28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84" s="107">
        <f>VLOOKUP(Companies[[#This Row],[Symbol]],Morningstar,MATCH("% Dividend Yield TTM",Morningstar_Cols,EXACT_MATCH),EXACT_MATCH)/100</f>
        <v>0</v>
      </c>
      <c r="K284" s="119" t="str">
        <f>IFERROR(LOOKUP(2,1/(GrowthCurves[Ticker]=Companies[[#This Row],[Symbol]]),GrowthCurves[Metric]),"")</f>
        <v>1</v>
      </c>
      <c r="L284" s="94">
        <f>RatingDefault+SUM(Companies[[#This Row],[CurvePoints]:[PFVPoints]])</f>
        <v>1</v>
      </c>
      <c r="M284" s="94"/>
      <c r="N284" s="103">
        <f>IF(Companies[[#This Row],[Growth Curve]]&lt;&gt;"",Companies[[#This Row],[Growth Curve]]-3,0)</f>
        <v>-2</v>
      </c>
      <c r="O284" s="53">
        <f>IF(Companies[[#This Row],[PSR]]&gt;2,-1,IF(Companies[[#This Row],[PSR]]&lt;1,1,0))</f>
        <v>-1</v>
      </c>
      <c r="P284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84" s="53">
        <f>IF(Companies[[#This Row],[PFV]]&lt;0.75,2,IF(Companies[[#This Row],[PFV]]&lt;0.95,1,IF(Companies[[#This Row],[PFV]]&gt;1.25,-2,IF(Companies[[#This Row],[PFV]]&gt;1.15,-1,0))))</f>
        <v>0</v>
      </c>
    </row>
    <row r="285" spans="2:17" s="53" customFormat="1" ht="25.15" customHeight="1" x14ac:dyDescent="0.25">
      <c r="B285" s="11" t="s">
        <v>439</v>
      </c>
      <c r="C285" s="11" t="str">
        <f>VLOOKUP(Companies[[#This Row],[Symbol]],Morningstar,MATCH("Name",Morningstar_Cols,EXACT_MATCH),EXACT_MATCH)</f>
        <v>Telefonica SA ADR</v>
      </c>
      <c r="D285" s="114">
        <f>VLOOKUP(Companies[[#This Row],[Symbol]],Morningstar,MATCH("mil$ Market Cap",Morningstar_Cols,0),0)</f>
        <v>22270.47</v>
      </c>
      <c r="E285" s="115">
        <f>VLOOKUP(Companies[[#This Row],[Symbol]],Morningstar,MATCH("% Total Return 3 Month",Morningstar_Cols,EXACT_MATCH),EXACT_MATCH)/100</f>
        <v>-0.3735</v>
      </c>
      <c r="F285" s="115">
        <f>VLOOKUP(Companies[[#This Row],[Symbol]],Morningstar,MATCH("% Total Return 12 Month",Morningstar_Cols,EXACT_MATCH),EXACT_MATCH)/100</f>
        <v>-0.43200000000000005</v>
      </c>
      <c r="G285" s="116">
        <f>VLOOKUP(Companies[[#This Row],[Symbol]],Morningstar,MATCH("Price/Sales",Morningstar_Cols,EXACT_MATCH),EXACT_MATCH)</f>
        <v>0.41</v>
      </c>
      <c r="H285" s="117">
        <f>VLOOKUP(Companies[[#This Row],[Symbol]],Morningstar,MATCH("Price/Fair Value",Morningstar_Cols,EXACT_MATCH),EXACT_MATCH)</f>
        <v>0.32</v>
      </c>
      <c r="I28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85" s="107">
        <f>VLOOKUP(Companies[[#This Row],[Symbol]],Morningstar,MATCH("% Dividend Yield TTM",Morningstar_Cols,EXACT_MATCH),EXACT_MATCH)/100</f>
        <v>0.1013</v>
      </c>
      <c r="K285" s="119" t="str">
        <f>IFERROR(LOOKUP(2,1/(GrowthCurves[Ticker]=Companies[[#This Row],[Symbol]]),GrowthCurves[Metric]),"")</f>
        <v>2</v>
      </c>
      <c r="L285" s="94">
        <f>RatingDefault+SUM(Companies[[#This Row],[CurvePoints]:[PFVPoints]])</f>
        <v>5</v>
      </c>
      <c r="M285" s="94"/>
      <c r="N285" s="103">
        <f>IF(Companies[[#This Row],[Growth Curve]]&lt;&gt;"",Companies[[#This Row],[Growth Curve]]-3,0)</f>
        <v>-1</v>
      </c>
      <c r="O285" s="53">
        <f>IF(Companies[[#This Row],[PSR]]&gt;2,-1,IF(Companies[[#This Row],[PSR]]&lt;1,1,0))</f>
        <v>1</v>
      </c>
      <c r="P285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85" s="53">
        <f>IF(Companies[[#This Row],[PFV]]&lt;0.75,2,IF(Companies[[#This Row],[PFV]]&lt;0.95,1,IF(Companies[[#This Row],[PFV]]&gt;1.25,-2,IF(Companies[[#This Row],[PFV]]&gt;1.15,-1,0))))</f>
        <v>2</v>
      </c>
    </row>
    <row r="286" spans="2:17" s="53" customFormat="1" ht="25.15" customHeight="1" x14ac:dyDescent="0.25">
      <c r="B286" s="11" t="s">
        <v>213</v>
      </c>
      <c r="C286" s="11" t="str">
        <f>VLOOKUP(Companies[[#This Row],[Symbol]],Morningstar,MATCH("Name",Morningstar_Cols,EXACT_MATCH),EXACT_MATCH)</f>
        <v>Telecom Argentina SA ADR</v>
      </c>
      <c r="D286" s="114">
        <f>VLOOKUP(Companies[[#This Row],[Symbol]],Morningstar,MATCH("mil$ Market Cap",Morningstar_Cols,0),0)</f>
        <v>4544.29</v>
      </c>
      <c r="E286" s="115">
        <f>VLOOKUP(Companies[[#This Row],[Symbol]],Morningstar,MATCH("% Total Return 3 Month",Morningstar_Cols,EXACT_MATCH),EXACT_MATCH)/100</f>
        <v>0.1613</v>
      </c>
      <c r="F286" s="115">
        <f>VLOOKUP(Companies[[#This Row],[Symbol]],Morningstar,MATCH("% Total Return 12 Month",Morningstar_Cols,EXACT_MATCH),EXACT_MATCH)/100</f>
        <v>-0.1638</v>
      </c>
      <c r="G286" s="116">
        <f>VLOOKUP(Companies[[#This Row],[Symbol]],Morningstar,MATCH("Price/Sales",Morningstar_Cols,EXACT_MATCH),EXACT_MATCH)</f>
        <v>1.2</v>
      </c>
      <c r="H286" s="117">
        <f>VLOOKUP(Companies[[#This Row],[Symbol]],Morningstar,MATCH("Price/Fair Value",Morningstar_Cols,EXACT_MATCH),EXACT_MATCH)</f>
        <v>0.54</v>
      </c>
      <c r="I28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286" s="107">
        <f>VLOOKUP(Companies[[#This Row],[Symbol]],Morningstar,MATCH("% Dividend Yield TTM",Morningstar_Cols,EXACT_MATCH),EXACT_MATCH)/100</f>
        <v>8.6099999999999996E-2</v>
      </c>
      <c r="K286" s="119" t="str">
        <f>IFERROR(LOOKUP(2,1/(GrowthCurves[Ticker]=Companies[[#This Row],[Symbol]]),GrowthCurves[Metric]),"")</f>
        <v/>
      </c>
      <c r="L286" s="94">
        <f>RatingDefault+SUM(Companies[[#This Row],[CurvePoints]:[PFVPoints]])</f>
        <v>4</v>
      </c>
      <c r="M286" s="94"/>
      <c r="N286" s="103">
        <f>IF(Companies[[#This Row],[Growth Curve]]&lt;&gt;"",Companies[[#This Row],[Growth Curve]]-3,0)</f>
        <v>0</v>
      </c>
      <c r="O286" s="53">
        <f>IF(Companies[[#This Row],[PSR]]&gt;2,-1,IF(Companies[[#This Row],[PSR]]&lt;1,1,0))</f>
        <v>0</v>
      </c>
      <c r="P286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86" s="53">
        <f>IF(Companies[[#This Row],[PFV]]&lt;0.75,2,IF(Companies[[#This Row],[PFV]]&lt;0.95,1,IF(Companies[[#This Row],[PFV]]&gt;1.25,-2,IF(Companies[[#This Row],[PFV]]&gt;1.15,-1,0))))</f>
        <v>2</v>
      </c>
    </row>
    <row r="287" spans="2:17" s="53" customFormat="1" ht="25.15" customHeight="1" x14ac:dyDescent="0.25">
      <c r="B287" s="52" t="s">
        <v>709</v>
      </c>
      <c r="C287" s="11" t="str">
        <f>VLOOKUP(Companies[[#This Row],[Symbol]],Morningstar,MATCH("Name",Morningstar_Cols,EXACT_MATCH),EXACT_MATCH)</f>
        <v>Triumph Group Inc</v>
      </c>
      <c r="D287" s="114">
        <f>VLOOKUP(Companies[[#This Row],[Symbol]],Morningstar,MATCH("mil$ Market Cap",Morningstar_Cols,0),0)</f>
        <v>375.91</v>
      </c>
      <c r="E287" s="115">
        <f>VLOOKUP(Companies[[#This Row],[Symbol]],Morningstar,MATCH("% Total Return 3 Month",Morningstar_Cols,EXACT_MATCH),EXACT_MATCH)/100</f>
        <v>-0.69590000000000007</v>
      </c>
      <c r="F287" s="115">
        <f>VLOOKUP(Companies[[#This Row],[Symbol]],Morningstar,MATCH("% Total Return 12 Month",Morningstar_Cols,EXACT_MATCH),EXACT_MATCH)/100</f>
        <v>-0.55810000000000004</v>
      </c>
      <c r="G287" s="116">
        <f>VLOOKUP(Companies[[#This Row],[Symbol]],Morningstar,MATCH("Price/Sales",Morningstar_Cols,EXACT_MATCH),EXACT_MATCH)</f>
        <v>0.12</v>
      </c>
      <c r="H287" s="117">
        <f>VLOOKUP(Companies[[#This Row],[Symbol]],Morningstar,MATCH("Price/Fair Value",Morningstar_Cols,EXACT_MATCH),EXACT_MATCH)</f>
        <v>0.34</v>
      </c>
      <c r="I28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287" s="107">
        <f>VLOOKUP(Companies[[#This Row],[Symbol]],Morningstar,MATCH("% Dividend Yield TTM",Morningstar_Cols,EXACT_MATCH),EXACT_MATCH)/100</f>
        <v>1.8200000000000001E-2</v>
      </c>
      <c r="K287" s="119" t="str">
        <f>IFERROR(LOOKUP(2,1/(GrowthCurves[Ticker]=Companies[[#This Row],[Symbol]]),GrowthCurves[Metric]),"")</f>
        <v/>
      </c>
      <c r="L287" s="94">
        <f>RatingDefault+SUM(Companies[[#This Row],[CurvePoints]:[PFVPoints]])</f>
        <v>5</v>
      </c>
      <c r="M287" s="94"/>
      <c r="N287" s="102">
        <f>IF(Companies[[#This Row],[Growth Curve]]&lt;&gt;"",Companies[[#This Row],[Growth Curve]]-3,0)</f>
        <v>0</v>
      </c>
      <c r="O287" s="52">
        <f>IF(Companies[[#This Row],[PSR]]&gt;2,-1,IF(Companies[[#This Row],[PSR]]&lt;1,1,0))</f>
        <v>1</v>
      </c>
      <c r="P287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87" s="53">
        <f>IF(Companies[[#This Row],[PFV]]&lt;0.75,2,IF(Companies[[#This Row],[PFV]]&lt;0.95,1,IF(Companies[[#This Row],[PFV]]&gt;1.25,-2,IF(Companies[[#This Row],[PFV]]&gt;1.15,-1,0))))</f>
        <v>2</v>
      </c>
    </row>
    <row r="288" spans="2:17" s="53" customFormat="1" ht="25.15" customHeight="1" x14ac:dyDescent="0.25">
      <c r="B288" s="52" t="s">
        <v>774</v>
      </c>
      <c r="C288" s="11" t="str">
        <f>VLOOKUP(Companies[[#This Row],[Symbol]],Morningstar,MATCH("Name",Morningstar_Cols,EXACT_MATCH),EXACT_MATCH)</f>
        <v>Tegna Inc</v>
      </c>
      <c r="D288" s="114">
        <f>VLOOKUP(Companies[[#This Row],[Symbol]],Morningstar,MATCH("mil$ Market Cap",Morningstar_Cols,0),0)</f>
        <v>3546.03</v>
      </c>
      <c r="E288" s="115">
        <f>VLOOKUP(Companies[[#This Row],[Symbol]],Morningstar,MATCH("% Total Return 3 Month",Morningstar_Cols,EXACT_MATCH),EXACT_MATCH)/100</f>
        <v>1.67E-2</v>
      </c>
      <c r="F288" s="115">
        <f>VLOOKUP(Companies[[#This Row],[Symbol]],Morningstar,MATCH("% Total Return 12 Month",Morningstar_Cols,EXACT_MATCH),EXACT_MATCH)/100</f>
        <v>0.1108</v>
      </c>
      <c r="G288" s="116">
        <f>VLOOKUP(Companies[[#This Row],[Symbol]],Morningstar,MATCH("Price/Sales",Morningstar_Cols,EXACT_MATCH),EXACT_MATCH)</f>
        <v>1.54</v>
      </c>
      <c r="H288" s="117">
        <f>VLOOKUP(Companies[[#This Row],[Symbol]],Morningstar,MATCH("Price/Fair Value",Morningstar_Cols,EXACT_MATCH),EXACT_MATCH)</f>
        <v>0.83</v>
      </c>
      <c r="I28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88" s="107">
        <f>VLOOKUP(Companies[[#This Row],[Symbol]],Morningstar,MATCH("% Dividend Yield TTM",Morningstar_Cols,EXACT_MATCH),EXACT_MATCH)/100</f>
        <v>1.7100000000000001E-2</v>
      </c>
      <c r="K288" s="119" t="str">
        <f>IFERROR(LOOKUP(2,1/(GrowthCurves[Ticker]=Companies[[#This Row],[Symbol]]),GrowthCurves[Metric]),"")</f>
        <v/>
      </c>
      <c r="L288" s="94">
        <f>RatingDefault+SUM(Companies[[#This Row],[CurvePoints]:[PFVPoints]])</f>
        <v>4</v>
      </c>
      <c r="M288" s="94"/>
      <c r="N288" s="102">
        <f>IF(Companies[[#This Row],[Growth Curve]]&lt;&gt;"",Companies[[#This Row],[Growth Curve]]-3,0)</f>
        <v>0</v>
      </c>
      <c r="O288" s="52">
        <f>IF(Companies[[#This Row],[PSR]]&gt;2,-1,IF(Companies[[#This Row],[PSR]]&lt;1,1,0))</f>
        <v>0</v>
      </c>
      <c r="P288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88" s="53">
        <f>IF(Companies[[#This Row],[PFV]]&lt;0.75,2,IF(Companies[[#This Row],[PFV]]&lt;0.95,1,IF(Companies[[#This Row],[PFV]]&gt;1.25,-2,IF(Companies[[#This Row],[PFV]]&gt;1.15,-1,0))))</f>
        <v>1</v>
      </c>
    </row>
    <row r="289" spans="2:17" s="53" customFormat="1" ht="25.15" customHeight="1" x14ac:dyDescent="0.25">
      <c r="B289" s="11" t="s">
        <v>316</v>
      </c>
      <c r="C289" s="11" t="str">
        <f>VLOOKUP(Companies[[#This Row],[Symbol]],Morningstar,MATCH("Name",Morningstar_Cols,EXACT_MATCH),EXACT_MATCH)</f>
        <v>Tenet Healthcare Corp</v>
      </c>
      <c r="D289" s="114">
        <f>VLOOKUP(Companies[[#This Row],[Symbol]],Morningstar,MATCH("mil$ Market Cap",Morningstar_Cols,0),0)</f>
        <v>1795.85</v>
      </c>
      <c r="E289" s="115">
        <f>VLOOKUP(Companies[[#This Row],[Symbol]],Morningstar,MATCH("% Total Return 3 Month",Morningstar_Cols,EXACT_MATCH),EXACT_MATCH)/100</f>
        <v>-0.5292</v>
      </c>
      <c r="F289" s="115">
        <f>VLOOKUP(Companies[[#This Row],[Symbol]],Morningstar,MATCH("% Total Return 12 Month",Morningstar_Cols,EXACT_MATCH),EXACT_MATCH)/100</f>
        <v>-0.40549999999999997</v>
      </c>
      <c r="G289" s="116">
        <f>VLOOKUP(Companies[[#This Row],[Symbol]],Morningstar,MATCH("Price/Sales",Morningstar_Cols,EXACT_MATCH),EXACT_MATCH)</f>
        <v>0.1</v>
      </c>
      <c r="H289" s="117">
        <f>VLOOKUP(Companies[[#This Row],[Symbol]],Morningstar,MATCH("Price/Fair Value",Morningstar_Cols,EXACT_MATCH),EXACT_MATCH)</f>
        <v>0.56999999999999995</v>
      </c>
      <c r="I28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89" s="107">
        <f>VLOOKUP(Companies[[#This Row],[Symbol]],Morningstar,MATCH("% Dividend Yield TTM",Morningstar_Cols,EXACT_MATCH),EXACT_MATCH)/100</f>
        <v>0</v>
      </c>
      <c r="K289" s="119" t="str">
        <f>IFERROR(LOOKUP(2,1/(GrowthCurves[Ticker]=Companies[[#This Row],[Symbol]]),GrowthCurves[Metric]),"")</f>
        <v/>
      </c>
      <c r="L289" s="94">
        <f>RatingDefault+SUM(Companies[[#This Row],[CurvePoints]:[PFVPoints]])</f>
        <v>6</v>
      </c>
      <c r="M289" s="94"/>
      <c r="N289" s="103">
        <f>IF(Companies[[#This Row],[Growth Curve]]&lt;&gt;"",Companies[[#This Row],[Growth Curve]]-3,0)</f>
        <v>0</v>
      </c>
      <c r="O289" s="53">
        <f>IF(Companies[[#This Row],[PSR]]&gt;2,-1,IF(Companies[[#This Row],[PSR]]&lt;1,1,0))</f>
        <v>1</v>
      </c>
      <c r="P289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89" s="53">
        <f>IF(Companies[[#This Row],[PFV]]&lt;0.75,2,IF(Companies[[#This Row],[PFV]]&lt;0.95,1,IF(Companies[[#This Row],[PFV]]&gt;1.25,-2,IF(Companies[[#This Row],[PFV]]&gt;1.15,-1,0))))</f>
        <v>2</v>
      </c>
    </row>
    <row r="290" spans="2:17" s="53" customFormat="1" ht="25.15" customHeight="1" x14ac:dyDescent="0.25">
      <c r="B290" s="52" t="s">
        <v>44</v>
      </c>
      <c r="C290" s="11" t="str">
        <f>VLOOKUP(Companies[[#This Row],[Symbol]],Morningstar,MATCH("Name",Morningstar_Cols,EXACT_MATCH),EXACT_MATCH)</f>
        <v>Thor Industries Inc</v>
      </c>
      <c r="D290" s="114">
        <f>VLOOKUP(Companies[[#This Row],[Symbol]],Morningstar,MATCH("mil$ Market Cap",Morningstar_Cols,0),0)</f>
        <v>2494.4299999999998</v>
      </c>
      <c r="E290" s="115">
        <f>VLOOKUP(Companies[[#This Row],[Symbol]],Morningstar,MATCH("% Total Return 3 Month",Morningstar_Cols,EXACT_MATCH),EXACT_MATCH)/100</f>
        <v>-0.33299999999999996</v>
      </c>
      <c r="F290" s="115">
        <f>VLOOKUP(Companies[[#This Row],[Symbol]],Morningstar,MATCH("% Total Return 12 Month",Morningstar_Cols,EXACT_MATCH),EXACT_MATCH)/100</f>
        <v>-0.27460000000000001</v>
      </c>
      <c r="G290" s="116">
        <f>VLOOKUP(Companies[[#This Row],[Symbol]],Morningstar,MATCH("Price/Sales",Morningstar_Cols,EXACT_MATCH),EXACT_MATCH)</f>
        <v>0.28000000000000003</v>
      </c>
      <c r="H290" s="117">
        <f>VLOOKUP(Companies[[#This Row],[Symbol]],Morningstar,MATCH("Price/Fair Value",Morningstar_Cols,EXACT_MATCH),EXACT_MATCH)</f>
        <v>0.5</v>
      </c>
      <c r="I29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90" s="107">
        <f>VLOOKUP(Companies[[#This Row],[Symbol]],Morningstar,MATCH("% Dividend Yield TTM",Morningstar_Cols,EXACT_MATCH),EXACT_MATCH)/100</f>
        <v>3.4500000000000003E-2</v>
      </c>
      <c r="K290" s="119" t="str">
        <f>IFERROR(LOOKUP(2,1/(GrowthCurves[Ticker]=Companies[[#This Row],[Symbol]]),GrowthCurves[Metric]),"")</f>
        <v/>
      </c>
      <c r="L290" s="94">
        <f>RatingDefault+SUM(Companies[[#This Row],[CurvePoints]:[PFVPoints]])</f>
        <v>6</v>
      </c>
      <c r="M290" s="94"/>
      <c r="N290" s="102">
        <f>IF(Companies[[#This Row],[Growth Curve]]&lt;&gt;"",Companies[[#This Row],[Growth Curve]]-3,0)</f>
        <v>0</v>
      </c>
      <c r="O290" s="52">
        <f>IF(Companies[[#This Row],[PSR]]&gt;2,-1,IF(Companies[[#This Row],[PSR]]&lt;1,1,0))</f>
        <v>1</v>
      </c>
      <c r="P290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90" s="53">
        <f>IF(Companies[[#This Row],[PFV]]&lt;0.75,2,IF(Companies[[#This Row],[PFV]]&lt;0.95,1,IF(Companies[[#This Row],[PFV]]&gt;1.25,-2,IF(Companies[[#This Row],[PFV]]&gt;1.15,-1,0))))</f>
        <v>2</v>
      </c>
    </row>
    <row r="291" spans="2:17" s="53" customFormat="1" ht="25.15" customHeight="1" x14ac:dyDescent="0.25">
      <c r="B291" s="52" t="s">
        <v>686</v>
      </c>
      <c r="C291" s="11" t="str">
        <f>VLOOKUP(Companies[[#This Row],[Symbol]],Morningstar,MATCH("Name",Morningstar_Cols,EXACT_MATCH),EXACT_MATCH)</f>
        <v>Team Inc</v>
      </c>
      <c r="D291" s="114">
        <f>VLOOKUP(Companies[[#This Row],[Symbol]],Morningstar,MATCH("mil$ Market Cap",Morningstar_Cols,0),0)</f>
        <v>248.99</v>
      </c>
      <c r="E291" s="115">
        <f>VLOOKUP(Companies[[#This Row],[Symbol]],Morningstar,MATCH("% Total Return 3 Month",Morningstar_Cols,EXACT_MATCH),EXACT_MATCH)/100</f>
        <v>-0.52529999999999999</v>
      </c>
      <c r="F291" s="115">
        <f>VLOOKUP(Companies[[#This Row],[Symbol]],Morningstar,MATCH("% Total Return 12 Month",Morningstar_Cols,EXACT_MATCH),EXACT_MATCH)/100</f>
        <v>-0.54759999999999998</v>
      </c>
      <c r="G291" s="116">
        <f>VLOOKUP(Companies[[#This Row],[Symbol]],Morningstar,MATCH("Price/Sales",Morningstar_Cols,EXACT_MATCH),EXACT_MATCH)</f>
        <v>0.21</v>
      </c>
      <c r="H291" s="117">
        <f>VLOOKUP(Companies[[#This Row],[Symbol]],Morningstar,MATCH("Price/Fair Value",Morningstar_Cols,EXACT_MATCH),EXACT_MATCH)</f>
        <v>0.44</v>
      </c>
      <c r="I29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91" s="107">
        <f>VLOOKUP(Companies[[#This Row],[Symbol]],Morningstar,MATCH("% Dividend Yield TTM",Morningstar_Cols,EXACT_MATCH),EXACT_MATCH)/100</f>
        <v>0</v>
      </c>
      <c r="K291" s="119" t="str">
        <f>IFERROR(LOOKUP(2,1/(GrowthCurves[Ticker]=Companies[[#This Row],[Symbol]]),GrowthCurves[Metric]),"")</f>
        <v/>
      </c>
      <c r="L291" s="94">
        <f>RatingDefault+SUM(Companies[[#This Row],[CurvePoints]:[PFVPoints]])</f>
        <v>6</v>
      </c>
      <c r="M291" s="94"/>
      <c r="N291" s="102">
        <f>IF(Companies[[#This Row],[Growth Curve]]&lt;&gt;"",Companies[[#This Row],[Growth Curve]]-3,0)</f>
        <v>0</v>
      </c>
      <c r="O291" s="52">
        <f>IF(Companies[[#This Row],[PSR]]&gt;2,-1,IF(Companies[[#This Row],[PSR]]&lt;1,1,0))</f>
        <v>1</v>
      </c>
      <c r="P291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91" s="53">
        <f>IF(Companies[[#This Row],[PFV]]&lt;0.75,2,IF(Companies[[#This Row],[PFV]]&lt;0.95,1,IF(Companies[[#This Row],[PFV]]&gt;1.25,-2,IF(Companies[[#This Row],[PFV]]&gt;1.15,-1,0))))</f>
        <v>2</v>
      </c>
    </row>
    <row r="292" spans="2:17" s="53" customFormat="1" ht="25.15" customHeight="1" x14ac:dyDescent="0.25">
      <c r="B292" s="11" t="s">
        <v>253</v>
      </c>
      <c r="C292" s="11" t="str">
        <f>VLOOKUP(Companies[[#This Row],[Symbol]],Morningstar,MATCH("Name",Morningstar_Cols,EXACT_MATCH),EXACT_MATCH)</f>
        <v>Titan Machinery Inc</v>
      </c>
      <c r="D292" s="114">
        <f>VLOOKUP(Companies[[#This Row],[Symbol]],Morningstar,MATCH("mil$ Market Cap",Morningstar_Cols,0),0)</f>
        <v>172.53</v>
      </c>
      <c r="E292" s="115">
        <f>VLOOKUP(Companies[[#This Row],[Symbol]],Morningstar,MATCH("% Total Return 3 Month",Morningstar_Cols,EXACT_MATCH),EXACT_MATCH)/100</f>
        <v>-0.47970000000000002</v>
      </c>
      <c r="F292" s="115">
        <f>VLOOKUP(Companies[[#This Row],[Symbol]],Morningstar,MATCH("% Total Return 12 Month",Morningstar_Cols,EXACT_MATCH),EXACT_MATCH)/100</f>
        <v>-0.62880000000000003</v>
      </c>
      <c r="G292" s="116">
        <f>VLOOKUP(Companies[[#This Row],[Symbol]],Morningstar,MATCH("Price/Sales",Morningstar_Cols,EXACT_MATCH),EXACT_MATCH)</f>
        <v>0.13</v>
      </c>
      <c r="H292" s="117">
        <f>VLOOKUP(Companies[[#This Row],[Symbol]],Morningstar,MATCH("Price/Fair Value",Morningstar_Cols,EXACT_MATCH),EXACT_MATCH)</f>
        <v>0.4</v>
      </c>
      <c r="I29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92" s="107">
        <f>VLOOKUP(Companies[[#This Row],[Symbol]],Morningstar,MATCH("% Dividend Yield TTM",Morningstar_Cols,EXACT_MATCH),EXACT_MATCH)/100</f>
        <v>0</v>
      </c>
      <c r="K292" s="119" t="str">
        <f>IFERROR(LOOKUP(2,1/(GrowthCurves[Ticker]=Companies[[#This Row],[Symbol]]),GrowthCurves[Metric]),"")</f>
        <v/>
      </c>
      <c r="L292" s="94">
        <f>RatingDefault+SUM(Companies[[#This Row],[CurvePoints]:[PFVPoints]])</f>
        <v>6</v>
      </c>
      <c r="M292" s="94"/>
      <c r="N292" s="103">
        <f>IF(Companies[[#This Row],[Growth Curve]]&lt;&gt;"",Companies[[#This Row],[Growth Curve]]-3,0)</f>
        <v>0</v>
      </c>
      <c r="O292" s="53">
        <f>IF(Companies[[#This Row],[PSR]]&gt;2,-1,IF(Companies[[#This Row],[PSR]]&lt;1,1,0))</f>
        <v>1</v>
      </c>
      <c r="P292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92" s="53">
        <f>IF(Companies[[#This Row],[PFV]]&lt;0.75,2,IF(Companies[[#This Row],[PFV]]&lt;0.95,1,IF(Companies[[#This Row],[PFV]]&gt;1.25,-2,IF(Companies[[#This Row],[PFV]]&gt;1.15,-1,0))))</f>
        <v>2</v>
      </c>
    </row>
    <row r="293" spans="2:17" s="53" customFormat="1" ht="25.15" customHeight="1" x14ac:dyDescent="0.25">
      <c r="B293" s="11" t="s">
        <v>312</v>
      </c>
      <c r="C293" s="11" t="str">
        <f>VLOOKUP(Companies[[#This Row],[Symbol]],Morningstar,MATCH("Name",Morningstar_Cols,EXACT_MATCH),EXACT_MATCH)</f>
        <v>Tailored Brands Inc</v>
      </c>
      <c r="D293" s="114">
        <f>VLOOKUP(Companies[[#This Row],[Symbol]],Morningstar,MATCH("mil$ Market Cap",Morningstar_Cols,0),0)</f>
        <v>76.02</v>
      </c>
      <c r="E293" s="115">
        <f>VLOOKUP(Companies[[#This Row],[Symbol]],Morningstar,MATCH("% Total Return 3 Month",Morningstar_Cols,EXACT_MATCH),EXACT_MATCH)/100</f>
        <v>-0.53129999999999999</v>
      </c>
      <c r="F293" s="115">
        <f>VLOOKUP(Companies[[#This Row],[Symbol]],Morningstar,MATCH("% Total Return 12 Month",Morningstar_Cols,EXACT_MATCH),EXACT_MATCH)/100</f>
        <v>-0.78670000000000007</v>
      </c>
      <c r="G293" s="116">
        <f>VLOOKUP(Companies[[#This Row],[Symbol]],Morningstar,MATCH("Price/Sales",Morningstar_Cols,EXACT_MATCH),EXACT_MATCH)</f>
        <v>0.02</v>
      </c>
      <c r="H293" s="117">
        <f>VLOOKUP(Companies[[#This Row],[Symbol]],Morningstar,MATCH("Price/Fair Value",Morningstar_Cols,EXACT_MATCH),EXACT_MATCH)</f>
        <v>0.34</v>
      </c>
      <c r="I29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F</v>
      </c>
      <c r="J293" s="107">
        <f>VLOOKUP(Companies[[#This Row],[Symbol]],Morningstar,MATCH("% Dividend Yield TTM",Morningstar_Cols,EXACT_MATCH),EXACT_MATCH)/100</f>
        <v>0.26729999999999998</v>
      </c>
      <c r="K293" s="119" t="str">
        <f>IFERROR(LOOKUP(2,1/(GrowthCurves[Ticker]=Companies[[#This Row],[Symbol]]),GrowthCurves[Metric]),"")</f>
        <v/>
      </c>
      <c r="L293" s="94">
        <f>RatingDefault+SUM(Companies[[#This Row],[CurvePoints]:[PFVPoints]])</f>
        <v>4</v>
      </c>
      <c r="M293" s="94"/>
      <c r="N293" s="103">
        <f>IF(Companies[[#This Row],[Growth Curve]]&lt;&gt;"",Companies[[#This Row],[Growth Curve]]-3,0)</f>
        <v>0</v>
      </c>
      <c r="O293" s="53">
        <f>IF(Companies[[#This Row],[PSR]]&gt;2,-1,IF(Companies[[#This Row],[PSR]]&lt;1,1,0))</f>
        <v>1</v>
      </c>
      <c r="P293" s="53">
        <f>IF(Companies[[#This Row],[Financial Health]]&lt;&gt;"",IF(Companies[[#This Row],[Financial Health]]="F",-2,IF(Companies[[#This Row],[Financial Health]]&gt;"C",-1,IF(Companies[[#This Row],[Financial Health]]&lt;"C",1,0))),-1)</f>
        <v>-2</v>
      </c>
      <c r="Q293" s="53">
        <f>IF(Companies[[#This Row],[PFV]]&lt;0.75,2,IF(Companies[[#This Row],[PFV]]&lt;0.95,1,IF(Companies[[#This Row],[PFV]]&gt;1.25,-2,IF(Companies[[#This Row],[PFV]]&gt;1.15,-1,0))))</f>
        <v>2</v>
      </c>
    </row>
    <row r="294" spans="2:17" s="53" customFormat="1" ht="25.15" customHeight="1" x14ac:dyDescent="0.25">
      <c r="B294" s="11" t="s">
        <v>157</v>
      </c>
      <c r="C294" s="11" t="str">
        <f>VLOOKUP(Companies[[#This Row],[Symbol]],Morningstar,MATCH("Name",Morningstar_Cols,EXACT_MATCH),EXACT_MATCH)</f>
        <v>TimkenSteel Corp</v>
      </c>
      <c r="D294" s="114">
        <f>VLOOKUP(Companies[[#This Row],[Symbol]],Morningstar,MATCH("mil$ Market Cap",Morningstar_Cols,0),0)</f>
        <v>168.53</v>
      </c>
      <c r="E294" s="115">
        <f>VLOOKUP(Companies[[#This Row],[Symbol]],Morningstar,MATCH("% Total Return 3 Month",Morningstar_Cols,EXACT_MATCH),EXACT_MATCH)/100</f>
        <v>-0.54349999999999998</v>
      </c>
      <c r="F294" s="115">
        <f>VLOOKUP(Companies[[#This Row],[Symbol]],Morningstar,MATCH("% Total Return 12 Month",Morningstar_Cols,EXACT_MATCH),EXACT_MATCH)/100</f>
        <v>-0.69019999999999992</v>
      </c>
      <c r="G294" s="116">
        <f>VLOOKUP(Companies[[#This Row],[Symbol]],Morningstar,MATCH("Price/Sales",Morningstar_Cols,EXACT_MATCH),EXACT_MATCH)</f>
        <v>0.14000000000000001</v>
      </c>
      <c r="H294" s="117">
        <f>VLOOKUP(Companies[[#This Row],[Symbol]],Morningstar,MATCH("Price/Fair Value",Morningstar_Cols,EXACT_MATCH),EXACT_MATCH)</f>
        <v>0.41</v>
      </c>
      <c r="I29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294" s="107">
        <f>VLOOKUP(Companies[[#This Row],[Symbol]],Morningstar,MATCH("% Dividend Yield TTM",Morningstar_Cols,EXACT_MATCH),EXACT_MATCH)/100</f>
        <v>0</v>
      </c>
      <c r="K294" s="119" t="str">
        <f>IFERROR(LOOKUP(2,1/(GrowthCurves[Ticker]=Companies[[#This Row],[Symbol]]),GrowthCurves[Metric]),"")</f>
        <v/>
      </c>
      <c r="L294" s="94">
        <f>RatingDefault+SUM(Companies[[#This Row],[CurvePoints]:[PFVPoints]])</f>
        <v>5</v>
      </c>
      <c r="M294" s="94"/>
      <c r="N294" s="103">
        <f>IF(Companies[[#This Row],[Growth Curve]]&lt;&gt;"",Companies[[#This Row],[Growth Curve]]-3,0)</f>
        <v>0</v>
      </c>
      <c r="O294" s="53">
        <f>IF(Companies[[#This Row],[PSR]]&gt;2,-1,IF(Companies[[#This Row],[PSR]]&lt;1,1,0))</f>
        <v>1</v>
      </c>
      <c r="P294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94" s="53">
        <f>IF(Companies[[#This Row],[PFV]]&lt;0.75,2,IF(Companies[[#This Row],[PFV]]&lt;0.95,1,IF(Companies[[#This Row],[PFV]]&gt;1.25,-2,IF(Companies[[#This Row],[PFV]]&gt;1.15,-1,0))))</f>
        <v>2</v>
      </c>
    </row>
    <row r="295" spans="2:17" s="53" customFormat="1" ht="25.15" customHeight="1" x14ac:dyDescent="0.25">
      <c r="B295" s="11" t="s">
        <v>364</v>
      </c>
      <c r="C295" s="11" t="str">
        <f>VLOOKUP(Companies[[#This Row],[Symbol]],Morningstar,MATCH("Name",Morningstar_Cols,EXACT_MATCH),EXACT_MATCH)</f>
        <v>Tandem Diabetes Care Inc</v>
      </c>
      <c r="D295" s="114">
        <f>VLOOKUP(Companies[[#This Row],[Symbol]],Morningstar,MATCH("mil$ Market Cap",Morningstar_Cols,0),0)</f>
        <v>3533.42</v>
      </c>
      <c r="E295" s="115">
        <f>VLOOKUP(Companies[[#This Row],[Symbol]],Morningstar,MATCH("% Total Return 3 Month",Morningstar_Cols,EXACT_MATCH),EXACT_MATCH)/100</f>
        <v>2.1099999999999997E-2</v>
      </c>
      <c r="F295" s="115">
        <f>VLOOKUP(Companies[[#This Row],[Symbol]],Morningstar,MATCH("% Total Return 12 Month",Morningstar_Cols,EXACT_MATCH),EXACT_MATCH)/100</f>
        <v>-0.14910000000000001</v>
      </c>
      <c r="G295" s="116">
        <f>VLOOKUP(Companies[[#This Row],[Symbol]],Morningstar,MATCH("Price/Sales",Morningstar_Cols,EXACT_MATCH),EXACT_MATCH)</f>
        <v>9.5500000000000007</v>
      </c>
      <c r="H295" s="117">
        <f>VLOOKUP(Companies[[#This Row],[Symbol]],Morningstar,MATCH("Price/Fair Value",Morningstar_Cols,EXACT_MATCH),EXACT_MATCH)</f>
        <v>0.92</v>
      </c>
      <c r="I29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95" s="107">
        <f>VLOOKUP(Companies[[#This Row],[Symbol]],Morningstar,MATCH("% Dividend Yield TTM",Morningstar_Cols,EXACT_MATCH),EXACT_MATCH)/100</f>
        <v>0</v>
      </c>
      <c r="K295" s="119" t="str">
        <f>IFERROR(LOOKUP(2,1/(GrowthCurves[Ticker]=Companies[[#This Row],[Symbol]]),GrowthCurves[Metric]),"")</f>
        <v/>
      </c>
      <c r="L295" s="94">
        <f>RatingDefault+SUM(Companies[[#This Row],[CurvePoints]:[PFVPoints]])</f>
        <v>4</v>
      </c>
      <c r="M295" s="94"/>
      <c r="N295" s="103">
        <f>IF(Companies[[#This Row],[Growth Curve]]&lt;&gt;"",Companies[[#This Row],[Growth Curve]]-3,0)</f>
        <v>0</v>
      </c>
      <c r="O295" s="53">
        <f>IF(Companies[[#This Row],[PSR]]&gt;2,-1,IF(Companies[[#This Row],[PSR]]&lt;1,1,0))</f>
        <v>-1</v>
      </c>
      <c r="P295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95" s="53">
        <f>IF(Companies[[#This Row],[PFV]]&lt;0.75,2,IF(Companies[[#This Row],[PFV]]&lt;0.95,1,IF(Companies[[#This Row],[PFV]]&gt;1.25,-2,IF(Companies[[#This Row],[PFV]]&gt;1.15,-1,0))))</f>
        <v>1</v>
      </c>
    </row>
    <row r="296" spans="2:17" s="53" customFormat="1" ht="25.15" customHeight="1" x14ac:dyDescent="0.25">
      <c r="B296" s="11" t="s">
        <v>90</v>
      </c>
      <c r="C296" s="11" t="str">
        <f>VLOOKUP(Companies[[#This Row],[Symbol]],Morningstar,MATCH("Name",Morningstar_Cols,EXACT_MATCH),EXACT_MATCH)</f>
        <v>Trinet Group Inc</v>
      </c>
      <c r="D296" s="114">
        <f>VLOOKUP(Companies[[#This Row],[Symbol]],Morningstar,MATCH("mil$ Market Cap",Morningstar_Cols,0),0)</f>
        <v>3218.9</v>
      </c>
      <c r="E296" s="115">
        <f>VLOOKUP(Companies[[#This Row],[Symbol]],Morningstar,MATCH("% Total Return 3 Month",Morningstar_Cols,EXACT_MATCH),EXACT_MATCH)/100</f>
        <v>-0.16339999999999999</v>
      </c>
      <c r="F296" s="115">
        <f>VLOOKUP(Companies[[#This Row],[Symbol]],Morningstar,MATCH("% Total Return 12 Month",Morningstar_Cols,EXACT_MATCH),EXACT_MATCH)/100</f>
        <v>-0.2286</v>
      </c>
      <c r="G296" s="116">
        <f>VLOOKUP(Companies[[#This Row],[Symbol]],Morningstar,MATCH("Price/Sales",Morningstar_Cols,EXACT_MATCH),EXACT_MATCH)</f>
        <v>0.87</v>
      </c>
      <c r="H296" s="117">
        <f>VLOOKUP(Companies[[#This Row],[Symbol]],Morningstar,MATCH("Price/Fair Value",Morningstar_Cols,EXACT_MATCH),EXACT_MATCH)</f>
        <v>0.73</v>
      </c>
      <c r="I29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96" s="107">
        <f>VLOOKUP(Companies[[#This Row],[Symbol]],Morningstar,MATCH("% Dividend Yield TTM",Morningstar_Cols,EXACT_MATCH),EXACT_MATCH)/100</f>
        <v>0</v>
      </c>
      <c r="K296" s="119" t="str">
        <f>IFERROR(LOOKUP(2,1/(GrowthCurves[Ticker]=Companies[[#This Row],[Symbol]]),GrowthCurves[Metric]),"")</f>
        <v/>
      </c>
      <c r="L296" s="94">
        <f>RatingDefault+SUM(Companies[[#This Row],[CurvePoints]:[PFVPoints]])</f>
        <v>6</v>
      </c>
      <c r="M296" s="94"/>
      <c r="N296" s="103">
        <f>IF(Companies[[#This Row],[Growth Curve]]&lt;&gt;"",Companies[[#This Row],[Growth Curve]]-3,0)</f>
        <v>0</v>
      </c>
      <c r="O296" s="53">
        <f>IF(Companies[[#This Row],[PSR]]&gt;2,-1,IF(Companies[[#This Row],[PSR]]&lt;1,1,0))</f>
        <v>1</v>
      </c>
      <c r="P296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96" s="53">
        <f>IF(Companies[[#This Row],[PFV]]&lt;0.75,2,IF(Companies[[#This Row],[PFV]]&lt;0.95,1,IF(Companies[[#This Row],[PFV]]&gt;1.25,-2,IF(Companies[[#This Row],[PFV]]&gt;1.15,-1,0))))</f>
        <v>2</v>
      </c>
    </row>
    <row r="297" spans="2:17" s="53" customFormat="1" ht="25.15" customHeight="1" x14ac:dyDescent="0.25">
      <c r="B297" s="52" t="s">
        <v>776</v>
      </c>
      <c r="C297" s="11" t="str">
        <f>VLOOKUP(Companies[[#This Row],[Symbol]],Morningstar,MATCH("Name",Morningstar_Cols,EXACT_MATCH),EXACT_MATCH)</f>
        <v>Toll Brothers Inc</v>
      </c>
      <c r="D297" s="114">
        <f>VLOOKUP(Companies[[#This Row],[Symbol]],Morningstar,MATCH("mil$ Market Cap",Morningstar_Cols,0),0)</f>
        <v>3263.35</v>
      </c>
      <c r="E297" s="115">
        <f>VLOOKUP(Companies[[#This Row],[Symbol]],Morningstar,MATCH("% Total Return 3 Month",Morningstar_Cols,EXACT_MATCH),EXACT_MATCH)/100</f>
        <v>-0.30940000000000001</v>
      </c>
      <c r="F297" s="115">
        <f>VLOOKUP(Companies[[#This Row],[Symbol]],Morningstar,MATCH("% Total Return 12 Month",Morningstar_Cols,EXACT_MATCH),EXACT_MATCH)/100</f>
        <v>-0.2404</v>
      </c>
      <c r="G297" s="116">
        <f>VLOOKUP(Companies[[#This Row],[Symbol]],Morningstar,MATCH("Price/Sales",Morningstar_Cols,EXACT_MATCH),EXACT_MATCH)</f>
        <v>0.52</v>
      </c>
      <c r="H297" s="117">
        <f>VLOOKUP(Companies[[#This Row],[Symbol]],Morningstar,MATCH("Price/Fair Value",Morningstar_Cols,EXACT_MATCH),EXACT_MATCH)</f>
        <v>0.59</v>
      </c>
      <c r="I29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97" s="107">
        <f>VLOOKUP(Companies[[#This Row],[Symbol]],Morningstar,MATCH("% Dividend Yield TTM",Morningstar_Cols,EXACT_MATCH),EXACT_MATCH)/100</f>
        <v>1.6299999999999999E-2</v>
      </c>
      <c r="K297" s="119" t="str">
        <f>IFERROR(LOOKUP(2,1/(GrowthCurves[Ticker]=Companies[[#This Row],[Symbol]]),GrowthCurves[Metric]),"")</f>
        <v/>
      </c>
      <c r="L297" s="94">
        <f>RatingDefault+SUM(Companies[[#This Row],[CurvePoints]:[PFVPoints]])</f>
        <v>6</v>
      </c>
      <c r="M297" s="94"/>
      <c r="N297" s="102">
        <f>IF(Companies[[#This Row],[Growth Curve]]&lt;&gt;"",Companies[[#This Row],[Growth Curve]]-3,0)</f>
        <v>0</v>
      </c>
      <c r="O297" s="52">
        <f>IF(Companies[[#This Row],[PSR]]&gt;2,-1,IF(Companies[[#This Row],[PSR]]&lt;1,1,0))</f>
        <v>1</v>
      </c>
      <c r="P297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97" s="53">
        <f>IF(Companies[[#This Row],[PFV]]&lt;0.75,2,IF(Companies[[#This Row],[PFV]]&lt;0.95,1,IF(Companies[[#This Row],[PFV]]&gt;1.25,-2,IF(Companies[[#This Row],[PFV]]&gt;1.15,-1,0))))</f>
        <v>2</v>
      </c>
    </row>
    <row r="298" spans="2:17" s="53" customFormat="1" ht="25.15" customHeight="1" x14ac:dyDescent="0.25">
      <c r="B298" s="11" t="s">
        <v>862</v>
      </c>
      <c r="C298" s="11" t="str">
        <f>VLOOKUP(Companies[[#This Row],[Symbol]],Morningstar,MATCH("Name",Morningstar_Cols,EXACT_MATCH),EXACT_MATCH)</f>
        <v>Total SA ADR</v>
      </c>
      <c r="D298" s="114">
        <f>VLOOKUP(Companies[[#This Row],[Symbol]],Morningstar,MATCH("mil$ Market Cap",Morningstar_Cols,0),0)</f>
        <v>78274.289999999994</v>
      </c>
      <c r="E298" s="115">
        <f>VLOOKUP(Companies[[#This Row],[Symbol]],Morningstar,MATCH("% Total Return 3 Month",Morningstar_Cols,EXACT_MATCH),EXACT_MATCH)/100</f>
        <v>-0.43829999999999997</v>
      </c>
      <c r="F298" s="115">
        <f>VLOOKUP(Companies[[#This Row],[Symbol]],Morningstar,MATCH("% Total Return 12 Month",Morningstar_Cols,EXACT_MATCH),EXACT_MATCH)/100</f>
        <v>-0.4375</v>
      </c>
      <c r="G298" s="116">
        <f>VLOOKUP(Companies[[#This Row],[Symbol]],Morningstar,MATCH("Price/Sales",Morningstar_Cols,EXACT_MATCH),EXACT_MATCH)</f>
        <v>0.45</v>
      </c>
      <c r="H298" s="117">
        <f>VLOOKUP(Companies[[#This Row],[Symbol]],Morningstar,MATCH("Price/Fair Value",Morningstar_Cols,EXACT_MATCH),EXACT_MATCH)</f>
        <v>0.41</v>
      </c>
      <c r="I29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98" s="107">
        <f>VLOOKUP(Companies[[#This Row],[Symbol]],Morningstar,MATCH("% Dividend Yield TTM",Morningstar_Cols,EXACT_MATCH),EXACT_MATCH)/100</f>
        <v>9.9299999999999999E-2</v>
      </c>
      <c r="K298" s="119" t="str">
        <f>IFERROR(LOOKUP(2,1/(GrowthCurves[Ticker]=Companies[[#This Row],[Symbol]]),GrowthCurves[Metric]),"")</f>
        <v>2</v>
      </c>
      <c r="L298" s="94">
        <f>RatingDefault+SUM(Companies[[#This Row],[CurvePoints]:[PFVPoints]])</f>
        <v>5</v>
      </c>
      <c r="M298" s="94"/>
      <c r="N298" s="103">
        <f>IF(Companies[[#This Row],[Growth Curve]]&lt;&gt;"",Companies[[#This Row],[Growth Curve]]-3,0)</f>
        <v>-1</v>
      </c>
      <c r="O298" s="53">
        <f>IF(Companies[[#This Row],[PSR]]&gt;2,-1,IF(Companies[[#This Row],[PSR]]&lt;1,1,0))</f>
        <v>1</v>
      </c>
      <c r="P298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98" s="53">
        <f>IF(Companies[[#This Row],[PFV]]&lt;0.75,2,IF(Companies[[#This Row],[PFV]]&lt;0.95,1,IF(Companies[[#This Row],[PFV]]&gt;1.25,-2,IF(Companies[[#This Row],[PFV]]&gt;1.15,-1,0))))</f>
        <v>2</v>
      </c>
    </row>
    <row r="299" spans="2:17" s="53" customFormat="1" ht="25.15" customHeight="1" x14ac:dyDescent="0.25">
      <c r="B299" s="11" t="s">
        <v>778</v>
      </c>
      <c r="C299" s="11" t="str">
        <f>VLOOKUP(Companies[[#This Row],[Symbol]],Morningstar,MATCH("Name",Morningstar_Cols,EXACT_MATCH),EXACT_MATCH)</f>
        <v>Tutor Perini Corp</v>
      </c>
      <c r="D299" s="114">
        <f>VLOOKUP(Companies[[#This Row],[Symbol]],Morningstar,MATCH("mil$ Market Cap",Morningstar_Cols,0),0)</f>
        <v>461.74</v>
      </c>
      <c r="E299" s="115">
        <f>VLOOKUP(Companies[[#This Row],[Symbol]],Morningstar,MATCH("% Total Return 3 Month",Morningstar_Cols,EXACT_MATCH),EXACT_MATCH)/100</f>
        <v>-0.36749999999999999</v>
      </c>
      <c r="F299" s="115">
        <f>VLOOKUP(Companies[[#This Row],[Symbol]],Morningstar,MATCH("% Total Return 12 Month",Morningstar_Cols,EXACT_MATCH),EXACT_MATCH)/100</f>
        <v>-0.47270000000000001</v>
      </c>
      <c r="G299" s="116">
        <f>VLOOKUP(Companies[[#This Row],[Symbol]],Morningstar,MATCH("Price/Sales",Morningstar_Cols,EXACT_MATCH),EXACT_MATCH)</f>
        <v>0.1</v>
      </c>
      <c r="H299" s="117">
        <f>VLOOKUP(Companies[[#This Row],[Symbol]],Morningstar,MATCH("Price/Fair Value",Morningstar_Cols,EXACT_MATCH),EXACT_MATCH)</f>
        <v>0.41</v>
      </c>
      <c r="I29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99" s="107">
        <f>VLOOKUP(Companies[[#This Row],[Symbol]],Morningstar,MATCH("% Dividend Yield TTM",Morningstar_Cols,EXACT_MATCH),EXACT_MATCH)/100</f>
        <v>0</v>
      </c>
      <c r="K299" s="119" t="str">
        <f>IFERROR(LOOKUP(2,1/(GrowthCurves[Ticker]=Companies[[#This Row],[Symbol]]),GrowthCurves[Metric]),"")</f>
        <v/>
      </c>
      <c r="L299" s="94">
        <f>RatingDefault+SUM(Companies[[#This Row],[CurvePoints]:[PFVPoints]])</f>
        <v>6</v>
      </c>
      <c r="M299" s="94"/>
      <c r="N299" s="103">
        <f>IF(Companies[[#This Row],[Growth Curve]]&lt;&gt;"",Companies[[#This Row],[Growth Curve]]-3,0)</f>
        <v>0</v>
      </c>
      <c r="O299" s="53">
        <f>IF(Companies[[#This Row],[PSR]]&gt;2,-1,IF(Companies[[#This Row],[PSR]]&lt;1,1,0))</f>
        <v>1</v>
      </c>
      <c r="P299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99" s="53">
        <f>IF(Companies[[#This Row],[PFV]]&lt;0.75,2,IF(Companies[[#This Row],[PFV]]&lt;0.95,1,IF(Companies[[#This Row],[PFV]]&gt;1.25,-2,IF(Companies[[#This Row],[PFV]]&gt;1.15,-1,0))))</f>
        <v>2</v>
      </c>
    </row>
    <row r="300" spans="2:17" s="53" customFormat="1" ht="25.15" customHeight="1" x14ac:dyDescent="0.25">
      <c r="B300" s="11" t="s">
        <v>916</v>
      </c>
      <c r="C300" s="11" t="str">
        <f>VLOOKUP(Companies[[#This Row],[Symbol]],Morningstar,MATCH("Name",Morningstar_Cols,EXACT_MATCH),EXACT_MATCH)</f>
        <v>Targa Resources Corp</v>
      </c>
      <c r="D300" s="114">
        <f>VLOOKUP(Companies[[#This Row],[Symbol]],Morningstar,MATCH("mil$ Market Cap",Morningstar_Cols,0),0)</f>
        <v>2645.07</v>
      </c>
      <c r="E300" s="115">
        <f>VLOOKUP(Companies[[#This Row],[Symbol]],Morningstar,MATCH("% Total Return 3 Month",Morningstar_Cols,EXACT_MATCH),EXACT_MATCH)/100</f>
        <v>-0.6762999999999999</v>
      </c>
      <c r="F300" s="115">
        <f>VLOOKUP(Companies[[#This Row],[Symbol]],Morningstar,MATCH("% Total Return 12 Month",Morningstar_Cols,EXACT_MATCH),EXACT_MATCH)/100</f>
        <v>-0.63649999999999995</v>
      </c>
      <c r="G300" s="116">
        <f>VLOOKUP(Companies[[#This Row],[Symbol]],Morningstar,MATCH("Price/Sales",Morningstar_Cols,EXACT_MATCH),EXACT_MATCH)</f>
        <v>0.31</v>
      </c>
      <c r="H300" s="117">
        <f>VLOOKUP(Companies[[#This Row],[Symbol]],Morningstar,MATCH("Price/Fair Value",Morningstar_Cols,EXACT_MATCH),EXACT_MATCH)</f>
        <v>0.76</v>
      </c>
      <c r="I30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300" s="107">
        <f>VLOOKUP(Companies[[#This Row],[Symbol]],Morningstar,MATCH("% Dividend Yield TTM",Morningstar_Cols,EXACT_MATCH),EXACT_MATCH)/100</f>
        <v>0.32729999999999998</v>
      </c>
      <c r="K300" s="119" t="str">
        <f>IFERROR(LOOKUP(2,1/(GrowthCurves[Ticker]=Companies[[#This Row],[Symbol]]),GrowthCurves[Metric]),"")</f>
        <v/>
      </c>
      <c r="L300" s="94">
        <f>RatingDefault+SUM(Companies[[#This Row],[CurvePoints]:[PFVPoints]])</f>
        <v>4</v>
      </c>
      <c r="M300" s="94"/>
      <c r="N300" s="103">
        <f>IF(Companies[[#This Row],[Growth Curve]]&lt;&gt;"",Companies[[#This Row],[Growth Curve]]-3,0)</f>
        <v>0</v>
      </c>
      <c r="O300" s="53">
        <f>IF(Companies[[#This Row],[PSR]]&gt;2,-1,IF(Companies[[#This Row],[PSR]]&lt;1,1,0))</f>
        <v>1</v>
      </c>
      <c r="P300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300" s="53">
        <f>IF(Companies[[#This Row],[PFV]]&lt;0.75,2,IF(Companies[[#This Row],[PFV]]&lt;0.95,1,IF(Companies[[#This Row],[PFV]]&gt;1.25,-2,IF(Companies[[#This Row],[PFV]]&gt;1.15,-1,0))))</f>
        <v>1</v>
      </c>
    </row>
    <row r="301" spans="2:17" s="53" customFormat="1" ht="25.15" customHeight="1" x14ac:dyDescent="0.25">
      <c r="B301" s="11" t="s">
        <v>382</v>
      </c>
      <c r="C301" s="11" t="str">
        <f>VLOOKUP(Companies[[#This Row],[Symbol]],Morningstar,MATCH("Name",Morningstar_Cols,EXACT_MATCH),EXACT_MATCH)</f>
        <v>Mammoth Energy Services Inc</v>
      </c>
      <c r="D301" s="114">
        <f>VLOOKUP(Companies[[#This Row],[Symbol]],Morningstar,MATCH("mil$ Market Cap",Morningstar_Cols,0),0)</f>
        <v>31.86</v>
      </c>
      <c r="E301" s="115">
        <f>VLOOKUP(Companies[[#This Row],[Symbol]],Morningstar,MATCH("% Total Return 3 Month",Morningstar_Cols,EXACT_MATCH),EXACT_MATCH)/100</f>
        <v>-0.57330000000000003</v>
      </c>
      <c r="F301" s="115">
        <f>VLOOKUP(Companies[[#This Row],[Symbol]],Morningstar,MATCH("% Total Return 12 Month",Morningstar_Cols,EXACT_MATCH),EXACT_MATCH)/100</f>
        <v>-0.9597</v>
      </c>
      <c r="G301" s="116">
        <f>VLOOKUP(Companies[[#This Row],[Symbol]],Morningstar,MATCH("Price/Sales",Morningstar_Cols,EXACT_MATCH),EXACT_MATCH)</f>
        <v>0.05</v>
      </c>
      <c r="H301" s="117">
        <f>VLOOKUP(Companies[[#This Row],[Symbol]],Morningstar,MATCH("Price/Fair Value",Morningstar_Cols,EXACT_MATCH),EXACT_MATCH)</f>
        <v>0.31</v>
      </c>
      <c r="I30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F</v>
      </c>
      <c r="J301" s="107">
        <f>VLOOKUP(Companies[[#This Row],[Symbol]],Morningstar,MATCH("% Dividend Yield TTM",Morningstar_Cols,EXACT_MATCH),EXACT_MATCH)/100</f>
        <v>0.3387</v>
      </c>
      <c r="K301" s="119" t="str">
        <f>IFERROR(LOOKUP(2,1/(GrowthCurves[Ticker]=Companies[[#This Row],[Symbol]]),GrowthCurves[Metric]),"")</f>
        <v/>
      </c>
      <c r="L301" s="94">
        <f>RatingDefault+SUM(Companies[[#This Row],[CurvePoints]:[PFVPoints]])</f>
        <v>4</v>
      </c>
      <c r="M301" s="94"/>
      <c r="N301" s="103">
        <f>IF(Companies[[#This Row],[Growth Curve]]&lt;&gt;"",Companies[[#This Row],[Growth Curve]]-3,0)</f>
        <v>0</v>
      </c>
      <c r="O301" s="53">
        <f>IF(Companies[[#This Row],[PSR]]&gt;2,-1,IF(Companies[[#This Row],[PSR]]&lt;1,1,0))</f>
        <v>1</v>
      </c>
      <c r="P301" s="53">
        <f>IF(Companies[[#This Row],[Financial Health]]&lt;&gt;"",IF(Companies[[#This Row],[Financial Health]]="F",-2,IF(Companies[[#This Row],[Financial Health]]&gt;"C",-1,IF(Companies[[#This Row],[Financial Health]]&lt;"C",1,0))),-1)</f>
        <v>-2</v>
      </c>
      <c r="Q301" s="53">
        <f>IF(Companies[[#This Row],[PFV]]&lt;0.75,2,IF(Companies[[#This Row],[PFV]]&lt;0.95,1,IF(Companies[[#This Row],[PFV]]&gt;1.25,-2,IF(Companies[[#This Row],[PFV]]&gt;1.15,-1,0))))</f>
        <v>2</v>
      </c>
    </row>
    <row r="302" spans="2:17" s="53" customFormat="1" ht="25.15" customHeight="1" x14ac:dyDescent="0.25">
      <c r="B302" s="11" t="s">
        <v>206</v>
      </c>
      <c r="C302" s="11" t="str">
        <f>VLOOKUP(Companies[[#This Row],[Symbol]],Morningstar,MATCH("Name",Morningstar_Cols,EXACT_MATCH),EXACT_MATCH)</f>
        <v>Ultra Clean Holdings Inc</v>
      </c>
      <c r="D302" s="114">
        <f>VLOOKUP(Companies[[#This Row],[Symbol]],Morningstar,MATCH("mil$ Market Cap",Morningstar_Cols,0),0)</f>
        <v>654.98</v>
      </c>
      <c r="E302" s="115">
        <f>VLOOKUP(Companies[[#This Row],[Symbol]],Morningstar,MATCH("% Total Return 3 Month",Morningstar_Cols,EXACT_MATCH),EXACT_MATCH)/100</f>
        <v>-0.33140000000000003</v>
      </c>
      <c r="F302" s="115">
        <f>VLOOKUP(Companies[[#This Row],[Symbol]],Morningstar,MATCH("% Total Return 12 Month",Morningstar_Cols,EXACT_MATCH),EXACT_MATCH)/100</f>
        <v>0.56830000000000003</v>
      </c>
      <c r="G302" s="116">
        <f>VLOOKUP(Companies[[#This Row],[Symbol]],Morningstar,MATCH("Price/Sales",Morningstar_Cols,EXACT_MATCH),EXACT_MATCH)</f>
        <v>0.61</v>
      </c>
      <c r="H302" s="117">
        <f>VLOOKUP(Companies[[#This Row],[Symbol]],Morningstar,MATCH("Price/Fair Value",Morningstar_Cols,EXACT_MATCH),EXACT_MATCH)</f>
        <v>0.72</v>
      </c>
      <c r="I30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302" s="107">
        <f>VLOOKUP(Companies[[#This Row],[Symbol]],Morningstar,MATCH("% Dividend Yield TTM",Morningstar_Cols,EXACT_MATCH),EXACT_MATCH)/100</f>
        <v>0</v>
      </c>
      <c r="K302" s="119" t="str">
        <f>IFERROR(LOOKUP(2,1/(GrowthCurves[Ticker]=Companies[[#This Row],[Symbol]]),GrowthCurves[Metric]),"")</f>
        <v/>
      </c>
      <c r="L302" s="94">
        <f>RatingDefault+SUM(Companies[[#This Row],[CurvePoints]:[PFVPoints]])</f>
        <v>6</v>
      </c>
      <c r="M302" s="94"/>
      <c r="N302" s="103">
        <f>IF(Companies[[#This Row],[Growth Curve]]&lt;&gt;"",Companies[[#This Row],[Growth Curve]]-3,0)</f>
        <v>0</v>
      </c>
      <c r="O302" s="53">
        <f>IF(Companies[[#This Row],[PSR]]&gt;2,-1,IF(Companies[[#This Row],[PSR]]&lt;1,1,0))</f>
        <v>1</v>
      </c>
      <c r="P302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302" s="53">
        <f>IF(Companies[[#This Row],[PFV]]&lt;0.75,2,IF(Companies[[#This Row],[PFV]]&lt;0.95,1,IF(Companies[[#This Row],[PFV]]&gt;1.25,-2,IF(Companies[[#This Row],[PFV]]&gt;1.15,-1,0))))</f>
        <v>2</v>
      </c>
    </row>
    <row r="303" spans="2:17" s="53" customFormat="1" ht="25.15" customHeight="1" x14ac:dyDescent="0.25">
      <c r="B303" s="11" t="s">
        <v>806</v>
      </c>
      <c r="C303" s="11" t="str">
        <f>VLOOKUP(Companies[[#This Row],[Symbol]],Morningstar,MATCH("Name",Morningstar_Cols,EXACT_MATCH),EXACT_MATCH)</f>
        <v>Unilever PLC ADR</v>
      </c>
      <c r="D303" s="114">
        <f>VLOOKUP(Companies[[#This Row],[Symbol]],Morningstar,MATCH("mil$ Market Cap",Morningstar_Cols,0),0)</f>
        <v>129063.47</v>
      </c>
      <c r="E303" s="115">
        <f>VLOOKUP(Companies[[#This Row],[Symbol]],Morningstar,MATCH("% Total Return 3 Month",Morningstar_Cols,EXACT_MATCH),EXACT_MATCH)/100</f>
        <v>-0.17449999999999999</v>
      </c>
      <c r="F303" s="115">
        <f>VLOOKUP(Companies[[#This Row],[Symbol]],Morningstar,MATCH("% Total Return 12 Month",Morningstar_Cols,EXACT_MATCH),EXACT_MATCH)/100</f>
        <v>-7.1800000000000003E-2</v>
      </c>
      <c r="G303" s="116">
        <f>VLOOKUP(Companies[[#This Row],[Symbol]],Morningstar,MATCH("Price/Sales",Morningstar_Cols,EXACT_MATCH),EXACT_MATCH)</f>
        <v>2.17</v>
      </c>
      <c r="H303" s="117">
        <f>VLOOKUP(Companies[[#This Row],[Symbol]],Morningstar,MATCH("Price/Fair Value",Morningstar_Cols,EXACT_MATCH),EXACT_MATCH)</f>
        <v>0.85</v>
      </c>
      <c r="I30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303" s="107">
        <f>VLOOKUP(Companies[[#This Row],[Symbol]],Morningstar,MATCH("% Dividend Yield TTM",Morningstar_Cols,EXACT_MATCH),EXACT_MATCH)/100</f>
        <v>3.7100000000000001E-2</v>
      </c>
      <c r="K303" s="119" t="str">
        <f>IFERROR(LOOKUP(2,1/(GrowthCurves[Ticker]=Companies[[#This Row],[Symbol]]),GrowthCurves[Metric]),"")</f>
        <v/>
      </c>
      <c r="L303" s="94">
        <f>RatingDefault+SUM(Companies[[#This Row],[CurvePoints]:[PFVPoints]])</f>
        <v>2</v>
      </c>
      <c r="M303" s="94"/>
      <c r="N303" s="102">
        <f>IF(Companies[[#This Row],[Growth Curve]]&lt;&gt;"",Companies[[#This Row],[Growth Curve]]-3,0)</f>
        <v>0</v>
      </c>
      <c r="O303" s="52">
        <f>IF(Companies[[#This Row],[PSR]]&gt;2,-1,IF(Companies[[#This Row],[PSR]]&lt;1,1,0))</f>
        <v>-1</v>
      </c>
      <c r="P303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303" s="53">
        <f>IF(Companies[[#This Row],[PFV]]&lt;0.75,2,IF(Companies[[#This Row],[PFV]]&lt;0.95,1,IF(Companies[[#This Row],[PFV]]&gt;1.25,-2,IF(Companies[[#This Row],[PFV]]&gt;1.15,-1,0))))</f>
        <v>1</v>
      </c>
    </row>
    <row r="304" spans="2:17" s="53" customFormat="1" ht="25.15" customHeight="1" x14ac:dyDescent="0.25">
      <c r="B304" s="11" t="s">
        <v>40</v>
      </c>
      <c r="C304" s="11" t="str">
        <f>VLOOKUP(Companies[[#This Row],[Symbol]],Morningstar,MATCH("Name",Morningstar_Cols,EXACT_MATCH),EXACT_MATCH)</f>
        <v>Universal Logistics Holdings Inc</v>
      </c>
      <c r="D304" s="114">
        <f>VLOOKUP(Companies[[#This Row],[Symbol]],Morningstar,MATCH("mil$ Market Cap",Morningstar_Cols,0),0)</f>
        <v>353.57</v>
      </c>
      <c r="E304" s="115">
        <f>VLOOKUP(Companies[[#This Row],[Symbol]],Morningstar,MATCH("% Total Return 3 Month",Morningstar_Cols,EXACT_MATCH),EXACT_MATCH)/100</f>
        <v>-0.36979999999999996</v>
      </c>
      <c r="F304" s="115">
        <f>VLOOKUP(Companies[[#This Row],[Symbol]],Morningstar,MATCH("% Total Return 12 Month",Morningstar_Cols,EXACT_MATCH),EXACT_MATCH)/100</f>
        <v>-0.41119999999999995</v>
      </c>
      <c r="G304" s="116">
        <f>VLOOKUP(Companies[[#This Row],[Symbol]],Morningstar,MATCH("Price/Sales",Morningstar_Cols,EXACT_MATCH),EXACT_MATCH)</f>
        <v>0.24</v>
      </c>
      <c r="H304" s="117">
        <f>VLOOKUP(Companies[[#This Row],[Symbol]],Morningstar,MATCH("Price/Fair Value",Morningstar_Cols,EXACT_MATCH),EXACT_MATCH)</f>
        <v>0.52</v>
      </c>
      <c r="I30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304" s="107">
        <f>VLOOKUP(Companies[[#This Row],[Symbol]],Morningstar,MATCH("% Dividend Yield TTM",Morningstar_Cols,EXACT_MATCH),EXACT_MATCH)/100</f>
        <v>3.5699999999999996E-2</v>
      </c>
      <c r="K304" s="119" t="str">
        <f>IFERROR(LOOKUP(2,1/(GrowthCurves[Ticker]=Companies[[#This Row],[Symbol]]),GrowthCurves[Metric]),"")</f>
        <v/>
      </c>
      <c r="L304" s="94">
        <f>RatingDefault+SUM(Companies[[#This Row],[CurvePoints]:[PFVPoints]])</f>
        <v>6</v>
      </c>
      <c r="M304" s="94"/>
      <c r="N304" s="103">
        <f>IF(Companies[[#This Row],[Growth Curve]]&lt;&gt;"",Companies[[#This Row],[Growth Curve]]-3,0)</f>
        <v>0</v>
      </c>
      <c r="O304" s="53">
        <f>IF(Companies[[#This Row],[PSR]]&gt;2,-1,IF(Companies[[#This Row],[PSR]]&lt;1,1,0))</f>
        <v>1</v>
      </c>
      <c r="P304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304" s="53">
        <f>IF(Companies[[#This Row],[PFV]]&lt;0.75,2,IF(Companies[[#This Row],[PFV]]&lt;0.95,1,IF(Companies[[#This Row],[PFV]]&gt;1.25,-2,IF(Companies[[#This Row],[PFV]]&gt;1.15,-1,0))))</f>
        <v>2</v>
      </c>
    </row>
    <row r="305" spans="2:17" s="53" customFormat="1" ht="25.15" customHeight="1" x14ac:dyDescent="0.25">
      <c r="B305" s="11" t="s">
        <v>780</v>
      </c>
      <c r="C305" s="11" t="str">
        <f>VLOOKUP(Companies[[#This Row],[Symbol]],Morningstar,MATCH("Name",Morningstar_Cols,EXACT_MATCH),EXACT_MATCH)</f>
        <v>Unum Group</v>
      </c>
      <c r="D305" s="114">
        <f>VLOOKUP(Companies[[#This Row],[Symbol]],Morningstar,MATCH("mil$ Market Cap",Morningstar_Cols,0),0)</f>
        <v>3012.09</v>
      </c>
      <c r="E305" s="115">
        <f>VLOOKUP(Companies[[#This Row],[Symbol]],Morningstar,MATCH("% Total Return 3 Month",Morningstar_Cols,EXACT_MATCH),EXACT_MATCH)/100</f>
        <v>-0.55320000000000003</v>
      </c>
      <c r="F305" s="115">
        <f>VLOOKUP(Companies[[#This Row],[Symbol]],Morningstar,MATCH("% Total Return 12 Month",Morningstar_Cols,EXACT_MATCH),EXACT_MATCH)/100</f>
        <v>-0.59389999999999998</v>
      </c>
      <c r="G305" s="116">
        <f>VLOOKUP(Companies[[#This Row],[Symbol]],Morningstar,MATCH("Price/Sales",Morningstar_Cols,EXACT_MATCH),EXACT_MATCH)</f>
        <v>0.26</v>
      </c>
      <c r="H305" s="117">
        <f>VLOOKUP(Companies[[#This Row],[Symbol]],Morningstar,MATCH("Price/Fair Value",Morningstar_Cols,EXACT_MATCH),EXACT_MATCH)</f>
        <v>0.4</v>
      </c>
      <c r="I30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305" s="107">
        <f>VLOOKUP(Companies[[#This Row],[Symbol]],Morningstar,MATCH("% Dividend Yield TTM",Morningstar_Cols,EXACT_MATCH),EXACT_MATCH)/100</f>
        <v>8.2200000000000009E-2</v>
      </c>
      <c r="K305" s="119" t="str">
        <f>IFERROR(LOOKUP(2,1/(GrowthCurves[Ticker]=Companies[[#This Row],[Symbol]]),GrowthCurves[Metric]),"")</f>
        <v/>
      </c>
      <c r="L305" s="94">
        <f>RatingDefault+SUM(Companies[[#This Row],[CurvePoints]:[PFVPoints]])</f>
        <v>5</v>
      </c>
      <c r="M305" s="94"/>
      <c r="N305" s="103">
        <f>IF(Companies[[#This Row],[Growth Curve]]&lt;&gt;"",Companies[[#This Row],[Growth Curve]]-3,0)</f>
        <v>0</v>
      </c>
      <c r="O305" s="53">
        <f>IF(Companies[[#This Row],[PSR]]&gt;2,-1,IF(Companies[[#This Row],[PSR]]&lt;1,1,0))</f>
        <v>1</v>
      </c>
      <c r="P305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305" s="53">
        <f>IF(Companies[[#This Row],[PFV]]&lt;0.75,2,IF(Companies[[#This Row],[PFV]]&lt;0.95,1,IF(Companies[[#This Row],[PFV]]&gt;1.25,-2,IF(Companies[[#This Row],[PFV]]&gt;1.15,-1,0))))</f>
        <v>2</v>
      </c>
    </row>
    <row r="306" spans="2:17" s="53" customFormat="1" ht="25.15" customHeight="1" x14ac:dyDescent="0.25">
      <c r="B306" s="11" t="s">
        <v>346</v>
      </c>
      <c r="C306" s="11" t="str">
        <f>VLOOKUP(Companies[[#This Row],[Symbol]],Morningstar,MATCH("Name",Morningstar_Cols,EXACT_MATCH),EXACT_MATCH)</f>
        <v>Urban Outfitters Inc</v>
      </c>
      <c r="D306" s="114">
        <f>VLOOKUP(Companies[[#This Row],[Symbol]],Morningstar,MATCH("mil$ Market Cap",Morningstar_Cols,0),0)</f>
        <v>1508.84</v>
      </c>
      <c r="E306" s="115">
        <f>VLOOKUP(Companies[[#This Row],[Symbol]],Morningstar,MATCH("% Total Return 3 Month",Morningstar_Cols,EXACT_MATCH),EXACT_MATCH)/100</f>
        <v>-0.46600000000000003</v>
      </c>
      <c r="F306" s="115">
        <f>VLOOKUP(Companies[[#This Row],[Symbol]],Morningstar,MATCH("% Total Return 12 Month",Morningstar_Cols,EXACT_MATCH),EXACT_MATCH)/100</f>
        <v>-0.50840000000000007</v>
      </c>
      <c r="G306" s="116">
        <f>VLOOKUP(Companies[[#This Row],[Symbol]],Morningstar,MATCH("Price/Sales",Morningstar_Cols,EXACT_MATCH),EXACT_MATCH)</f>
        <v>0.39</v>
      </c>
      <c r="H306" s="117">
        <f>VLOOKUP(Companies[[#This Row],[Symbol]],Morningstar,MATCH("Price/Fair Value",Morningstar_Cols,EXACT_MATCH),EXACT_MATCH)</f>
        <v>0.49</v>
      </c>
      <c r="I30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306" s="107">
        <f>VLOOKUP(Companies[[#This Row],[Symbol]],Morningstar,MATCH("% Dividend Yield TTM",Morningstar_Cols,EXACT_MATCH),EXACT_MATCH)/100</f>
        <v>0</v>
      </c>
      <c r="K306" s="119" t="str">
        <f>IFERROR(LOOKUP(2,1/(GrowthCurves[Ticker]=Companies[[#This Row],[Symbol]]),GrowthCurves[Metric]),"")</f>
        <v/>
      </c>
      <c r="L306" s="94">
        <f>RatingDefault+SUM(Companies[[#This Row],[CurvePoints]:[PFVPoints]])</f>
        <v>6</v>
      </c>
      <c r="M306" s="94"/>
      <c r="N306" s="103">
        <f>IF(Companies[[#This Row],[Growth Curve]]&lt;&gt;"",Companies[[#This Row],[Growth Curve]]-3,0)</f>
        <v>0</v>
      </c>
      <c r="O306" s="53">
        <f>IF(Companies[[#This Row],[PSR]]&gt;2,-1,IF(Companies[[#This Row],[PSR]]&lt;1,1,0))</f>
        <v>1</v>
      </c>
      <c r="P306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306" s="53">
        <f>IF(Companies[[#This Row],[PFV]]&lt;0.75,2,IF(Companies[[#This Row],[PFV]]&lt;0.95,1,IF(Companies[[#This Row],[PFV]]&gt;1.25,-2,IF(Companies[[#This Row],[PFV]]&gt;1.15,-1,0))))</f>
        <v>2</v>
      </c>
    </row>
    <row r="307" spans="2:17" s="53" customFormat="1" ht="25.15" customHeight="1" x14ac:dyDescent="0.25">
      <c r="B307" s="11" t="s">
        <v>782</v>
      </c>
      <c r="C307" s="11" t="str">
        <f>VLOOKUP(Companies[[#This Row],[Symbol]],Morningstar,MATCH("Name",Morningstar_Cols,EXACT_MATCH),EXACT_MATCH)</f>
        <v>US Concrete Inc</v>
      </c>
      <c r="D307" s="114">
        <f>VLOOKUP(Companies[[#This Row],[Symbol]],Morningstar,MATCH("mil$ Market Cap",Morningstar_Cols,0),0)</f>
        <v>250.99</v>
      </c>
      <c r="E307" s="115">
        <f>VLOOKUP(Companies[[#This Row],[Symbol]],Morningstar,MATCH("% Total Return 3 Month",Morningstar_Cols,EXACT_MATCH),EXACT_MATCH)/100</f>
        <v>-0.61309999999999998</v>
      </c>
      <c r="F307" s="115">
        <f>VLOOKUP(Companies[[#This Row],[Symbol]],Morningstar,MATCH("% Total Return 12 Month",Morningstar_Cols,EXACT_MATCH),EXACT_MATCH)/100</f>
        <v>-0.63240000000000007</v>
      </c>
      <c r="G307" s="116">
        <f>VLOOKUP(Companies[[#This Row],[Symbol]],Morningstar,MATCH("Price/Sales",Morningstar_Cols,EXACT_MATCH),EXACT_MATCH)</f>
        <v>0.17</v>
      </c>
      <c r="H307" s="117">
        <f>VLOOKUP(Companies[[#This Row],[Symbol]],Morningstar,MATCH("Price/Fair Value",Morningstar_Cols,EXACT_MATCH),EXACT_MATCH)</f>
        <v>0.33</v>
      </c>
      <c r="I30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307" s="107">
        <f>VLOOKUP(Companies[[#This Row],[Symbol]],Morningstar,MATCH("% Dividend Yield TTM",Morningstar_Cols,EXACT_MATCH),EXACT_MATCH)/100</f>
        <v>0</v>
      </c>
      <c r="K307" s="119" t="str">
        <f>IFERROR(LOOKUP(2,1/(GrowthCurves[Ticker]=Companies[[#This Row],[Symbol]]),GrowthCurves[Metric]),"")</f>
        <v/>
      </c>
      <c r="L307" s="94">
        <f>RatingDefault+SUM(Companies[[#This Row],[CurvePoints]:[PFVPoints]])</f>
        <v>5</v>
      </c>
      <c r="M307" s="94"/>
      <c r="N307" s="103">
        <f>IF(Companies[[#This Row],[Growth Curve]]&lt;&gt;"",Companies[[#This Row],[Growth Curve]]-3,0)</f>
        <v>0</v>
      </c>
      <c r="O307" s="53">
        <f>IF(Companies[[#This Row],[PSR]]&gt;2,-1,IF(Companies[[#This Row],[PSR]]&lt;1,1,0))</f>
        <v>1</v>
      </c>
      <c r="P307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307" s="53">
        <f>IF(Companies[[#This Row],[PFV]]&lt;0.75,2,IF(Companies[[#This Row],[PFV]]&lt;0.95,1,IF(Companies[[#This Row],[PFV]]&gt;1.25,-2,IF(Companies[[#This Row],[PFV]]&gt;1.15,-1,0))))</f>
        <v>2</v>
      </c>
    </row>
    <row r="308" spans="2:17" s="53" customFormat="1" ht="25.15" customHeight="1" x14ac:dyDescent="0.25">
      <c r="B308" s="11" t="s">
        <v>217</v>
      </c>
      <c r="C308" s="11" t="str">
        <f>VLOOKUP(Companies[[#This Row],[Symbol]],Morningstar,MATCH("Name",Morningstar_Cols,EXACT_MATCH),EXACT_MATCH)</f>
        <v>Marriott Vacations Worldwide Corp</v>
      </c>
      <c r="D308" s="114">
        <f>VLOOKUP(Companies[[#This Row],[Symbol]],Morningstar,MATCH("mil$ Market Cap",Morningstar_Cols,0),0)</f>
        <v>3352.99</v>
      </c>
      <c r="E308" s="115">
        <f>VLOOKUP(Companies[[#This Row],[Symbol]],Morningstar,MATCH("% Total Return 3 Month",Morningstar_Cols,EXACT_MATCH),EXACT_MATCH)/100</f>
        <v>-0.39929999999999999</v>
      </c>
      <c r="F308" s="115">
        <f>VLOOKUP(Companies[[#This Row],[Symbol]],Morningstar,MATCH("% Total Return 12 Month",Morningstar_Cols,EXACT_MATCH),EXACT_MATCH)/100</f>
        <v>-0.18789999999999998</v>
      </c>
      <c r="G308" s="116">
        <f>VLOOKUP(Companies[[#This Row],[Symbol]],Morningstar,MATCH("Price/Sales",Morningstar_Cols,EXACT_MATCH),EXACT_MATCH)</f>
        <v>0.82</v>
      </c>
      <c r="H308" s="117">
        <f>VLOOKUP(Companies[[#This Row],[Symbol]],Morningstar,MATCH("Price/Fair Value",Morningstar_Cols,EXACT_MATCH),EXACT_MATCH)</f>
        <v>0.66</v>
      </c>
      <c r="I30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308" s="107">
        <f>VLOOKUP(Companies[[#This Row],[Symbol]],Morningstar,MATCH("% Dividend Yield TTM",Morningstar_Cols,EXACT_MATCH),EXACT_MATCH)/100</f>
        <v>2.6499999999999999E-2</v>
      </c>
      <c r="K308" s="119" t="str">
        <f>IFERROR(LOOKUP(2,1/(GrowthCurves[Ticker]=Companies[[#This Row],[Symbol]]),GrowthCurves[Metric]),"")</f>
        <v/>
      </c>
      <c r="L308" s="94">
        <f>RatingDefault+SUM(Companies[[#This Row],[CurvePoints]:[PFVPoints]])</f>
        <v>6</v>
      </c>
      <c r="M308" s="94"/>
      <c r="N308" s="103">
        <f>IF(Companies[[#This Row],[Growth Curve]]&lt;&gt;"",Companies[[#This Row],[Growth Curve]]-3,0)</f>
        <v>0</v>
      </c>
      <c r="O308" s="53">
        <f>IF(Companies[[#This Row],[PSR]]&gt;2,-1,IF(Companies[[#This Row],[PSR]]&lt;1,1,0))</f>
        <v>1</v>
      </c>
      <c r="P308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308" s="53">
        <f>IF(Companies[[#This Row],[PFV]]&lt;0.75,2,IF(Companies[[#This Row],[PFV]]&lt;0.95,1,IF(Companies[[#This Row],[PFV]]&gt;1.25,-2,IF(Companies[[#This Row],[PFV]]&gt;1.15,-1,0))))</f>
        <v>2</v>
      </c>
    </row>
    <row r="309" spans="2:17" s="53" customFormat="1" ht="25.15" customHeight="1" x14ac:dyDescent="0.25">
      <c r="B309" s="11" t="s">
        <v>45</v>
      </c>
      <c r="C309" s="11" t="str">
        <f>VLOOKUP(Companies[[#This Row],[Symbol]],Morningstar,MATCH("Name",Morningstar_Cols,EXACT_MATCH),EXACT_MATCH)</f>
        <v>Valhi Inc</v>
      </c>
      <c r="D309" s="114">
        <f>VLOOKUP(Companies[[#This Row],[Symbol]],Morningstar,MATCH("mil$ Market Cap",Morningstar_Cols,0),0)</f>
        <v>281.56</v>
      </c>
      <c r="E309" s="115">
        <f>VLOOKUP(Companies[[#This Row],[Symbol]],Morningstar,MATCH("% Total Return 3 Month",Morningstar_Cols,EXACT_MATCH),EXACT_MATCH)/100</f>
        <v>-0.51659999999999995</v>
      </c>
      <c r="F309" s="115">
        <f>VLOOKUP(Companies[[#This Row],[Symbol]],Morningstar,MATCH("% Total Return 12 Month",Morningstar_Cols,EXACT_MATCH),EXACT_MATCH)/100</f>
        <v>-0.69299999999999995</v>
      </c>
      <c r="G309" s="116">
        <f>VLOOKUP(Companies[[#This Row],[Symbol]],Morningstar,MATCH("Price/Sales",Morningstar_Cols,EXACT_MATCH),EXACT_MATCH)</f>
        <v>0.16</v>
      </c>
      <c r="H309" s="117">
        <f>VLOOKUP(Companies[[#This Row],[Symbol]],Morningstar,MATCH("Price/Fair Value",Morningstar_Cols,EXACT_MATCH),EXACT_MATCH)</f>
        <v>0.4</v>
      </c>
      <c r="I30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309" s="107">
        <f>VLOOKUP(Companies[[#This Row],[Symbol]],Morningstar,MATCH("% Dividend Yield TTM",Morningstar_Cols,EXACT_MATCH),EXACT_MATCH)/100</f>
        <v>9.4100000000000003E-2</v>
      </c>
      <c r="K309" s="119" t="str">
        <f>IFERROR(LOOKUP(2,1/(GrowthCurves[Ticker]=Companies[[#This Row],[Symbol]]),GrowthCurves[Metric]),"")</f>
        <v/>
      </c>
      <c r="L309" s="94">
        <f>RatingDefault+SUM(Companies[[#This Row],[CurvePoints]:[PFVPoints]])</f>
        <v>5</v>
      </c>
      <c r="M309" s="94"/>
      <c r="N309" s="103">
        <f>IF(Companies[[#This Row],[Growth Curve]]&lt;&gt;"",Companies[[#This Row],[Growth Curve]]-3,0)</f>
        <v>0</v>
      </c>
      <c r="O309" s="53">
        <f>IF(Companies[[#This Row],[PSR]]&gt;2,-1,IF(Companies[[#This Row],[PSR]]&lt;1,1,0))</f>
        <v>1</v>
      </c>
      <c r="P309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309" s="53">
        <f>IF(Companies[[#This Row],[PFV]]&lt;0.75,2,IF(Companies[[#This Row],[PFV]]&lt;0.95,1,IF(Companies[[#This Row],[PFV]]&gt;1.25,-2,IF(Companies[[#This Row],[PFV]]&gt;1.15,-1,0))))</f>
        <v>2</v>
      </c>
    </row>
    <row r="310" spans="2:17" s="53" customFormat="1" ht="25.15" customHeight="1" x14ac:dyDescent="0.25">
      <c r="B310" s="52" t="s">
        <v>193</v>
      </c>
      <c r="C310" s="11" t="str">
        <f>VLOOKUP(Companies[[#This Row],[Symbol]],Morningstar,MATCH("Name",Morningstar_Cols,EXACT_MATCH),EXACT_MATCH)</f>
        <v>Viacom Inc B</v>
      </c>
      <c r="D310" s="114">
        <f>VLOOKUP(Companies[[#This Row],[Symbol]],Morningstar,MATCH("mil$ Market Cap",Morningstar_Cols,0),0)</f>
        <v>0</v>
      </c>
      <c r="E310" s="115">
        <f>VLOOKUP(Companies[[#This Row],[Symbol]],Morningstar,MATCH("% Total Return 3 Month",Morningstar_Cols,EXACT_MATCH),EXACT_MATCH)/100</f>
        <v>0</v>
      </c>
      <c r="F310" s="115">
        <f>VLOOKUP(Companies[[#This Row],[Symbol]],Morningstar,MATCH("% Total Return 12 Month",Morningstar_Cols,EXACT_MATCH),EXACT_MATCH)/100</f>
        <v>0</v>
      </c>
      <c r="G310" s="116">
        <f>VLOOKUP(Companies[[#This Row],[Symbol]],Morningstar,MATCH("Price/Sales",Morningstar_Cols,EXACT_MATCH),EXACT_MATCH)</f>
        <v>0</v>
      </c>
      <c r="H310" s="117">
        <f>VLOOKUP(Companies[[#This Row],[Symbol]],Morningstar,MATCH("Price/Fair Value",Morningstar_Cols,EXACT_MATCH),EXACT_MATCH)</f>
        <v>0</v>
      </c>
      <c r="I31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310" s="107">
        <f>VLOOKUP(Companies[[#This Row],[Symbol]],Morningstar,MATCH("% Dividend Yield TTM",Morningstar_Cols,EXACT_MATCH),EXACT_MATCH)/100</f>
        <v>0</v>
      </c>
      <c r="K310" s="119" t="str">
        <f>IFERROR(LOOKUP(2,1/(GrowthCurves[Ticker]=Companies[[#This Row],[Symbol]]),GrowthCurves[Metric]),"")</f>
        <v/>
      </c>
      <c r="L310" s="94">
        <f>RatingDefault+SUM(Companies[[#This Row],[CurvePoints]:[PFVPoints]])</f>
        <v>5</v>
      </c>
      <c r="M310" s="94"/>
      <c r="N310" s="102">
        <f>IF(Companies[[#This Row],[Growth Curve]]&lt;&gt;"",Companies[[#This Row],[Growth Curve]]-3,0)</f>
        <v>0</v>
      </c>
      <c r="O310" s="52">
        <f>IF(Companies[[#This Row],[PSR]]&gt;2,-1,IF(Companies[[#This Row],[PSR]]&lt;1,1,0))</f>
        <v>1</v>
      </c>
      <c r="P310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310" s="53">
        <f>IF(Companies[[#This Row],[PFV]]&lt;0.75,2,IF(Companies[[#This Row],[PFV]]&lt;0.95,1,IF(Companies[[#This Row],[PFV]]&gt;1.25,-2,IF(Companies[[#This Row],[PFV]]&gt;1.15,-1,0))))</f>
        <v>2</v>
      </c>
    </row>
    <row r="311" spans="2:17" s="53" customFormat="1" ht="25.15" customHeight="1" x14ac:dyDescent="0.25">
      <c r="B311" s="11" t="s">
        <v>317</v>
      </c>
      <c r="C311" s="11" t="str">
        <f>VLOOKUP(Companies[[#This Row],[Symbol]],Morningstar,MATCH("Name",Morningstar_Cols,EXACT_MATCH),EXACT_MATCH)</f>
        <v>Valero Energy Corp</v>
      </c>
      <c r="D311" s="114">
        <f>VLOOKUP(Companies[[#This Row],[Symbol]],Morningstar,MATCH("mil$ Market Cap",Morningstar_Cols,0),0)</f>
        <v>18321.93</v>
      </c>
      <c r="E311" s="115">
        <f>VLOOKUP(Companies[[#This Row],[Symbol]],Morningstar,MATCH("% Total Return 3 Month",Morningstar_Cols,EXACT_MATCH),EXACT_MATCH)/100</f>
        <v>-0.52459999999999996</v>
      </c>
      <c r="F311" s="115">
        <f>VLOOKUP(Companies[[#This Row],[Symbol]],Morningstar,MATCH("% Total Return 12 Month",Morningstar_Cols,EXACT_MATCH),EXACT_MATCH)/100</f>
        <v>-0.43180000000000002</v>
      </c>
      <c r="G311" s="116">
        <f>VLOOKUP(Companies[[#This Row],[Symbol]],Morningstar,MATCH("Price/Sales",Morningstar_Cols,EXACT_MATCH),EXACT_MATCH)</f>
        <v>0.17</v>
      </c>
      <c r="H311" s="117">
        <f>VLOOKUP(Companies[[#This Row],[Symbol]],Morningstar,MATCH("Price/Fair Value",Morningstar_Cols,EXACT_MATCH),EXACT_MATCH)</f>
        <v>0.4</v>
      </c>
      <c r="I31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311" s="107">
        <f>VLOOKUP(Companies[[#This Row],[Symbol]],Morningstar,MATCH("% Dividend Yield TTM",Morningstar_Cols,EXACT_MATCH),EXACT_MATCH)/100</f>
        <v>8.3699999999999997E-2</v>
      </c>
      <c r="K311" s="119" t="str">
        <f>IFERROR(LOOKUP(2,1/(GrowthCurves[Ticker]=Companies[[#This Row],[Symbol]]),GrowthCurves[Metric]),"")</f>
        <v/>
      </c>
      <c r="L311" s="94">
        <f>RatingDefault+SUM(Companies[[#This Row],[CurvePoints]:[PFVPoints]])</f>
        <v>6</v>
      </c>
      <c r="M311" s="94"/>
      <c r="N311" s="103">
        <f>IF(Companies[[#This Row],[Growth Curve]]&lt;&gt;"",Companies[[#This Row],[Growth Curve]]-3,0)</f>
        <v>0</v>
      </c>
      <c r="O311" s="53">
        <f>IF(Companies[[#This Row],[PSR]]&gt;2,-1,IF(Companies[[#This Row],[PSR]]&lt;1,1,0))</f>
        <v>1</v>
      </c>
      <c r="P311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311" s="53">
        <f>IF(Companies[[#This Row],[PFV]]&lt;0.75,2,IF(Companies[[#This Row],[PFV]]&lt;0.95,1,IF(Companies[[#This Row],[PFV]]&gt;1.25,-2,IF(Companies[[#This Row],[PFV]]&gt;1.15,-1,0))))</f>
        <v>2</v>
      </c>
    </row>
    <row r="312" spans="2:17" s="53" customFormat="1" ht="25.15" customHeight="1" x14ac:dyDescent="0.25">
      <c r="B312" s="52" t="s">
        <v>819</v>
      </c>
      <c r="C312" s="11" t="str">
        <f>VLOOKUP(Companies[[#This Row],[Symbol]],Morningstar,MATCH("Name",Morningstar_Cols,EXACT_MATCH),EXACT_MATCH)</f>
        <v>Vanguard S&amp;P 500 ETF</v>
      </c>
      <c r="D312" s="114">
        <f>VLOOKUP(Companies[[#This Row],[Symbol]],Morningstar,MATCH("mil$ Market Cap",Morningstar_Cols,0),0)</f>
        <v>132104.07999999999</v>
      </c>
      <c r="E312" s="115">
        <f>VLOOKUP(Companies[[#This Row],[Symbol]],Morningstar,MATCH("% Total Return 3 Month",Morningstar_Cols,EXACT_MATCH),EXACT_MATCH)/100</f>
        <v>-0.21530000000000002</v>
      </c>
      <c r="F312" s="115">
        <f>VLOOKUP(Companies[[#This Row],[Symbol]],Morningstar,MATCH("% Total Return 12 Month",Morningstar_Cols,EXACT_MATCH),EXACT_MATCH)/100</f>
        <v>-9.64E-2</v>
      </c>
      <c r="G312" s="116">
        <f>VLOOKUP(Companies[[#This Row],[Symbol]],Morningstar,MATCH("Price/Sales",Morningstar_Cols,EXACT_MATCH),EXACT_MATCH)</f>
        <v>2.2799999999999998</v>
      </c>
      <c r="H312" s="117">
        <f>VLOOKUP(Companies[[#This Row],[Symbol]],Morningstar,MATCH("Price/Fair Value",Morningstar_Cols,EXACT_MATCH),EXACT_MATCH)</f>
        <v>1.03</v>
      </c>
      <c r="I31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312" s="107">
        <f>VLOOKUP(Companies[[#This Row],[Symbol]],Morningstar,MATCH("% Dividend Yield TTM",Morningstar_Cols,EXACT_MATCH),EXACT_MATCH)/100</f>
        <v>2.0499999999999997E-2</v>
      </c>
      <c r="K312" s="119" t="str">
        <f>IFERROR(LOOKUP(2,1/(GrowthCurves[Ticker]=Companies[[#This Row],[Symbol]]),GrowthCurves[Metric]),"")</f>
        <v/>
      </c>
      <c r="L312" s="94">
        <f>RatingDefault+SUM(Companies[[#This Row],[CurvePoints]:[PFVPoints]])</f>
        <v>1</v>
      </c>
      <c r="M312" s="94"/>
      <c r="N312" s="102">
        <f>IF(Companies[[#This Row],[Growth Curve]]&lt;&gt;"",Companies[[#This Row],[Growth Curve]]-3,0)</f>
        <v>0</v>
      </c>
      <c r="O312" s="52">
        <f>IF(Companies[[#This Row],[PSR]]&gt;2,-1,IF(Companies[[#This Row],[PSR]]&lt;1,1,0))</f>
        <v>-1</v>
      </c>
      <c r="P312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312" s="53">
        <f>IF(Companies[[#This Row],[PFV]]&lt;0.75,2,IF(Companies[[#This Row],[PFV]]&lt;0.95,1,IF(Companies[[#This Row],[PFV]]&gt;1.25,-2,IF(Companies[[#This Row],[PFV]]&gt;1.15,-1,0))))</f>
        <v>0</v>
      </c>
    </row>
    <row r="313" spans="2:17" s="53" customFormat="1" ht="25.15" customHeight="1" x14ac:dyDescent="0.25">
      <c r="B313" s="52" t="s">
        <v>392</v>
      </c>
      <c r="C313" s="11" t="str">
        <f>VLOOKUP(Companies[[#This Row],[Symbol]],Morningstar,MATCH("Name",Morningstar_Cols,EXACT_MATCH),EXACT_MATCH)</f>
        <v>Vishay Precision Group Inc</v>
      </c>
      <c r="D313" s="114">
        <f>VLOOKUP(Companies[[#This Row],[Symbol]],Morningstar,MATCH("mil$ Market Cap",Morningstar_Cols,0),0)</f>
        <v>306.41000000000003</v>
      </c>
      <c r="E313" s="115">
        <f>VLOOKUP(Companies[[#This Row],[Symbol]],Morningstar,MATCH("% Total Return 3 Month",Morningstar_Cols,EXACT_MATCH),EXACT_MATCH)/100</f>
        <v>-0.34899999999999998</v>
      </c>
      <c r="F313" s="115">
        <f>VLOOKUP(Companies[[#This Row],[Symbol]],Morningstar,MATCH("% Total Return 12 Month",Morningstar_Cols,EXACT_MATCH),EXACT_MATCH)/100</f>
        <v>-0.34990000000000004</v>
      </c>
      <c r="G313" s="116">
        <f>VLOOKUP(Companies[[#This Row],[Symbol]],Morningstar,MATCH("Price/Sales",Morningstar_Cols,EXACT_MATCH),EXACT_MATCH)</f>
        <v>1.08</v>
      </c>
      <c r="H313" s="117">
        <f>VLOOKUP(Companies[[#This Row],[Symbol]],Morningstar,MATCH("Price/Fair Value",Morningstar_Cols,EXACT_MATCH),EXACT_MATCH)</f>
        <v>0.6</v>
      </c>
      <c r="I31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313" s="107">
        <f>VLOOKUP(Companies[[#This Row],[Symbol]],Morningstar,MATCH("% Dividend Yield TTM",Morningstar_Cols,EXACT_MATCH),EXACT_MATCH)/100</f>
        <v>0</v>
      </c>
      <c r="K313" s="119" t="str">
        <f>IFERROR(LOOKUP(2,1/(GrowthCurves[Ticker]=Companies[[#This Row],[Symbol]]),GrowthCurves[Metric]),"")</f>
        <v/>
      </c>
      <c r="L313" s="94">
        <f>RatingDefault+SUM(Companies[[#This Row],[CurvePoints]:[PFVPoints]])</f>
        <v>6</v>
      </c>
      <c r="M313" s="94"/>
      <c r="N313" s="102">
        <f>IF(Companies[[#This Row],[Growth Curve]]&lt;&gt;"",Companies[[#This Row],[Growth Curve]]-3,0)</f>
        <v>0</v>
      </c>
      <c r="O313" s="52">
        <f>IF(Companies[[#This Row],[PSR]]&gt;2,-1,IF(Companies[[#This Row],[PSR]]&lt;1,1,0))</f>
        <v>0</v>
      </c>
      <c r="P313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313" s="53">
        <f>IF(Companies[[#This Row],[PFV]]&lt;0.75,2,IF(Companies[[#This Row],[PFV]]&lt;0.95,1,IF(Companies[[#This Row],[PFV]]&gt;1.25,-2,IF(Companies[[#This Row],[PFV]]&gt;1.15,-1,0))))</f>
        <v>2</v>
      </c>
    </row>
    <row r="314" spans="2:17" s="53" customFormat="1" ht="25.15" customHeight="1" x14ac:dyDescent="0.25">
      <c r="B314" s="11" t="s">
        <v>249</v>
      </c>
      <c r="C314" s="11" t="str">
        <f>VLOOKUP(Companies[[#This Row],[Symbol]],Morningstar,MATCH("Name",Morningstar_Cols,EXACT_MATCH),EXACT_MATCH)</f>
        <v>Verso Corp A</v>
      </c>
      <c r="D314" s="114">
        <f>VLOOKUP(Companies[[#This Row],[Symbol]],Morningstar,MATCH("mil$ Market Cap",Morningstar_Cols,0),0)</f>
        <v>445.77</v>
      </c>
      <c r="E314" s="115">
        <f>VLOOKUP(Companies[[#This Row],[Symbol]],Morningstar,MATCH("% Total Return 3 Month",Morningstar_Cols,EXACT_MATCH),EXACT_MATCH)/100</f>
        <v>-0.3881</v>
      </c>
      <c r="F314" s="115">
        <f>VLOOKUP(Companies[[#This Row],[Symbol]],Morningstar,MATCH("% Total Return 12 Month",Morningstar_Cols,EXACT_MATCH),EXACT_MATCH)/100</f>
        <v>-0.42159999999999997</v>
      </c>
      <c r="G314" s="116">
        <f>VLOOKUP(Companies[[#This Row],[Symbol]],Morningstar,MATCH("Price/Sales",Morningstar_Cols,EXACT_MATCH),EXACT_MATCH)</f>
        <v>0.18</v>
      </c>
      <c r="H314" s="117">
        <f>VLOOKUP(Companies[[#This Row],[Symbol]],Morningstar,MATCH("Price/Fair Value",Morningstar_Cols,EXACT_MATCH),EXACT_MATCH)</f>
        <v>0.53</v>
      </c>
      <c r="I31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314" s="107">
        <f>VLOOKUP(Companies[[#This Row],[Symbol]],Morningstar,MATCH("% Dividend Yield TTM",Morningstar_Cols,EXACT_MATCH),EXACT_MATCH)/100</f>
        <v>0</v>
      </c>
      <c r="K314" s="119" t="str">
        <f>IFERROR(LOOKUP(2,1/(GrowthCurves[Ticker]=Companies[[#This Row],[Symbol]]),GrowthCurves[Metric]),"")</f>
        <v/>
      </c>
      <c r="L314" s="94">
        <f>RatingDefault+SUM(Companies[[#This Row],[CurvePoints]:[PFVPoints]])</f>
        <v>6</v>
      </c>
      <c r="M314" s="94"/>
      <c r="N314" s="103">
        <f>IF(Companies[[#This Row],[Growth Curve]]&lt;&gt;"",Companies[[#This Row],[Growth Curve]]-3,0)</f>
        <v>0</v>
      </c>
      <c r="O314" s="53">
        <f>IF(Companies[[#This Row],[PSR]]&gt;2,-1,IF(Companies[[#This Row],[PSR]]&lt;1,1,0))</f>
        <v>1</v>
      </c>
      <c r="P314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314" s="53">
        <f>IF(Companies[[#This Row],[PFV]]&lt;0.75,2,IF(Companies[[#This Row],[PFV]]&lt;0.95,1,IF(Companies[[#This Row],[PFV]]&gt;1.25,-2,IF(Companies[[#This Row],[PFV]]&gt;1.15,-1,0))))</f>
        <v>2</v>
      </c>
    </row>
    <row r="315" spans="2:17" s="53" customFormat="1" ht="25.15" customHeight="1" x14ac:dyDescent="0.25">
      <c r="B315" s="52" t="s">
        <v>42</v>
      </c>
      <c r="C315" s="11" t="str">
        <f>VLOOKUP(Companies[[#This Row],[Symbol]],Morningstar,MATCH("Name",Morningstar_Cols,EXACT_MATCH),EXACT_MATCH)</f>
        <v>VSE Corp</v>
      </c>
      <c r="D315" s="114">
        <f>VLOOKUP(Companies[[#This Row],[Symbol]],Morningstar,MATCH("mil$ Market Cap",Morningstar_Cols,0),0)</f>
        <v>249.72</v>
      </c>
      <c r="E315" s="115">
        <f>VLOOKUP(Companies[[#This Row],[Symbol]],Morningstar,MATCH("% Total Return 3 Month",Morningstar_Cols,EXACT_MATCH),EXACT_MATCH)/100</f>
        <v>-0.45569999999999999</v>
      </c>
      <c r="F315" s="115">
        <f>VLOOKUP(Companies[[#This Row],[Symbol]],Morningstar,MATCH("% Total Return 12 Month",Morningstar_Cols,EXACT_MATCH),EXACT_MATCH)/100</f>
        <v>-0.32319999999999999</v>
      </c>
      <c r="G315" s="116">
        <f>VLOOKUP(Companies[[#This Row],[Symbol]],Morningstar,MATCH("Price/Sales",Morningstar_Cols,EXACT_MATCH),EXACT_MATCH)</f>
        <v>0.33</v>
      </c>
      <c r="H315" s="117">
        <f>VLOOKUP(Companies[[#This Row],[Symbol]],Morningstar,MATCH("Price/Fair Value",Morningstar_Cols,EXACT_MATCH),EXACT_MATCH)</f>
        <v>0.56000000000000005</v>
      </c>
      <c r="I31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315" s="107">
        <f>VLOOKUP(Companies[[#This Row],[Symbol]],Morningstar,MATCH("% Dividend Yield TTM",Morningstar_Cols,EXACT_MATCH),EXACT_MATCH)/100</f>
        <v>1.6500000000000001E-2</v>
      </c>
      <c r="K315" s="119" t="str">
        <f>IFERROR(LOOKUP(2,1/(GrowthCurves[Ticker]=Companies[[#This Row],[Symbol]]),GrowthCurves[Metric]),"")</f>
        <v/>
      </c>
      <c r="L315" s="94">
        <f>RatingDefault+SUM(Companies[[#This Row],[CurvePoints]:[PFVPoints]])</f>
        <v>6</v>
      </c>
      <c r="M315" s="94"/>
      <c r="N315" s="102">
        <f>IF(Companies[[#This Row],[Growth Curve]]&lt;&gt;"",Companies[[#This Row],[Growth Curve]]-3,0)</f>
        <v>0</v>
      </c>
      <c r="O315" s="52">
        <f>IF(Companies[[#This Row],[PSR]]&gt;2,-1,IF(Companies[[#This Row],[PSR]]&lt;1,1,0))</f>
        <v>1</v>
      </c>
      <c r="P315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315" s="53">
        <f>IF(Companies[[#This Row],[PFV]]&lt;0.75,2,IF(Companies[[#This Row],[PFV]]&lt;0.95,1,IF(Companies[[#This Row],[PFV]]&gt;1.25,-2,IF(Companies[[#This Row],[PFV]]&gt;1.15,-1,0))))</f>
        <v>2</v>
      </c>
    </row>
    <row r="316" spans="2:17" s="53" customFormat="1" ht="25.15" customHeight="1" x14ac:dyDescent="0.25">
      <c r="B316" s="52" t="s">
        <v>46</v>
      </c>
      <c r="C316" s="11" t="str">
        <f>VLOOKUP(Companies[[#This Row],[Symbol]],Morningstar,MATCH("Name",Morningstar_Cols,EXACT_MATCH),EXACT_MATCH)</f>
        <v>Viad Corp</v>
      </c>
      <c r="D316" s="114">
        <f>VLOOKUP(Companies[[#This Row],[Symbol]],Morningstar,MATCH("mil$ Market Cap",Morningstar_Cols,0),0)</f>
        <v>591.88</v>
      </c>
      <c r="E316" s="115">
        <f>VLOOKUP(Companies[[#This Row],[Symbol]],Morningstar,MATCH("% Total Return 3 Month",Morningstar_Cols,EXACT_MATCH),EXACT_MATCH)/100</f>
        <v>-0.54330000000000001</v>
      </c>
      <c r="F316" s="115">
        <f>VLOOKUP(Companies[[#This Row],[Symbol]],Morningstar,MATCH("% Total Return 12 Month",Morningstar_Cols,EXACT_MATCH),EXACT_MATCH)/100</f>
        <v>-0.42680000000000001</v>
      </c>
      <c r="G316" s="116">
        <f>VLOOKUP(Companies[[#This Row],[Symbol]],Morningstar,MATCH("Price/Sales",Morningstar_Cols,EXACT_MATCH),EXACT_MATCH)</f>
        <v>0.43</v>
      </c>
      <c r="H316" s="117">
        <f>VLOOKUP(Companies[[#This Row],[Symbol]],Morningstar,MATCH("Price/Fair Value",Morningstar_Cols,EXACT_MATCH),EXACT_MATCH)</f>
        <v>0.43</v>
      </c>
      <c r="I31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316" s="107">
        <f>VLOOKUP(Companies[[#This Row],[Symbol]],Morningstar,MATCH("% Dividend Yield TTM",Morningstar_Cols,EXACT_MATCH),EXACT_MATCH)/100</f>
        <v>1.3000000000000001E-2</v>
      </c>
      <c r="K316" s="119" t="str">
        <f>IFERROR(LOOKUP(2,1/(GrowthCurves[Ticker]=Companies[[#This Row],[Symbol]]),GrowthCurves[Metric]),"")</f>
        <v/>
      </c>
      <c r="L316" s="94">
        <f>RatingDefault+SUM(Companies[[#This Row],[CurvePoints]:[PFVPoints]])</f>
        <v>6</v>
      </c>
      <c r="M316" s="94"/>
      <c r="N316" s="102">
        <f>IF(Companies[[#This Row],[Growth Curve]]&lt;&gt;"",Companies[[#This Row],[Growth Curve]]-3,0)</f>
        <v>0</v>
      </c>
      <c r="O316" s="52">
        <f>IF(Companies[[#This Row],[PSR]]&gt;2,-1,IF(Companies[[#This Row],[PSR]]&lt;1,1,0))</f>
        <v>1</v>
      </c>
      <c r="P316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316" s="53">
        <f>IF(Companies[[#This Row],[PFV]]&lt;0.75,2,IF(Companies[[#This Row],[PFV]]&lt;0.95,1,IF(Companies[[#This Row],[PFV]]&gt;1.25,-2,IF(Companies[[#This Row],[PFV]]&gt;1.15,-1,0))))</f>
        <v>2</v>
      </c>
    </row>
    <row r="317" spans="2:17" s="53" customFormat="1" ht="25.15" customHeight="1" x14ac:dyDescent="0.25">
      <c r="B317" s="11" t="s">
        <v>644</v>
      </c>
      <c r="C317" s="11" t="str">
        <f>VLOOKUP(Companies[[#This Row],[Symbol]],Morningstar,MATCH("Name",Morningstar_Cols,EXACT_MATCH),EXACT_MATCH)</f>
        <v>Westpac Banking Corp ADR</v>
      </c>
      <c r="D317" s="114">
        <f>VLOOKUP(Companies[[#This Row],[Symbol]],Morningstar,MATCH("mil$ Market Cap",Morningstar_Cols,0),0)</f>
        <v>41726.14</v>
      </c>
      <c r="E317" s="115">
        <f>VLOOKUP(Companies[[#This Row],[Symbol]],Morningstar,MATCH("% Total Return 3 Month",Morningstar_Cols,EXACT_MATCH),EXACT_MATCH)/100</f>
        <v>-0.35609999999999997</v>
      </c>
      <c r="F317" s="115">
        <f>VLOOKUP(Companies[[#This Row],[Symbol]],Morningstar,MATCH("% Total Return 12 Month",Morningstar_Cols,EXACT_MATCH),EXACT_MATCH)/100</f>
        <v>-0.37740000000000001</v>
      </c>
      <c r="G317" s="116">
        <f>VLOOKUP(Companies[[#This Row],[Symbol]],Morningstar,MATCH("Price/Sales",Morningstar_Cols,EXACT_MATCH),EXACT_MATCH)</f>
        <v>2.86</v>
      </c>
      <c r="H317" s="117">
        <f>VLOOKUP(Companies[[#This Row],[Symbol]],Morningstar,MATCH("Price/Fair Value",Morningstar_Cols,EXACT_MATCH),EXACT_MATCH)</f>
        <v>0.62</v>
      </c>
      <c r="I31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317" s="107">
        <f>VLOOKUP(Companies[[#This Row],[Symbol]],Morningstar,MATCH("% Dividend Yield TTM",Morningstar_Cols,EXACT_MATCH),EXACT_MATCH)/100</f>
        <v>0.11359999999999999</v>
      </c>
      <c r="K317" s="119" t="str">
        <f>IFERROR(LOOKUP(2,1/(GrowthCurves[Ticker]=Companies[[#This Row],[Symbol]]),GrowthCurves[Metric]),"")</f>
        <v/>
      </c>
      <c r="L317" s="94">
        <f>RatingDefault+SUM(Companies[[#This Row],[CurvePoints]:[PFVPoints]])</f>
        <v>3</v>
      </c>
      <c r="M317" s="94"/>
      <c r="N317" s="103">
        <f>IF(Companies[[#This Row],[Growth Curve]]&lt;&gt;"",Companies[[#This Row],[Growth Curve]]-3,0)</f>
        <v>0</v>
      </c>
      <c r="O317" s="53">
        <f>IF(Companies[[#This Row],[PSR]]&gt;2,-1,IF(Companies[[#This Row],[PSR]]&lt;1,1,0))</f>
        <v>-1</v>
      </c>
      <c r="P317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317" s="53">
        <f>IF(Companies[[#This Row],[PFV]]&lt;0.75,2,IF(Companies[[#This Row],[PFV]]&lt;0.95,1,IF(Companies[[#This Row],[PFV]]&gt;1.25,-2,IF(Companies[[#This Row],[PFV]]&gt;1.15,-1,0))))</f>
        <v>2</v>
      </c>
    </row>
    <row r="318" spans="2:17" s="53" customFormat="1" ht="25.15" customHeight="1" x14ac:dyDescent="0.25">
      <c r="B318" s="11" t="s">
        <v>159</v>
      </c>
      <c r="C318" s="11" t="str">
        <f>VLOOKUP(Companies[[#This Row],[Symbol]],Morningstar,MATCH("Name",Morningstar_Cols,EXACT_MATCH),EXACT_MATCH)</f>
        <v>WellCare Health Plans Inc</v>
      </c>
      <c r="D318" s="114">
        <f>VLOOKUP(Companies[[#This Row],[Symbol]],Morningstar,MATCH("mil$ Market Cap",Morningstar_Cols,0),0)</f>
        <v>0</v>
      </c>
      <c r="E318" s="115">
        <f>VLOOKUP(Companies[[#This Row],[Symbol]],Morningstar,MATCH("% Total Return 3 Month",Morningstar_Cols,EXACT_MATCH),EXACT_MATCH)/100</f>
        <v>0</v>
      </c>
      <c r="F318" s="115">
        <f>VLOOKUP(Companies[[#This Row],[Symbol]],Morningstar,MATCH("% Total Return 12 Month",Morningstar_Cols,EXACT_MATCH),EXACT_MATCH)/100</f>
        <v>0</v>
      </c>
      <c r="G318" s="116">
        <f>VLOOKUP(Companies[[#This Row],[Symbol]],Morningstar,MATCH("Price/Sales",Morningstar_Cols,EXACT_MATCH),EXACT_MATCH)</f>
        <v>0</v>
      </c>
      <c r="H318" s="117">
        <f>VLOOKUP(Companies[[#This Row],[Symbol]],Morningstar,MATCH("Price/Fair Value",Morningstar_Cols,EXACT_MATCH),EXACT_MATCH)</f>
        <v>0</v>
      </c>
      <c r="I31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318" s="107">
        <f>VLOOKUP(Companies[[#This Row],[Symbol]],Morningstar,MATCH("% Dividend Yield TTM",Morningstar_Cols,EXACT_MATCH),EXACT_MATCH)/100</f>
        <v>0</v>
      </c>
      <c r="K318" s="119" t="str">
        <f>IFERROR(LOOKUP(2,1/(GrowthCurves[Ticker]=Companies[[#This Row],[Symbol]]),GrowthCurves[Metric]),"")</f>
        <v/>
      </c>
      <c r="L318" s="94">
        <f>RatingDefault+SUM(Companies[[#This Row],[CurvePoints]:[PFVPoints]])</f>
        <v>5</v>
      </c>
      <c r="M318" s="94"/>
      <c r="N318" s="103">
        <f>IF(Companies[[#This Row],[Growth Curve]]&lt;&gt;"",Companies[[#This Row],[Growth Curve]]-3,0)</f>
        <v>0</v>
      </c>
      <c r="O318" s="53">
        <f>IF(Companies[[#This Row],[PSR]]&gt;2,-1,IF(Companies[[#This Row],[PSR]]&lt;1,1,0))</f>
        <v>1</v>
      </c>
      <c r="P318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318" s="53">
        <f>IF(Companies[[#This Row],[PFV]]&lt;0.75,2,IF(Companies[[#This Row],[PFV]]&lt;0.95,1,IF(Companies[[#This Row],[PFV]]&gt;1.25,-2,IF(Companies[[#This Row],[PFV]]&gt;1.15,-1,0))))</f>
        <v>2</v>
      </c>
    </row>
    <row r="319" spans="2:17" s="53" customFormat="1" ht="25.15" customHeight="1" x14ac:dyDescent="0.25">
      <c r="B319" s="11" t="s">
        <v>688</v>
      </c>
      <c r="C319" s="11" t="str">
        <f>VLOOKUP(Companies[[#This Row],[Symbol]],Morningstar,MATCH("Name",Morningstar_Cols,EXACT_MATCH),EXACT_MATCH)</f>
        <v>Web.com Group Inc</v>
      </c>
      <c r="D319" s="114">
        <f>VLOOKUP(Companies[[#This Row],[Symbol]],Morningstar,MATCH("mil$ Market Cap",Morningstar_Cols,0),0)</f>
        <v>0</v>
      </c>
      <c r="E319" s="115">
        <f>VLOOKUP(Companies[[#This Row],[Symbol]],Morningstar,MATCH("% Total Return 3 Month",Morningstar_Cols,EXACT_MATCH),EXACT_MATCH)/100</f>
        <v>0</v>
      </c>
      <c r="F319" s="115">
        <f>VLOOKUP(Companies[[#This Row],[Symbol]],Morningstar,MATCH("% Total Return 12 Month",Morningstar_Cols,EXACT_MATCH),EXACT_MATCH)/100</f>
        <v>0</v>
      </c>
      <c r="G319" s="116">
        <f>VLOOKUP(Companies[[#This Row],[Symbol]],Morningstar,MATCH("Price/Sales",Morningstar_Cols,EXACT_MATCH),EXACT_MATCH)</f>
        <v>0</v>
      </c>
      <c r="H319" s="117">
        <f>VLOOKUP(Companies[[#This Row],[Symbol]],Morningstar,MATCH("Price/Fair Value",Morningstar_Cols,EXACT_MATCH),EXACT_MATCH)</f>
        <v>0</v>
      </c>
      <c r="I31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319" s="107">
        <f>VLOOKUP(Companies[[#This Row],[Symbol]],Morningstar,MATCH("% Dividend Yield TTM",Morningstar_Cols,EXACT_MATCH),EXACT_MATCH)/100</f>
        <v>0</v>
      </c>
      <c r="K319" s="119" t="str">
        <f>IFERROR(LOOKUP(2,1/(GrowthCurves[Ticker]=Companies[[#This Row],[Symbol]]),GrowthCurves[Metric]),"")</f>
        <v/>
      </c>
      <c r="L319" s="94">
        <f>RatingDefault+SUM(Companies[[#This Row],[CurvePoints]:[PFVPoints]])</f>
        <v>5</v>
      </c>
      <c r="M319" s="94"/>
      <c r="N319" s="103">
        <f>IF(Companies[[#This Row],[Growth Curve]]&lt;&gt;"",Companies[[#This Row],[Growth Curve]]-3,0)</f>
        <v>0</v>
      </c>
      <c r="O319" s="53">
        <f>IF(Companies[[#This Row],[PSR]]&gt;2,-1,IF(Companies[[#This Row],[PSR]]&lt;1,1,0))</f>
        <v>1</v>
      </c>
      <c r="P319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319" s="53">
        <f>IF(Companies[[#This Row],[PFV]]&lt;0.75,2,IF(Companies[[#This Row],[PFV]]&lt;0.95,1,IF(Companies[[#This Row],[PFV]]&gt;1.25,-2,IF(Companies[[#This Row],[PFV]]&gt;1.15,-1,0))))</f>
        <v>2</v>
      </c>
    </row>
    <row r="320" spans="2:17" s="53" customFormat="1" ht="25.15" customHeight="1" x14ac:dyDescent="0.25">
      <c r="B320" s="11" t="s">
        <v>1295</v>
      </c>
      <c r="C320" s="11" t="str">
        <f>VLOOKUP(Companies[[#This Row],[Symbol]],Morningstar,MATCH("Name",Morningstar_Cols,EXACT_MATCH),EXACT_MATCH)</f>
        <v>Wells Fargo &amp; Co</v>
      </c>
      <c r="D320" s="114">
        <f>VLOOKUP(Companies[[#This Row],[Symbol]],Morningstar,MATCH("mil$ Market Cap",Morningstar_Cols,0),0)</f>
        <v>121008.17</v>
      </c>
      <c r="E320" s="115">
        <f>VLOOKUP(Companies[[#This Row],[Symbol]],Morningstar,MATCH("% Total Return 3 Month",Morningstar_Cols,EXACT_MATCH),EXACT_MATCH)/100</f>
        <v>-0.49030000000000001</v>
      </c>
      <c r="F320" s="115">
        <f>VLOOKUP(Companies[[#This Row],[Symbol]],Morningstar,MATCH("% Total Return 12 Month",Morningstar_Cols,EXACT_MATCH),EXACT_MATCH)/100</f>
        <v>-0.41229999999999994</v>
      </c>
      <c r="G320" s="116">
        <f>VLOOKUP(Companies[[#This Row],[Symbol]],Morningstar,MATCH("Price/Sales",Morningstar_Cols,EXACT_MATCH),EXACT_MATCH)</f>
        <v>1.58</v>
      </c>
      <c r="H320" s="117">
        <f>VLOOKUP(Companies[[#This Row],[Symbol]],Morningstar,MATCH("Price/Fair Value",Morningstar_Cols,EXACT_MATCH),EXACT_MATCH)</f>
        <v>0.54</v>
      </c>
      <c r="I32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320" s="107">
        <f>VLOOKUP(Companies[[#This Row],[Symbol]],Morningstar,MATCH("% Dividend Yield TTM",Morningstar_Cols,EXACT_MATCH),EXACT_MATCH)/100</f>
        <v>7.2800000000000004E-2</v>
      </c>
      <c r="K320" s="119" t="str">
        <f>IFERROR(LOOKUP(2,1/(GrowthCurves[Ticker]=Companies[[#This Row],[Symbol]]),GrowthCurves[Metric]),"")</f>
        <v/>
      </c>
      <c r="L320" s="94">
        <f>RatingDefault+SUM(Companies[[#This Row],[CurvePoints]:[PFVPoints]])</f>
        <v>5</v>
      </c>
      <c r="M320" s="94"/>
      <c r="N320" s="103">
        <f>IF(Companies[[#This Row],[Growth Curve]]&lt;&gt;"",Companies[[#This Row],[Growth Curve]]-3,0)</f>
        <v>0</v>
      </c>
      <c r="O320" s="53">
        <f>IF(Companies[[#This Row],[PSR]]&gt;2,-1,IF(Companies[[#This Row],[PSR]]&lt;1,1,0))</f>
        <v>0</v>
      </c>
      <c r="P320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320" s="53">
        <f>IF(Companies[[#This Row],[PFV]]&lt;0.75,2,IF(Companies[[#This Row],[PFV]]&lt;0.95,1,IF(Companies[[#This Row],[PFV]]&gt;1.25,-2,IF(Companies[[#This Row],[PFV]]&gt;1.15,-1,0))))</f>
        <v>2</v>
      </c>
    </row>
    <row r="321" spans="2:17" s="53" customFormat="1" ht="25.15" customHeight="1" x14ac:dyDescent="0.25">
      <c r="B321" s="11" t="s">
        <v>81</v>
      </c>
      <c r="C321" s="11" t="str">
        <f>VLOOKUP(Companies[[#This Row],[Symbol]],Morningstar,MATCH("Name",Morningstar_Cols,EXACT_MATCH),EXACT_MATCH)</f>
        <v>Winnebago Industries Inc</v>
      </c>
      <c r="D321" s="114">
        <f>VLOOKUP(Companies[[#This Row],[Symbol]],Morningstar,MATCH("mil$ Market Cap",Morningstar_Cols,0),0)</f>
        <v>1062.95</v>
      </c>
      <c r="E321" s="115">
        <f>VLOOKUP(Companies[[#This Row],[Symbol]],Morningstar,MATCH("% Total Return 3 Month",Morningstar_Cols,EXACT_MATCH),EXACT_MATCH)/100</f>
        <v>-0.35580000000000001</v>
      </c>
      <c r="F321" s="115">
        <f>VLOOKUP(Companies[[#This Row],[Symbol]],Morningstar,MATCH("% Total Return 12 Month",Morningstar_Cols,EXACT_MATCH),EXACT_MATCH)/100</f>
        <v>3.4999999999999996E-3</v>
      </c>
      <c r="G321" s="116">
        <f>VLOOKUP(Companies[[#This Row],[Symbol]],Morningstar,MATCH("Price/Sales",Morningstar_Cols,EXACT_MATCH),EXACT_MATCH)</f>
        <v>0.48</v>
      </c>
      <c r="H321" s="117">
        <f>VLOOKUP(Companies[[#This Row],[Symbol]],Morningstar,MATCH("Price/Fair Value",Morningstar_Cols,EXACT_MATCH),EXACT_MATCH)</f>
        <v>0.85</v>
      </c>
      <c r="I32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321" s="107">
        <f>VLOOKUP(Companies[[#This Row],[Symbol]],Morningstar,MATCH("% Dividend Yield TTM",Morningstar_Cols,EXACT_MATCH),EXACT_MATCH)/100</f>
        <v>1.41E-2</v>
      </c>
      <c r="K321" s="119" t="str">
        <f>IFERROR(LOOKUP(2,1/(GrowthCurves[Ticker]=Companies[[#This Row],[Symbol]]),GrowthCurves[Metric]),"")</f>
        <v/>
      </c>
      <c r="L321" s="94">
        <f>RatingDefault+SUM(Companies[[#This Row],[CurvePoints]:[PFVPoints]])</f>
        <v>5</v>
      </c>
      <c r="M321" s="94"/>
      <c r="N321" s="103">
        <f>IF(Companies[[#This Row],[Growth Curve]]&lt;&gt;"",Companies[[#This Row],[Growth Curve]]-3,0)</f>
        <v>0</v>
      </c>
      <c r="O321" s="53">
        <f>IF(Companies[[#This Row],[PSR]]&gt;2,-1,IF(Companies[[#This Row],[PSR]]&lt;1,1,0))</f>
        <v>1</v>
      </c>
      <c r="P321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321" s="53">
        <f>IF(Companies[[#This Row],[PFV]]&lt;0.75,2,IF(Companies[[#This Row],[PFV]]&lt;0.95,1,IF(Companies[[#This Row],[PFV]]&gt;1.25,-2,IF(Companies[[#This Row],[PFV]]&gt;1.15,-1,0))))</f>
        <v>1</v>
      </c>
    </row>
    <row r="322" spans="2:17" s="53" customFormat="1" ht="25.15" customHeight="1" x14ac:dyDescent="0.25">
      <c r="B322" s="11" t="s">
        <v>252</v>
      </c>
      <c r="C322" s="11" t="str">
        <f>VLOOKUP(Companies[[#This Row],[Symbol]],Morningstar,MATCH("Name",Morningstar_Cols,EXACT_MATCH),EXACT_MATCH)</f>
        <v>William Lyon Homes</v>
      </c>
      <c r="D322" s="114">
        <f>VLOOKUP(Companies[[#This Row],[Symbol]],Morningstar,MATCH("mil$ Market Cap",Morningstar_Cols,0),0)</f>
        <v>0</v>
      </c>
      <c r="E322" s="115">
        <f>VLOOKUP(Companies[[#This Row],[Symbol]],Morningstar,MATCH("% Total Return 3 Month",Morningstar_Cols,EXACT_MATCH),EXACT_MATCH)/100</f>
        <v>0</v>
      </c>
      <c r="F322" s="115">
        <f>VLOOKUP(Companies[[#This Row],[Symbol]],Morningstar,MATCH("% Total Return 12 Month",Morningstar_Cols,EXACT_MATCH),EXACT_MATCH)/100</f>
        <v>0</v>
      </c>
      <c r="G322" s="116">
        <f>VLOOKUP(Companies[[#This Row],[Symbol]],Morningstar,MATCH("Price/Sales",Morningstar_Cols,EXACT_MATCH),EXACT_MATCH)</f>
        <v>0</v>
      </c>
      <c r="H322" s="117">
        <f>VLOOKUP(Companies[[#This Row],[Symbol]],Morningstar,MATCH("Price/Fair Value",Morningstar_Cols,EXACT_MATCH),EXACT_MATCH)</f>
        <v>0</v>
      </c>
      <c r="I32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322" s="107">
        <f>VLOOKUP(Companies[[#This Row],[Symbol]],Morningstar,MATCH("% Dividend Yield TTM",Morningstar_Cols,EXACT_MATCH),EXACT_MATCH)/100</f>
        <v>0</v>
      </c>
      <c r="K322" s="119" t="str">
        <f>IFERROR(LOOKUP(2,1/(GrowthCurves[Ticker]=Companies[[#This Row],[Symbol]]),GrowthCurves[Metric]),"")</f>
        <v/>
      </c>
      <c r="L322" s="94">
        <f>RatingDefault+SUM(Companies[[#This Row],[CurvePoints]:[PFVPoints]])</f>
        <v>5</v>
      </c>
      <c r="M322" s="94"/>
      <c r="N322" s="103">
        <f>IF(Companies[[#This Row],[Growth Curve]]&lt;&gt;"",Companies[[#This Row],[Growth Curve]]-3,0)</f>
        <v>0</v>
      </c>
      <c r="O322" s="53">
        <f>IF(Companies[[#This Row],[PSR]]&gt;2,-1,IF(Companies[[#This Row],[PSR]]&lt;1,1,0))</f>
        <v>1</v>
      </c>
      <c r="P322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322" s="53">
        <f>IF(Companies[[#This Row],[PFV]]&lt;0.75,2,IF(Companies[[#This Row],[PFV]]&lt;0.95,1,IF(Companies[[#This Row],[PFV]]&gt;1.25,-2,IF(Companies[[#This Row],[PFV]]&gt;1.15,-1,0))))</f>
        <v>2</v>
      </c>
    </row>
    <row r="323" spans="2:17" s="53" customFormat="1" ht="25.15" customHeight="1" x14ac:dyDescent="0.25">
      <c r="B323" s="11" t="s">
        <v>222</v>
      </c>
      <c r="C323" s="11" t="str">
        <f>VLOOKUP(Companies[[#This Row],[Symbol]],Morningstar,MATCH("Name",Morningstar_Cols,EXACT_MATCH),EXACT_MATCH)</f>
        <v>Westlake Chemical Corp</v>
      </c>
      <c r="D323" s="114">
        <f>VLOOKUP(Companies[[#This Row],[Symbol]],Morningstar,MATCH("mil$ Market Cap",Morningstar_Cols,0),0)</f>
        <v>4289.6000000000004</v>
      </c>
      <c r="E323" s="115">
        <f>VLOOKUP(Companies[[#This Row],[Symbol]],Morningstar,MATCH("% Total Return 3 Month",Morningstar_Cols,EXACT_MATCH),EXACT_MATCH)/100</f>
        <v>-0.55010000000000003</v>
      </c>
      <c r="F323" s="115">
        <f>VLOOKUP(Companies[[#This Row],[Symbol]],Morningstar,MATCH("% Total Return 12 Month",Morningstar_Cols,EXACT_MATCH),EXACT_MATCH)/100</f>
        <v>-0.51890000000000003</v>
      </c>
      <c r="G323" s="116">
        <f>VLOOKUP(Companies[[#This Row],[Symbol]],Morningstar,MATCH("Price/Sales",Morningstar_Cols,EXACT_MATCH),EXACT_MATCH)</f>
        <v>0.53</v>
      </c>
      <c r="H323" s="117">
        <f>VLOOKUP(Companies[[#This Row],[Symbol]],Morningstar,MATCH("Price/Fair Value",Morningstar_Cols,EXACT_MATCH),EXACT_MATCH)</f>
        <v>0.48</v>
      </c>
      <c r="I32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323" s="107">
        <f>VLOOKUP(Companies[[#This Row],[Symbol]],Morningstar,MATCH("% Dividend Yield TTM",Morningstar_Cols,EXACT_MATCH),EXACT_MATCH)/100</f>
        <v>3.2500000000000001E-2</v>
      </c>
      <c r="K323" s="119" t="str">
        <f>IFERROR(LOOKUP(2,1/(GrowthCurves[Ticker]=Companies[[#This Row],[Symbol]]),GrowthCurves[Metric]),"")</f>
        <v/>
      </c>
      <c r="L323" s="94">
        <f>RatingDefault+SUM(Companies[[#This Row],[CurvePoints]:[PFVPoints]])</f>
        <v>6</v>
      </c>
      <c r="M323" s="94"/>
      <c r="N323" s="103">
        <f>IF(Companies[[#This Row],[Growth Curve]]&lt;&gt;"",Companies[[#This Row],[Growth Curve]]-3,0)</f>
        <v>0</v>
      </c>
      <c r="O323" s="53">
        <f>IF(Companies[[#This Row],[PSR]]&gt;2,-1,IF(Companies[[#This Row],[PSR]]&lt;1,1,0))</f>
        <v>1</v>
      </c>
      <c r="P323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323" s="53">
        <f>IF(Companies[[#This Row],[PFV]]&lt;0.75,2,IF(Companies[[#This Row],[PFV]]&lt;0.95,1,IF(Companies[[#This Row],[PFV]]&gt;1.25,-2,IF(Companies[[#This Row],[PFV]]&gt;1.15,-1,0))))</f>
        <v>2</v>
      </c>
    </row>
    <row r="324" spans="2:17" s="53" customFormat="1" ht="25.15" customHeight="1" x14ac:dyDescent="0.25">
      <c r="B324" s="11" t="s">
        <v>47</v>
      </c>
      <c r="C324" s="11" t="str">
        <f>VLOOKUP(Companies[[#This Row],[Symbol]],Morningstar,MATCH("Name",Morningstar_Cols,EXACT_MATCH),EXACT_MATCH)</f>
        <v>Wabash National Corp</v>
      </c>
      <c r="D324" s="114">
        <f>VLOOKUP(Companies[[#This Row],[Symbol]],Morningstar,MATCH("mil$ Market Cap",Morningstar_Cols,0),0)</f>
        <v>437.13</v>
      </c>
      <c r="E324" s="115">
        <f>VLOOKUP(Companies[[#This Row],[Symbol]],Morningstar,MATCH("% Total Return 3 Month",Morningstar_Cols,EXACT_MATCH),EXACT_MATCH)/100</f>
        <v>-0.50619999999999998</v>
      </c>
      <c r="F324" s="115">
        <f>VLOOKUP(Companies[[#This Row],[Symbol]],Morningstar,MATCH("% Total Return 12 Month",Morningstar_Cols,EXACT_MATCH),EXACT_MATCH)/100</f>
        <v>-0.39350000000000002</v>
      </c>
      <c r="G324" s="116">
        <f>VLOOKUP(Companies[[#This Row],[Symbol]],Morningstar,MATCH("Price/Sales",Morningstar_Cols,EXACT_MATCH),EXACT_MATCH)</f>
        <v>0.2</v>
      </c>
      <c r="H324" s="117">
        <f>VLOOKUP(Companies[[#This Row],[Symbol]],Morningstar,MATCH("Price/Fair Value",Morningstar_Cols,EXACT_MATCH),EXACT_MATCH)</f>
        <v>0.55000000000000004</v>
      </c>
      <c r="I32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324" s="107">
        <f>VLOOKUP(Companies[[#This Row],[Symbol]],Morningstar,MATCH("% Dividend Yield TTM",Morningstar_Cols,EXACT_MATCH),EXACT_MATCH)/100</f>
        <v>4.0800000000000003E-2</v>
      </c>
      <c r="K324" s="119" t="str">
        <f>IFERROR(LOOKUP(2,1/(GrowthCurves[Ticker]=Companies[[#This Row],[Symbol]]),GrowthCurves[Metric]),"")</f>
        <v/>
      </c>
      <c r="L324" s="94">
        <f>RatingDefault+SUM(Companies[[#This Row],[CurvePoints]:[PFVPoints]])</f>
        <v>6</v>
      </c>
      <c r="M324" s="94"/>
      <c r="N324" s="103">
        <f>IF(Companies[[#This Row],[Growth Curve]]&lt;&gt;"",Companies[[#This Row],[Growth Curve]]-3,0)</f>
        <v>0</v>
      </c>
      <c r="O324" s="53">
        <f>IF(Companies[[#This Row],[PSR]]&gt;2,-1,IF(Companies[[#This Row],[PSR]]&lt;1,1,0))</f>
        <v>1</v>
      </c>
      <c r="P324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324" s="53">
        <f>IF(Companies[[#This Row],[PFV]]&lt;0.75,2,IF(Companies[[#This Row],[PFV]]&lt;0.95,1,IF(Companies[[#This Row],[PFV]]&gt;1.25,-2,IF(Companies[[#This Row],[PFV]]&gt;1.15,-1,0))))</f>
        <v>2</v>
      </c>
    </row>
    <row r="325" spans="2:17" s="53" customFormat="1" ht="25.15" customHeight="1" x14ac:dyDescent="0.25">
      <c r="B325" s="11" t="s">
        <v>348</v>
      </c>
      <c r="C325" s="11" t="str">
        <f>VLOOKUP(Companies[[#This Row],[Symbol]],Morningstar,MATCH("Name",Morningstar_Cols,EXACT_MATCH),EXACT_MATCH)</f>
        <v>W&amp;T Offshore Inc</v>
      </c>
      <c r="D325" s="114">
        <f>VLOOKUP(Companies[[#This Row],[Symbol]],Morningstar,MATCH("mil$ Market Cap",Morningstar_Cols,0),0)</f>
        <v>184.17</v>
      </c>
      <c r="E325" s="115">
        <f>VLOOKUP(Companies[[#This Row],[Symbol]],Morningstar,MATCH("% Total Return 3 Month",Morningstar_Cols,EXACT_MATCH),EXACT_MATCH)/100</f>
        <v>-0.69409999999999994</v>
      </c>
      <c r="F325" s="115">
        <f>VLOOKUP(Companies[[#This Row],[Symbol]],Morningstar,MATCH("% Total Return 12 Month",Morningstar_Cols,EXACT_MATCH),EXACT_MATCH)/100</f>
        <v>-0.74959999999999993</v>
      </c>
      <c r="G325" s="116">
        <f>VLOOKUP(Companies[[#This Row],[Symbol]],Morningstar,MATCH("Price/Sales",Morningstar_Cols,EXACT_MATCH),EXACT_MATCH)</f>
        <v>0.34</v>
      </c>
      <c r="H325" s="117">
        <f>VLOOKUP(Companies[[#This Row],[Symbol]],Morningstar,MATCH("Price/Fair Value",Morningstar_Cols,EXACT_MATCH),EXACT_MATCH)</f>
        <v>0.33</v>
      </c>
      <c r="I32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325" s="107">
        <f>VLOOKUP(Companies[[#This Row],[Symbol]],Morningstar,MATCH("% Dividend Yield TTM",Morningstar_Cols,EXACT_MATCH),EXACT_MATCH)/100</f>
        <v>0</v>
      </c>
      <c r="K325" s="119" t="str">
        <f>IFERROR(LOOKUP(2,1/(GrowthCurves[Ticker]=Companies[[#This Row],[Symbol]]),GrowthCurves[Metric]),"")</f>
        <v/>
      </c>
      <c r="L325" s="94">
        <f>RatingDefault+SUM(Companies[[#This Row],[CurvePoints]:[PFVPoints]])</f>
        <v>5</v>
      </c>
      <c r="M325" s="94"/>
      <c r="N325" s="103">
        <f>IF(Companies[[#This Row],[Growth Curve]]&lt;&gt;"",Companies[[#This Row],[Growth Curve]]-3,0)</f>
        <v>0</v>
      </c>
      <c r="O325" s="53">
        <f>IF(Companies[[#This Row],[PSR]]&gt;2,-1,IF(Companies[[#This Row],[PSR]]&lt;1,1,0))</f>
        <v>1</v>
      </c>
      <c r="P325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325" s="53">
        <f>IF(Companies[[#This Row],[PFV]]&lt;0.75,2,IF(Companies[[#This Row],[PFV]]&lt;0.95,1,IF(Companies[[#This Row],[PFV]]&gt;1.25,-2,IF(Companies[[#This Row],[PFV]]&gt;1.15,-1,0))))</f>
        <v>2</v>
      </c>
    </row>
    <row r="326" spans="2:17" s="53" customFormat="1" ht="25.15" customHeight="1" x14ac:dyDescent="0.25">
      <c r="B326" s="11" t="s">
        <v>320</v>
      </c>
      <c r="C326" s="11" t="str">
        <f>VLOOKUP(Companies[[#This Row],[Symbol]],Morningstar,MATCH("Name",Morningstar_Cols,EXACT_MATCH),EXACT_MATCH)</f>
        <v>United States Steel Corp</v>
      </c>
      <c r="D326" s="114">
        <f>VLOOKUP(Companies[[#This Row],[Symbol]],Morningstar,MATCH("mil$ Market Cap",Morningstar_Cols,0),0)</f>
        <v>908.9</v>
      </c>
      <c r="E326" s="115">
        <f>VLOOKUP(Companies[[#This Row],[Symbol]],Morningstar,MATCH("% Total Return 3 Month",Morningstar_Cols,EXACT_MATCH),EXACT_MATCH)/100</f>
        <v>-0.64300000000000002</v>
      </c>
      <c r="F326" s="115">
        <f>VLOOKUP(Companies[[#This Row],[Symbol]],Morningstar,MATCH("% Total Return 12 Month",Morningstar_Cols,EXACT_MATCH),EXACT_MATCH)/100</f>
        <v>-0.74390000000000001</v>
      </c>
      <c r="G326" s="116">
        <f>VLOOKUP(Companies[[#This Row],[Symbol]],Morningstar,MATCH("Price/Sales",Morningstar_Cols,EXACT_MATCH),EXACT_MATCH)</f>
        <v>7.0000000000000007E-2</v>
      </c>
      <c r="H326" s="117">
        <f>VLOOKUP(Companies[[#This Row],[Symbol]],Morningstar,MATCH("Price/Fair Value",Morningstar_Cols,EXACT_MATCH),EXACT_MATCH)</f>
        <v>0.53</v>
      </c>
      <c r="I32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326" s="107">
        <f>VLOOKUP(Companies[[#This Row],[Symbol]],Morningstar,MATCH("% Dividend Yield TTM",Morningstar_Cols,EXACT_MATCH),EXACT_MATCH)/100</f>
        <v>3.1600000000000003E-2</v>
      </c>
      <c r="K326" s="119" t="str">
        <f>IFERROR(LOOKUP(2,1/(GrowthCurves[Ticker]=Companies[[#This Row],[Symbol]]),GrowthCurves[Metric]),"")</f>
        <v/>
      </c>
      <c r="L326" s="94">
        <f>RatingDefault+SUM(Companies[[#This Row],[CurvePoints]:[PFVPoints]])</f>
        <v>5</v>
      </c>
      <c r="M326" s="94"/>
      <c r="N326" s="103">
        <f>IF(Companies[[#This Row],[Growth Curve]]&lt;&gt;"",Companies[[#This Row],[Growth Curve]]-3,0)</f>
        <v>0</v>
      </c>
      <c r="O326" s="53">
        <f>IF(Companies[[#This Row],[PSR]]&gt;2,-1,IF(Companies[[#This Row],[PSR]]&lt;1,1,0))</f>
        <v>1</v>
      </c>
      <c r="P326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326" s="53">
        <f>IF(Companies[[#This Row],[PFV]]&lt;0.75,2,IF(Companies[[#This Row],[PFV]]&lt;0.95,1,IF(Companies[[#This Row],[PFV]]&gt;1.25,-2,IF(Companies[[#This Row],[PFV]]&gt;1.15,-1,0))))</f>
        <v>2</v>
      </c>
    </row>
    <row r="327" spans="2:17" s="53" customFormat="1" ht="25.15" customHeight="1" x14ac:dyDescent="0.25">
      <c r="B327" s="52" t="s">
        <v>201</v>
      </c>
      <c r="C327" s="11" t="str">
        <f>VLOOKUP(Companies[[#This Row],[Symbol]],Morningstar,MATCH("Name",Morningstar_Cols,EXACT_MATCH),EXACT_MATCH)</f>
        <v>Xunlei Ltd ADR</v>
      </c>
      <c r="D327" s="114">
        <f>VLOOKUP(Companies[[#This Row],[Symbol]],Morningstar,MATCH("mil$ Market Cap",Morningstar_Cols,0),0)</f>
        <v>197.02</v>
      </c>
      <c r="E327" s="115">
        <f>VLOOKUP(Companies[[#This Row],[Symbol]],Morningstar,MATCH("% Total Return 3 Month",Morningstar_Cols,EXACT_MATCH),EXACT_MATCH)/100</f>
        <v>-0.36420000000000002</v>
      </c>
      <c r="F327" s="115">
        <f>VLOOKUP(Companies[[#This Row],[Symbol]],Morningstar,MATCH("% Total Return 12 Month",Morningstar_Cols,EXACT_MATCH),EXACT_MATCH)/100</f>
        <v>-0.28270000000000001</v>
      </c>
      <c r="G327" s="116">
        <f>VLOOKUP(Companies[[#This Row],[Symbol]],Morningstar,MATCH("Price/Sales",Morningstar_Cols,EXACT_MATCH),EXACT_MATCH)</f>
        <v>1.01</v>
      </c>
      <c r="H327" s="117">
        <f>VLOOKUP(Companies[[#This Row],[Symbol]],Morningstar,MATCH("Price/Fair Value",Morningstar_Cols,EXACT_MATCH),EXACT_MATCH)</f>
        <v>0.44</v>
      </c>
      <c r="I32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327" s="107">
        <f>VLOOKUP(Companies[[#This Row],[Symbol]],Morningstar,MATCH("% Dividend Yield TTM",Morningstar_Cols,EXACT_MATCH),EXACT_MATCH)/100</f>
        <v>0</v>
      </c>
      <c r="K327" s="119" t="str">
        <f>IFERROR(LOOKUP(2,1/(GrowthCurves[Ticker]=Companies[[#This Row],[Symbol]]),GrowthCurves[Metric]),"")</f>
        <v/>
      </c>
      <c r="L327" s="94">
        <f>RatingDefault+SUM(Companies[[#This Row],[CurvePoints]:[PFVPoints]])</f>
        <v>4</v>
      </c>
      <c r="M327" s="94"/>
      <c r="N327" s="102">
        <f>IF(Companies[[#This Row],[Growth Curve]]&lt;&gt;"",Companies[[#This Row],[Growth Curve]]-3,0)</f>
        <v>0</v>
      </c>
      <c r="O327" s="52">
        <f>IF(Companies[[#This Row],[PSR]]&gt;2,-1,IF(Companies[[#This Row],[PSR]]&lt;1,1,0))</f>
        <v>0</v>
      </c>
      <c r="P327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327" s="53">
        <f>IF(Companies[[#This Row],[PFV]]&lt;0.75,2,IF(Companies[[#This Row],[PFV]]&lt;0.95,1,IF(Companies[[#This Row],[PFV]]&gt;1.25,-2,IF(Companies[[#This Row],[PFV]]&gt;1.15,-1,0))))</f>
        <v>2</v>
      </c>
    </row>
    <row r="328" spans="2:17" s="53" customFormat="1" ht="25.15" customHeight="1" x14ac:dyDescent="0.25">
      <c r="B328" s="52" t="s">
        <v>954</v>
      </c>
      <c r="C328" s="11" t="str">
        <f>VLOOKUP(Companies[[#This Row],[Symbol]],Morningstar,MATCH("Name",Morningstar_Cols,EXACT_MATCH),EXACT_MATCH)</f>
        <v>Exxon Mobil Corp</v>
      </c>
      <c r="D328" s="114">
        <f>VLOOKUP(Companies[[#This Row],[Symbol]],Morningstar,MATCH("mil$ Market Cap",Morningstar_Cols,0),0)</f>
        <v>155744.62</v>
      </c>
      <c r="E328" s="115">
        <f>VLOOKUP(Companies[[#This Row],[Symbol]],Morningstar,MATCH("% Total Return 3 Month",Morningstar_Cols,EXACT_MATCH),EXACT_MATCH)/100</f>
        <v>-0.45909999999999995</v>
      </c>
      <c r="F328" s="115">
        <f>VLOOKUP(Companies[[#This Row],[Symbol]],Morningstar,MATCH("% Total Return 12 Month",Morningstar_Cols,EXACT_MATCH),EXACT_MATCH)/100</f>
        <v>-0.49180000000000001</v>
      </c>
      <c r="G328" s="116">
        <f>VLOOKUP(Companies[[#This Row],[Symbol]],Morningstar,MATCH("Price/Sales",Morningstar_Cols,EXACT_MATCH),EXACT_MATCH)</f>
        <v>0.61</v>
      </c>
      <c r="H328" s="117">
        <f>VLOOKUP(Companies[[#This Row],[Symbol]],Morningstar,MATCH("Price/Fair Value",Morningstar_Cols,EXACT_MATCH),EXACT_MATCH)</f>
        <v>0.43</v>
      </c>
      <c r="I32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328" s="107">
        <f>VLOOKUP(Companies[[#This Row],[Symbol]],Morningstar,MATCH("% Dividend Yield TTM",Morningstar_Cols,EXACT_MATCH),EXACT_MATCH)/100</f>
        <v>9.3599999999999989E-2</v>
      </c>
      <c r="K328" s="119" t="str">
        <f>IFERROR(LOOKUP(2,1/(GrowthCurves[Ticker]=Companies[[#This Row],[Symbol]]),GrowthCurves[Metric]),"")</f>
        <v>1</v>
      </c>
      <c r="L328" s="94">
        <f>RatingDefault+SUM(Companies[[#This Row],[CurvePoints]:[PFVPoints]])</f>
        <v>5</v>
      </c>
      <c r="M328" s="94"/>
      <c r="N328" s="102">
        <f>IF(Companies[[#This Row],[Growth Curve]]&lt;&gt;"",Companies[[#This Row],[Growth Curve]]-3,0)</f>
        <v>-2</v>
      </c>
      <c r="O328" s="52">
        <f>IF(Companies[[#This Row],[PSR]]&gt;2,-1,IF(Companies[[#This Row],[PSR]]&lt;1,1,0))</f>
        <v>1</v>
      </c>
      <c r="P328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328" s="53">
        <f>IF(Companies[[#This Row],[PFV]]&lt;0.75,2,IF(Companies[[#This Row],[PFV]]&lt;0.95,1,IF(Companies[[#This Row],[PFV]]&gt;1.25,-2,IF(Companies[[#This Row],[PFV]]&gt;1.15,-1,0))))</f>
        <v>2</v>
      </c>
    </row>
    <row r="329" spans="2:17" s="53" customFormat="1" ht="25.15" customHeight="1" x14ac:dyDescent="0.25">
      <c r="B329" s="11" t="s">
        <v>48</v>
      </c>
      <c r="C329" s="11" t="str">
        <f>VLOOKUP(Companies[[#This Row],[Symbol]],Morningstar,MATCH("Name",Morningstar_Cols,EXACT_MATCH),EXACT_MATCH)</f>
        <v>XPO Logistics Inc</v>
      </c>
      <c r="D329" s="114">
        <f>VLOOKUP(Companies[[#This Row],[Symbol]],Morningstar,MATCH("mil$ Market Cap",Morningstar_Cols,0),0)</f>
        <v>5575.62</v>
      </c>
      <c r="E329" s="115">
        <f>VLOOKUP(Companies[[#This Row],[Symbol]],Morningstar,MATCH("% Total Return 3 Month",Morningstar_Cols,EXACT_MATCH),EXACT_MATCH)/100</f>
        <v>-0.33490000000000003</v>
      </c>
      <c r="F329" s="115">
        <f>VLOOKUP(Companies[[#This Row],[Symbol]],Morningstar,MATCH("% Total Return 12 Month",Morningstar_Cols,EXACT_MATCH),EXACT_MATCH)/100</f>
        <v>0.1326</v>
      </c>
      <c r="G329" s="116">
        <f>VLOOKUP(Companies[[#This Row],[Symbol]],Morningstar,MATCH("Price/Sales",Morningstar_Cols,EXACT_MATCH),EXACT_MATCH)</f>
        <v>0.38</v>
      </c>
      <c r="H329" s="117">
        <f>VLOOKUP(Companies[[#This Row],[Symbol]],Morningstar,MATCH("Price/Fair Value",Morningstar_Cols,EXACT_MATCH),EXACT_MATCH)</f>
        <v>0.94</v>
      </c>
      <c r="I32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329" s="107">
        <f>VLOOKUP(Companies[[#This Row],[Symbol]],Morningstar,MATCH("% Dividend Yield TTM",Morningstar_Cols,EXACT_MATCH),EXACT_MATCH)/100</f>
        <v>0</v>
      </c>
      <c r="K329" s="119" t="str">
        <f>IFERROR(LOOKUP(2,1/(GrowthCurves[Ticker]=Companies[[#This Row],[Symbol]]),GrowthCurves[Metric]),"")</f>
        <v/>
      </c>
      <c r="L329" s="94">
        <f>RatingDefault+SUM(Companies[[#This Row],[CurvePoints]:[PFVPoints]])</f>
        <v>5</v>
      </c>
      <c r="M329" s="94"/>
      <c r="N329" s="103">
        <f>IF(Companies[[#This Row],[Growth Curve]]&lt;&gt;"",Companies[[#This Row],[Growth Curve]]-3,0)</f>
        <v>0</v>
      </c>
      <c r="O329" s="53">
        <f>IF(Companies[[#This Row],[PSR]]&gt;2,-1,IF(Companies[[#This Row],[PSR]]&lt;1,1,0))</f>
        <v>1</v>
      </c>
      <c r="P329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329" s="53">
        <f>IF(Companies[[#This Row],[PFV]]&lt;0.75,2,IF(Companies[[#This Row],[PFV]]&lt;0.95,1,IF(Companies[[#This Row],[PFV]]&gt;1.25,-2,IF(Companies[[#This Row],[PFV]]&gt;1.15,-1,0))))</f>
        <v>1</v>
      </c>
    </row>
    <row r="330" spans="2:17" s="53" customFormat="1" ht="25.15" customHeight="1" x14ac:dyDescent="0.25">
      <c r="B330" s="11" t="s">
        <v>319</v>
      </c>
      <c r="C330" s="11" t="str">
        <f>VLOOKUP(Companies[[#This Row],[Symbol]],Morningstar,MATCH("Name",Morningstar_Cols,EXACT_MATCH),EXACT_MATCH)</f>
        <v>Zumiez Inc</v>
      </c>
      <c r="D330" s="114">
        <f>VLOOKUP(Companies[[#This Row],[Symbol]],Morningstar,MATCH("mil$ Market Cap",Morningstar_Cols,0),0)</f>
        <v>487.67</v>
      </c>
      <c r="E330" s="115">
        <f>VLOOKUP(Companies[[#This Row],[Symbol]],Morningstar,MATCH("% Total Return 3 Month",Morningstar_Cols,EXACT_MATCH),EXACT_MATCH)/100</f>
        <v>-0.45490000000000003</v>
      </c>
      <c r="F330" s="115">
        <f>VLOOKUP(Companies[[#This Row],[Symbol]],Morningstar,MATCH("% Total Return 12 Month",Morningstar_Cols,EXACT_MATCH),EXACT_MATCH)/100</f>
        <v>-0.25309999999999999</v>
      </c>
      <c r="G330" s="116">
        <f>VLOOKUP(Companies[[#This Row],[Symbol]],Morningstar,MATCH("Price/Sales",Morningstar_Cols,EXACT_MATCH),EXACT_MATCH)</f>
        <v>0.47</v>
      </c>
      <c r="H330" s="117">
        <f>VLOOKUP(Companies[[#This Row],[Symbol]],Morningstar,MATCH("Price/Fair Value",Morningstar_Cols,EXACT_MATCH),EXACT_MATCH)</f>
        <v>0.61</v>
      </c>
      <c r="I33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330" s="107">
        <f>VLOOKUP(Companies[[#This Row],[Symbol]],Morningstar,MATCH("% Dividend Yield TTM",Morningstar_Cols,EXACT_MATCH),EXACT_MATCH)/100</f>
        <v>0</v>
      </c>
      <c r="K330" s="119" t="str">
        <f>IFERROR(LOOKUP(2,1/(GrowthCurves[Ticker]=Companies[[#This Row],[Symbol]]),GrowthCurves[Metric]),"")</f>
        <v/>
      </c>
      <c r="L330" s="94">
        <f>RatingDefault+SUM(Companies[[#This Row],[CurvePoints]:[PFVPoints]])</f>
        <v>6</v>
      </c>
      <c r="M330" s="94"/>
      <c r="N330" s="103">
        <f>IF(Companies[[#This Row],[Growth Curve]]&lt;&gt;"",Companies[[#This Row],[Growth Curve]]-3,0)</f>
        <v>0</v>
      </c>
      <c r="O330" s="53">
        <f>IF(Companies[[#This Row],[PSR]]&gt;2,-1,IF(Companies[[#This Row],[PSR]]&lt;1,1,0))</f>
        <v>1</v>
      </c>
      <c r="P330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330" s="53">
        <f>IF(Companies[[#This Row],[PFV]]&lt;0.75,2,IF(Companies[[#This Row],[PFV]]&lt;0.95,1,IF(Companies[[#This Row],[PFV]]&gt;1.25,-2,IF(Companies[[#This Row],[PFV]]&gt;1.15,-1,0))))</f>
        <v>2</v>
      </c>
    </row>
    <row r="331" spans="2:17" s="53" customFormat="1" ht="25.15" customHeight="1" x14ac:dyDescent="0.25">
      <c r="B331" s="41" t="s">
        <v>64</v>
      </c>
      <c r="C331" s="41">
        <f>SUBTOTAL(103,Companies[Name])</f>
        <v>326</v>
      </c>
      <c r="D331" s="41"/>
      <c r="E331" s="74"/>
      <c r="F331" s="74"/>
      <c r="G331" s="97"/>
      <c r="H331" s="68"/>
      <c r="I331" s="68"/>
      <c r="J331" s="44"/>
      <c r="K331" s="106"/>
      <c r="L331" s="68"/>
      <c r="M331" s="68"/>
      <c r="N331" s="103"/>
      <c r="Q331" s="53">
        <f>SUBTOTAL(109,Companies[PFVPoints])</f>
        <v>575</v>
      </c>
    </row>
    <row r="332" spans="2:17" s="53" customFormat="1" ht="25.15" customHeight="1" x14ac:dyDescent="0.25">
      <c r="E332" s="121"/>
      <c r="F332" s="121"/>
      <c r="G332" s="122"/>
      <c r="J332" s="123"/>
      <c r="K332" s="103"/>
      <c r="N332" s="103"/>
    </row>
    <row r="333" spans="2:17" s="53" customFormat="1" ht="25.15" customHeight="1" x14ac:dyDescent="0.25">
      <c r="E333" s="121"/>
      <c r="F333" s="121"/>
      <c r="G333" s="122"/>
      <c r="J333" s="123"/>
      <c r="K333" s="103"/>
      <c r="N333" s="103"/>
    </row>
    <row r="334" spans="2:17" s="53" customFormat="1" ht="25.15" customHeight="1" x14ac:dyDescent="0.25">
      <c r="E334" s="121"/>
      <c r="F334" s="121"/>
      <c r="G334" s="122"/>
      <c r="J334" s="123"/>
      <c r="K334" s="103"/>
      <c r="N334" s="103"/>
    </row>
    <row r="335" spans="2:17" s="53" customFormat="1" ht="25.15" customHeight="1" x14ac:dyDescent="0.25">
      <c r="E335" s="121"/>
      <c r="F335" s="121"/>
      <c r="G335" s="122"/>
      <c r="J335" s="123"/>
      <c r="K335" s="103"/>
      <c r="N335" s="103"/>
    </row>
    <row r="336" spans="2:17" s="53" customFormat="1" ht="25.15" customHeight="1" x14ac:dyDescent="0.25">
      <c r="E336" s="121"/>
      <c r="F336" s="121"/>
      <c r="G336" s="122"/>
      <c r="J336" s="123"/>
      <c r="K336" s="103"/>
      <c r="N336" s="103"/>
    </row>
    <row r="337" spans="5:14" s="53" customFormat="1" ht="25.15" customHeight="1" x14ac:dyDescent="0.25">
      <c r="E337" s="121"/>
      <c r="F337" s="121"/>
      <c r="G337" s="122"/>
      <c r="J337" s="123"/>
      <c r="K337" s="103"/>
      <c r="N337" s="103"/>
    </row>
    <row r="338" spans="5:14" s="53" customFormat="1" ht="25.15" customHeight="1" x14ac:dyDescent="0.25">
      <c r="E338" s="121"/>
      <c r="F338" s="121"/>
      <c r="G338" s="122"/>
      <c r="J338" s="123"/>
      <c r="K338" s="103"/>
      <c r="N338" s="103"/>
    </row>
    <row r="339" spans="5:14" s="53" customFormat="1" ht="25.15" customHeight="1" x14ac:dyDescent="0.25">
      <c r="E339" s="121"/>
      <c r="F339" s="121"/>
      <c r="G339" s="122"/>
      <c r="J339" s="123"/>
      <c r="K339" s="103"/>
      <c r="N339" s="103"/>
    </row>
    <row r="340" spans="5:14" s="53" customFormat="1" ht="25.15" customHeight="1" x14ac:dyDescent="0.25">
      <c r="E340" s="121"/>
      <c r="F340" s="121"/>
      <c r="G340" s="122"/>
      <c r="J340" s="123"/>
      <c r="K340" s="103"/>
      <c r="N340" s="103"/>
    </row>
    <row r="341" spans="5:14" s="53" customFormat="1" ht="25.15" customHeight="1" x14ac:dyDescent="0.25">
      <c r="E341" s="121"/>
      <c r="F341" s="121"/>
      <c r="G341" s="122"/>
      <c r="J341" s="123"/>
      <c r="K341" s="103"/>
      <c r="N341" s="103"/>
    </row>
    <row r="342" spans="5:14" s="53" customFormat="1" ht="25.15" customHeight="1" x14ac:dyDescent="0.25">
      <c r="E342" s="121"/>
      <c r="F342" s="121"/>
      <c r="G342" s="122"/>
      <c r="J342" s="123"/>
      <c r="K342" s="103"/>
      <c r="N342" s="103"/>
    </row>
    <row r="343" spans="5:14" s="53" customFormat="1" ht="25.15" customHeight="1" x14ac:dyDescent="0.25">
      <c r="E343" s="121"/>
      <c r="F343" s="121"/>
      <c r="G343" s="122"/>
      <c r="J343" s="123"/>
      <c r="K343" s="103"/>
      <c r="N343" s="103"/>
    </row>
    <row r="344" spans="5:14" s="53" customFormat="1" ht="25.15" customHeight="1" x14ac:dyDescent="0.25">
      <c r="E344" s="121"/>
      <c r="F344" s="121"/>
      <c r="G344" s="122"/>
      <c r="J344" s="123"/>
      <c r="K344" s="103"/>
      <c r="N344" s="103"/>
    </row>
    <row r="345" spans="5:14" s="53" customFormat="1" ht="25.15" customHeight="1" x14ac:dyDescent="0.25">
      <c r="E345" s="121"/>
      <c r="F345" s="121"/>
      <c r="G345" s="122"/>
      <c r="J345" s="123"/>
      <c r="K345" s="103"/>
      <c r="N345" s="103"/>
    </row>
    <row r="346" spans="5:14" s="53" customFormat="1" ht="25.15" customHeight="1" x14ac:dyDescent="0.25">
      <c r="E346" s="121"/>
      <c r="F346" s="121"/>
      <c r="G346" s="122"/>
      <c r="J346" s="123"/>
      <c r="K346" s="103"/>
      <c r="N346" s="103"/>
    </row>
    <row r="347" spans="5:14" s="53" customFormat="1" ht="25.15" customHeight="1" x14ac:dyDescent="0.25">
      <c r="E347" s="121"/>
      <c r="F347" s="121"/>
      <c r="G347" s="122"/>
      <c r="J347" s="123"/>
      <c r="K347" s="103"/>
      <c r="N347" s="103"/>
    </row>
    <row r="348" spans="5:14" s="53" customFormat="1" ht="25.15" customHeight="1" x14ac:dyDescent="0.25">
      <c r="E348" s="121"/>
      <c r="F348" s="121"/>
      <c r="G348" s="122"/>
      <c r="J348" s="123"/>
      <c r="K348" s="103"/>
      <c r="N348" s="103"/>
    </row>
    <row r="349" spans="5:14" s="53" customFormat="1" ht="25.15" customHeight="1" x14ac:dyDescent="0.25">
      <c r="E349" s="121"/>
      <c r="F349" s="121"/>
      <c r="G349" s="122"/>
      <c r="J349" s="123"/>
      <c r="K349" s="103"/>
      <c r="N349" s="103"/>
    </row>
    <row r="350" spans="5:14" s="53" customFormat="1" ht="25.15" customHeight="1" x14ac:dyDescent="0.25">
      <c r="E350" s="121"/>
      <c r="F350" s="121"/>
      <c r="G350" s="122"/>
      <c r="J350" s="123"/>
      <c r="K350" s="103"/>
      <c r="N350" s="103"/>
    </row>
    <row r="351" spans="5:14" s="53" customFormat="1" ht="25.15" customHeight="1" x14ac:dyDescent="0.25">
      <c r="E351" s="121"/>
      <c r="F351" s="121"/>
      <c r="G351" s="122"/>
      <c r="J351" s="123"/>
      <c r="K351" s="103"/>
      <c r="N351" s="103"/>
    </row>
    <row r="352" spans="5:14" s="53" customFormat="1" ht="25.15" customHeight="1" x14ac:dyDescent="0.25">
      <c r="E352" s="121"/>
      <c r="F352" s="121"/>
      <c r="G352" s="122"/>
      <c r="J352" s="123"/>
      <c r="K352" s="103"/>
      <c r="N352" s="103"/>
    </row>
    <row r="353" spans="5:14" s="53" customFormat="1" ht="25.15" customHeight="1" x14ac:dyDescent="0.25">
      <c r="E353" s="121"/>
      <c r="F353" s="121"/>
      <c r="G353" s="122"/>
      <c r="J353" s="123"/>
      <c r="K353" s="103"/>
      <c r="N353" s="103"/>
    </row>
    <row r="354" spans="5:14" s="53" customFormat="1" ht="25.15" customHeight="1" x14ac:dyDescent="0.25">
      <c r="E354" s="121"/>
      <c r="F354" s="121"/>
      <c r="G354" s="122"/>
      <c r="J354" s="123"/>
      <c r="K354" s="103"/>
      <c r="N354" s="103"/>
    </row>
    <row r="355" spans="5:14" s="53" customFormat="1" ht="25.15" customHeight="1" x14ac:dyDescent="0.25">
      <c r="E355" s="121"/>
      <c r="F355" s="121"/>
      <c r="G355" s="122"/>
      <c r="J355" s="123"/>
      <c r="K355" s="103"/>
      <c r="N355" s="103"/>
    </row>
    <row r="356" spans="5:14" s="53" customFormat="1" ht="25.15" customHeight="1" x14ac:dyDescent="0.25">
      <c r="E356" s="121"/>
      <c r="F356" s="121"/>
      <c r="G356" s="122"/>
      <c r="J356" s="123"/>
      <c r="K356" s="103"/>
      <c r="N356" s="103"/>
    </row>
    <row r="357" spans="5:14" s="53" customFormat="1" ht="25.15" customHeight="1" x14ac:dyDescent="0.25">
      <c r="E357" s="121"/>
      <c r="F357" s="121"/>
      <c r="G357" s="122"/>
      <c r="J357" s="123"/>
      <c r="K357" s="103"/>
      <c r="N357" s="103"/>
    </row>
    <row r="358" spans="5:14" s="53" customFormat="1" ht="25.15" customHeight="1" x14ac:dyDescent="0.25">
      <c r="E358" s="121"/>
      <c r="F358" s="121"/>
      <c r="G358" s="122"/>
      <c r="J358" s="123"/>
      <c r="K358" s="103"/>
      <c r="N358" s="103"/>
    </row>
    <row r="359" spans="5:14" s="53" customFormat="1" ht="25.15" customHeight="1" x14ac:dyDescent="0.25">
      <c r="E359" s="121"/>
      <c r="F359" s="121"/>
      <c r="G359" s="122"/>
      <c r="J359" s="123"/>
      <c r="K359" s="103"/>
      <c r="N359" s="103"/>
    </row>
    <row r="360" spans="5:14" s="53" customFormat="1" ht="25.15" customHeight="1" x14ac:dyDescent="0.25">
      <c r="E360" s="121"/>
      <c r="F360" s="121"/>
      <c r="G360" s="122"/>
      <c r="J360" s="123"/>
      <c r="K360" s="103"/>
      <c r="N360" s="103"/>
    </row>
    <row r="361" spans="5:14" s="53" customFormat="1" ht="25.15" customHeight="1" x14ac:dyDescent="0.25">
      <c r="E361" s="121"/>
      <c r="F361" s="121"/>
      <c r="G361" s="122"/>
      <c r="J361" s="123"/>
      <c r="K361" s="103"/>
      <c r="N361" s="103"/>
    </row>
    <row r="362" spans="5:14" s="53" customFormat="1" ht="25.15" customHeight="1" x14ac:dyDescent="0.25">
      <c r="E362" s="121"/>
      <c r="F362" s="121"/>
      <c r="G362" s="122"/>
      <c r="J362" s="123"/>
      <c r="K362" s="103"/>
      <c r="N362" s="103"/>
    </row>
    <row r="363" spans="5:14" s="53" customFormat="1" ht="25.15" customHeight="1" x14ac:dyDescent="0.25">
      <c r="E363" s="121"/>
      <c r="F363" s="121"/>
      <c r="G363" s="122"/>
      <c r="J363" s="123"/>
      <c r="K363" s="103"/>
      <c r="N363" s="103"/>
    </row>
    <row r="364" spans="5:14" s="53" customFormat="1" ht="25.15" customHeight="1" x14ac:dyDescent="0.25">
      <c r="E364" s="121"/>
      <c r="F364" s="121"/>
      <c r="G364" s="122"/>
      <c r="J364" s="123"/>
      <c r="K364" s="103"/>
      <c r="N364" s="103"/>
    </row>
    <row r="365" spans="5:14" s="53" customFormat="1" ht="25.15" customHeight="1" x14ac:dyDescent="0.25">
      <c r="E365" s="121"/>
      <c r="F365" s="121"/>
      <c r="G365" s="122"/>
      <c r="J365" s="123"/>
      <c r="K365" s="103"/>
      <c r="N365" s="103"/>
    </row>
    <row r="366" spans="5:14" s="53" customFormat="1" ht="25.15" customHeight="1" x14ac:dyDescent="0.25">
      <c r="E366" s="121"/>
      <c r="F366" s="121"/>
      <c r="G366" s="122"/>
      <c r="J366" s="123"/>
      <c r="K366" s="103"/>
      <c r="N366" s="103"/>
    </row>
    <row r="367" spans="5:14" s="53" customFormat="1" ht="25.15" customHeight="1" x14ac:dyDescent="0.25">
      <c r="E367" s="121"/>
      <c r="F367" s="121"/>
      <c r="G367" s="122"/>
      <c r="J367" s="123"/>
      <c r="K367" s="103"/>
      <c r="N367" s="103"/>
    </row>
    <row r="368" spans="5:14" s="53" customFormat="1" ht="25.15" customHeight="1" x14ac:dyDescent="0.25">
      <c r="E368" s="121"/>
      <c r="F368" s="121"/>
      <c r="G368" s="122"/>
      <c r="J368" s="123"/>
      <c r="K368" s="103"/>
      <c r="N368" s="103"/>
    </row>
    <row r="369" spans="5:14" s="53" customFormat="1" ht="25.15" customHeight="1" x14ac:dyDescent="0.25">
      <c r="E369" s="121"/>
      <c r="F369" s="121"/>
      <c r="G369" s="122"/>
      <c r="J369" s="123"/>
      <c r="K369" s="103"/>
      <c r="N369" s="103"/>
    </row>
    <row r="370" spans="5:14" s="53" customFormat="1" ht="25.15" customHeight="1" x14ac:dyDescent="0.25">
      <c r="E370" s="121"/>
      <c r="F370" s="121"/>
      <c r="G370" s="122"/>
      <c r="J370" s="123"/>
      <c r="K370" s="103"/>
      <c r="N370" s="103"/>
    </row>
    <row r="371" spans="5:14" s="53" customFormat="1" ht="25.15" customHeight="1" x14ac:dyDescent="0.25">
      <c r="E371" s="121"/>
      <c r="F371" s="121"/>
      <c r="G371" s="122"/>
      <c r="J371" s="123"/>
      <c r="K371" s="103"/>
      <c r="N371" s="103"/>
    </row>
    <row r="372" spans="5:14" s="53" customFormat="1" ht="25.15" customHeight="1" x14ac:dyDescent="0.25">
      <c r="E372" s="121"/>
      <c r="F372" s="121"/>
      <c r="G372" s="122"/>
      <c r="J372" s="123"/>
      <c r="K372" s="103"/>
      <c r="N372" s="103"/>
    </row>
    <row r="373" spans="5:14" s="53" customFormat="1" ht="25.15" customHeight="1" x14ac:dyDescent="0.25">
      <c r="E373" s="121"/>
      <c r="F373" s="121"/>
      <c r="G373" s="122"/>
      <c r="J373" s="123"/>
      <c r="K373" s="103"/>
      <c r="N373" s="103"/>
    </row>
    <row r="374" spans="5:14" s="53" customFormat="1" ht="25.15" customHeight="1" x14ac:dyDescent="0.25">
      <c r="E374" s="121"/>
      <c r="F374" s="121"/>
      <c r="G374" s="122"/>
      <c r="J374" s="123"/>
      <c r="K374" s="103"/>
      <c r="N374" s="103"/>
    </row>
    <row r="375" spans="5:14" s="53" customFormat="1" ht="25.15" customHeight="1" x14ac:dyDescent="0.25">
      <c r="E375" s="121"/>
      <c r="F375" s="121"/>
      <c r="G375" s="122"/>
      <c r="J375" s="123"/>
      <c r="K375" s="103"/>
      <c r="N375" s="103"/>
    </row>
    <row r="376" spans="5:14" s="53" customFormat="1" ht="25.15" customHeight="1" x14ac:dyDescent="0.25">
      <c r="E376" s="121"/>
      <c r="F376" s="121"/>
      <c r="G376" s="122"/>
      <c r="J376" s="123"/>
      <c r="K376" s="103"/>
      <c r="N376" s="103"/>
    </row>
    <row r="377" spans="5:14" s="53" customFormat="1" ht="25.15" customHeight="1" x14ac:dyDescent="0.25">
      <c r="E377" s="121"/>
      <c r="F377" s="121"/>
      <c r="G377" s="122"/>
      <c r="J377" s="123"/>
      <c r="K377" s="103"/>
      <c r="N377" s="103"/>
    </row>
    <row r="378" spans="5:14" s="53" customFormat="1" ht="25.15" customHeight="1" x14ac:dyDescent="0.25">
      <c r="E378" s="121"/>
      <c r="F378" s="121"/>
      <c r="G378" s="122"/>
      <c r="J378" s="123"/>
      <c r="K378" s="103"/>
      <c r="N378" s="103"/>
    </row>
    <row r="379" spans="5:14" s="53" customFormat="1" ht="25.15" customHeight="1" x14ac:dyDescent="0.25">
      <c r="E379" s="121"/>
      <c r="F379" s="121"/>
      <c r="G379" s="122"/>
      <c r="J379" s="123"/>
      <c r="K379" s="103"/>
      <c r="N379" s="103"/>
    </row>
    <row r="380" spans="5:14" s="53" customFormat="1" ht="25.15" customHeight="1" x14ac:dyDescent="0.25">
      <c r="E380" s="121"/>
      <c r="F380" s="121"/>
      <c r="G380" s="122"/>
      <c r="J380" s="123"/>
      <c r="K380" s="103"/>
      <c r="N380" s="103"/>
    </row>
    <row r="381" spans="5:14" s="53" customFormat="1" ht="25.15" customHeight="1" x14ac:dyDescent="0.25">
      <c r="E381" s="121"/>
      <c r="F381" s="121"/>
      <c r="G381" s="122"/>
      <c r="J381" s="123"/>
      <c r="K381" s="103"/>
      <c r="N381" s="103"/>
    </row>
    <row r="382" spans="5:14" s="53" customFormat="1" ht="25.15" customHeight="1" x14ac:dyDescent="0.25">
      <c r="E382" s="121"/>
      <c r="F382" s="121"/>
      <c r="G382" s="122"/>
      <c r="J382" s="123"/>
      <c r="K382" s="103"/>
      <c r="N382" s="103"/>
    </row>
    <row r="383" spans="5:14" s="53" customFormat="1" ht="25.15" customHeight="1" x14ac:dyDescent="0.25">
      <c r="E383" s="121"/>
      <c r="F383" s="121"/>
      <c r="G383" s="122"/>
      <c r="J383" s="123"/>
      <c r="K383" s="103"/>
      <c r="N383" s="103"/>
    </row>
    <row r="384" spans="5:14" s="53" customFormat="1" ht="25.15" customHeight="1" x14ac:dyDescent="0.25">
      <c r="E384" s="121"/>
      <c r="F384" s="121"/>
      <c r="G384" s="122"/>
      <c r="J384" s="123"/>
      <c r="K384" s="103"/>
      <c r="N384" s="103"/>
    </row>
    <row r="385" spans="5:14" s="53" customFormat="1" ht="25.15" customHeight="1" x14ac:dyDescent="0.25">
      <c r="E385" s="121"/>
      <c r="F385" s="121"/>
      <c r="G385" s="122"/>
      <c r="J385" s="123"/>
      <c r="K385" s="103"/>
      <c r="N385" s="103"/>
    </row>
    <row r="386" spans="5:14" s="53" customFormat="1" ht="25.15" customHeight="1" x14ac:dyDescent="0.25">
      <c r="E386" s="121"/>
      <c r="F386" s="121"/>
      <c r="G386" s="122"/>
      <c r="J386" s="123"/>
      <c r="K386" s="103"/>
      <c r="N386" s="103"/>
    </row>
    <row r="387" spans="5:14" s="53" customFormat="1" ht="25.15" customHeight="1" x14ac:dyDescent="0.25">
      <c r="E387" s="121"/>
      <c r="F387" s="121"/>
      <c r="G387" s="122"/>
      <c r="J387" s="123"/>
      <c r="K387" s="103"/>
      <c r="N387" s="103"/>
    </row>
    <row r="388" spans="5:14" s="53" customFormat="1" ht="25.15" customHeight="1" x14ac:dyDescent="0.25">
      <c r="E388" s="121"/>
      <c r="F388" s="121"/>
      <c r="G388" s="122"/>
      <c r="J388" s="123"/>
      <c r="K388" s="103"/>
      <c r="N388" s="103"/>
    </row>
    <row r="389" spans="5:14" s="53" customFormat="1" ht="25.15" customHeight="1" x14ac:dyDescent="0.25">
      <c r="E389" s="121"/>
      <c r="F389" s="121"/>
      <c r="G389" s="122"/>
      <c r="J389" s="123"/>
      <c r="K389" s="103"/>
      <c r="N389" s="103"/>
    </row>
    <row r="390" spans="5:14" s="53" customFormat="1" ht="25.15" customHeight="1" x14ac:dyDescent="0.25">
      <c r="E390" s="121"/>
      <c r="F390" s="121"/>
      <c r="G390" s="122"/>
      <c r="J390" s="123"/>
      <c r="K390" s="103"/>
      <c r="N390" s="103"/>
    </row>
    <row r="391" spans="5:14" s="53" customFormat="1" ht="25.15" customHeight="1" x14ac:dyDescent="0.25">
      <c r="E391" s="121"/>
      <c r="F391" s="121"/>
      <c r="G391" s="122"/>
      <c r="J391" s="123"/>
      <c r="K391" s="103"/>
      <c r="N391" s="103"/>
    </row>
    <row r="392" spans="5:14" s="53" customFormat="1" ht="25.15" customHeight="1" x14ac:dyDescent="0.25">
      <c r="E392" s="121"/>
      <c r="F392" s="121"/>
      <c r="G392" s="122"/>
      <c r="J392" s="123"/>
      <c r="K392" s="103"/>
      <c r="N392" s="103"/>
    </row>
    <row r="393" spans="5:14" s="53" customFormat="1" ht="25.15" customHeight="1" x14ac:dyDescent="0.25">
      <c r="E393" s="121"/>
      <c r="F393" s="121"/>
      <c r="G393" s="122"/>
      <c r="J393" s="123"/>
      <c r="K393" s="103"/>
      <c r="N393" s="103"/>
    </row>
    <row r="394" spans="5:14" s="53" customFormat="1" ht="25.15" customHeight="1" x14ac:dyDescent="0.25">
      <c r="E394" s="121"/>
      <c r="F394" s="121"/>
      <c r="G394" s="122"/>
      <c r="J394" s="123"/>
      <c r="K394" s="103"/>
      <c r="N394" s="103"/>
    </row>
    <row r="395" spans="5:14" s="53" customFormat="1" ht="25.15" customHeight="1" x14ac:dyDescent="0.25">
      <c r="E395" s="121"/>
      <c r="F395" s="121"/>
      <c r="G395" s="122"/>
      <c r="J395" s="123"/>
      <c r="K395" s="103"/>
      <c r="N395" s="103"/>
    </row>
    <row r="396" spans="5:14" s="53" customFormat="1" ht="25.15" customHeight="1" x14ac:dyDescent="0.25">
      <c r="E396" s="121"/>
      <c r="F396" s="121"/>
      <c r="G396" s="122"/>
      <c r="J396" s="123"/>
      <c r="K396" s="103"/>
      <c r="N396" s="103"/>
    </row>
    <row r="397" spans="5:14" s="53" customFormat="1" ht="25.15" customHeight="1" x14ac:dyDescent="0.25">
      <c r="E397" s="121"/>
      <c r="F397" s="121"/>
      <c r="G397" s="122"/>
      <c r="J397" s="123"/>
      <c r="K397" s="103"/>
      <c r="N397" s="103"/>
    </row>
    <row r="398" spans="5:14" s="53" customFormat="1" ht="25.15" customHeight="1" x14ac:dyDescent="0.25">
      <c r="E398" s="121"/>
      <c r="F398" s="121"/>
      <c r="G398" s="122"/>
      <c r="J398" s="123"/>
      <c r="K398" s="103"/>
      <c r="N398" s="103"/>
    </row>
    <row r="399" spans="5:14" s="53" customFormat="1" ht="25.15" customHeight="1" x14ac:dyDescent="0.25">
      <c r="E399" s="121"/>
      <c r="F399" s="121"/>
      <c r="G399" s="122"/>
      <c r="J399" s="123"/>
      <c r="K399" s="103"/>
      <c r="N399" s="103"/>
    </row>
    <row r="400" spans="5:14" s="53" customFormat="1" ht="25.15" customHeight="1" x14ac:dyDescent="0.25">
      <c r="E400" s="121"/>
      <c r="F400" s="121"/>
      <c r="G400" s="122"/>
      <c r="J400" s="123"/>
      <c r="K400" s="103"/>
      <c r="N400" s="103"/>
    </row>
    <row r="401" spans="5:14" s="53" customFormat="1" ht="25.15" customHeight="1" x14ac:dyDescent="0.25">
      <c r="E401" s="121"/>
      <c r="F401" s="121"/>
      <c r="G401" s="122"/>
      <c r="J401" s="123"/>
      <c r="K401" s="103"/>
      <c r="N401" s="103"/>
    </row>
    <row r="402" spans="5:14" s="53" customFormat="1" ht="25.15" customHeight="1" x14ac:dyDescent="0.25">
      <c r="E402" s="121"/>
      <c r="F402" s="121"/>
      <c r="G402" s="122"/>
      <c r="J402" s="123"/>
      <c r="K402" s="103"/>
      <c r="N402" s="103"/>
    </row>
    <row r="403" spans="5:14" s="53" customFormat="1" ht="25.15" customHeight="1" x14ac:dyDescent="0.25">
      <c r="E403" s="121"/>
      <c r="F403" s="121"/>
      <c r="G403" s="122"/>
      <c r="J403" s="123"/>
      <c r="K403" s="103"/>
      <c r="N403" s="103"/>
    </row>
    <row r="404" spans="5:14" s="53" customFormat="1" ht="25.15" customHeight="1" x14ac:dyDescent="0.25">
      <c r="E404" s="121"/>
      <c r="F404" s="121"/>
      <c r="G404" s="122"/>
      <c r="J404" s="123"/>
      <c r="K404" s="103"/>
      <c r="N404" s="103"/>
    </row>
    <row r="405" spans="5:14" s="53" customFormat="1" ht="25.15" customHeight="1" x14ac:dyDescent="0.25">
      <c r="E405" s="121"/>
      <c r="F405" s="121"/>
      <c r="G405" s="122"/>
      <c r="J405" s="123"/>
      <c r="K405" s="103"/>
      <c r="N405" s="103"/>
    </row>
    <row r="406" spans="5:14" s="53" customFormat="1" ht="25.15" customHeight="1" x14ac:dyDescent="0.25">
      <c r="E406" s="121"/>
      <c r="F406" s="121"/>
      <c r="G406" s="122"/>
      <c r="J406" s="123"/>
      <c r="K406" s="103"/>
      <c r="N406" s="103"/>
    </row>
    <row r="407" spans="5:14" s="53" customFormat="1" ht="25.15" customHeight="1" x14ac:dyDescent="0.25">
      <c r="E407" s="121"/>
      <c r="F407" s="121"/>
      <c r="G407" s="122"/>
      <c r="J407" s="123"/>
      <c r="K407" s="103"/>
      <c r="N407" s="103"/>
    </row>
    <row r="408" spans="5:14" s="53" customFormat="1" ht="25.15" customHeight="1" x14ac:dyDescent="0.25">
      <c r="E408" s="121"/>
      <c r="F408" s="121"/>
      <c r="G408" s="122"/>
      <c r="J408" s="123"/>
      <c r="K408" s="103"/>
      <c r="N408" s="103"/>
    </row>
    <row r="409" spans="5:14" s="53" customFormat="1" ht="25.15" customHeight="1" x14ac:dyDescent="0.25">
      <c r="E409" s="121"/>
      <c r="F409" s="121"/>
      <c r="G409" s="122"/>
      <c r="J409" s="123"/>
      <c r="K409" s="103"/>
      <c r="N409" s="103"/>
    </row>
    <row r="410" spans="5:14" s="53" customFormat="1" ht="25.15" customHeight="1" x14ac:dyDescent="0.25">
      <c r="E410" s="121"/>
      <c r="F410" s="121"/>
      <c r="G410" s="122"/>
      <c r="J410" s="123"/>
      <c r="K410" s="103"/>
      <c r="N410" s="103"/>
    </row>
    <row r="411" spans="5:14" s="53" customFormat="1" ht="25.15" customHeight="1" x14ac:dyDescent="0.25">
      <c r="E411" s="121"/>
      <c r="F411" s="121"/>
      <c r="G411" s="122"/>
      <c r="J411" s="123"/>
      <c r="K411" s="103"/>
      <c r="N411" s="103"/>
    </row>
    <row r="412" spans="5:14" s="53" customFormat="1" ht="25.15" customHeight="1" x14ac:dyDescent="0.25">
      <c r="E412" s="121"/>
      <c r="F412" s="121"/>
      <c r="G412" s="122"/>
      <c r="J412" s="123"/>
      <c r="K412" s="103"/>
      <c r="N412" s="103"/>
    </row>
    <row r="413" spans="5:14" s="53" customFormat="1" ht="25.15" customHeight="1" x14ac:dyDescent="0.25">
      <c r="E413" s="121"/>
      <c r="F413" s="121"/>
      <c r="G413" s="122"/>
      <c r="J413" s="123"/>
      <c r="K413" s="103"/>
      <c r="N413" s="103"/>
    </row>
    <row r="414" spans="5:14" s="53" customFormat="1" ht="25.15" customHeight="1" x14ac:dyDescent="0.25">
      <c r="E414" s="121"/>
      <c r="F414" s="121"/>
      <c r="G414" s="122"/>
      <c r="J414" s="123"/>
      <c r="K414" s="103"/>
      <c r="N414" s="103"/>
    </row>
    <row r="415" spans="5:14" s="53" customFormat="1" ht="25.15" customHeight="1" x14ac:dyDescent="0.25">
      <c r="E415" s="121"/>
      <c r="F415" s="121"/>
      <c r="G415" s="122"/>
      <c r="J415" s="123"/>
      <c r="K415" s="103"/>
      <c r="N415" s="103"/>
    </row>
    <row r="416" spans="5:14" s="53" customFormat="1" ht="25.15" customHeight="1" x14ac:dyDescent="0.25">
      <c r="E416" s="121"/>
      <c r="F416" s="121"/>
      <c r="G416" s="122"/>
      <c r="J416" s="123"/>
      <c r="K416" s="103"/>
      <c r="N416" s="103"/>
    </row>
    <row r="417" spans="5:14" s="53" customFormat="1" ht="25.15" customHeight="1" x14ac:dyDescent="0.25">
      <c r="E417" s="121"/>
      <c r="F417" s="121"/>
      <c r="G417" s="122"/>
      <c r="J417" s="123"/>
      <c r="K417" s="103"/>
      <c r="N417" s="103"/>
    </row>
    <row r="418" spans="5:14" s="53" customFormat="1" ht="25.15" customHeight="1" x14ac:dyDescent="0.25">
      <c r="E418" s="121"/>
      <c r="F418" s="121"/>
      <c r="G418" s="122"/>
      <c r="J418" s="123"/>
      <c r="K418" s="103"/>
      <c r="N418" s="103"/>
    </row>
    <row r="419" spans="5:14" s="53" customFormat="1" ht="25.15" customHeight="1" x14ac:dyDescent="0.25">
      <c r="E419" s="121"/>
      <c r="F419" s="121"/>
      <c r="G419" s="122"/>
      <c r="J419" s="123"/>
      <c r="K419" s="103"/>
      <c r="N419" s="103"/>
    </row>
    <row r="420" spans="5:14" s="53" customFormat="1" ht="25.15" customHeight="1" x14ac:dyDescent="0.25">
      <c r="E420" s="121"/>
      <c r="F420" s="121"/>
      <c r="G420" s="122"/>
      <c r="J420" s="123"/>
      <c r="K420" s="103"/>
      <c r="N420" s="103"/>
    </row>
    <row r="421" spans="5:14" s="53" customFormat="1" ht="25.15" customHeight="1" x14ac:dyDescent="0.25">
      <c r="E421" s="121"/>
      <c r="F421" s="121"/>
      <c r="G421" s="122"/>
      <c r="J421" s="123"/>
      <c r="K421" s="103"/>
      <c r="N421" s="103"/>
    </row>
    <row r="422" spans="5:14" s="53" customFormat="1" ht="25.15" customHeight="1" x14ac:dyDescent="0.25">
      <c r="E422" s="121"/>
      <c r="F422" s="121"/>
      <c r="G422" s="122"/>
      <c r="J422" s="123"/>
      <c r="K422" s="103"/>
      <c r="N422" s="103"/>
    </row>
    <row r="423" spans="5:14" s="53" customFormat="1" ht="25.15" customHeight="1" x14ac:dyDescent="0.25">
      <c r="E423" s="121"/>
      <c r="F423" s="121"/>
      <c r="G423" s="122"/>
      <c r="J423" s="123"/>
      <c r="K423" s="103"/>
      <c r="N423" s="103"/>
    </row>
    <row r="424" spans="5:14" s="53" customFormat="1" ht="25.15" customHeight="1" x14ac:dyDescent="0.25">
      <c r="E424" s="121"/>
      <c r="F424" s="121"/>
      <c r="G424" s="122"/>
      <c r="J424" s="123"/>
      <c r="K424" s="103"/>
      <c r="N424" s="103"/>
    </row>
    <row r="425" spans="5:14" s="53" customFormat="1" ht="25.15" customHeight="1" x14ac:dyDescent="0.25">
      <c r="E425" s="121"/>
      <c r="F425" s="121"/>
      <c r="G425" s="122"/>
      <c r="J425" s="123"/>
      <c r="K425" s="103"/>
      <c r="N425" s="103"/>
    </row>
    <row r="426" spans="5:14" s="53" customFormat="1" ht="25.15" customHeight="1" x14ac:dyDescent="0.25">
      <c r="E426" s="121"/>
      <c r="F426" s="121"/>
      <c r="G426" s="122"/>
      <c r="J426" s="123"/>
      <c r="K426" s="103"/>
      <c r="N426" s="103"/>
    </row>
    <row r="427" spans="5:14" s="53" customFormat="1" ht="25.15" customHeight="1" x14ac:dyDescent="0.25">
      <c r="E427" s="121"/>
      <c r="F427" s="121"/>
      <c r="G427" s="122"/>
      <c r="J427" s="123"/>
      <c r="K427" s="103"/>
      <c r="N427" s="103"/>
    </row>
    <row r="428" spans="5:14" s="53" customFormat="1" ht="25.15" customHeight="1" x14ac:dyDescent="0.25">
      <c r="E428" s="121"/>
      <c r="F428" s="121"/>
      <c r="G428" s="122"/>
      <c r="J428" s="123"/>
      <c r="K428" s="103"/>
      <c r="N428" s="103"/>
    </row>
    <row r="429" spans="5:14" s="53" customFormat="1" ht="25.15" customHeight="1" x14ac:dyDescent="0.25">
      <c r="E429" s="121"/>
      <c r="F429" s="121"/>
      <c r="G429" s="122"/>
      <c r="J429" s="123"/>
      <c r="K429" s="103"/>
      <c r="N429" s="103"/>
    </row>
    <row r="430" spans="5:14" s="53" customFormat="1" ht="25.15" customHeight="1" x14ac:dyDescent="0.25">
      <c r="E430" s="121"/>
      <c r="F430" s="121"/>
      <c r="G430" s="122"/>
      <c r="J430" s="123"/>
      <c r="K430" s="103"/>
      <c r="N430" s="103"/>
    </row>
    <row r="431" spans="5:14" s="53" customFormat="1" ht="25.15" customHeight="1" x14ac:dyDescent="0.25">
      <c r="E431" s="121"/>
      <c r="F431" s="121"/>
      <c r="G431" s="122"/>
      <c r="J431" s="123"/>
      <c r="K431" s="103"/>
      <c r="N431" s="103"/>
    </row>
    <row r="432" spans="5:14" s="53" customFormat="1" ht="25.15" customHeight="1" x14ac:dyDescent="0.25">
      <c r="E432" s="121"/>
      <c r="F432" s="121"/>
      <c r="G432" s="122"/>
      <c r="J432" s="123"/>
      <c r="K432" s="103"/>
      <c r="N432" s="103"/>
    </row>
    <row r="433" spans="5:14" s="53" customFormat="1" ht="25.15" customHeight="1" x14ac:dyDescent="0.25">
      <c r="E433" s="121"/>
      <c r="F433" s="121"/>
      <c r="G433" s="122"/>
      <c r="J433" s="123"/>
      <c r="K433" s="103"/>
      <c r="N433" s="103"/>
    </row>
    <row r="434" spans="5:14" s="53" customFormat="1" ht="25.15" customHeight="1" x14ac:dyDescent="0.25">
      <c r="E434" s="121"/>
      <c r="F434" s="121"/>
      <c r="G434" s="122"/>
      <c r="J434" s="123"/>
      <c r="K434" s="103"/>
      <c r="N434" s="103"/>
    </row>
    <row r="435" spans="5:14" s="53" customFormat="1" ht="25.15" customHeight="1" x14ac:dyDescent="0.25">
      <c r="E435" s="121"/>
      <c r="F435" s="121"/>
      <c r="G435" s="122"/>
      <c r="J435" s="123"/>
      <c r="K435" s="103"/>
      <c r="N435" s="103"/>
    </row>
    <row r="436" spans="5:14" s="53" customFormat="1" ht="25.15" customHeight="1" x14ac:dyDescent="0.25">
      <c r="E436" s="121"/>
      <c r="F436" s="121"/>
      <c r="G436" s="122"/>
      <c r="J436" s="123"/>
      <c r="K436" s="103"/>
      <c r="N436" s="103"/>
    </row>
    <row r="437" spans="5:14" s="53" customFormat="1" ht="25.15" customHeight="1" x14ac:dyDescent="0.25">
      <c r="E437" s="121"/>
      <c r="F437" s="121"/>
      <c r="G437" s="122"/>
      <c r="J437" s="123"/>
      <c r="K437" s="103"/>
      <c r="N437" s="103"/>
    </row>
    <row r="438" spans="5:14" s="53" customFormat="1" ht="25.15" customHeight="1" x14ac:dyDescent="0.25">
      <c r="E438" s="121"/>
      <c r="F438" s="121"/>
      <c r="G438" s="122"/>
      <c r="J438" s="123"/>
      <c r="K438" s="103"/>
      <c r="N438" s="103"/>
    </row>
    <row r="439" spans="5:14" s="53" customFormat="1" ht="25.15" customHeight="1" x14ac:dyDescent="0.25">
      <c r="E439" s="121"/>
      <c r="F439" s="121"/>
      <c r="G439" s="122"/>
      <c r="J439" s="123"/>
      <c r="K439" s="103"/>
      <c r="N439" s="103"/>
    </row>
    <row r="440" spans="5:14" s="53" customFormat="1" ht="25.15" customHeight="1" x14ac:dyDescent="0.25">
      <c r="E440" s="121"/>
      <c r="F440" s="121"/>
      <c r="G440" s="122"/>
      <c r="J440" s="123"/>
      <c r="K440" s="103"/>
      <c r="N440" s="103"/>
    </row>
    <row r="441" spans="5:14" s="53" customFormat="1" ht="25.15" customHeight="1" x14ac:dyDescent="0.25">
      <c r="E441" s="121"/>
      <c r="F441" s="121"/>
      <c r="G441" s="122"/>
      <c r="J441" s="123"/>
      <c r="K441" s="103"/>
      <c r="N441" s="103"/>
    </row>
    <row r="442" spans="5:14" s="53" customFormat="1" ht="25.15" customHeight="1" x14ac:dyDescent="0.25">
      <c r="E442" s="121"/>
      <c r="F442" s="121"/>
      <c r="G442" s="122"/>
      <c r="J442" s="123"/>
      <c r="K442" s="103"/>
      <c r="N442" s="103"/>
    </row>
    <row r="443" spans="5:14" s="53" customFormat="1" ht="25.15" customHeight="1" x14ac:dyDescent="0.25">
      <c r="E443" s="121"/>
      <c r="F443" s="121"/>
      <c r="G443" s="122"/>
      <c r="J443" s="123"/>
      <c r="K443" s="103"/>
      <c r="N443" s="103"/>
    </row>
    <row r="444" spans="5:14" s="53" customFormat="1" ht="25.15" customHeight="1" x14ac:dyDescent="0.25">
      <c r="E444" s="121"/>
      <c r="F444" s="121"/>
      <c r="G444" s="122"/>
      <c r="J444" s="123"/>
      <c r="K444" s="103"/>
      <c r="N444" s="103"/>
    </row>
    <row r="445" spans="5:14" s="53" customFormat="1" ht="25.15" customHeight="1" x14ac:dyDescent="0.25">
      <c r="E445" s="121"/>
      <c r="F445" s="121"/>
      <c r="G445" s="122"/>
      <c r="J445" s="123"/>
      <c r="K445" s="103"/>
      <c r="N445" s="103"/>
    </row>
    <row r="446" spans="5:14" s="53" customFormat="1" ht="25.15" customHeight="1" x14ac:dyDescent="0.25">
      <c r="E446" s="121"/>
      <c r="F446" s="121"/>
      <c r="G446" s="122"/>
      <c r="J446" s="123"/>
      <c r="K446" s="103"/>
      <c r="N446" s="103"/>
    </row>
    <row r="447" spans="5:14" s="53" customFormat="1" ht="25.15" customHeight="1" x14ac:dyDescent="0.25">
      <c r="E447" s="121"/>
      <c r="F447" s="121"/>
      <c r="G447" s="122"/>
      <c r="J447" s="123"/>
      <c r="K447" s="103"/>
      <c r="N447" s="103"/>
    </row>
    <row r="448" spans="5:14" s="53" customFormat="1" ht="25.15" customHeight="1" x14ac:dyDescent="0.25">
      <c r="E448" s="121"/>
      <c r="F448" s="121"/>
      <c r="G448" s="122"/>
      <c r="J448" s="123"/>
      <c r="K448" s="103"/>
      <c r="N448" s="103"/>
    </row>
    <row r="449" spans="5:14" s="53" customFormat="1" ht="25.15" customHeight="1" x14ac:dyDescent="0.25">
      <c r="E449" s="121"/>
      <c r="F449" s="121"/>
      <c r="G449" s="122"/>
      <c r="J449" s="123"/>
      <c r="K449" s="103"/>
      <c r="N449" s="103"/>
    </row>
    <row r="450" spans="5:14" s="53" customFormat="1" ht="25.15" customHeight="1" x14ac:dyDescent="0.25">
      <c r="E450" s="121"/>
      <c r="F450" s="121"/>
      <c r="G450" s="122"/>
      <c r="J450" s="123"/>
      <c r="K450" s="103"/>
      <c r="N450" s="103"/>
    </row>
    <row r="451" spans="5:14" s="53" customFormat="1" ht="25.15" customHeight="1" x14ac:dyDescent="0.25">
      <c r="E451" s="121"/>
      <c r="F451" s="121"/>
      <c r="G451" s="122"/>
      <c r="J451" s="123"/>
      <c r="K451" s="103"/>
      <c r="N451" s="103"/>
    </row>
    <row r="452" spans="5:14" s="53" customFormat="1" ht="25.15" customHeight="1" x14ac:dyDescent="0.25">
      <c r="E452" s="121"/>
      <c r="F452" s="121"/>
      <c r="G452" s="122"/>
      <c r="J452" s="123"/>
      <c r="K452" s="103"/>
      <c r="N452" s="103"/>
    </row>
    <row r="453" spans="5:14" s="53" customFormat="1" ht="25.15" customHeight="1" x14ac:dyDescent="0.25">
      <c r="E453" s="121"/>
      <c r="F453" s="121"/>
      <c r="G453" s="122"/>
      <c r="J453" s="123"/>
      <c r="K453" s="103"/>
      <c r="N453" s="103"/>
    </row>
    <row r="454" spans="5:14" s="53" customFormat="1" ht="25.15" customHeight="1" x14ac:dyDescent="0.25">
      <c r="E454" s="121"/>
      <c r="F454" s="121"/>
      <c r="G454" s="122"/>
      <c r="J454" s="123"/>
      <c r="K454" s="103"/>
      <c r="N454" s="103"/>
    </row>
    <row r="455" spans="5:14" s="53" customFormat="1" ht="25.15" customHeight="1" x14ac:dyDescent="0.25">
      <c r="E455" s="121"/>
      <c r="F455" s="121"/>
      <c r="G455" s="122"/>
      <c r="J455" s="123"/>
      <c r="K455" s="103"/>
      <c r="N455" s="103"/>
    </row>
    <row r="456" spans="5:14" s="53" customFormat="1" ht="25.15" customHeight="1" x14ac:dyDescent="0.25">
      <c r="E456" s="121"/>
      <c r="F456" s="121"/>
      <c r="G456" s="122"/>
      <c r="J456" s="123"/>
      <c r="K456" s="103"/>
      <c r="N456" s="103"/>
    </row>
    <row r="457" spans="5:14" s="53" customFormat="1" ht="25.15" customHeight="1" x14ac:dyDescent="0.25">
      <c r="E457" s="121"/>
      <c r="F457" s="121"/>
      <c r="G457" s="122"/>
      <c r="J457" s="123"/>
      <c r="K457" s="103"/>
      <c r="N457" s="103"/>
    </row>
    <row r="458" spans="5:14" s="53" customFormat="1" ht="25.15" customHeight="1" x14ac:dyDescent="0.25">
      <c r="E458" s="121"/>
      <c r="F458" s="121"/>
      <c r="G458" s="122"/>
      <c r="J458" s="123"/>
      <c r="K458" s="103"/>
      <c r="N458" s="103"/>
    </row>
    <row r="459" spans="5:14" s="53" customFormat="1" ht="25.15" customHeight="1" x14ac:dyDescent="0.25">
      <c r="E459" s="121"/>
      <c r="F459" s="121"/>
      <c r="G459" s="122"/>
      <c r="J459" s="123"/>
      <c r="K459" s="103"/>
      <c r="N459" s="103"/>
    </row>
    <row r="460" spans="5:14" s="53" customFormat="1" ht="25.15" customHeight="1" x14ac:dyDescent="0.25">
      <c r="E460" s="121"/>
      <c r="F460" s="121"/>
      <c r="G460" s="122"/>
      <c r="J460" s="123"/>
      <c r="K460" s="103"/>
      <c r="N460" s="103"/>
    </row>
    <row r="461" spans="5:14" s="53" customFormat="1" ht="25.15" customHeight="1" x14ac:dyDescent="0.25">
      <c r="E461" s="121"/>
      <c r="F461" s="121"/>
      <c r="G461" s="122"/>
      <c r="J461" s="123"/>
      <c r="K461" s="103"/>
      <c r="N461" s="103"/>
    </row>
    <row r="462" spans="5:14" s="53" customFormat="1" ht="25.15" customHeight="1" x14ac:dyDescent="0.25">
      <c r="E462" s="121"/>
      <c r="F462" s="121"/>
      <c r="G462" s="122"/>
      <c r="J462" s="123"/>
      <c r="K462" s="103"/>
      <c r="N462" s="103"/>
    </row>
    <row r="463" spans="5:14" s="53" customFormat="1" ht="25.15" customHeight="1" x14ac:dyDescent="0.25">
      <c r="E463" s="121"/>
      <c r="F463" s="121"/>
      <c r="G463" s="122"/>
      <c r="J463" s="123"/>
      <c r="K463" s="103"/>
      <c r="N463" s="103"/>
    </row>
    <row r="464" spans="5:14" s="53" customFormat="1" ht="25.15" customHeight="1" x14ac:dyDescent="0.25">
      <c r="E464" s="121"/>
      <c r="F464" s="121"/>
      <c r="G464" s="122"/>
      <c r="J464" s="123"/>
      <c r="K464" s="103"/>
      <c r="N464" s="103"/>
    </row>
    <row r="465" spans="5:14" s="53" customFormat="1" ht="25.15" customHeight="1" x14ac:dyDescent="0.25">
      <c r="E465" s="121"/>
      <c r="F465" s="121"/>
      <c r="G465" s="122"/>
      <c r="J465" s="123"/>
      <c r="K465" s="103"/>
      <c r="N465" s="103"/>
    </row>
    <row r="466" spans="5:14" s="53" customFormat="1" ht="25.15" customHeight="1" x14ac:dyDescent="0.25">
      <c r="E466" s="121"/>
      <c r="F466" s="121"/>
      <c r="G466" s="122"/>
      <c r="J466" s="123"/>
      <c r="K466" s="103"/>
      <c r="N466" s="103"/>
    </row>
    <row r="467" spans="5:14" s="53" customFormat="1" ht="25.15" customHeight="1" x14ac:dyDescent="0.25">
      <c r="E467" s="121"/>
      <c r="F467" s="121"/>
      <c r="G467" s="122"/>
      <c r="J467" s="123"/>
      <c r="K467" s="103"/>
      <c r="N467" s="103"/>
    </row>
    <row r="468" spans="5:14" s="53" customFormat="1" ht="25.15" customHeight="1" x14ac:dyDescent="0.25">
      <c r="E468" s="121"/>
      <c r="F468" s="121"/>
      <c r="G468" s="122"/>
      <c r="J468" s="123"/>
      <c r="K468" s="103"/>
      <c r="N468" s="103"/>
    </row>
    <row r="469" spans="5:14" s="53" customFormat="1" ht="25.15" customHeight="1" x14ac:dyDescent="0.25">
      <c r="E469" s="121"/>
      <c r="F469" s="121"/>
      <c r="G469" s="122"/>
      <c r="J469" s="123"/>
      <c r="K469" s="103"/>
      <c r="N469" s="103"/>
    </row>
    <row r="470" spans="5:14" s="53" customFormat="1" ht="25.15" customHeight="1" x14ac:dyDescent="0.25">
      <c r="E470" s="121"/>
      <c r="F470" s="121"/>
      <c r="G470" s="122"/>
      <c r="J470" s="123"/>
      <c r="K470" s="103"/>
      <c r="N470" s="103"/>
    </row>
    <row r="471" spans="5:14" s="53" customFormat="1" ht="25.15" customHeight="1" x14ac:dyDescent="0.25">
      <c r="E471" s="121"/>
      <c r="F471" s="121"/>
      <c r="G471" s="122"/>
      <c r="J471" s="123"/>
      <c r="K471" s="103"/>
      <c r="N471" s="103"/>
    </row>
    <row r="472" spans="5:14" s="53" customFormat="1" ht="25.15" customHeight="1" x14ac:dyDescent="0.25">
      <c r="E472" s="121"/>
      <c r="F472" s="121"/>
      <c r="G472" s="122"/>
      <c r="J472" s="123"/>
      <c r="K472" s="103"/>
      <c r="N472" s="103"/>
    </row>
    <row r="473" spans="5:14" s="53" customFormat="1" ht="25.15" customHeight="1" x14ac:dyDescent="0.25">
      <c r="E473" s="121"/>
      <c r="F473" s="121"/>
      <c r="G473" s="122"/>
      <c r="J473" s="123"/>
      <c r="K473" s="103"/>
      <c r="N473" s="103"/>
    </row>
    <row r="474" spans="5:14" s="53" customFormat="1" ht="25.15" customHeight="1" x14ac:dyDescent="0.25">
      <c r="E474" s="121"/>
      <c r="F474" s="121"/>
      <c r="G474" s="122"/>
      <c r="J474" s="123"/>
      <c r="K474" s="103"/>
      <c r="N474" s="103"/>
    </row>
    <row r="475" spans="5:14" s="53" customFormat="1" ht="25.15" customHeight="1" x14ac:dyDescent="0.25">
      <c r="E475" s="121"/>
      <c r="F475" s="121"/>
      <c r="G475" s="122"/>
      <c r="J475" s="123"/>
      <c r="K475" s="103"/>
      <c r="N475" s="103"/>
    </row>
    <row r="476" spans="5:14" s="53" customFormat="1" ht="25.15" customHeight="1" x14ac:dyDescent="0.25">
      <c r="E476" s="121"/>
      <c r="F476" s="121"/>
      <c r="G476" s="122"/>
      <c r="J476" s="123"/>
      <c r="K476" s="103"/>
      <c r="N476" s="103"/>
    </row>
    <row r="477" spans="5:14" s="53" customFormat="1" ht="25.15" customHeight="1" x14ac:dyDescent="0.25">
      <c r="E477" s="121"/>
      <c r="F477" s="121"/>
      <c r="G477" s="122"/>
      <c r="J477" s="123"/>
      <c r="K477" s="103"/>
      <c r="N477" s="103"/>
    </row>
    <row r="478" spans="5:14" s="53" customFormat="1" ht="25.15" customHeight="1" x14ac:dyDescent="0.25">
      <c r="E478" s="121"/>
      <c r="F478" s="121"/>
      <c r="G478" s="122"/>
      <c r="J478" s="123"/>
      <c r="K478" s="103"/>
      <c r="N478" s="103"/>
    </row>
    <row r="479" spans="5:14" s="53" customFormat="1" ht="25.15" customHeight="1" x14ac:dyDescent="0.25">
      <c r="E479" s="121"/>
      <c r="F479" s="121"/>
      <c r="G479" s="122"/>
      <c r="J479" s="123"/>
      <c r="K479" s="103"/>
      <c r="N479" s="103"/>
    </row>
    <row r="480" spans="5:14" s="53" customFormat="1" ht="25.15" customHeight="1" x14ac:dyDescent="0.25">
      <c r="E480" s="121"/>
      <c r="F480" s="121"/>
      <c r="G480" s="122"/>
      <c r="J480" s="123"/>
      <c r="K480" s="103"/>
      <c r="N480" s="103"/>
    </row>
    <row r="481" spans="5:14" s="53" customFormat="1" ht="25.15" customHeight="1" x14ac:dyDescent="0.25">
      <c r="E481" s="121"/>
      <c r="F481" s="121"/>
      <c r="G481" s="122"/>
      <c r="J481" s="123"/>
      <c r="K481" s="103"/>
      <c r="N481" s="103"/>
    </row>
    <row r="482" spans="5:14" s="53" customFormat="1" ht="25.15" customHeight="1" x14ac:dyDescent="0.25">
      <c r="E482" s="121"/>
      <c r="F482" s="121"/>
      <c r="G482" s="122"/>
      <c r="J482" s="123"/>
      <c r="K482" s="103"/>
      <c r="N482" s="103"/>
    </row>
    <row r="483" spans="5:14" s="53" customFormat="1" ht="25.15" customHeight="1" x14ac:dyDescent="0.25">
      <c r="E483" s="121"/>
      <c r="F483" s="121"/>
      <c r="G483" s="122"/>
      <c r="J483" s="123"/>
      <c r="K483" s="103"/>
      <c r="N483" s="103"/>
    </row>
    <row r="484" spans="5:14" s="53" customFormat="1" ht="25.15" customHeight="1" x14ac:dyDescent="0.25">
      <c r="E484" s="121"/>
      <c r="F484" s="121"/>
      <c r="G484" s="122"/>
      <c r="J484" s="123"/>
      <c r="K484" s="103"/>
      <c r="N484" s="103"/>
    </row>
    <row r="485" spans="5:14" s="53" customFormat="1" ht="25.15" customHeight="1" x14ac:dyDescent="0.25">
      <c r="E485" s="121"/>
      <c r="F485" s="121"/>
      <c r="G485" s="122"/>
      <c r="J485" s="123"/>
      <c r="K485" s="103"/>
      <c r="N485" s="103"/>
    </row>
    <row r="486" spans="5:14" s="53" customFormat="1" ht="25.15" customHeight="1" x14ac:dyDescent="0.25">
      <c r="E486" s="121"/>
      <c r="F486" s="121"/>
      <c r="G486" s="122"/>
      <c r="J486" s="123"/>
      <c r="K486" s="103"/>
      <c r="N486" s="103"/>
    </row>
    <row r="487" spans="5:14" s="53" customFormat="1" ht="25.15" customHeight="1" x14ac:dyDescent="0.25">
      <c r="E487" s="121"/>
      <c r="F487" s="121"/>
      <c r="G487" s="122"/>
      <c r="J487" s="123"/>
      <c r="K487" s="103"/>
      <c r="N487" s="103"/>
    </row>
    <row r="488" spans="5:14" s="53" customFormat="1" ht="25.15" customHeight="1" x14ac:dyDescent="0.25">
      <c r="E488" s="121"/>
      <c r="F488" s="121"/>
      <c r="G488" s="122"/>
      <c r="J488" s="123"/>
      <c r="K488" s="103"/>
      <c r="N488" s="103"/>
    </row>
    <row r="489" spans="5:14" s="53" customFormat="1" ht="25.15" customHeight="1" x14ac:dyDescent="0.25">
      <c r="E489" s="121"/>
      <c r="F489" s="121"/>
      <c r="G489" s="122"/>
      <c r="J489" s="123"/>
      <c r="K489" s="103"/>
      <c r="N489" s="103"/>
    </row>
    <row r="490" spans="5:14" s="53" customFormat="1" ht="25.15" customHeight="1" x14ac:dyDescent="0.25">
      <c r="E490" s="121"/>
      <c r="F490" s="121"/>
      <c r="G490" s="122"/>
      <c r="J490" s="123"/>
      <c r="K490" s="103"/>
      <c r="N490" s="103"/>
    </row>
    <row r="491" spans="5:14" s="53" customFormat="1" ht="25.15" customHeight="1" x14ac:dyDescent="0.25">
      <c r="E491" s="121"/>
      <c r="F491" s="121"/>
      <c r="G491" s="122"/>
      <c r="J491" s="123"/>
      <c r="K491" s="103"/>
      <c r="N491" s="103"/>
    </row>
    <row r="492" spans="5:14" s="53" customFormat="1" ht="25.15" customHeight="1" x14ac:dyDescent="0.25">
      <c r="E492" s="121"/>
      <c r="F492" s="121"/>
      <c r="G492" s="122"/>
      <c r="J492" s="123"/>
      <c r="K492" s="103"/>
      <c r="N492" s="103"/>
    </row>
    <row r="493" spans="5:14" s="53" customFormat="1" ht="25.15" customHeight="1" x14ac:dyDescent="0.25">
      <c r="E493" s="121"/>
      <c r="F493" s="121"/>
      <c r="G493" s="122"/>
      <c r="J493" s="123"/>
      <c r="K493" s="103"/>
      <c r="N493" s="103"/>
    </row>
    <row r="494" spans="5:14" s="53" customFormat="1" ht="25.15" customHeight="1" x14ac:dyDescent="0.25">
      <c r="E494" s="121"/>
      <c r="F494" s="121"/>
      <c r="G494" s="122"/>
      <c r="J494" s="123"/>
      <c r="K494" s="103"/>
      <c r="N494" s="103"/>
    </row>
    <row r="495" spans="5:14" s="53" customFormat="1" ht="25.15" customHeight="1" x14ac:dyDescent="0.25">
      <c r="E495" s="121"/>
      <c r="F495" s="121"/>
      <c r="G495" s="122"/>
      <c r="J495" s="123"/>
      <c r="K495" s="103"/>
      <c r="N495" s="103"/>
    </row>
    <row r="496" spans="5:14" s="53" customFormat="1" ht="25.15" customHeight="1" x14ac:dyDescent="0.25">
      <c r="E496" s="121"/>
      <c r="F496" s="121"/>
      <c r="G496" s="122"/>
      <c r="J496" s="123"/>
      <c r="K496" s="103"/>
      <c r="N496" s="103"/>
    </row>
    <row r="497" spans="5:14" s="53" customFormat="1" ht="25.15" customHeight="1" x14ac:dyDescent="0.25">
      <c r="E497" s="121"/>
      <c r="F497" s="121"/>
      <c r="G497" s="122"/>
      <c r="J497" s="123"/>
      <c r="K497" s="103"/>
      <c r="N497" s="103"/>
    </row>
    <row r="498" spans="5:14" s="53" customFormat="1" ht="25.15" customHeight="1" x14ac:dyDescent="0.25">
      <c r="E498" s="121"/>
      <c r="F498" s="121"/>
      <c r="G498" s="122"/>
      <c r="J498" s="123"/>
      <c r="K498" s="103"/>
      <c r="N498" s="103"/>
    </row>
    <row r="499" spans="5:14" s="53" customFormat="1" ht="25.15" customHeight="1" x14ac:dyDescent="0.25">
      <c r="E499" s="121"/>
      <c r="F499" s="121"/>
      <c r="G499" s="122"/>
      <c r="J499" s="123"/>
      <c r="K499" s="103"/>
      <c r="N499" s="103"/>
    </row>
    <row r="500" spans="5:14" s="53" customFormat="1" ht="25.15" customHeight="1" x14ac:dyDescent="0.25">
      <c r="E500" s="121"/>
      <c r="F500" s="121"/>
      <c r="G500" s="122"/>
      <c r="J500" s="123"/>
      <c r="K500" s="103"/>
      <c r="N500" s="103"/>
    </row>
    <row r="501" spans="5:14" s="53" customFormat="1" ht="25.15" customHeight="1" x14ac:dyDescent="0.25">
      <c r="E501" s="121"/>
      <c r="F501" s="121"/>
      <c r="G501" s="122"/>
      <c r="J501" s="123"/>
      <c r="K501" s="103"/>
      <c r="N501" s="103"/>
    </row>
    <row r="502" spans="5:14" s="53" customFormat="1" ht="25.15" customHeight="1" x14ac:dyDescent="0.25">
      <c r="E502" s="121"/>
      <c r="F502" s="121"/>
      <c r="G502" s="122"/>
      <c r="J502" s="123"/>
      <c r="K502" s="103"/>
      <c r="N502" s="103"/>
    </row>
    <row r="503" spans="5:14" s="53" customFormat="1" ht="25.15" customHeight="1" x14ac:dyDescent="0.25">
      <c r="E503" s="121"/>
      <c r="F503" s="121"/>
      <c r="G503" s="122"/>
      <c r="J503" s="123"/>
      <c r="K503" s="103"/>
      <c r="N503" s="103"/>
    </row>
    <row r="504" spans="5:14" s="53" customFormat="1" ht="25.15" customHeight="1" x14ac:dyDescent="0.25">
      <c r="E504" s="121"/>
      <c r="F504" s="121"/>
      <c r="G504" s="122"/>
      <c r="J504" s="123"/>
      <c r="K504" s="103"/>
      <c r="N504" s="103"/>
    </row>
    <row r="505" spans="5:14" s="53" customFormat="1" ht="25.15" customHeight="1" x14ac:dyDescent="0.25">
      <c r="E505" s="121"/>
      <c r="F505" s="121"/>
      <c r="G505" s="122"/>
      <c r="J505" s="123"/>
      <c r="K505" s="103"/>
      <c r="N505" s="103"/>
    </row>
    <row r="506" spans="5:14" s="53" customFormat="1" ht="25.15" customHeight="1" x14ac:dyDescent="0.25">
      <c r="E506" s="121"/>
      <c r="F506" s="121"/>
      <c r="G506" s="122"/>
      <c r="J506" s="123"/>
      <c r="K506" s="103"/>
      <c r="N506" s="103"/>
    </row>
    <row r="507" spans="5:14" s="53" customFormat="1" ht="25.15" customHeight="1" x14ac:dyDescent="0.25">
      <c r="E507" s="121"/>
      <c r="F507" s="121"/>
      <c r="G507" s="122"/>
      <c r="J507" s="123"/>
      <c r="K507" s="103"/>
      <c r="N507" s="103"/>
    </row>
    <row r="508" spans="5:14" s="53" customFormat="1" ht="25.15" customHeight="1" x14ac:dyDescent="0.25">
      <c r="E508" s="121"/>
      <c r="F508" s="121"/>
      <c r="G508" s="122"/>
      <c r="J508" s="123"/>
      <c r="K508" s="103"/>
      <c r="N508" s="103"/>
    </row>
    <row r="509" spans="5:14" s="53" customFormat="1" ht="25.15" customHeight="1" x14ac:dyDescent="0.25">
      <c r="E509" s="121"/>
      <c r="F509" s="121"/>
      <c r="G509" s="122"/>
      <c r="J509" s="123"/>
      <c r="K509" s="103"/>
      <c r="N509" s="103"/>
    </row>
    <row r="510" spans="5:14" s="53" customFormat="1" ht="25.15" customHeight="1" x14ac:dyDescent="0.25">
      <c r="E510" s="121"/>
      <c r="F510" s="121"/>
      <c r="G510" s="122"/>
      <c r="J510" s="123"/>
      <c r="K510" s="103"/>
      <c r="N510" s="103"/>
    </row>
    <row r="511" spans="5:14" s="53" customFormat="1" ht="25.15" customHeight="1" x14ac:dyDescent="0.25">
      <c r="E511" s="121"/>
      <c r="F511" s="121"/>
      <c r="G511" s="122"/>
      <c r="J511" s="123"/>
      <c r="K511" s="103"/>
      <c r="N511" s="103"/>
    </row>
    <row r="512" spans="5:14" s="53" customFormat="1" ht="25.15" customHeight="1" x14ac:dyDescent="0.25">
      <c r="E512" s="121"/>
      <c r="F512" s="121"/>
      <c r="G512" s="122"/>
      <c r="J512" s="123"/>
      <c r="K512" s="103"/>
      <c r="N512" s="103"/>
    </row>
    <row r="513" spans="5:14" s="53" customFormat="1" ht="25.15" customHeight="1" x14ac:dyDescent="0.25">
      <c r="E513" s="121"/>
      <c r="F513" s="121"/>
      <c r="G513" s="122"/>
      <c r="J513" s="123"/>
      <c r="K513" s="103"/>
      <c r="N513" s="103"/>
    </row>
    <row r="514" spans="5:14" s="53" customFormat="1" ht="25.15" customHeight="1" x14ac:dyDescent="0.25">
      <c r="E514" s="121"/>
      <c r="F514" s="121"/>
      <c r="G514" s="122"/>
      <c r="J514" s="123"/>
      <c r="K514" s="103"/>
      <c r="N514" s="103"/>
    </row>
    <row r="515" spans="5:14" s="53" customFormat="1" ht="25.15" customHeight="1" x14ac:dyDescent="0.25">
      <c r="E515" s="121"/>
      <c r="F515" s="121"/>
      <c r="G515" s="122"/>
      <c r="J515" s="123"/>
      <c r="K515" s="103"/>
      <c r="N515" s="103"/>
    </row>
    <row r="516" spans="5:14" s="53" customFormat="1" ht="25.15" customHeight="1" x14ac:dyDescent="0.25">
      <c r="E516" s="121"/>
      <c r="F516" s="121"/>
      <c r="G516" s="122"/>
      <c r="J516" s="123"/>
      <c r="K516" s="103"/>
      <c r="N516" s="103"/>
    </row>
    <row r="517" spans="5:14" s="53" customFormat="1" ht="25.15" customHeight="1" x14ac:dyDescent="0.25">
      <c r="E517" s="121"/>
      <c r="F517" s="121"/>
      <c r="G517" s="122"/>
      <c r="J517" s="123"/>
      <c r="K517" s="103"/>
      <c r="N517" s="103"/>
    </row>
    <row r="518" spans="5:14" s="53" customFormat="1" ht="25.15" customHeight="1" x14ac:dyDescent="0.25">
      <c r="E518" s="121"/>
      <c r="F518" s="121"/>
      <c r="G518" s="122"/>
      <c r="J518" s="123"/>
      <c r="K518" s="103"/>
      <c r="N518" s="103"/>
    </row>
    <row r="519" spans="5:14" s="53" customFormat="1" ht="25.15" customHeight="1" x14ac:dyDescent="0.25">
      <c r="E519" s="121"/>
      <c r="F519" s="121"/>
      <c r="G519" s="122"/>
      <c r="J519" s="123"/>
      <c r="K519" s="103"/>
      <c r="N519" s="103"/>
    </row>
    <row r="520" spans="5:14" s="53" customFormat="1" ht="25.15" customHeight="1" x14ac:dyDescent="0.25">
      <c r="E520" s="121"/>
      <c r="F520" s="121"/>
      <c r="G520" s="122"/>
      <c r="J520" s="123"/>
      <c r="K520" s="103"/>
      <c r="N520" s="103"/>
    </row>
    <row r="521" spans="5:14" s="53" customFormat="1" ht="25.15" customHeight="1" x14ac:dyDescent="0.25">
      <c r="E521" s="121"/>
      <c r="F521" s="121"/>
      <c r="G521" s="122"/>
      <c r="J521" s="123"/>
      <c r="K521" s="103"/>
      <c r="N521" s="103"/>
    </row>
    <row r="522" spans="5:14" s="53" customFormat="1" ht="25.15" customHeight="1" x14ac:dyDescent="0.25">
      <c r="E522" s="121"/>
      <c r="F522" s="121"/>
      <c r="G522" s="122"/>
      <c r="J522" s="123"/>
      <c r="K522" s="103"/>
      <c r="N522" s="103"/>
    </row>
    <row r="523" spans="5:14" s="53" customFormat="1" ht="25.15" customHeight="1" x14ac:dyDescent="0.25">
      <c r="E523" s="121"/>
      <c r="F523" s="121"/>
      <c r="G523" s="122"/>
      <c r="J523" s="123"/>
      <c r="K523" s="103"/>
      <c r="N523" s="103"/>
    </row>
    <row r="524" spans="5:14" s="53" customFormat="1" ht="25.15" customHeight="1" x14ac:dyDescent="0.25">
      <c r="E524" s="121"/>
      <c r="F524" s="121"/>
      <c r="G524" s="122"/>
      <c r="J524" s="123"/>
      <c r="K524" s="103"/>
      <c r="N524" s="103"/>
    </row>
    <row r="525" spans="5:14" s="53" customFormat="1" ht="25.15" customHeight="1" x14ac:dyDescent="0.25">
      <c r="E525" s="121"/>
      <c r="F525" s="121"/>
      <c r="G525" s="122"/>
      <c r="J525" s="123"/>
      <c r="K525" s="103"/>
      <c r="N525" s="103"/>
    </row>
    <row r="526" spans="5:14" s="53" customFormat="1" ht="25.15" customHeight="1" x14ac:dyDescent="0.25">
      <c r="E526" s="121"/>
      <c r="F526" s="121"/>
      <c r="G526" s="122"/>
      <c r="J526" s="123"/>
      <c r="K526" s="103"/>
      <c r="N526" s="103"/>
    </row>
    <row r="527" spans="5:14" s="53" customFormat="1" ht="25.15" customHeight="1" x14ac:dyDescent="0.25">
      <c r="E527" s="121"/>
      <c r="F527" s="121"/>
      <c r="G527" s="122"/>
      <c r="J527" s="123"/>
      <c r="K527" s="103"/>
      <c r="N527" s="103"/>
    </row>
    <row r="528" spans="5:14" s="53" customFormat="1" ht="25.15" customHeight="1" x14ac:dyDescent="0.25">
      <c r="E528" s="121"/>
      <c r="F528" s="121"/>
      <c r="G528" s="122"/>
      <c r="J528" s="123"/>
      <c r="K528" s="103"/>
      <c r="N528" s="103"/>
    </row>
    <row r="529" spans="5:14" s="53" customFormat="1" ht="25.15" customHeight="1" x14ac:dyDescent="0.25">
      <c r="E529" s="121"/>
      <c r="F529" s="121"/>
      <c r="G529" s="122"/>
      <c r="J529" s="123"/>
      <c r="K529" s="103"/>
      <c r="N529" s="103"/>
    </row>
    <row r="530" spans="5:14" s="53" customFormat="1" ht="25.15" customHeight="1" x14ac:dyDescent="0.25">
      <c r="E530" s="121"/>
      <c r="F530" s="121"/>
      <c r="G530" s="122"/>
      <c r="J530" s="123"/>
      <c r="K530" s="103"/>
      <c r="N530" s="103"/>
    </row>
    <row r="531" spans="5:14" s="53" customFormat="1" ht="25.15" customHeight="1" x14ac:dyDescent="0.25">
      <c r="E531" s="121"/>
      <c r="F531" s="121"/>
      <c r="G531" s="122"/>
      <c r="J531" s="123"/>
      <c r="K531" s="103"/>
      <c r="N531" s="103"/>
    </row>
    <row r="532" spans="5:14" s="53" customFormat="1" ht="25.15" customHeight="1" x14ac:dyDescent="0.25">
      <c r="E532" s="121"/>
      <c r="F532" s="121"/>
      <c r="G532" s="122"/>
      <c r="J532" s="123"/>
      <c r="K532" s="103"/>
      <c r="N532" s="103"/>
    </row>
    <row r="533" spans="5:14" s="53" customFormat="1" ht="25.15" customHeight="1" x14ac:dyDescent="0.25">
      <c r="E533" s="121"/>
      <c r="F533" s="121"/>
      <c r="G533" s="122"/>
      <c r="J533" s="123"/>
      <c r="K533" s="103"/>
      <c r="N533" s="103"/>
    </row>
    <row r="534" spans="5:14" s="53" customFormat="1" ht="25.15" customHeight="1" x14ac:dyDescent="0.25">
      <c r="E534" s="121"/>
      <c r="F534" s="121"/>
      <c r="G534" s="122"/>
      <c r="J534" s="123"/>
      <c r="K534" s="103"/>
      <c r="N534" s="103"/>
    </row>
    <row r="535" spans="5:14" s="53" customFormat="1" ht="25.15" customHeight="1" x14ac:dyDescent="0.25">
      <c r="E535" s="121"/>
      <c r="F535" s="121"/>
      <c r="G535" s="122"/>
      <c r="J535" s="123"/>
      <c r="K535" s="103"/>
      <c r="N535" s="103"/>
    </row>
    <row r="536" spans="5:14" s="53" customFormat="1" ht="25.15" customHeight="1" x14ac:dyDescent="0.25">
      <c r="E536" s="121"/>
      <c r="F536" s="121"/>
      <c r="G536" s="122"/>
      <c r="J536" s="123"/>
      <c r="K536" s="103"/>
      <c r="N536" s="103"/>
    </row>
    <row r="537" spans="5:14" s="53" customFormat="1" ht="25.15" customHeight="1" x14ac:dyDescent="0.25">
      <c r="E537" s="121"/>
      <c r="F537" s="121"/>
      <c r="G537" s="122"/>
      <c r="J537" s="123"/>
      <c r="K537" s="103"/>
      <c r="N537" s="103"/>
    </row>
    <row r="538" spans="5:14" s="53" customFormat="1" ht="25.15" customHeight="1" x14ac:dyDescent="0.25">
      <c r="E538" s="121"/>
      <c r="F538" s="121"/>
      <c r="G538" s="122"/>
      <c r="J538" s="123"/>
      <c r="K538" s="103"/>
      <c r="N538" s="103"/>
    </row>
    <row r="539" spans="5:14" s="53" customFormat="1" ht="25.15" customHeight="1" x14ac:dyDescent="0.25">
      <c r="E539" s="121"/>
      <c r="F539" s="121"/>
      <c r="G539" s="122"/>
      <c r="J539" s="123"/>
      <c r="K539" s="103"/>
      <c r="N539" s="103"/>
    </row>
    <row r="540" spans="5:14" s="53" customFormat="1" ht="25.15" customHeight="1" x14ac:dyDescent="0.25">
      <c r="E540" s="121"/>
      <c r="F540" s="121"/>
      <c r="G540" s="122"/>
      <c r="J540" s="123"/>
      <c r="K540" s="103"/>
      <c r="N540" s="103"/>
    </row>
    <row r="541" spans="5:14" s="53" customFormat="1" ht="25.15" customHeight="1" x14ac:dyDescent="0.25">
      <c r="E541" s="121"/>
      <c r="F541" s="121"/>
      <c r="G541" s="122"/>
      <c r="J541" s="123"/>
      <c r="K541" s="103"/>
      <c r="N541" s="103"/>
    </row>
    <row r="542" spans="5:14" s="53" customFormat="1" ht="25.15" customHeight="1" x14ac:dyDescent="0.25">
      <c r="E542" s="121"/>
      <c r="F542" s="121"/>
      <c r="G542" s="122"/>
      <c r="J542" s="123"/>
      <c r="K542" s="103"/>
      <c r="N542" s="103"/>
    </row>
    <row r="543" spans="5:14" s="53" customFormat="1" ht="25.15" customHeight="1" x14ac:dyDescent="0.25">
      <c r="E543" s="121"/>
      <c r="F543" s="121"/>
      <c r="G543" s="122"/>
      <c r="J543" s="123"/>
      <c r="K543" s="103"/>
      <c r="N543" s="103"/>
    </row>
    <row r="544" spans="5:14" s="53" customFormat="1" ht="25.15" customHeight="1" x14ac:dyDescent="0.25">
      <c r="E544" s="121"/>
      <c r="F544" s="121"/>
      <c r="G544" s="122"/>
      <c r="J544" s="123"/>
      <c r="K544" s="103"/>
      <c r="N544" s="103"/>
    </row>
    <row r="545" spans="5:14" s="53" customFormat="1" ht="25.15" customHeight="1" x14ac:dyDescent="0.25">
      <c r="E545" s="121"/>
      <c r="F545" s="121"/>
      <c r="G545" s="122"/>
      <c r="J545" s="123"/>
      <c r="K545" s="103"/>
      <c r="N545" s="103"/>
    </row>
    <row r="546" spans="5:14" s="53" customFormat="1" ht="25.15" customHeight="1" x14ac:dyDescent="0.25">
      <c r="E546" s="121"/>
      <c r="F546" s="121"/>
      <c r="G546" s="122"/>
      <c r="J546" s="123"/>
      <c r="K546" s="103"/>
      <c r="N546" s="103"/>
    </row>
    <row r="547" spans="5:14" s="53" customFormat="1" ht="25.15" customHeight="1" x14ac:dyDescent="0.25">
      <c r="E547" s="121"/>
      <c r="F547" s="121"/>
      <c r="G547" s="122"/>
      <c r="J547" s="123"/>
      <c r="K547" s="103"/>
      <c r="N547" s="103"/>
    </row>
    <row r="548" spans="5:14" s="53" customFormat="1" ht="25.15" customHeight="1" x14ac:dyDescent="0.25">
      <c r="E548" s="121"/>
      <c r="F548" s="121"/>
      <c r="G548" s="122"/>
      <c r="J548" s="123"/>
      <c r="K548" s="103"/>
      <c r="N548" s="103"/>
    </row>
    <row r="549" spans="5:14" s="53" customFormat="1" ht="25.15" customHeight="1" x14ac:dyDescent="0.25">
      <c r="E549" s="121"/>
      <c r="F549" s="121"/>
      <c r="G549" s="122"/>
      <c r="J549" s="123"/>
      <c r="K549" s="103"/>
      <c r="N549" s="103"/>
    </row>
    <row r="550" spans="5:14" s="53" customFormat="1" ht="25.15" customHeight="1" x14ac:dyDescent="0.25">
      <c r="E550" s="121"/>
      <c r="F550" s="121"/>
      <c r="G550" s="122"/>
      <c r="J550" s="123"/>
      <c r="K550" s="103"/>
      <c r="N550" s="103"/>
    </row>
    <row r="551" spans="5:14" s="53" customFormat="1" ht="25.15" customHeight="1" x14ac:dyDescent="0.25">
      <c r="E551" s="121"/>
      <c r="F551" s="121"/>
      <c r="G551" s="122"/>
      <c r="J551" s="123"/>
      <c r="K551" s="103"/>
      <c r="N551" s="103"/>
    </row>
    <row r="552" spans="5:14" s="53" customFormat="1" ht="25.15" customHeight="1" x14ac:dyDescent="0.25">
      <c r="E552" s="121"/>
      <c r="F552" s="121"/>
      <c r="G552" s="122"/>
      <c r="J552" s="123"/>
      <c r="K552" s="103"/>
      <c r="N552" s="103"/>
    </row>
    <row r="553" spans="5:14" s="53" customFormat="1" ht="25.15" customHeight="1" x14ac:dyDescent="0.25">
      <c r="E553" s="121"/>
      <c r="F553" s="121"/>
      <c r="G553" s="122"/>
      <c r="J553" s="123"/>
      <c r="K553" s="103"/>
      <c r="N553" s="103"/>
    </row>
    <row r="554" spans="5:14" s="53" customFormat="1" ht="25.15" customHeight="1" x14ac:dyDescent="0.25">
      <c r="E554" s="121"/>
      <c r="F554" s="121"/>
      <c r="G554" s="122"/>
      <c r="J554" s="123"/>
      <c r="K554" s="103"/>
      <c r="N554" s="103"/>
    </row>
    <row r="555" spans="5:14" s="53" customFormat="1" ht="25.15" customHeight="1" x14ac:dyDescent="0.25">
      <c r="E555" s="121"/>
      <c r="F555" s="121"/>
      <c r="G555" s="122"/>
      <c r="J555" s="123"/>
      <c r="K555" s="103"/>
      <c r="N555" s="103"/>
    </row>
    <row r="556" spans="5:14" s="53" customFormat="1" ht="25.15" customHeight="1" x14ac:dyDescent="0.25">
      <c r="E556" s="121"/>
      <c r="F556" s="121"/>
      <c r="G556" s="122"/>
      <c r="J556" s="123"/>
      <c r="K556" s="103"/>
      <c r="N556" s="103"/>
    </row>
    <row r="557" spans="5:14" s="53" customFormat="1" ht="25.15" customHeight="1" x14ac:dyDescent="0.25">
      <c r="E557" s="121"/>
      <c r="F557" s="121"/>
      <c r="G557" s="122"/>
      <c r="J557" s="123"/>
      <c r="K557" s="103"/>
      <c r="N557" s="103"/>
    </row>
    <row r="558" spans="5:14" s="53" customFormat="1" ht="25.15" customHeight="1" x14ac:dyDescent="0.25">
      <c r="E558" s="121"/>
      <c r="F558" s="121"/>
      <c r="G558" s="122"/>
      <c r="J558" s="123"/>
      <c r="K558" s="103"/>
      <c r="N558" s="103"/>
    </row>
    <row r="559" spans="5:14" s="53" customFormat="1" ht="25.15" customHeight="1" x14ac:dyDescent="0.25">
      <c r="E559" s="121"/>
      <c r="F559" s="121"/>
      <c r="G559" s="122"/>
      <c r="J559" s="123"/>
      <c r="K559" s="103"/>
      <c r="N559" s="103"/>
    </row>
    <row r="560" spans="5:14" s="53" customFormat="1" ht="25.15" customHeight="1" x14ac:dyDescent="0.25">
      <c r="E560" s="121"/>
      <c r="F560" s="121"/>
      <c r="G560" s="122"/>
      <c r="J560" s="123"/>
      <c r="K560" s="103"/>
      <c r="N560" s="103"/>
    </row>
    <row r="561" spans="5:14" s="53" customFormat="1" ht="25.15" customHeight="1" x14ac:dyDescent="0.25">
      <c r="E561" s="121"/>
      <c r="F561" s="121"/>
      <c r="G561" s="122"/>
      <c r="J561" s="123"/>
      <c r="K561" s="103"/>
      <c r="N561" s="103"/>
    </row>
    <row r="562" spans="5:14" s="53" customFormat="1" ht="25.15" customHeight="1" x14ac:dyDescent="0.25">
      <c r="E562" s="121"/>
      <c r="F562" s="121"/>
      <c r="G562" s="122"/>
      <c r="J562" s="123"/>
      <c r="K562" s="103"/>
      <c r="N562" s="103"/>
    </row>
    <row r="563" spans="5:14" s="53" customFormat="1" ht="25.15" customHeight="1" x14ac:dyDescent="0.25">
      <c r="E563" s="121"/>
      <c r="F563" s="121"/>
      <c r="G563" s="122"/>
      <c r="J563" s="123"/>
      <c r="K563" s="103"/>
      <c r="N563" s="103"/>
    </row>
    <row r="564" spans="5:14" s="53" customFormat="1" ht="25.15" customHeight="1" x14ac:dyDescent="0.25">
      <c r="E564" s="121"/>
      <c r="F564" s="121"/>
      <c r="G564" s="122"/>
      <c r="J564" s="123"/>
      <c r="K564" s="103"/>
      <c r="N564" s="103"/>
    </row>
    <row r="565" spans="5:14" s="53" customFormat="1" ht="25.15" customHeight="1" x14ac:dyDescent="0.25">
      <c r="E565" s="121"/>
      <c r="F565" s="121"/>
      <c r="G565" s="122"/>
      <c r="J565" s="123"/>
      <c r="K565" s="103"/>
      <c r="N565" s="103"/>
    </row>
    <row r="566" spans="5:14" s="53" customFormat="1" ht="25.15" customHeight="1" x14ac:dyDescent="0.25">
      <c r="E566" s="121"/>
      <c r="F566" s="121"/>
      <c r="G566" s="122"/>
      <c r="J566" s="123"/>
      <c r="K566" s="103"/>
      <c r="N566" s="103"/>
    </row>
    <row r="567" spans="5:14" s="53" customFormat="1" ht="25.15" customHeight="1" x14ac:dyDescent="0.25">
      <c r="E567" s="121"/>
      <c r="F567" s="121"/>
      <c r="G567" s="122"/>
      <c r="J567" s="123"/>
      <c r="K567" s="103"/>
      <c r="N567" s="103"/>
    </row>
    <row r="568" spans="5:14" s="53" customFormat="1" ht="25.15" customHeight="1" x14ac:dyDescent="0.25">
      <c r="E568" s="121"/>
      <c r="F568" s="121"/>
      <c r="G568" s="122"/>
      <c r="J568" s="123"/>
      <c r="K568" s="103"/>
      <c r="N568" s="103"/>
    </row>
    <row r="569" spans="5:14" s="53" customFormat="1" ht="25.15" customHeight="1" x14ac:dyDescent="0.25">
      <c r="E569" s="121"/>
      <c r="F569" s="121"/>
      <c r="G569" s="122"/>
      <c r="J569" s="123"/>
      <c r="K569" s="103"/>
      <c r="N569" s="103"/>
    </row>
    <row r="570" spans="5:14" s="53" customFormat="1" ht="25.15" customHeight="1" x14ac:dyDescent="0.25">
      <c r="E570" s="121"/>
      <c r="F570" s="121"/>
      <c r="G570" s="122"/>
      <c r="J570" s="123"/>
      <c r="K570" s="103"/>
      <c r="N570" s="103"/>
    </row>
    <row r="571" spans="5:14" s="53" customFormat="1" ht="25.15" customHeight="1" x14ac:dyDescent="0.25">
      <c r="E571" s="121"/>
      <c r="F571" s="121"/>
      <c r="G571" s="122"/>
      <c r="J571" s="123"/>
      <c r="K571" s="103"/>
      <c r="N571" s="103"/>
    </row>
    <row r="572" spans="5:14" s="53" customFormat="1" ht="25.15" customHeight="1" x14ac:dyDescent="0.25">
      <c r="E572" s="121"/>
      <c r="F572" s="121"/>
      <c r="G572" s="122"/>
      <c r="J572" s="123"/>
      <c r="K572" s="103"/>
      <c r="N572" s="103"/>
    </row>
    <row r="573" spans="5:14" s="53" customFormat="1" ht="25.15" customHeight="1" x14ac:dyDescent="0.25">
      <c r="E573" s="121"/>
      <c r="F573" s="121"/>
      <c r="G573" s="122"/>
      <c r="J573" s="123"/>
      <c r="K573" s="103"/>
      <c r="N573" s="103"/>
    </row>
    <row r="574" spans="5:14" s="53" customFormat="1" ht="25.15" customHeight="1" x14ac:dyDescent="0.25">
      <c r="E574" s="121"/>
      <c r="F574" s="121"/>
      <c r="G574" s="122"/>
      <c r="J574" s="123"/>
      <c r="K574" s="103"/>
      <c r="N574" s="103"/>
    </row>
    <row r="575" spans="5:14" s="53" customFormat="1" ht="25.15" customHeight="1" x14ac:dyDescent="0.25">
      <c r="E575" s="121"/>
      <c r="F575" s="121"/>
      <c r="G575" s="122"/>
      <c r="J575" s="123"/>
      <c r="K575" s="103"/>
      <c r="N575" s="103"/>
    </row>
    <row r="576" spans="5:14" s="53" customFormat="1" ht="25.15" customHeight="1" x14ac:dyDescent="0.25">
      <c r="E576" s="121"/>
      <c r="F576" s="121"/>
      <c r="G576" s="122"/>
      <c r="J576" s="123"/>
      <c r="K576" s="103"/>
      <c r="N576" s="103"/>
    </row>
    <row r="577" spans="5:14" s="53" customFormat="1" ht="25.15" customHeight="1" x14ac:dyDescent="0.25">
      <c r="E577" s="121"/>
      <c r="F577" s="121"/>
      <c r="G577" s="122"/>
      <c r="J577" s="123"/>
      <c r="K577" s="103"/>
      <c r="N577" s="103"/>
    </row>
    <row r="578" spans="5:14" s="53" customFormat="1" ht="25.15" customHeight="1" x14ac:dyDescent="0.25">
      <c r="E578" s="121"/>
      <c r="F578" s="121"/>
      <c r="G578" s="122"/>
      <c r="J578" s="123"/>
      <c r="K578" s="103"/>
      <c r="N578" s="103"/>
    </row>
    <row r="579" spans="5:14" s="53" customFormat="1" ht="25.15" customHeight="1" x14ac:dyDescent="0.25">
      <c r="E579" s="121"/>
      <c r="F579" s="121"/>
      <c r="G579" s="122"/>
      <c r="J579" s="123"/>
      <c r="K579" s="103"/>
      <c r="N579" s="103"/>
    </row>
    <row r="580" spans="5:14" s="53" customFormat="1" ht="25.15" customHeight="1" x14ac:dyDescent="0.25">
      <c r="E580" s="121"/>
      <c r="F580" s="121"/>
      <c r="G580" s="122"/>
      <c r="J580" s="123"/>
      <c r="K580" s="103"/>
      <c r="N580" s="103"/>
    </row>
    <row r="581" spans="5:14" s="53" customFormat="1" ht="25.15" customHeight="1" x14ac:dyDescent="0.25">
      <c r="E581" s="121"/>
      <c r="F581" s="121"/>
      <c r="G581" s="122"/>
      <c r="J581" s="123"/>
      <c r="K581" s="103"/>
      <c r="N581" s="103"/>
    </row>
    <row r="582" spans="5:14" s="53" customFormat="1" ht="25.15" customHeight="1" x14ac:dyDescent="0.25">
      <c r="E582" s="121"/>
      <c r="F582" s="121"/>
      <c r="G582" s="122"/>
      <c r="J582" s="123"/>
      <c r="K582" s="103"/>
      <c r="N582" s="103"/>
    </row>
    <row r="583" spans="5:14" s="53" customFormat="1" ht="25.15" customHeight="1" x14ac:dyDescent="0.25">
      <c r="E583" s="121"/>
      <c r="F583" s="121"/>
      <c r="G583" s="122"/>
      <c r="J583" s="123"/>
      <c r="K583" s="103"/>
      <c r="N583" s="103"/>
    </row>
    <row r="584" spans="5:14" s="53" customFormat="1" ht="25.15" customHeight="1" x14ac:dyDescent="0.25">
      <c r="E584" s="121"/>
      <c r="F584" s="121"/>
      <c r="G584" s="122"/>
      <c r="J584" s="123"/>
      <c r="K584" s="103"/>
      <c r="N584" s="103"/>
    </row>
    <row r="585" spans="5:14" s="53" customFormat="1" ht="25.15" customHeight="1" x14ac:dyDescent="0.25">
      <c r="E585" s="121"/>
      <c r="F585" s="121"/>
      <c r="G585" s="122"/>
      <c r="J585" s="123"/>
      <c r="K585" s="103"/>
      <c r="N585" s="103"/>
    </row>
    <row r="586" spans="5:14" s="53" customFormat="1" ht="25.15" customHeight="1" x14ac:dyDescent="0.25">
      <c r="E586" s="121"/>
      <c r="F586" s="121"/>
      <c r="G586" s="122"/>
      <c r="J586" s="123"/>
      <c r="K586" s="103"/>
      <c r="N586" s="103"/>
    </row>
    <row r="587" spans="5:14" s="53" customFormat="1" ht="25.15" customHeight="1" x14ac:dyDescent="0.25">
      <c r="E587" s="121"/>
      <c r="F587" s="121"/>
      <c r="G587" s="122"/>
      <c r="J587" s="123"/>
      <c r="K587" s="103"/>
      <c r="N587" s="103"/>
    </row>
    <row r="588" spans="5:14" s="53" customFormat="1" ht="25.15" customHeight="1" x14ac:dyDescent="0.25">
      <c r="E588" s="121"/>
      <c r="F588" s="121"/>
      <c r="G588" s="122"/>
      <c r="J588" s="123"/>
      <c r="K588" s="103"/>
      <c r="N588" s="103"/>
    </row>
    <row r="589" spans="5:14" s="53" customFormat="1" ht="25.15" customHeight="1" x14ac:dyDescent="0.25">
      <c r="E589" s="121"/>
      <c r="F589" s="121"/>
      <c r="G589" s="122"/>
      <c r="J589" s="123"/>
      <c r="K589" s="103"/>
      <c r="N589" s="103"/>
    </row>
    <row r="590" spans="5:14" s="53" customFormat="1" ht="25.15" customHeight="1" x14ac:dyDescent="0.25">
      <c r="E590" s="121"/>
      <c r="F590" s="121"/>
      <c r="G590" s="122"/>
      <c r="J590" s="123"/>
      <c r="K590" s="103"/>
      <c r="N590" s="103"/>
    </row>
    <row r="591" spans="5:14" s="53" customFormat="1" ht="25.15" customHeight="1" x14ac:dyDescent="0.25">
      <c r="E591" s="121"/>
      <c r="F591" s="121"/>
      <c r="G591" s="122"/>
      <c r="J591" s="123"/>
      <c r="K591" s="103"/>
      <c r="N591" s="103"/>
    </row>
    <row r="592" spans="5:14" s="53" customFormat="1" ht="25.15" customHeight="1" x14ac:dyDescent="0.25">
      <c r="E592" s="121"/>
      <c r="F592" s="121"/>
      <c r="G592" s="122"/>
      <c r="J592" s="123"/>
      <c r="K592" s="103"/>
      <c r="N592" s="103"/>
    </row>
    <row r="593" spans="5:14" s="53" customFormat="1" ht="18" customHeight="1" x14ac:dyDescent="0.25">
      <c r="E593" s="121"/>
      <c r="F593" s="121"/>
      <c r="G593" s="122"/>
      <c r="J593" s="123"/>
      <c r="K593" s="103"/>
      <c r="N593" s="103"/>
    </row>
    <row r="594" spans="5:14" s="53" customFormat="1" ht="18" customHeight="1" x14ac:dyDescent="0.25">
      <c r="E594" s="121"/>
      <c r="F594" s="121"/>
      <c r="G594" s="122"/>
      <c r="J594" s="123"/>
      <c r="K594" s="103"/>
      <c r="N594" s="103"/>
    </row>
    <row r="595" spans="5:14" s="53" customFormat="1" ht="18" customHeight="1" x14ac:dyDescent="0.25">
      <c r="E595" s="121"/>
      <c r="F595" s="121"/>
      <c r="G595" s="122"/>
      <c r="J595" s="123"/>
      <c r="K595" s="103"/>
      <c r="N595" s="103"/>
    </row>
    <row r="596" spans="5:14" s="53" customFormat="1" ht="18" customHeight="1" x14ac:dyDescent="0.25">
      <c r="E596" s="121"/>
      <c r="F596" s="121"/>
      <c r="G596" s="122"/>
      <c r="J596" s="123"/>
      <c r="K596" s="103"/>
      <c r="N596" s="103"/>
    </row>
    <row r="597" spans="5:14" s="53" customFormat="1" ht="18" customHeight="1" x14ac:dyDescent="0.25">
      <c r="E597" s="121"/>
      <c r="F597" s="121"/>
      <c r="G597" s="122"/>
      <c r="J597" s="123"/>
      <c r="K597" s="103"/>
      <c r="N597" s="103"/>
    </row>
    <row r="598" spans="5:14" s="53" customFormat="1" ht="18" customHeight="1" x14ac:dyDescent="0.25">
      <c r="E598" s="121"/>
      <c r="F598" s="121"/>
      <c r="G598" s="122"/>
      <c r="J598" s="123"/>
      <c r="K598" s="103"/>
      <c r="N598" s="103"/>
    </row>
    <row r="599" spans="5:14" s="53" customFormat="1" ht="18" customHeight="1" x14ac:dyDescent="0.25">
      <c r="E599" s="121"/>
      <c r="F599" s="121"/>
      <c r="G599" s="122"/>
      <c r="J599" s="123"/>
      <c r="K599" s="103"/>
      <c r="N599" s="103"/>
    </row>
    <row r="600" spans="5:14" s="53" customFormat="1" ht="18" customHeight="1" x14ac:dyDescent="0.25">
      <c r="E600" s="121"/>
      <c r="F600" s="121"/>
      <c r="G600" s="122"/>
      <c r="J600" s="123"/>
      <c r="K600" s="103"/>
      <c r="N600" s="103"/>
    </row>
    <row r="601" spans="5:14" s="53" customFormat="1" ht="18" customHeight="1" x14ac:dyDescent="0.25">
      <c r="E601" s="121"/>
      <c r="F601" s="121"/>
      <c r="G601" s="122"/>
      <c r="J601" s="123"/>
      <c r="K601" s="103"/>
      <c r="N601" s="103"/>
    </row>
    <row r="602" spans="5:14" s="53" customFormat="1" ht="18" customHeight="1" x14ac:dyDescent="0.25">
      <c r="E602" s="121"/>
      <c r="F602" s="121"/>
      <c r="G602" s="122"/>
      <c r="J602" s="123"/>
      <c r="K602" s="103"/>
      <c r="N602" s="103"/>
    </row>
    <row r="603" spans="5:14" s="53" customFormat="1" ht="18" customHeight="1" x14ac:dyDescent="0.25">
      <c r="E603" s="121"/>
      <c r="F603" s="121"/>
      <c r="G603" s="122"/>
      <c r="J603" s="123"/>
      <c r="K603" s="103"/>
      <c r="N603" s="103"/>
    </row>
    <row r="604" spans="5:14" s="53" customFormat="1" ht="18" customHeight="1" x14ac:dyDescent="0.25">
      <c r="E604" s="121"/>
      <c r="F604" s="121"/>
      <c r="G604" s="122"/>
      <c r="J604" s="123"/>
      <c r="K604" s="103"/>
      <c r="N604" s="103"/>
    </row>
    <row r="605" spans="5:14" s="53" customFormat="1" ht="18" customHeight="1" x14ac:dyDescent="0.25">
      <c r="E605" s="121"/>
      <c r="F605" s="121"/>
      <c r="G605" s="122"/>
      <c r="J605" s="123"/>
      <c r="K605" s="103"/>
      <c r="N605" s="103"/>
    </row>
    <row r="606" spans="5:14" s="53" customFormat="1" ht="18" customHeight="1" x14ac:dyDescent="0.25">
      <c r="E606" s="121"/>
      <c r="F606" s="121"/>
      <c r="G606" s="122"/>
      <c r="J606" s="123"/>
      <c r="K606" s="103"/>
      <c r="N606" s="103"/>
    </row>
    <row r="607" spans="5:14" s="53" customFormat="1" ht="18" customHeight="1" x14ac:dyDescent="0.25">
      <c r="E607" s="121"/>
      <c r="F607" s="121"/>
      <c r="G607" s="122"/>
      <c r="J607" s="123"/>
      <c r="K607" s="103"/>
      <c r="N607" s="103"/>
    </row>
    <row r="608" spans="5:14" s="53" customFormat="1" ht="18" customHeight="1" x14ac:dyDescent="0.25">
      <c r="E608" s="121"/>
      <c r="F608" s="121"/>
      <c r="G608" s="122"/>
      <c r="J608" s="123"/>
      <c r="K608" s="103"/>
      <c r="N608" s="103"/>
    </row>
    <row r="609" spans="2:17" s="53" customFormat="1" ht="18" customHeight="1" x14ac:dyDescent="0.25">
      <c r="E609" s="121"/>
      <c r="F609" s="121"/>
      <c r="G609" s="122"/>
      <c r="J609" s="123"/>
      <c r="K609" s="103"/>
      <c r="N609" s="103"/>
    </row>
    <row r="610" spans="2:17" s="53" customFormat="1" ht="18" customHeight="1" x14ac:dyDescent="0.25">
      <c r="E610" s="121"/>
      <c r="F610" s="121"/>
      <c r="G610" s="122"/>
      <c r="J610" s="123"/>
      <c r="K610" s="103"/>
      <c r="N610" s="103"/>
    </row>
    <row r="611" spans="2:17" s="53" customFormat="1" ht="18" customHeight="1" x14ac:dyDescent="0.25">
      <c r="E611" s="121"/>
      <c r="F611" s="121"/>
      <c r="G611" s="122"/>
      <c r="J611" s="123"/>
      <c r="K611" s="103"/>
      <c r="N611" s="103"/>
    </row>
    <row r="612" spans="2:17" s="53" customFormat="1" ht="18" customHeight="1" x14ac:dyDescent="0.25">
      <c r="E612" s="121"/>
      <c r="F612" s="121"/>
      <c r="G612" s="122"/>
      <c r="J612" s="123"/>
      <c r="K612" s="103"/>
      <c r="N612" s="103"/>
    </row>
    <row r="613" spans="2:17" s="53" customFormat="1" ht="18" customHeight="1" x14ac:dyDescent="0.25">
      <c r="E613" s="121"/>
      <c r="F613" s="121"/>
      <c r="G613" s="122"/>
      <c r="J613" s="123"/>
      <c r="K613" s="103"/>
      <c r="N613" s="103"/>
    </row>
    <row r="614" spans="2:17" s="53" customFormat="1" ht="18" customHeight="1" x14ac:dyDescent="0.25">
      <c r="E614" s="121"/>
      <c r="F614" s="121"/>
      <c r="G614" s="122"/>
      <c r="J614" s="123"/>
      <c r="K614" s="103"/>
      <c r="N614" s="103"/>
    </row>
    <row r="615" spans="2:17" s="53" customFormat="1" ht="18" customHeight="1" x14ac:dyDescent="0.25">
      <c r="E615" s="121"/>
      <c r="F615" s="121"/>
      <c r="G615" s="122"/>
      <c r="J615" s="123"/>
      <c r="K615" s="103"/>
      <c r="N615" s="103"/>
    </row>
    <row r="616" spans="2:17" s="53" customFormat="1" ht="18" customHeight="1" x14ac:dyDescent="0.25">
      <c r="E616" s="121"/>
      <c r="F616" s="121"/>
      <c r="G616" s="122"/>
      <c r="J616" s="123"/>
      <c r="K616" s="103"/>
      <c r="N616" s="103"/>
    </row>
    <row r="617" spans="2:17" s="53" customFormat="1" ht="18" customHeight="1" x14ac:dyDescent="0.25">
      <c r="E617" s="121"/>
      <c r="F617" s="121"/>
      <c r="G617" s="122"/>
      <c r="J617" s="123"/>
      <c r="K617" s="103"/>
      <c r="N617" s="103"/>
    </row>
    <row r="618" spans="2:17" s="53" customFormat="1" ht="18" customHeight="1" x14ac:dyDescent="0.25">
      <c r="E618" s="121"/>
      <c r="F618" s="121"/>
      <c r="G618" s="122"/>
      <c r="J618" s="123"/>
      <c r="K618" s="103"/>
      <c r="N618" s="103"/>
    </row>
    <row r="619" spans="2:17" s="53" customFormat="1" ht="18" customHeight="1" x14ac:dyDescent="0.25">
      <c r="E619" s="121"/>
      <c r="F619" s="121"/>
      <c r="G619" s="122"/>
      <c r="J619" s="123"/>
      <c r="K619" s="103"/>
      <c r="N619" s="103"/>
    </row>
    <row r="620" spans="2:17" x14ac:dyDescent="0.25">
      <c r="B620" s="53"/>
      <c r="C620" s="53"/>
      <c r="D620" s="53"/>
      <c r="E620" s="121"/>
      <c r="F620" s="121"/>
      <c r="G620" s="122"/>
      <c r="H620" s="53"/>
      <c r="I620" s="53"/>
      <c r="J620" s="123"/>
      <c r="K620" s="103"/>
      <c r="L620" s="53"/>
      <c r="M620" s="53"/>
      <c r="N620" s="103"/>
      <c r="O620" s="53"/>
      <c r="P620" s="53"/>
      <c r="Q620" s="53"/>
    </row>
    <row r="621" spans="2:17" x14ac:dyDescent="0.25">
      <c r="B621" s="53"/>
      <c r="C621" s="53"/>
      <c r="D621" s="53"/>
      <c r="E621" s="121"/>
      <c r="F621" s="121"/>
      <c r="G621" s="122"/>
      <c r="H621" s="53"/>
      <c r="I621" s="53"/>
      <c r="J621" s="123"/>
      <c r="K621" s="103"/>
      <c r="L621" s="53"/>
      <c r="M621" s="53"/>
      <c r="N621" s="103"/>
      <c r="O621" s="53"/>
      <c r="P621" s="53"/>
      <c r="Q621" s="53"/>
    </row>
    <row r="622" spans="2:17" x14ac:dyDescent="0.25">
      <c r="B622" s="53"/>
      <c r="C622" s="53"/>
      <c r="D622" s="53"/>
      <c r="E622" s="121"/>
      <c r="F622" s="121"/>
      <c r="G622" s="122"/>
      <c r="H622" s="53"/>
      <c r="I622" s="53"/>
      <c r="J622" s="123"/>
      <c r="K622" s="103"/>
      <c r="L622" s="53"/>
      <c r="M622" s="53"/>
      <c r="N622" s="103"/>
      <c r="O622" s="53"/>
      <c r="P622" s="53"/>
      <c r="Q622" s="53"/>
    </row>
    <row r="623" spans="2:17" x14ac:dyDescent="0.25">
      <c r="B623" s="53"/>
      <c r="C623" s="53"/>
      <c r="D623" s="53"/>
      <c r="E623" s="121"/>
      <c r="F623" s="121"/>
      <c r="G623" s="122"/>
      <c r="H623" s="53"/>
      <c r="I623" s="53"/>
      <c r="J623" s="123"/>
      <c r="K623" s="103"/>
      <c r="L623" s="53"/>
      <c r="M623" s="53"/>
      <c r="N623" s="103"/>
      <c r="O623" s="53"/>
      <c r="P623" s="53"/>
      <c r="Q623" s="53"/>
    </row>
    <row r="624" spans="2:17" x14ac:dyDescent="0.25">
      <c r="B624" s="53"/>
      <c r="C624" s="53"/>
      <c r="D624" s="53"/>
      <c r="E624" s="121"/>
      <c r="F624" s="121"/>
      <c r="G624" s="122"/>
      <c r="H624" s="53"/>
      <c r="I624" s="53"/>
      <c r="J624" s="123"/>
      <c r="K624" s="103"/>
      <c r="L624" s="53"/>
      <c r="M624" s="53"/>
      <c r="N624" s="103"/>
      <c r="O624" s="53"/>
      <c r="P624" s="53"/>
      <c r="Q624" s="53"/>
    </row>
    <row r="625" spans="2:17" x14ac:dyDescent="0.25">
      <c r="B625" s="53"/>
      <c r="C625" s="53"/>
      <c r="D625" s="53"/>
      <c r="E625" s="121"/>
      <c r="F625" s="121"/>
      <c r="G625" s="122"/>
      <c r="H625" s="53"/>
      <c r="I625" s="53"/>
      <c r="J625" s="123"/>
      <c r="K625" s="103"/>
      <c r="L625" s="53"/>
      <c r="M625" s="53"/>
      <c r="N625" s="103"/>
      <c r="O625" s="53"/>
      <c r="P625" s="53"/>
      <c r="Q625" s="53"/>
    </row>
    <row r="626" spans="2:17" x14ac:dyDescent="0.25">
      <c r="B626" s="53"/>
      <c r="C626" s="53"/>
      <c r="D626" s="53"/>
      <c r="E626" s="121"/>
      <c r="F626" s="121"/>
      <c r="G626" s="122"/>
      <c r="H626" s="53"/>
      <c r="I626" s="53"/>
      <c r="J626" s="123"/>
      <c r="K626" s="103"/>
      <c r="L626" s="53"/>
      <c r="M626" s="53"/>
      <c r="N626" s="103"/>
      <c r="O626" s="53"/>
      <c r="P626" s="53"/>
      <c r="Q626" s="53"/>
    </row>
    <row r="627" spans="2:17" x14ac:dyDescent="0.25">
      <c r="B627" s="53"/>
      <c r="C627" s="53"/>
      <c r="D627" s="53"/>
      <c r="E627" s="121"/>
      <c r="F627" s="121"/>
      <c r="G627" s="122"/>
      <c r="H627" s="53"/>
      <c r="I627" s="53"/>
      <c r="J627" s="123"/>
      <c r="K627" s="103"/>
      <c r="L627" s="53"/>
      <c r="M627" s="53"/>
      <c r="N627" s="103"/>
      <c r="O627" s="53"/>
      <c r="P627" s="53"/>
      <c r="Q627" s="53"/>
    </row>
    <row r="628" spans="2:17" x14ac:dyDescent="0.25">
      <c r="B628" s="53"/>
      <c r="C628" s="53"/>
      <c r="D628" s="53"/>
      <c r="E628" s="121"/>
      <c r="F628" s="121"/>
      <c r="G628" s="122"/>
      <c r="H628" s="53"/>
      <c r="I628" s="53"/>
      <c r="J628" s="123"/>
      <c r="K628" s="103"/>
      <c r="L628" s="53"/>
      <c r="M628" s="53"/>
      <c r="N628" s="103"/>
      <c r="O628" s="53"/>
      <c r="P628" s="53"/>
      <c r="Q628" s="53"/>
    </row>
    <row r="629" spans="2:17" x14ac:dyDescent="0.25">
      <c r="B629" s="53"/>
      <c r="C629" s="53"/>
      <c r="D629" s="53"/>
      <c r="E629" s="121"/>
      <c r="F629" s="121"/>
      <c r="G629" s="122"/>
      <c r="H629" s="53"/>
      <c r="I629" s="53"/>
      <c r="J629" s="123"/>
      <c r="K629" s="103"/>
      <c r="L629" s="53"/>
      <c r="M629" s="53"/>
      <c r="N629" s="103"/>
      <c r="O629" s="53"/>
      <c r="P629" s="53"/>
      <c r="Q629" s="53"/>
    </row>
    <row r="630" spans="2:17" x14ac:dyDescent="0.25">
      <c r="B630" s="53"/>
      <c r="C630" s="53"/>
      <c r="D630" s="53"/>
      <c r="E630" s="121"/>
      <c r="F630" s="121"/>
      <c r="G630" s="122"/>
      <c r="H630" s="53"/>
      <c r="I630" s="53"/>
      <c r="J630" s="123"/>
      <c r="K630" s="103"/>
      <c r="L630" s="53"/>
      <c r="M630" s="53"/>
      <c r="N630" s="103"/>
      <c r="O630" s="53"/>
      <c r="P630" s="53"/>
      <c r="Q630" s="53"/>
    </row>
  </sheetData>
  <conditionalFormatting sqref="H332:H580">
    <cfRule type="cellIs" dxfId="130" priority="260" operator="lessThan">
      <formula>PFV_Green</formula>
    </cfRule>
    <cfRule type="cellIs" dxfId="129" priority="261" operator="greaterThan">
      <formula>PFV_Red</formula>
    </cfRule>
  </conditionalFormatting>
  <conditionalFormatting sqref="I332:K581">
    <cfRule type="cellIs" dxfId="128" priority="253" operator="lessThan">
      <formula>"C"</formula>
    </cfRule>
    <cfRule type="cellIs" dxfId="127" priority="254" operator="greaterThan">
      <formula>"C"</formula>
    </cfRule>
  </conditionalFormatting>
  <conditionalFormatting sqref="L332:M581">
    <cfRule type="cellIs" dxfId="126" priority="258" operator="lessThan">
      <formula>3</formula>
    </cfRule>
    <cfRule type="cellIs" dxfId="125" priority="259" operator="greaterThan">
      <formula>4</formula>
    </cfRule>
  </conditionalFormatting>
  <conditionalFormatting sqref="G14:Q14 G50:Q50 G52:Q52 G60:Q60 G62:Q62 G66:Q66 G134:Q134 G174:Q175 E15:Q49 E135:Q170 E67:Q133 E63:Q65 E61:Q61 E53:Q59 E51:Q51 E172:Q173 B172:B265 E176:Q265 E5:Q13 B5:B170 D172:F330 D5:F170">
    <cfRule type="expression" dxfId="124" priority="34">
      <formula>#REF!&gt;0</formula>
    </cfRule>
  </conditionalFormatting>
  <conditionalFormatting sqref="L308:M308">
    <cfRule type="expression" dxfId="123" priority="4">
      <formula>#REF!&gt;0</formula>
    </cfRule>
  </conditionalFormatting>
  <conditionalFormatting sqref="B171 N171:Q171 D171:L171">
    <cfRule type="expression" dxfId="122" priority="2">
      <formula>#REF!&gt;0</formula>
    </cfRule>
  </conditionalFormatting>
  <conditionalFormatting sqref="M171">
    <cfRule type="expression" dxfId="121" priority="1">
      <formula>#REF!&gt;0</formula>
    </cfRule>
  </conditionalFormatting>
  <pageMargins left="0.7" right="0.7" top="0.75" bottom="0.75" header="0.3" footer="0.3"/>
  <pageSetup scale="42" fitToHeight="0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FFC000"/>
  </sheetPr>
  <dimension ref="B1:U470"/>
  <sheetViews>
    <sheetView showGridLines="0" zoomScaleNormal="100" workbookViewId="0">
      <selection activeCell="B2" sqref="B2"/>
    </sheetView>
  </sheetViews>
  <sheetFormatPr defaultColWidth="8.85546875" defaultRowHeight="14.25" x14ac:dyDescent="0.25"/>
  <cols>
    <col min="1" max="1" width="0.85546875" customWidth="1"/>
    <col min="3" max="3" width="23.85546875" bestFit="1" customWidth="1"/>
    <col min="4" max="6" width="9.85546875" style="108" customWidth="1"/>
    <col min="7" max="7" width="19.28515625" customWidth="1"/>
    <col min="8" max="8" width="12.140625" customWidth="1"/>
    <col min="9" max="10" width="8.5703125" style="109" customWidth="1"/>
    <col min="11" max="11" width="8.5703125" style="110" customWidth="1"/>
    <col min="12" max="14" width="8.5703125" customWidth="1"/>
    <col min="15" max="15" width="9.5703125" customWidth="1"/>
    <col min="16" max="16" width="17" customWidth="1"/>
    <col min="17" max="21" width="8.85546875" customWidth="1"/>
  </cols>
  <sheetData>
    <row r="1" spans="2:21" ht="5.0999999999999996" customHeight="1" x14ac:dyDescent="0.25"/>
    <row r="2" spans="2:21" s="1" customFormat="1" ht="18" customHeight="1" x14ac:dyDescent="0.25">
      <c r="B2" s="17" t="s">
        <v>480</v>
      </c>
      <c r="D2" s="3"/>
      <c r="E2" s="3"/>
      <c r="F2" s="3"/>
      <c r="I2" s="72"/>
      <c r="J2" s="72"/>
      <c r="K2" s="96"/>
      <c r="L2" s="3"/>
      <c r="M2" s="6"/>
      <c r="N2" s="6"/>
      <c r="O2" s="7"/>
      <c r="P2" s="7"/>
    </row>
    <row r="3" spans="2:21" s="1" customFormat="1" ht="4.5" customHeight="1" x14ac:dyDescent="0.25">
      <c r="D3" s="3"/>
      <c r="E3" s="3"/>
      <c r="F3" s="3"/>
      <c r="I3" s="73"/>
      <c r="J3" s="72"/>
      <c r="K3" s="96"/>
      <c r="L3" s="3"/>
      <c r="M3" s="6"/>
      <c r="N3" s="6"/>
      <c r="O3" s="5"/>
      <c r="P3" s="5"/>
    </row>
    <row r="4" spans="2:21" s="52" customFormat="1" ht="28.5" x14ac:dyDescent="0.25">
      <c r="B4" s="52" t="s">
        <v>411</v>
      </c>
      <c r="C4" s="52" t="s">
        <v>1</v>
      </c>
      <c r="D4" s="70" t="s">
        <v>7</v>
      </c>
      <c r="E4" s="70" t="s">
        <v>101</v>
      </c>
      <c r="F4" s="70" t="s">
        <v>422</v>
      </c>
      <c r="G4" s="52" t="s">
        <v>2</v>
      </c>
      <c r="H4" s="52" t="s">
        <v>168</v>
      </c>
      <c r="I4" s="112" t="s">
        <v>169</v>
      </c>
      <c r="J4" s="112" t="s">
        <v>170</v>
      </c>
      <c r="K4" s="113" t="s">
        <v>11</v>
      </c>
      <c r="L4" s="52" t="s">
        <v>389</v>
      </c>
      <c r="M4" s="52" t="s">
        <v>409</v>
      </c>
      <c r="N4" s="69" t="s">
        <v>695</v>
      </c>
      <c r="O4" s="52" t="s">
        <v>10</v>
      </c>
      <c r="P4" s="52" t="s">
        <v>403</v>
      </c>
      <c r="Q4" s="52" t="s">
        <v>180</v>
      </c>
      <c r="R4" s="52" t="s">
        <v>182</v>
      </c>
      <c r="S4" s="52" t="s">
        <v>400</v>
      </c>
      <c r="T4" s="52" t="s">
        <v>410</v>
      </c>
      <c r="U4" s="52" t="s">
        <v>388</v>
      </c>
    </row>
    <row r="5" spans="2:21" s="52" customFormat="1" ht="25.15" customHeight="1" x14ac:dyDescent="0.25">
      <c r="B5" s="11" t="s">
        <v>486</v>
      </c>
      <c r="C5" s="11" t="e">
        <f>VLOOKUP(Companies_CAD[[#This Row],[Symbol]],ColStart_CAD:ColEnd_CAD,MATCH("Name",Morningstar_Cols_CAD,EXACT_MATCH),EXACT_MATCH)</f>
        <v>#N/A</v>
      </c>
      <c r="D5" s="81" t="e">
        <f>VLOOKUP(Companies_CAD[[#This Row],[Symbol]],ColStart_CAD:ColEnd_CAD,MATCH("$ Current Price",Morningstar_Cols_CAD,EXACT_MATCH),EXACT_MATCH)</f>
        <v>#N/A</v>
      </c>
      <c r="E5" s="84" t="e">
        <f>VLOOKUP(Companies_CAD[[#This Row],[Symbol]],ColStart_CAD:ColEnd_CAD,MATCH("$ Change",Morningstar_Cols_CAD,EXACT_MATCH),EXACT_MATCH)</f>
        <v>#N/A</v>
      </c>
      <c r="F5" s="82" t="e">
        <f>IF(Companies_CAD[[#This Row],[$ Change]]&lt;&gt;0,Companies_CAD[[#This Row],[$ Change]]/(Companies_CAD[[#This Row],[Last Close]]-Companies_CAD[[#This Row],[$ Change]]),0)</f>
        <v>#N/A</v>
      </c>
      <c r="G5" s="11" t="e">
        <f>VLOOKUP(Companies_CAD[[#This Row],[Symbol]],ColStart_CAD:ColEnd_CAD,MATCH("Industry Group",Morningstar_Cols_CAD,EXACT_MATCH),EXACT_MATCH)</f>
        <v>#N/A</v>
      </c>
      <c r="H5" s="114" t="e">
        <f>VLOOKUP(Companies_CAD[[#This Row],[Symbol]],ColStart_CAD:ColEnd_CAD,MATCH("mil$ Market Cap",Morningstar_Cols_CAD,EXACT_MATCH),EXACT_MATCH)</f>
        <v>#N/A</v>
      </c>
      <c r="I5" s="115" t="e">
        <f>VLOOKUP(Companies_CAD[[#This Row],[Symbol]],ColStart_CAD:ColEnd_CAD,MATCH("%  Total Return 3 Month",Morningstar_Cols_CAD,EXACT_MATCH),EXACT_MATCH)/100</f>
        <v>#N/A</v>
      </c>
      <c r="J5" s="115" t="e">
        <f>VLOOKUP(Companies_CAD[[#This Row],[Symbol]],ColStart_CAD:ColEnd_CAD,MATCH("%  Total Return 12 Month",Morningstar_Cols_CAD,EXACT_MATCH),EXACT_MATCH)/100</f>
        <v>#N/A</v>
      </c>
      <c r="K5" s="116" t="e">
        <f>VLOOKUP(Companies_CAD[[#This Row],[Symbol]],ColStart_CAD:ColEnd_CAD,MATCH("Price/ Sales",Morningstar_Cols_CAD,EXACT_MATCH),EXACT_MATCH)</f>
        <v>#N/A</v>
      </c>
      <c r="L5" s="117" t="e">
        <f>VLOOKUP(Companies_CAD[[#This Row],[Symbol]],ColStart_CAD:ColEnd_CAD,MATCH("Price/ Fair Value",Morningstar_Cols_CAD,EXACT_MATCH),EXACT_MATCH)</f>
        <v>#N/A</v>
      </c>
      <c r="M5" s="118" t="e">
        <f>VLOOKUP(Companies_CAD[[#This Row],[Symbol]],ColStart_CAD:ColEnd_CAD,MATCH("Financial  Health Grade",Morningstar_Cols_CAD,EXACT_MATCH),EXACT_MATCH)</f>
        <v>#N/A</v>
      </c>
      <c r="N5" s="107" t="e">
        <f>VLOOKUP(Companies_CAD[[#This Row],[Symbol]],ColStart_CAD:ColEnd_CAD,MATCH("% Dividend Yield TTM",Morningstar_Cols_CAD,EXACT_MATCH),EXACT_MATCH)/100</f>
        <v>#N/A</v>
      </c>
      <c r="O5" s="94" t="e">
        <f>RatingDefault+SUM(Companies_CAD[[#This Row],[3MoPoints]:[PFVPoints]])</f>
        <v>#N/A</v>
      </c>
      <c r="P5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5" s="52" t="e">
        <f>IF(Companies_CAD[[#This Row],[3 Mo. Ret.]]&gt;Return3Mo_Grn,1,IF(Companies_CAD[[#This Row],[3 Mo. Ret.]]&lt;Return3Mo_Red,-1,0))</f>
        <v>#N/A</v>
      </c>
      <c r="R5" s="52" t="e">
        <f>IF(Companies_CAD[[#This Row],[12 Mo. Ret.]]&gt;Return12Mo_Grn,1,IF(Companies_CAD[[#This Row],[12 Mo. Ret.]]&lt;Return12Mo_Red,-1,0))</f>
        <v>#N/A</v>
      </c>
      <c r="S5" s="52" t="e">
        <f>IF(Companies_CAD[[#This Row],[PSR]]&lt;PSR_Green,1,IF(Companies_CAD[[#This Row],[PSR]]&gt;PSR_Red,-1,0))</f>
        <v>#N/A</v>
      </c>
      <c r="T5" s="52" t="e">
        <f>IF(Companies_CAD[[#This Row],[Financial Health]]&lt;"C",1,IF(Companies_CAD[[#This Row],[Financial Health]]&gt;"C",-1,0))</f>
        <v>#N/A</v>
      </c>
      <c r="U5" s="52" t="e">
        <f>IF(Companies_CAD[[#This Row],[PFV]]&lt;PFV_Green,1,IF(Companies_CAD[[#This Row],[PFV]]&gt;PFV_Red,-1,0))</f>
        <v>#N/A</v>
      </c>
    </row>
    <row r="6" spans="2:21" s="52" customFormat="1" ht="25.15" customHeight="1" x14ac:dyDescent="0.25">
      <c r="B6" s="11" t="s">
        <v>483</v>
      </c>
      <c r="C6" s="11" t="e">
        <f>VLOOKUP(Companies_CAD[[#This Row],[Symbol]],ColStart_CAD:ColEnd_CAD,MATCH("Name",Morningstar_Cols_CAD,EXACT_MATCH),EXACT_MATCH)</f>
        <v>#N/A</v>
      </c>
      <c r="D6" s="81" t="e">
        <f>VLOOKUP(Companies_CAD[[#This Row],[Symbol]],ColStart_CAD:ColEnd_CAD,MATCH("$ Current Price",Morningstar_Cols_CAD,EXACT_MATCH),EXACT_MATCH)</f>
        <v>#N/A</v>
      </c>
      <c r="E6" s="84" t="e">
        <f>VLOOKUP(Companies_CAD[[#This Row],[Symbol]],ColStart_CAD:ColEnd_CAD,MATCH("$ Change",Morningstar_Cols_CAD,EXACT_MATCH),EXACT_MATCH)</f>
        <v>#N/A</v>
      </c>
      <c r="F6" s="82" t="e">
        <f>IF(Companies_CAD[[#This Row],[$ Change]]&lt;&gt;0,Companies_CAD[[#This Row],[$ Change]]/(Companies_CAD[[#This Row],[Last Close]]-Companies_CAD[[#This Row],[$ Change]]),0)</f>
        <v>#N/A</v>
      </c>
      <c r="G6" s="11" t="e">
        <f>VLOOKUP(Companies_CAD[[#This Row],[Symbol]],ColStart_CAD:ColEnd_CAD,MATCH("Industry Group",Morningstar_Cols_CAD,EXACT_MATCH),EXACT_MATCH)</f>
        <v>#N/A</v>
      </c>
      <c r="H6" s="114" t="e">
        <f>VLOOKUP(Companies_CAD[[#This Row],[Symbol]],ColStart_CAD:ColEnd_CAD,MATCH("mil$ Market Cap",Morningstar_Cols_CAD,EXACT_MATCH),EXACT_MATCH)</f>
        <v>#N/A</v>
      </c>
      <c r="I6" s="115" t="e">
        <f>VLOOKUP(Companies_CAD[[#This Row],[Symbol]],ColStart_CAD:ColEnd_CAD,MATCH("%  Total Return 3 Month",Morningstar_Cols_CAD,EXACT_MATCH),EXACT_MATCH)/100</f>
        <v>#N/A</v>
      </c>
      <c r="J6" s="115" t="e">
        <f>VLOOKUP(Companies_CAD[[#This Row],[Symbol]],ColStart_CAD:ColEnd_CAD,MATCH("%  Total Return 12 Month",Morningstar_Cols_CAD,EXACT_MATCH),EXACT_MATCH)/100</f>
        <v>#N/A</v>
      </c>
      <c r="K6" s="116" t="e">
        <f>VLOOKUP(Companies_CAD[[#This Row],[Symbol]],ColStart_CAD:ColEnd_CAD,MATCH("Price/ Sales",Morningstar_Cols_CAD,EXACT_MATCH),EXACT_MATCH)</f>
        <v>#N/A</v>
      </c>
      <c r="L6" s="117" t="e">
        <f>VLOOKUP(Companies_CAD[[#This Row],[Symbol]],ColStart_CAD:ColEnd_CAD,MATCH("Price/ Fair Value",Morningstar_Cols_CAD,EXACT_MATCH),EXACT_MATCH)</f>
        <v>#N/A</v>
      </c>
      <c r="M6" s="118" t="e">
        <f>VLOOKUP(Companies_CAD[[#This Row],[Symbol]],ColStart_CAD:ColEnd_CAD,MATCH("Financial  Health Grade",Morningstar_Cols_CAD,EXACT_MATCH),EXACT_MATCH)</f>
        <v>#N/A</v>
      </c>
      <c r="N6" s="107" t="e">
        <f>VLOOKUP(Companies_CAD[[#This Row],[Symbol]],ColStart_CAD:ColEnd_CAD,MATCH("% Dividend Yield TTM",Morningstar_Cols_CAD,EXACT_MATCH),EXACT_MATCH)/100</f>
        <v>#N/A</v>
      </c>
      <c r="O6" s="94" t="e">
        <f>RatingDefault+SUM(Companies_CAD[[#This Row],[3MoPoints]:[PFVPoints]])</f>
        <v>#N/A</v>
      </c>
      <c r="P6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6" s="52" t="e">
        <f>IF(Companies_CAD[[#This Row],[3 Mo. Ret.]]&gt;Return3Mo_Grn,1,IF(Companies_CAD[[#This Row],[3 Mo. Ret.]]&lt;Return3Mo_Red,-1,0))</f>
        <v>#N/A</v>
      </c>
      <c r="R6" s="52" t="e">
        <f>IF(Companies_CAD[[#This Row],[12 Mo. Ret.]]&gt;Return12Mo_Grn,1,IF(Companies_CAD[[#This Row],[12 Mo. Ret.]]&lt;Return12Mo_Red,-1,0))</f>
        <v>#N/A</v>
      </c>
      <c r="S6" s="52" t="e">
        <f>IF(Companies_CAD[[#This Row],[PSR]]&lt;PSR_Green,1,IF(Companies_CAD[[#This Row],[PSR]]&gt;PSR_Red,-1,0))</f>
        <v>#N/A</v>
      </c>
      <c r="T6" s="52" t="e">
        <f>IF(Companies_CAD[[#This Row],[Financial Health]]&lt;"C",1,IF(Companies_CAD[[#This Row],[Financial Health]]&gt;"C",-1,0))</f>
        <v>#N/A</v>
      </c>
      <c r="U6" s="52" t="e">
        <f>IF(Companies_CAD[[#This Row],[PFV]]&lt;PFV_Green,1,IF(Companies_CAD[[#This Row],[PFV]]&gt;PFV_Red,-1,0))</f>
        <v>#N/A</v>
      </c>
    </row>
    <row r="7" spans="2:21" s="52" customFormat="1" ht="25.15" customHeight="1" x14ac:dyDescent="0.25">
      <c r="B7" s="11" t="s">
        <v>489</v>
      </c>
      <c r="C7" s="11" t="e">
        <f>VLOOKUP(Companies_CAD[[#This Row],[Symbol]],ColStart_CAD:ColEnd_CAD,MATCH("Name",Morningstar_Cols_CAD,EXACT_MATCH),EXACT_MATCH)</f>
        <v>#N/A</v>
      </c>
      <c r="D7" s="81" t="e">
        <f>VLOOKUP(Companies_CAD[[#This Row],[Symbol]],ColStart_CAD:ColEnd_CAD,MATCH("$ Current Price",Morningstar_Cols_CAD,EXACT_MATCH),EXACT_MATCH)</f>
        <v>#N/A</v>
      </c>
      <c r="E7" s="84" t="e">
        <f>VLOOKUP(Companies_CAD[[#This Row],[Symbol]],ColStart_CAD:ColEnd_CAD,MATCH("$ Change",Morningstar_Cols_CAD,EXACT_MATCH),EXACT_MATCH)</f>
        <v>#N/A</v>
      </c>
      <c r="F7" s="82" t="e">
        <f>IF(Companies_CAD[[#This Row],[$ Change]]&lt;&gt;0,Companies_CAD[[#This Row],[$ Change]]/(Companies_CAD[[#This Row],[Last Close]]-Companies_CAD[[#This Row],[$ Change]]),0)</f>
        <v>#N/A</v>
      </c>
      <c r="G7" s="11" t="e">
        <f>VLOOKUP(Companies_CAD[[#This Row],[Symbol]],ColStart_CAD:ColEnd_CAD,MATCH("Industry Group",Morningstar_Cols_CAD,EXACT_MATCH),EXACT_MATCH)</f>
        <v>#N/A</v>
      </c>
      <c r="H7" s="114" t="e">
        <f>VLOOKUP(Companies_CAD[[#This Row],[Symbol]],ColStart_CAD:ColEnd_CAD,MATCH("mil$ Market Cap",Morningstar_Cols_CAD,EXACT_MATCH),EXACT_MATCH)</f>
        <v>#N/A</v>
      </c>
      <c r="I7" s="115" t="e">
        <f>VLOOKUP(Companies_CAD[[#This Row],[Symbol]],ColStart_CAD:ColEnd_CAD,MATCH("%  Total Return 3 Month",Morningstar_Cols_CAD,EXACT_MATCH),EXACT_MATCH)/100</f>
        <v>#N/A</v>
      </c>
      <c r="J7" s="115" t="e">
        <f>VLOOKUP(Companies_CAD[[#This Row],[Symbol]],ColStart_CAD:ColEnd_CAD,MATCH("%  Total Return 12 Month",Morningstar_Cols_CAD,EXACT_MATCH),EXACT_MATCH)/100</f>
        <v>#N/A</v>
      </c>
      <c r="K7" s="116" t="e">
        <f>VLOOKUP(Companies_CAD[[#This Row],[Symbol]],ColStart_CAD:ColEnd_CAD,MATCH("Price/ Sales",Morningstar_Cols_CAD,EXACT_MATCH),EXACT_MATCH)</f>
        <v>#N/A</v>
      </c>
      <c r="L7" s="117" t="e">
        <f>VLOOKUP(Companies_CAD[[#This Row],[Symbol]],ColStart_CAD:ColEnd_CAD,MATCH("Price/ Fair Value",Morningstar_Cols_CAD,EXACT_MATCH),EXACT_MATCH)</f>
        <v>#N/A</v>
      </c>
      <c r="M7" s="118" t="e">
        <f>VLOOKUP(Companies_CAD[[#This Row],[Symbol]],ColStart_CAD:ColEnd_CAD,MATCH("Financial  Health Grade",Morningstar_Cols_CAD,EXACT_MATCH),EXACT_MATCH)</f>
        <v>#N/A</v>
      </c>
      <c r="N7" s="107" t="e">
        <f>VLOOKUP(Companies_CAD[[#This Row],[Symbol]],ColStart_CAD:ColEnd_CAD,MATCH("% Dividend Yield TTM",Morningstar_Cols_CAD,EXACT_MATCH),EXACT_MATCH)/100</f>
        <v>#N/A</v>
      </c>
      <c r="O7" s="94" t="e">
        <f>RatingDefault+SUM(Companies_CAD[[#This Row],[3MoPoints]:[PFVPoints]])</f>
        <v>#N/A</v>
      </c>
      <c r="P7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7" s="52" t="e">
        <f>IF(Companies_CAD[[#This Row],[3 Mo. Ret.]]&gt;Return3Mo_Grn,1,IF(Companies_CAD[[#This Row],[3 Mo. Ret.]]&lt;Return3Mo_Red,-1,0))</f>
        <v>#N/A</v>
      </c>
      <c r="R7" s="52" t="e">
        <f>IF(Companies_CAD[[#This Row],[12 Mo. Ret.]]&gt;Return12Mo_Grn,1,IF(Companies_CAD[[#This Row],[12 Mo. Ret.]]&lt;Return12Mo_Red,-1,0))</f>
        <v>#N/A</v>
      </c>
      <c r="S7" s="52" t="e">
        <f>IF(Companies_CAD[[#This Row],[PSR]]&lt;PSR_Green,1,IF(Companies_CAD[[#This Row],[PSR]]&gt;PSR_Red,-1,0))</f>
        <v>#N/A</v>
      </c>
      <c r="T7" s="52" t="e">
        <f>IF(Companies_CAD[[#This Row],[Financial Health]]&lt;"C",1,IF(Companies_CAD[[#This Row],[Financial Health]]&gt;"C",-1,0))</f>
        <v>#N/A</v>
      </c>
      <c r="U7" s="52" t="e">
        <f>IF(Companies_CAD[[#This Row],[PFV]]&lt;PFV_Green,1,IF(Companies_CAD[[#This Row],[PFV]]&gt;PFV_Red,-1,0))</f>
        <v>#N/A</v>
      </c>
    </row>
    <row r="8" spans="2:21" s="52" customFormat="1" ht="25.15" customHeight="1" x14ac:dyDescent="0.25">
      <c r="B8" s="11" t="s">
        <v>490</v>
      </c>
      <c r="C8" s="11" t="e">
        <f>VLOOKUP(Companies_CAD[[#This Row],[Symbol]],ColStart_CAD:ColEnd_CAD,MATCH("Name",Morningstar_Cols_CAD,EXACT_MATCH),EXACT_MATCH)</f>
        <v>#N/A</v>
      </c>
      <c r="D8" s="81" t="e">
        <f>VLOOKUP(Companies_CAD[[#This Row],[Symbol]],ColStart_CAD:ColEnd_CAD,MATCH("$ Current Price",Morningstar_Cols_CAD,EXACT_MATCH),EXACT_MATCH)</f>
        <v>#N/A</v>
      </c>
      <c r="E8" s="84" t="e">
        <f>VLOOKUP(Companies_CAD[[#This Row],[Symbol]],ColStart_CAD:ColEnd_CAD,MATCH("$ Change",Morningstar_Cols_CAD,EXACT_MATCH),EXACT_MATCH)</f>
        <v>#N/A</v>
      </c>
      <c r="F8" s="82" t="e">
        <f>IF(Companies_CAD[[#This Row],[$ Change]]&lt;&gt;0,Companies_CAD[[#This Row],[$ Change]]/(Companies_CAD[[#This Row],[Last Close]]-Companies_CAD[[#This Row],[$ Change]]),0)</f>
        <v>#N/A</v>
      </c>
      <c r="G8" s="11" t="e">
        <f>VLOOKUP(Companies_CAD[[#This Row],[Symbol]],ColStart_CAD:ColEnd_CAD,MATCH("Industry Group",Morningstar_Cols_CAD,EXACT_MATCH),EXACT_MATCH)</f>
        <v>#N/A</v>
      </c>
      <c r="H8" s="114" t="e">
        <f>VLOOKUP(Companies_CAD[[#This Row],[Symbol]],ColStart_CAD:ColEnd_CAD,MATCH("mil$ Market Cap",Morningstar_Cols_CAD,EXACT_MATCH),EXACT_MATCH)</f>
        <v>#N/A</v>
      </c>
      <c r="I8" s="115" t="e">
        <f>VLOOKUP(Companies_CAD[[#This Row],[Symbol]],ColStart_CAD:ColEnd_CAD,MATCH("%  Total Return 3 Month",Morningstar_Cols_CAD,EXACT_MATCH),EXACT_MATCH)/100</f>
        <v>#N/A</v>
      </c>
      <c r="J8" s="115" t="e">
        <f>VLOOKUP(Companies_CAD[[#This Row],[Symbol]],ColStart_CAD:ColEnd_CAD,MATCH("%  Total Return 12 Month",Morningstar_Cols_CAD,EXACT_MATCH),EXACT_MATCH)/100</f>
        <v>#N/A</v>
      </c>
      <c r="K8" s="116" t="e">
        <f>VLOOKUP(Companies_CAD[[#This Row],[Symbol]],ColStart_CAD:ColEnd_CAD,MATCH("Price/ Sales",Morningstar_Cols_CAD,EXACT_MATCH),EXACT_MATCH)</f>
        <v>#N/A</v>
      </c>
      <c r="L8" s="117" t="e">
        <f>VLOOKUP(Companies_CAD[[#This Row],[Symbol]],ColStart_CAD:ColEnd_CAD,MATCH("Price/ Fair Value",Morningstar_Cols_CAD,EXACT_MATCH),EXACT_MATCH)</f>
        <v>#N/A</v>
      </c>
      <c r="M8" s="118" t="e">
        <f>VLOOKUP(Companies_CAD[[#This Row],[Symbol]],ColStart_CAD:ColEnd_CAD,MATCH("Financial  Health Grade",Morningstar_Cols_CAD,EXACT_MATCH),EXACT_MATCH)</f>
        <v>#N/A</v>
      </c>
      <c r="N8" s="107" t="e">
        <f>VLOOKUP(Companies_CAD[[#This Row],[Symbol]],ColStart_CAD:ColEnd_CAD,MATCH("% Dividend Yield TTM",Morningstar_Cols_CAD,EXACT_MATCH),EXACT_MATCH)/100</f>
        <v>#N/A</v>
      </c>
      <c r="O8" s="94" t="e">
        <f>RatingDefault+SUM(Companies_CAD[[#This Row],[3MoPoints]:[PFVPoints]])</f>
        <v>#N/A</v>
      </c>
      <c r="P8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8" s="52" t="e">
        <f>IF(Companies_CAD[[#This Row],[3 Mo. Ret.]]&gt;Return3Mo_Grn,1,IF(Companies_CAD[[#This Row],[3 Mo. Ret.]]&lt;Return3Mo_Red,-1,0))</f>
        <v>#N/A</v>
      </c>
      <c r="R8" s="52" t="e">
        <f>IF(Companies_CAD[[#This Row],[12 Mo. Ret.]]&gt;Return12Mo_Grn,1,IF(Companies_CAD[[#This Row],[12 Mo. Ret.]]&lt;Return12Mo_Red,-1,0))</f>
        <v>#N/A</v>
      </c>
      <c r="S8" s="52" t="e">
        <f>IF(Companies_CAD[[#This Row],[PSR]]&lt;PSR_Green,1,IF(Companies_CAD[[#This Row],[PSR]]&gt;PSR_Red,-1,0))</f>
        <v>#N/A</v>
      </c>
      <c r="T8" s="52" t="e">
        <f>IF(Companies_CAD[[#This Row],[Financial Health]]&lt;"C",1,IF(Companies_CAD[[#This Row],[Financial Health]]&gt;"C",-1,0))</f>
        <v>#N/A</v>
      </c>
      <c r="U8" s="52" t="e">
        <f>IF(Companies_CAD[[#This Row],[PFV]]&lt;PFV_Green,1,IF(Companies_CAD[[#This Row],[PFV]]&gt;PFV_Red,-1,0))</f>
        <v>#N/A</v>
      </c>
    </row>
    <row r="9" spans="2:21" s="52" customFormat="1" ht="25.15" customHeight="1" x14ac:dyDescent="0.25">
      <c r="B9" s="11" t="s">
        <v>487</v>
      </c>
      <c r="C9" s="11" t="e">
        <f>VLOOKUP(Companies_CAD[[#This Row],[Symbol]],ColStart_CAD:ColEnd_CAD,MATCH("Name",Morningstar_Cols_CAD,EXACT_MATCH),EXACT_MATCH)</f>
        <v>#N/A</v>
      </c>
      <c r="D9" s="81" t="e">
        <f>VLOOKUP(Companies_CAD[[#This Row],[Symbol]],ColStart_CAD:ColEnd_CAD,MATCH("$ Current Price",Morningstar_Cols_CAD,EXACT_MATCH),EXACT_MATCH)</f>
        <v>#N/A</v>
      </c>
      <c r="E9" s="84" t="e">
        <f>VLOOKUP(Companies_CAD[[#This Row],[Symbol]],ColStart_CAD:ColEnd_CAD,MATCH("$ Change",Morningstar_Cols_CAD,EXACT_MATCH),EXACT_MATCH)</f>
        <v>#N/A</v>
      </c>
      <c r="F9" s="82" t="e">
        <f>IF(Companies_CAD[[#This Row],[$ Change]]&lt;&gt;0,Companies_CAD[[#This Row],[$ Change]]/(Companies_CAD[[#This Row],[Last Close]]-Companies_CAD[[#This Row],[$ Change]]),0)</f>
        <v>#N/A</v>
      </c>
      <c r="G9" s="11" t="e">
        <f>VLOOKUP(Companies_CAD[[#This Row],[Symbol]],ColStart_CAD:ColEnd_CAD,MATCH("Industry Group",Morningstar_Cols_CAD,EXACT_MATCH),EXACT_MATCH)</f>
        <v>#N/A</v>
      </c>
      <c r="H9" s="114" t="e">
        <f>VLOOKUP(Companies_CAD[[#This Row],[Symbol]],ColStart_CAD:ColEnd_CAD,MATCH("mil$ Market Cap",Morningstar_Cols_CAD,EXACT_MATCH),EXACT_MATCH)</f>
        <v>#N/A</v>
      </c>
      <c r="I9" s="115" t="e">
        <f>VLOOKUP(Companies_CAD[[#This Row],[Symbol]],ColStart_CAD:ColEnd_CAD,MATCH("%  Total Return 3 Month",Morningstar_Cols_CAD,EXACT_MATCH),EXACT_MATCH)/100</f>
        <v>#N/A</v>
      </c>
      <c r="J9" s="115" t="e">
        <f>VLOOKUP(Companies_CAD[[#This Row],[Symbol]],ColStart_CAD:ColEnd_CAD,MATCH("%  Total Return 12 Month",Morningstar_Cols_CAD,EXACT_MATCH),EXACT_MATCH)/100</f>
        <v>#N/A</v>
      </c>
      <c r="K9" s="116" t="e">
        <f>VLOOKUP(Companies_CAD[[#This Row],[Symbol]],ColStart_CAD:ColEnd_CAD,MATCH("Price/ Sales",Morningstar_Cols_CAD,EXACT_MATCH),EXACT_MATCH)</f>
        <v>#N/A</v>
      </c>
      <c r="L9" s="117" t="e">
        <f>VLOOKUP(Companies_CAD[[#This Row],[Symbol]],ColStart_CAD:ColEnd_CAD,MATCH("Price/ Fair Value",Morningstar_Cols_CAD,EXACT_MATCH),EXACT_MATCH)</f>
        <v>#N/A</v>
      </c>
      <c r="M9" s="118" t="e">
        <f>VLOOKUP(Companies_CAD[[#This Row],[Symbol]],ColStart_CAD:ColEnd_CAD,MATCH("Financial  Health Grade",Morningstar_Cols_CAD,EXACT_MATCH),EXACT_MATCH)</f>
        <v>#N/A</v>
      </c>
      <c r="N9" s="107" t="e">
        <f>VLOOKUP(Companies_CAD[[#This Row],[Symbol]],ColStart_CAD:ColEnd_CAD,MATCH("% Dividend Yield TTM",Morningstar_Cols_CAD,EXACT_MATCH),EXACT_MATCH)/100</f>
        <v>#N/A</v>
      </c>
      <c r="O9" s="94" t="e">
        <f>RatingDefault+SUM(Companies_CAD[[#This Row],[3MoPoints]:[PFVPoints]])</f>
        <v>#N/A</v>
      </c>
      <c r="P9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9" s="52" t="e">
        <f>IF(Companies_CAD[[#This Row],[3 Mo. Ret.]]&gt;Return3Mo_Grn,1,IF(Companies_CAD[[#This Row],[3 Mo. Ret.]]&lt;Return3Mo_Red,-1,0))</f>
        <v>#N/A</v>
      </c>
      <c r="R9" s="52" t="e">
        <f>IF(Companies_CAD[[#This Row],[12 Mo. Ret.]]&gt;Return12Mo_Grn,1,IF(Companies_CAD[[#This Row],[12 Mo. Ret.]]&lt;Return12Mo_Red,-1,0))</f>
        <v>#N/A</v>
      </c>
      <c r="S9" s="52" t="e">
        <f>IF(Companies_CAD[[#This Row],[PSR]]&lt;PSR_Green,1,IF(Companies_CAD[[#This Row],[PSR]]&gt;PSR_Red,-1,0))</f>
        <v>#N/A</v>
      </c>
      <c r="T9" s="52" t="e">
        <f>IF(Companies_CAD[[#This Row],[Financial Health]]&lt;"C",1,IF(Companies_CAD[[#This Row],[Financial Health]]&gt;"C",-1,0))</f>
        <v>#N/A</v>
      </c>
      <c r="U9" s="52" t="e">
        <f>IF(Companies_CAD[[#This Row],[PFV]]&lt;PFV_Green,1,IF(Companies_CAD[[#This Row],[PFV]]&gt;PFV_Red,-1,0))</f>
        <v>#N/A</v>
      </c>
    </row>
    <row r="10" spans="2:21" s="52" customFormat="1" ht="25.15" customHeight="1" x14ac:dyDescent="0.25">
      <c r="B10" s="11" t="s">
        <v>485</v>
      </c>
      <c r="C10" s="11" t="e">
        <f>VLOOKUP(Companies_CAD[[#This Row],[Symbol]],ColStart_CAD:ColEnd_CAD,MATCH("Name",Morningstar_Cols_CAD,EXACT_MATCH),EXACT_MATCH)</f>
        <v>#N/A</v>
      </c>
      <c r="D10" s="81" t="e">
        <f>VLOOKUP(Companies_CAD[[#This Row],[Symbol]],ColStart_CAD:ColEnd_CAD,MATCH("$ Current Price",Morningstar_Cols_CAD,EXACT_MATCH),EXACT_MATCH)</f>
        <v>#N/A</v>
      </c>
      <c r="E10" s="84" t="e">
        <f>VLOOKUP(Companies_CAD[[#This Row],[Symbol]],ColStart_CAD:ColEnd_CAD,MATCH("$ Change",Morningstar_Cols_CAD,EXACT_MATCH),EXACT_MATCH)</f>
        <v>#N/A</v>
      </c>
      <c r="F10" s="82" t="e">
        <f>IF(Companies_CAD[[#This Row],[$ Change]]&lt;&gt;0,Companies_CAD[[#This Row],[$ Change]]/(Companies_CAD[[#This Row],[Last Close]]-Companies_CAD[[#This Row],[$ Change]]),0)</f>
        <v>#N/A</v>
      </c>
      <c r="G10" s="11" t="e">
        <f>VLOOKUP(Companies_CAD[[#This Row],[Symbol]],ColStart_CAD:ColEnd_CAD,MATCH("Industry Group",Morningstar_Cols_CAD,EXACT_MATCH),EXACT_MATCH)</f>
        <v>#N/A</v>
      </c>
      <c r="H10" s="114" t="e">
        <f>VLOOKUP(Companies_CAD[[#This Row],[Symbol]],ColStart_CAD:ColEnd_CAD,MATCH("mil$ Market Cap",Morningstar_Cols_CAD,EXACT_MATCH),EXACT_MATCH)</f>
        <v>#N/A</v>
      </c>
      <c r="I10" s="115" t="e">
        <f>VLOOKUP(Companies_CAD[[#This Row],[Symbol]],ColStart_CAD:ColEnd_CAD,MATCH("%  Total Return 3 Month",Morningstar_Cols_CAD,EXACT_MATCH),EXACT_MATCH)/100</f>
        <v>#N/A</v>
      </c>
      <c r="J10" s="115" t="e">
        <f>VLOOKUP(Companies_CAD[[#This Row],[Symbol]],ColStart_CAD:ColEnd_CAD,MATCH("%  Total Return 12 Month",Morningstar_Cols_CAD,EXACT_MATCH),EXACT_MATCH)/100</f>
        <v>#N/A</v>
      </c>
      <c r="K10" s="116" t="e">
        <f>VLOOKUP(Companies_CAD[[#This Row],[Symbol]],ColStart_CAD:ColEnd_CAD,MATCH("Price/ Sales",Morningstar_Cols_CAD,EXACT_MATCH),EXACT_MATCH)</f>
        <v>#N/A</v>
      </c>
      <c r="L10" s="117" t="e">
        <f>VLOOKUP(Companies_CAD[[#This Row],[Symbol]],ColStart_CAD:ColEnd_CAD,MATCH("Price/ Fair Value",Morningstar_Cols_CAD,EXACT_MATCH),EXACT_MATCH)</f>
        <v>#N/A</v>
      </c>
      <c r="M10" s="118" t="e">
        <f>VLOOKUP(Companies_CAD[[#This Row],[Symbol]],ColStart_CAD:ColEnd_CAD,MATCH("Financial  Health Grade",Morningstar_Cols_CAD,EXACT_MATCH),EXACT_MATCH)</f>
        <v>#N/A</v>
      </c>
      <c r="N10" s="107" t="e">
        <f>VLOOKUP(Companies_CAD[[#This Row],[Symbol]],ColStart_CAD:ColEnd_CAD,MATCH("% Dividend Yield TTM",Morningstar_Cols_CAD,EXACT_MATCH),EXACT_MATCH)/100</f>
        <v>#N/A</v>
      </c>
      <c r="O10" s="94" t="e">
        <f>RatingDefault+SUM(Companies_CAD[[#This Row],[3MoPoints]:[PFVPoints]])</f>
        <v>#N/A</v>
      </c>
      <c r="P10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0" s="52" t="e">
        <f>IF(Companies_CAD[[#This Row],[3 Mo. Ret.]]&gt;Return3Mo_Grn,1,IF(Companies_CAD[[#This Row],[3 Mo. Ret.]]&lt;Return3Mo_Red,-1,0))</f>
        <v>#N/A</v>
      </c>
      <c r="R10" s="52" t="e">
        <f>IF(Companies_CAD[[#This Row],[12 Mo. Ret.]]&gt;Return12Mo_Grn,1,IF(Companies_CAD[[#This Row],[12 Mo. Ret.]]&lt;Return12Mo_Red,-1,0))</f>
        <v>#N/A</v>
      </c>
      <c r="S10" s="52" t="e">
        <f>IF(Companies_CAD[[#This Row],[PSR]]&lt;PSR_Green,1,IF(Companies_CAD[[#This Row],[PSR]]&gt;PSR_Red,-1,0))</f>
        <v>#N/A</v>
      </c>
      <c r="T10" s="52" t="e">
        <f>IF(Companies_CAD[[#This Row],[Financial Health]]&lt;"C",1,IF(Companies_CAD[[#This Row],[Financial Health]]&gt;"C",-1,0))</f>
        <v>#N/A</v>
      </c>
      <c r="U10" s="52" t="e">
        <f>IF(Companies_CAD[[#This Row],[PFV]]&lt;PFV_Green,1,IF(Companies_CAD[[#This Row],[PFV]]&gt;PFV_Red,-1,0))</f>
        <v>#N/A</v>
      </c>
    </row>
    <row r="11" spans="2:21" s="52" customFormat="1" ht="25.15" customHeight="1" x14ac:dyDescent="0.25">
      <c r="B11" s="11" t="s">
        <v>484</v>
      </c>
      <c r="C11" s="11" t="e">
        <f>VLOOKUP(Companies_CAD[[#This Row],[Symbol]],ColStart_CAD:ColEnd_CAD,MATCH("Name",Morningstar_Cols_CAD,EXACT_MATCH),EXACT_MATCH)</f>
        <v>#N/A</v>
      </c>
      <c r="D11" s="81" t="e">
        <f>VLOOKUP(Companies_CAD[[#This Row],[Symbol]],ColStart_CAD:ColEnd_CAD,MATCH("$ Current Price",Morningstar_Cols_CAD,EXACT_MATCH),EXACT_MATCH)</f>
        <v>#N/A</v>
      </c>
      <c r="E11" s="84" t="e">
        <f>VLOOKUP(Companies_CAD[[#This Row],[Symbol]],ColStart_CAD:ColEnd_CAD,MATCH("$ Change",Morningstar_Cols_CAD,EXACT_MATCH),EXACT_MATCH)</f>
        <v>#N/A</v>
      </c>
      <c r="F11" s="82" t="e">
        <f>IF(Companies_CAD[[#This Row],[$ Change]]&lt;&gt;0,Companies_CAD[[#This Row],[$ Change]]/(Companies_CAD[[#This Row],[Last Close]]-Companies_CAD[[#This Row],[$ Change]]),0)</f>
        <v>#N/A</v>
      </c>
      <c r="G11" s="11" t="e">
        <f>VLOOKUP(Companies_CAD[[#This Row],[Symbol]],ColStart_CAD:ColEnd_CAD,MATCH("Industry Group",Morningstar_Cols_CAD,EXACT_MATCH),EXACT_MATCH)</f>
        <v>#N/A</v>
      </c>
      <c r="H11" s="114" t="e">
        <f>VLOOKUP(Companies_CAD[[#This Row],[Symbol]],ColStart_CAD:ColEnd_CAD,MATCH("mil$ Market Cap",Morningstar_Cols_CAD,EXACT_MATCH),EXACT_MATCH)</f>
        <v>#N/A</v>
      </c>
      <c r="I11" s="115" t="e">
        <f>VLOOKUP(Companies_CAD[[#This Row],[Symbol]],ColStart_CAD:ColEnd_CAD,MATCH("%  Total Return 3 Month",Morningstar_Cols_CAD,EXACT_MATCH),EXACT_MATCH)/100</f>
        <v>#N/A</v>
      </c>
      <c r="J11" s="115" t="e">
        <f>VLOOKUP(Companies_CAD[[#This Row],[Symbol]],ColStart_CAD:ColEnd_CAD,MATCH("%  Total Return 12 Month",Morningstar_Cols_CAD,EXACT_MATCH),EXACT_MATCH)/100</f>
        <v>#N/A</v>
      </c>
      <c r="K11" s="116" t="e">
        <f>VLOOKUP(Companies_CAD[[#This Row],[Symbol]],ColStart_CAD:ColEnd_CAD,MATCH("Price/ Sales",Morningstar_Cols_CAD,EXACT_MATCH),EXACT_MATCH)</f>
        <v>#N/A</v>
      </c>
      <c r="L11" s="117" t="e">
        <f>VLOOKUP(Companies_CAD[[#This Row],[Symbol]],ColStart_CAD:ColEnd_CAD,MATCH("Price/ Fair Value",Morningstar_Cols_CAD,EXACT_MATCH),EXACT_MATCH)</f>
        <v>#N/A</v>
      </c>
      <c r="M11" s="118" t="e">
        <f>VLOOKUP(Companies_CAD[[#This Row],[Symbol]],ColStart_CAD:ColEnd_CAD,MATCH("Financial  Health Grade",Morningstar_Cols_CAD,EXACT_MATCH),EXACT_MATCH)</f>
        <v>#N/A</v>
      </c>
      <c r="N11" s="107" t="e">
        <f>VLOOKUP(Companies_CAD[[#This Row],[Symbol]],ColStart_CAD:ColEnd_CAD,MATCH("% Dividend Yield TTM",Morningstar_Cols_CAD,EXACT_MATCH),EXACT_MATCH)/100</f>
        <v>#N/A</v>
      </c>
      <c r="O11" s="94" t="e">
        <f>RatingDefault+SUM(Companies_CAD[[#This Row],[3MoPoints]:[PFVPoints]])</f>
        <v>#N/A</v>
      </c>
      <c r="P11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1" s="52" t="e">
        <f>IF(Companies_CAD[[#This Row],[3 Mo. Ret.]]&gt;Return3Mo_Grn,1,IF(Companies_CAD[[#This Row],[3 Mo. Ret.]]&lt;Return3Mo_Red,-1,0))</f>
        <v>#N/A</v>
      </c>
      <c r="R11" s="52" t="e">
        <f>IF(Companies_CAD[[#This Row],[12 Mo. Ret.]]&gt;Return12Mo_Grn,1,IF(Companies_CAD[[#This Row],[12 Mo. Ret.]]&lt;Return12Mo_Red,-1,0))</f>
        <v>#N/A</v>
      </c>
      <c r="S11" s="52" t="e">
        <f>IF(Companies_CAD[[#This Row],[PSR]]&lt;PSR_Green,1,IF(Companies_CAD[[#This Row],[PSR]]&gt;PSR_Red,-1,0))</f>
        <v>#N/A</v>
      </c>
      <c r="T11" s="52" t="e">
        <f>IF(Companies_CAD[[#This Row],[Financial Health]]&lt;"C",1,IF(Companies_CAD[[#This Row],[Financial Health]]&gt;"C",-1,0))</f>
        <v>#N/A</v>
      </c>
      <c r="U11" s="52" t="e">
        <f>IF(Companies_CAD[[#This Row],[PFV]]&lt;PFV_Green,1,IF(Companies_CAD[[#This Row],[PFV]]&gt;PFV_Red,-1,0))</f>
        <v>#N/A</v>
      </c>
    </row>
    <row r="12" spans="2:21" s="52" customFormat="1" ht="25.15" customHeight="1" x14ac:dyDescent="0.25">
      <c r="B12" s="11" t="s">
        <v>461</v>
      </c>
      <c r="C12" s="11" t="e">
        <f>VLOOKUP(Companies_CAD[[#This Row],[Symbol]],ColStart_CAD:ColEnd_CAD,MATCH("Name",Morningstar_Cols_CAD,EXACT_MATCH),EXACT_MATCH)</f>
        <v>#N/A</v>
      </c>
      <c r="D12" s="81" t="e">
        <f>VLOOKUP(Companies_CAD[[#This Row],[Symbol]],ColStart_CAD:ColEnd_CAD,MATCH("$ Current Price",Morningstar_Cols_CAD,EXACT_MATCH),EXACT_MATCH)</f>
        <v>#N/A</v>
      </c>
      <c r="E12" s="84" t="e">
        <f>VLOOKUP(Companies_CAD[[#This Row],[Symbol]],ColStart_CAD:ColEnd_CAD,MATCH("$ Change",Morningstar_Cols_CAD,EXACT_MATCH),EXACT_MATCH)</f>
        <v>#N/A</v>
      </c>
      <c r="F12" s="82" t="e">
        <f>IF(Companies_CAD[[#This Row],[$ Change]]&lt;&gt;0,Companies_CAD[[#This Row],[$ Change]]/(Companies_CAD[[#This Row],[Last Close]]-Companies_CAD[[#This Row],[$ Change]]),0)</f>
        <v>#N/A</v>
      </c>
      <c r="G12" s="11" t="e">
        <f>VLOOKUP(Companies_CAD[[#This Row],[Symbol]],ColStart_CAD:ColEnd_CAD,MATCH("Industry Group",Morningstar_Cols_CAD,EXACT_MATCH),EXACT_MATCH)</f>
        <v>#N/A</v>
      </c>
      <c r="H12" s="114" t="e">
        <f>VLOOKUP(Companies_CAD[[#This Row],[Symbol]],ColStart_CAD:ColEnd_CAD,MATCH("mil$ Market Cap",Morningstar_Cols_CAD,EXACT_MATCH),EXACT_MATCH)</f>
        <v>#N/A</v>
      </c>
      <c r="I12" s="115" t="e">
        <f>VLOOKUP(Companies_CAD[[#This Row],[Symbol]],ColStart_CAD:ColEnd_CAD,MATCH("%  Total Return 3 Month",Morningstar_Cols_CAD,EXACT_MATCH),EXACT_MATCH)/100</f>
        <v>#N/A</v>
      </c>
      <c r="J12" s="115" t="e">
        <f>VLOOKUP(Companies_CAD[[#This Row],[Symbol]],ColStart_CAD:ColEnd_CAD,MATCH("%  Total Return 12 Month",Morningstar_Cols_CAD,EXACT_MATCH),EXACT_MATCH)/100</f>
        <v>#N/A</v>
      </c>
      <c r="K12" s="116" t="e">
        <f>VLOOKUP(Companies_CAD[[#This Row],[Symbol]],ColStart_CAD:ColEnd_CAD,MATCH("Price/ Sales",Morningstar_Cols_CAD,EXACT_MATCH),EXACT_MATCH)</f>
        <v>#N/A</v>
      </c>
      <c r="L12" s="117" t="e">
        <f>VLOOKUP(Companies_CAD[[#This Row],[Symbol]],ColStart_CAD:ColEnd_CAD,MATCH("Price/ Fair Value",Morningstar_Cols_CAD,EXACT_MATCH),EXACT_MATCH)</f>
        <v>#N/A</v>
      </c>
      <c r="M12" s="118" t="e">
        <f>VLOOKUP(Companies_CAD[[#This Row],[Symbol]],ColStart_CAD:ColEnd_CAD,MATCH("Financial  Health Grade",Morningstar_Cols_CAD,EXACT_MATCH),EXACT_MATCH)</f>
        <v>#N/A</v>
      </c>
      <c r="N12" s="107" t="e">
        <f>VLOOKUP(Companies_CAD[[#This Row],[Symbol]],ColStart_CAD:ColEnd_CAD,MATCH("% Dividend Yield TTM",Morningstar_Cols_CAD,EXACT_MATCH),EXACT_MATCH)/100</f>
        <v>#N/A</v>
      </c>
      <c r="O12" s="94" t="e">
        <f>RatingDefault+SUM(Companies_CAD[[#This Row],[3MoPoints]:[PFVPoints]])</f>
        <v>#N/A</v>
      </c>
      <c r="P12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2" s="52" t="e">
        <f>IF(Companies_CAD[[#This Row],[3 Mo. Ret.]]&gt;Return3Mo_Grn,1,IF(Companies_CAD[[#This Row],[3 Mo. Ret.]]&lt;Return3Mo_Red,-1,0))</f>
        <v>#N/A</v>
      </c>
      <c r="R12" s="52" t="e">
        <f>IF(Companies_CAD[[#This Row],[12 Mo. Ret.]]&gt;Return12Mo_Grn,1,IF(Companies_CAD[[#This Row],[12 Mo. Ret.]]&lt;Return12Mo_Red,-1,0))</f>
        <v>#N/A</v>
      </c>
      <c r="S12" s="52" t="e">
        <f>IF(Companies_CAD[[#This Row],[PSR]]&lt;PSR_Green,1,IF(Companies_CAD[[#This Row],[PSR]]&gt;PSR_Red,-1,0))</f>
        <v>#N/A</v>
      </c>
      <c r="T12" s="52" t="e">
        <f>IF(Companies_CAD[[#This Row],[Financial Health]]&lt;"C",1,IF(Companies_CAD[[#This Row],[Financial Health]]&gt;"C",-1,0))</f>
        <v>#N/A</v>
      </c>
      <c r="U12" s="52" t="e">
        <f>IF(Companies_CAD[[#This Row],[PFV]]&lt;PFV_Green,1,IF(Companies_CAD[[#This Row],[PFV]]&gt;PFV_Red,-1,0))</f>
        <v>#N/A</v>
      </c>
    </row>
    <row r="13" spans="2:21" s="52" customFormat="1" ht="25.15" customHeight="1" x14ac:dyDescent="0.25">
      <c r="B13" s="11" t="s">
        <v>488</v>
      </c>
      <c r="C13" s="11" t="e">
        <f>VLOOKUP(Companies_CAD[[#This Row],[Symbol]],ColStart_CAD:ColEnd_CAD,MATCH("Name",Morningstar_Cols_CAD,EXACT_MATCH),EXACT_MATCH)</f>
        <v>#N/A</v>
      </c>
      <c r="D13" s="81" t="e">
        <f>VLOOKUP(Companies_CAD[[#This Row],[Symbol]],ColStart_CAD:ColEnd_CAD,MATCH("$ Current Price",Morningstar_Cols_CAD,EXACT_MATCH),EXACT_MATCH)</f>
        <v>#N/A</v>
      </c>
      <c r="E13" s="84" t="e">
        <f>VLOOKUP(Companies_CAD[[#This Row],[Symbol]],ColStart_CAD:ColEnd_CAD,MATCH("$ Change",Morningstar_Cols_CAD,EXACT_MATCH),EXACT_MATCH)</f>
        <v>#N/A</v>
      </c>
      <c r="F13" s="82" t="e">
        <f>IF(Companies_CAD[[#This Row],[$ Change]]&lt;&gt;0,Companies_CAD[[#This Row],[$ Change]]/(Companies_CAD[[#This Row],[Last Close]]-Companies_CAD[[#This Row],[$ Change]]),0)</f>
        <v>#N/A</v>
      </c>
      <c r="G13" s="11" t="e">
        <f>VLOOKUP(Companies_CAD[[#This Row],[Symbol]],ColStart_CAD:ColEnd_CAD,MATCH("Industry Group",Morningstar_Cols_CAD,EXACT_MATCH),EXACT_MATCH)</f>
        <v>#N/A</v>
      </c>
      <c r="H13" s="114" t="e">
        <f>VLOOKUP(Companies_CAD[[#This Row],[Symbol]],ColStart_CAD:ColEnd_CAD,MATCH("mil$ Market Cap",Morningstar_Cols_CAD,EXACT_MATCH),EXACT_MATCH)</f>
        <v>#N/A</v>
      </c>
      <c r="I13" s="115" t="e">
        <f>VLOOKUP(Companies_CAD[[#This Row],[Symbol]],ColStart_CAD:ColEnd_CAD,MATCH("%  Total Return 3 Month",Morningstar_Cols_CAD,EXACT_MATCH),EXACT_MATCH)/100</f>
        <v>#N/A</v>
      </c>
      <c r="J13" s="115" t="e">
        <f>VLOOKUP(Companies_CAD[[#This Row],[Symbol]],ColStart_CAD:ColEnd_CAD,MATCH("%  Total Return 12 Month",Morningstar_Cols_CAD,EXACT_MATCH),EXACT_MATCH)/100</f>
        <v>#N/A</v>
      </c>
      <c r="K13" s="116" t="e">
        <f>VLOOKUP(Companies_CAD[[#This Row],[Symbol]],ColStart_CAD:ColEnd_CAD,MATCH("Price/ Sales",Morningstar_Cols_CAD,EXACT_MATCH),EXACT_MATCH)</f>
        <v>#N/A</v>
      </c>
      <c r="L13" s="117" t="e">
        <f>VLOOKUP(Companies_CAD[[#This Row],[Symbol]],ColStart_CAD:ColEnd_CAD,MATCH("Price/ Fair Value",Morningstar_Cols_CAD,EXACT_MATCH),EXACT_MATCH)</f>
        <v>#N/A</v>
      </c>
      <c r="M13" s="118" t="e">
        <f>VLOOKUP(Companies_CAD[[#This Row],[Symbol]],ColStart_CAD:ColEnd_CAD,MATCH("Financial  Health Grade",Morningstar_Cols_CAD,EXACT_MATCH),EXACT_MATCH)</f>
        <v>#N/A</v>
      </c>
      <c r="N13" s="107" t="e">
        <f>VLOOKUP(Companies_CAD[[#This Row],[Symbol]],ColStart_CAD:ColEnd_CAD,MATCH("% Dividend Yield TTM",Morningstar_Cols_CAD,EXACT_MATCH),EXACT_MATCH)/100</f>
        <v>#N/A</v>
      </c>
      <c r="O13" s="94" t="e">
        <f>RatingDefault+SUM(Companies_CAD[[#This Row],[3MoPoints]:[PFVPoints]])</f>
        <v>#N/A</v>
      </c>
      <c r="P13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3" s="52" t="e">
        <f>IF(Companies_CAD[[#This Row],[3 Mo. Ret.]]&gt;Return3Mo_Grn,1,IF(Companies_CAD[[#This Row],[3 Mo. Ret.]]&lt;Return3Mo_Red,-1,0))</f>
        <v>#N/A</v>
      </c>
      <c r="R13" s="52" t="e">
        <f>IF(Companies_CAD[[#This Row],[12 Mo. Ret.]]&gt;Return12Mo_Grn,1,IF(Companies_CAD[[#This Row],[12 Mo. Ret.]]&lt;Return12Mo_Red,-1,0))</f>
        <v>#N/A</v>
      </c>
      <c r="S13" s="52" t="e">
        <f>IF(Companies_CAD[[#This Row],[PSR]]&lt;PSR_Green,1,IF(Companies_CAD[[#This Row],[PSR]]&gt;PSR_Red,-1,0))</f>
        <v>#N/A</v>
      </c>
      <c r="T13" s="52" t="e">
        <f>IF(Companies_CAD[[#This Row],[Financial Health]]&lt;"C",1,IF(Companies_CAD[[#This Row],[Financial Health]]&gt;"C",-1,0))</f>
        <v>#N/A</v>
      </c>
      <c r="U13" s="52" t="e">
        <f>IF(Companies_CAD[[#This Row],[PFV]]&lt;PFV_Green,1,IF(Companies_CAD[[#This Row],[PFV]]&gt;PFV_Red,-1,0))</f>
        <v>#N/A</v>
      </c>
    </row>
    <row r="14" spans="2:21" s="52" customFormat="1" ht="25.15" customHeight="1" x14ac:dyDescent="0.25">
      <c r="B14" s="11" t="s">
        <v>492</v>
      </c>
      <c r="C14" s="11" t="e">
        <f>VLOOKUP(Companies_CAD[[#This Row],[Symbol]],ColStart_CAD:ColEnd_CAD,MATCH("Name",Morningstar_Cols_CAD,EXACT_MATCH),EXACT_MATCH)</f>
        <v>#N/A</v>
      </c>
      <c r="D14" s="81" t="e">
        <f>VLOOKUP(Companies_CAD[[#This Row],[Symbol]],ColStart_CAD:ColEnd_CAD,MATCH("$ Current Price",Morningstar_Cols_CAD,EXACT_MATCH),EXACT_MATCH)</f>
        <v>#N/A</v>
      </c>
      <c r="E14" s="84" t="e">
        <f>VLOOKUP(Companies_CAD[[#This Row],[Symbol]],ColStart_CAD:ColEnd_CAD,MATCH("$ Change",Morningstar_Cols_CAD,EXACT_MATCH),EXACT_MATCH)</f>
        <v>#N/A</v>
      </c>
      <c r="F14" s="82" t="e">
        <f>IF(Companies_CAD[[#This Row],[$ Change]]&lt;&gt;0,Companies_CAD[[#This Row],[$ Change]]/(Companies_CAD[[#This Row],[Last Close]]-Companies_CAD[[#This Row],[$ Change]]),0)</f>
        <v>#N/A</v>
      </c>
      <c r="G14" s="11" t="e">
        <f>VLOOKUP(Companies_CAD[[#This Row],[Symbol]],ColStart_CAD:ColEnd_CAD,MATCH("Industry Group",Morningstar_Cols_CAD,EXACT_MATCH),EXACT_MATCH)</f>
        <v>#N/A</v>
      </c>
      <c r="H14" s="114" t="e">
        <f>VLOOKUP(Companies_CAD[[#This Row],[Symbol]],ColStart_CAD:ColEnd_CAD,MATCH("mil$ Market Cap",Morningstar_Cols_CAD,EXACT_MATCH),EXACT_MATCH)</f>
        <v>#N/A</v>
      </c>
      <c r="I14" s="115" t="e">
        <f>VLOOKUP(Companies_CAD[[#This Row],[Symbol]],ColStart_CAD:ColEnd_CAD,MATCH("%  Total Return 3 Month",Morningstar_Cols_CAD,EXACT_MATCH),EXACT_MATCH)/100</f>
        <v>#N/A</v>
      </c>
      <c r="J14" s="115" t="e">
        <f>VLOOKUP(Companies_CAD[[#This Row],[Symbol]],ColStart_CAD:ColEnd_CAD,MATCH("%  Total Return 12 Month",Morningstar_Cols_CAD,EXACT_MATCH),EXACT_MATCH)/100</f>
        <v>#N/A</v>
      </c>
      <c r="K14" s="116" t="e">
        <f>VLOOKUP(Companies_CAD[[#This Row],[Symbol]],ColStart_CAD:ColEnd_CAD,MATCH("Price/ Sales",Morningstar_Cols_CAD,EXACT_MATCH),EXACT_MATCH)</f>
        <v>#N/A</v>
      </c>
      <c r="L14" s="117" t="e">
        <f>VLOOKUP(Companies_CAD[[#This Row],[Symbol]],ColStart_CAD:ColEnd_CAD,MATCH("Price/ Fair Value",Morningstar_Cols_CAD,EXACT_MATCH),EXACT_MATCH)</f>
        <v>#N/A</v>
      </c>
      <c r="M14" s="118" t="e">
        <f>VLOOKUP(Companies_CAD[[#This Row],[Symbol]],ColStart_CAD:ColEnd_CAD,MATCH("Financial  Health Grade",Morningstar_Cols_CAD,EXACT_MATCH),EXACT_MATCH)</f>
        <v>#N/A</v>
      </c>
      <c r="N14" s="107" t="e">
        <f>VLOOKUP(Companies_CAD[[#This Row],[Symbol]],ColStart_CAD:ColEnd_CAD,MATCH("% Dividend Yield TTM",Morningstar_Cols_CAD,EXACT_MATCH),EXACT_MATCH)/100</f>
        <v>#N/A</v>
      </c>
      <c r="O14" s="94" t="e">
        <f>RatingDefault+SUM(Companies_CAD[[#This Row],[3MoPoints]:[PFVPoints]])</f>
        <v>#N/A</v>
      </c>
      <c r="P14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4" s="52" t="e">
        <f>IF(Companies_CAD[[#This Row],[3 Mo. Ret.]]&gt;Return3Mo_Grn,1,IF(Companies_CAD[[#This Row],[3 Mo. Ret.]]&lt;Return3Mo_Red,-1,0))</f>
        <v>#N/A</v>
      </c>
      <c r="R14" s="52" t="e">
        <f>IF(Companies_CAD[[#This Row],[12 Mo. Ret.]]&gt;Return12Mo_Grn,1,IF(Companies_CAD[[#This Row],[12 Mo. Ret.]]&lt;Return12Mo_Red,-1,0))</f>
        <v>#N/A</v>
      </c>
      <c r="S14" s="52" t="e">
        <f>IF(Companies_CAD[[#This Row],[PSR]]&lt;PSR_Green,1,IF(Companies_CAD[[#This Row],[PSR]]&gt;PSR_Red,-1,0))</f>
        <v>#N/A</v>
      </c>
      <c r="T14" s="52" t="e">
        <f>IF(Companies_CAD[[#This Row],[Financial Health]]&lt;"C",1,IF(Companies_CAD[[#This Row],[Financial Health]]&gt;"C",-1,0))</f>
        <v>#N/A</v>
      </c>
      <c r="U14" s="52" t="e">
        <f>IF(Companies_CAD[[#This Row],[PFV]]&lt;PFV_Green,1,IF(Companies_CAD[[#This Row],[PFV]]&gt;PFV_Red,-1,0))</f>
        <v>#N/A</v>
      </c>
    </row>
    <row r="15" spans="2:21" s="52" customFormat="1" ht="25.15" customHeight="1" x14ac:dyDescent="0.25">
      <c r="B15" s="11" t="s">
        <v>491</v>
      </c>
      <c r="C15" s="11" t="e">
        <f>VLOOKUP(Companies_CAD[[#This Row],[Symbol]],ColStart_CAD:ColEnd_CAD,MATCH("Name",Morningstar_Cols_CAD,EXACT_MATCH),EXACT_MATCH)</f>
        <v>#N/A</v>
      </c>
      <c r="D15" s="81" t="e">
        <f>VLOOKUP(Companies_CAD[[#This Row],[Symbol]],ColStart_CAD:ColEnd_CAD,MATCH("$ Current Price",Morningstar_Cols_CAD,EXACT_MATCH),EXACT_MATCH)</f>
        <v>#N/A</v>
      </c>
      <c r="E15" s="84" t="e">
        <f>VLOOKUP(Companies_CAD[[#This Row],[Symbol]],ColStart_CAD:ColEnd_CAD,MATCH("$ Change",Morningstar_Cols_CAD,EXACT_MATCH),EXACT_MATCH)</f>
        <v>#N/A</v>
      </c>
      <c r="F15" s="82" t="e">
        <f>IF(Companies_CAD[[#This Row],[$ Change]]&lt;&gt;0,Companies_CAD[[#This Row],[$ Change]]/(Companies_CAD[[#This Row],[Last Close]]-Companies_CAD[[#This Row],[$ Change]]),0)</f>
        <v>#N/A</v>
      </c>
      <c r="G15" s="11" t="e">
        <f>VLOOKUP(Companies_CAD[[#This Row],[Symbol]],ColStart_CAD:ColEnd_CAD,MATCH("Industry Group",Morningstar_Cols_CAD,EXACT_MATCH),EXACT_MATCH)</f>
        <v>#N/A</v>
      </c>
      <c r="H15" s="114" t="e">
        <f>VLOOKUP(Companies_CAD[[#This Row],[Symbol]],ColStart_CAD:ColEnd_CAD,MATCH("mil$ Market Cap",Morningstar_Cols_CAD,EXACT_MATCH),EXACT_MATCH)</f>
        <v>#N/A</v>
      </c>
      <c r="I15" s="115" t="e">
        <f>VLOOKUP(Companies_CAD[[#This Row],[Symbol]],ColStart_CAD:ColEnd_CAD,MATCH("%  Total Return 3 Month",Morningstar_Cols_CAD,EXACT_MATCH),EXACT_MATCH)/100</f>
        <v>#N/A</v>
      </c>
      <c r="J15" s="115" t="e">
        <f>VLOOKUP(Companies_CAD[[#This Row],[Symbol]],ColStart_CAD:ColEnd_CAD,MATCH("%  Total Return 12 Month",Morningstar_Cols_CAD,EXACT_MATCH),EXACT_MATCH)/100</f>
        <v>#N/A</v>
      </c>
      <c r="K15" s="116" t="e">
        <f>VLOOKUP(Companies_CAD[[#This Row],[Symbol]],ColStart_CAD:ColEnd_CAD,MATCH("Price/ Sales",Morningstar_Cols_CAD,EXACT_MATCH),EXACT_MATCH)</f>
        <v>#N/A</v>
      </c>
      <c r="L15" s="117" t="e">
        <f>VLOOKUP(Companies_CAD[[#This Row],[Symbol]],ColStart_CAD:ColEnd_CAD,MATCH("Price/ Fair Value",Morningstar_Cols_CAD,EXACT_MATCH),EXACT_MATCH)</f>
        <v>#N/A</v>
      </c>
      <c r="M15" s="118" t="e">
        <f>VLOOKUP(Companies_CAD[[#This Row],[Symbol]],ColStart_CAD:ColEnd_CAD,MATCH("Financial  Health Grade",Morningstar_Cols_CAD,EXACT_MATCH),EXACT_MATCH)</f>
        <v>#N/A</v>
      </c>
      <c r="N15" s="107" t="e">
        <f>VLOOKUP(Companies_CAD[[#This Row],[Symbol]],ColStart_CAD:ColEnd_CAD,MATCH("% Dividend Yield TTM",Morningstar_Cols_CAD,EXACT_MATCH),EXACT_MATCH)/100</f>
        <v>#N/A</v>
      </c>
      <c r="O15" s="94" t="e">
        <f>RatingDefault+SUM(Companies_CAD[[#This Row],[3MoPoints]:[PFVPoints]])</f>
        <v>#N/A</v>
      </c>
      <c r="P15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5" s="52" t="e">
        <f>IF(Companies_CAD[[#This Row],[3 Mo. Ret.]]&gt;Return3Mo_Grn,1,IF(Companies_CAD[[#This Row],[3 Mo. Ret.]]&lt;Return3Mo_Red,-1,0))</f>
        <v>#N/A</v>
      </c>
      <c r="R15" s="52" t="e">
        <f>IF(Companies_CAD[[#This Row],[12 Mo. Ret.]]&gt;Return12Mo_Grn,1,IF(Companies_CAD[[#This Row],[12 Mo. Ret.]]&lt;Return12Mo_Red,-1,0))</f>
        <v>#N/A</v>
      </c>
      <c r="S15" s="52" t="e">
        <f>IF(Companies_CAD[[#This Row],[PSR]]&lt;PSR_Green,1,IF(Companies_CAD[[#This Row],[PSR]]&gt;PSR_Red,-1,0))</f>
        <v>#N/A</v>
      </c>
      <c r="T15" s="52" t="e">
        <f>IF(Companies_CAD[[#This Row],[Financial Health]]&lt;"C",1,IF(Companies_CAD[[#This Row],[Financial Health]]&gt;"C",-1,0))</f>
        <v>#N/A</v>
      </c>
      <c r="U15" s="52" t="e">
        <f>IF(Companies_CAD[[#This Row],[PFV]]&lt;PFV_Green,1,IF(Companies_CAD[[#This Row],[PFV]]&gt;PFV_Red,-1,0))</f>
        <v>#N/A</v>
      </c>
    </row>
    <row r="16" spans="2:21" s="52" customFormat="1" ht="25.15" customHeight="1" x14ac:dyDescent="0.25">
      <c r="B16" s="11" t="s">
        <v>498</v>
      </c>
      <c r="C16" s="11" t="e">
        <f>VLOOKUP(Companies_CAD[[#This Row],[Symbol]],ColStart_CAD:ColEnd_CAD,MATCH("Name",Morningstar_Cols_CAD,EXACT_MATCH),EXACT_MATCH)</f>
        <v>#N/A</v>
      </c>
      <c r="D16" s="81" t="e">
        <f>VLOOKUP(Companies_CAD[[#This Row],[Symbol]],ColStart_CAD:ColEnd_CAD,MATCH("$ Current Price",Morningstar_Cols_CAD,EXACT_MATCH),EXACT_MATCH)</f>
        <v>#N/A</v>
      </c>
      <c r="E16" s="84" t="e">
        <f>VLOOKUP(Companies_CAD[[#This Row],[Symbol]],ColStart_CAD:ColEnd_CAD,MATCH("$ Change",Morningstar_Cols_CAD,EXACT_MATCH),EXACT_MATCH)</f>
        <v>#N/A</v>
      </c>
      <c r="F16" s="82" t="e">
        <f>IF(Companies_CAD[[#This Row],[$ Change]]&lt;&gt;0,Companies_CAD[[#This Row],[$ Change]]/(Companies_CAD[[#This Row],[Last Close]]-Companies_CAD[[#This Row],[$ Change]]),0)</f>
        <v>#N/A</v>
      </c>
      <c r="G16" s="11" t="e">
        <f>VLOOKUP(Companies_CAD[[#This Row],[Symbol]],ColStart_CAD:ColEnd_CAD,MATCH("Industry Group",Morningstar_Cols_CAD,EXACT_MATCH),EXACT_MATCH)</f>
        <v>#N/A</v>
      </c>
      <c r="H16" s="114" t="e">
        <f>VLOOKUP(Companies_CAD[[#This Row],[Symbol]],ColStart_CAD:ColEnd_CAD,MATCH("mil$ Market Cap",Morningstar_Cols_CAD,EXACT_MATCH),EXACT_MATCH)</f>
        <v>#N/A</v>
      </c>
      <c r="I16" s="115" t="e">
        <f>VLOOKUP(Companies_CAD[[#This Row],[Symbol]],ColStart_CAD:ColEnd_CAD,MATCH("%  Total Return 3 Month",Morningstar_Cols_CAD,EXACT_MATCH),EXACT_MATCH)/100</f>
        <v>#N/A</v>
      </c>
      <c r="J16" s="115" t="e">
        <f>VLOOKUP(Companies_CAD[[#This Row],[Symbol]],ColStart_CAD:ColEnd_CAD,MATCH("%  Total Return 12 Month",Morningstar_Cols_CAD,EXACT_MATCH),EXACT_MATCH)/100</f>
        <v>#N/A</v>
      </c>
      <c r="K16" s="116" t="e">
        <f>VLOOKUP(Companies_CAD[[#This Row],[Symbol]],ColStart_CAD:ColEnd_CAD,MATCH("Price/ Sales",Morningstar_Cols_CAD,EXACT_MATCH),EXACT_MATCH)</f>
        <v>#N/A</v>
      </c>
      <c r="L16" s="117" t="e">
        <f>VLOOKUP(Companies_CAD[[#This Row],[Symbol]],ColStart_CAD:ColEnd_CAD,MATCH("Price/ Fair Value",Morningstar_Cols_CAD,EXACT_MATCH),EXACT_MATCH)</f>
        <v>#N/A</v>
      </c>
      <c r="M16" s="118" t="e">
        <f>VLOOKUP(Companies_CAD[[#This Row],[Symbol]],ColStart_CAD:ColEnd_CAD,MATCH("Financial  Health Grade",Morningstar_Cols_CAD,EXACT_MATCH),EXACT_MATCH)</f>
        <v>#N/A</v>
      </c>
      <c r="N16" s="107" t="e">
        <f>VLOOKUP(Companies_CAD[[#This Row],[Symbol]],ColStart_CAD:ColEnd_CAD,MATCH("% Dividend Yield TTM",Morningstar_Cols_CAD,EXACT_MATCH),EXACT_MATCH)/100</f>
        <v>#N/A</v>
      </c>
      <c r="O16" s="94" t="e">
        <f>RatingDefault+SUM(Companies_CAD[[#This Row],[3MoPoints]:[PFVPoints]])</f>
        <v>#N/A</v>
      </c>
      <c r="P16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6" s="52" t="e">
        <f>IF(Companies_CAD[[#This Row],[3 Mo. Ret.]]&gt;Return3Mo_Grn,1,IF(Companies_CAD[[#This Row],[3 Mo. Ret.]]&lt;Return3Mo_Red,-1,0))</f>
        <v>#N/A</v>
      </c>
      <c r="R16" s="52" t="e">
        <f>IF(Companies_CAD[[#This Row],[12 Mo. Ret.]]&gt;Return12Mo_Grn,1,IF(Companies_CAD[[#This Row],[12 Mo. Ret.]]&lt;Return12Mo_Red,-1,0))</f>
        <v>#N/A</v>
      </c>
      <c r="S16" s="52" t="e">
        <f>IF(Companies_CAD[[#This Row],[PSR]]&lt;PSR_Green,1,IF(Companies_CAD[[#This Row],[PSR]]&gt;PSR_Red,-1,0))</f>
        <v>#N/A</v>
      </c>
      <c r="T16" s="52" t="e">
        <f>IF(Companies_CAD[[#This Row],[Financial Health]]&lt;"C",1,IF(Companies_CAD[[#This Row],[Financial Health]]&gt;"C",-1,0))</f>
        <v>#N/A</v>
      </c>
      <c r="U16" s="52" t="e">
        <f>IF(Companies_CAD[[#This Row],[PFV]]&lt;PFV_Green,1,IF(Companies_CAD[[#This Row],[PFV]]&gt;PFV_Red,-1,0))</f>
        <v>#N/A</v>
      </c>
    </row>
    <row r="17" spans="2:21" s="52" customFormat="1" ht="25.15" customHeight="1" x14ac:dyDescent="0.25">
      <c r="B17" s="11" t="s">
        <v>497</v>
      </c>
      <c r="C17" s="11" t="e">
        <f>VLOOKUP(Companies_CAD[[#This Row],[Symbol]],ColStart_CAD:ColEnd_CAD,MATCH("Name",Morningstar_Cols_CAD,EXACT_MATCH),EXACT_MATCH)</f>
        <v>#N/A</v>
      </c>
      <c r="D17" s="81" t="e">
        <f>VLOOKUP(Companies_CAD[[#This Row],[Symbol]],ColStart_CAD:ColEnd_CAD,MATCH("$ Current Price",Morningstar_Cols_CAD,EXACT_MATCH),EXACT_MATCH)</f>
        <v>#N/A</v>
      </c>
      <c r="E17" s="84" t="e">
        <f>VLOOKUP(Companies_CAD[[#This Row],[Symbol]],ColStart_CAD:ColEnd_CAD,MATCH("$ Change",Morningstar_Cols_CAD,EXACT_MATCH),EXACT_MATCH)</f>
        <v>#N/A</v>
      </c>
      <c r="F17" s="82" t="e">
        <f>IF(Companies_CAD[[#This Row],[$ Change]]&lt;&gt;0,Companies_CAD[[#This Row],[$ Change]]/(Companies_CAD[[#This Row],[Last Close]]-Companies_CAD[[#This Row],[$ Change]]),0)</f>
        <v>#N/A</v>
      </c>
      <c r="G17" s="11" t="e">
        <f>VLOOKUP(Companies_CAD[[#This Row],[Symbol]],ColStart_CAD:ColEnd_CAD,MATCH("Industry Group",Morningstar_Cols_CAD,EXACT_MATCH),EXACT_MATCH)</f>
        <v>#N/A</v>
      </c>
      <c r="H17" s="114" t="e">
        <f>VLOOKUP(Companies_CAD[[#This Row],[Symbol]],ColStart_CAD:ColEnd_CAD,MATCH("mil$ Market Cap",Morningstar_Cols_CAD,EXACT_MATCH),EXACT_MATCH)</f>
        <v>#N/A</v>
      </c>
      <c r="I17" s="115" t="e">
        <f>VLOOKUP(Companies_CAD[[#This Row],[Symbol]],ColStart_CAD:ColEnd_CAD,MATCH("%  Total Return 3 Month",Morningstar_Cols_CAD,EXACT_MATCH),EXACT_MATCH)/100</f>
        <v>#N/A</v>
      </c>
      <c r="J17" s="115" t="e">
        <f>VLOOKUP(Companies_CAD[[#This Row],[Symbol]],ColStart_CAD:ColEnd_CAD,MATCH("%  Total Return 12 Month",Morningstar_Cols_CAD,EXACT_MATCH),EXACT_MATCH)/100</f>
        <v>#N/A</v>
      </c>
      <c r="K17" s="116" t="e">
        <f>VLOOKUP(Companies_CAD[[#This Row],[Symbol]],ColStart_CAD:ColEnd_CAD,MATCH("Price/ Sales",Morningstar_Cols_CAD,EXACT_MATCH),EXACT_MATCH)</f>
        <v>#N/A</v>
      </c>
      <c r="L17" s="117" t="e">
        <f>VLOOKUP(Companies_CAD[[#This Row],[Symbol]],ColStart_CAD:ColEnd_CAD,MATCH("Price/ Fair Value",Morningstar_Cols_CAD,EXACT_MATCH),EXACT_MATCH)</f>
        <v>#N/A</v>
      </c>
      <c r="M17" s="118" t="e">
        <f>VLOOKUP(Companies_CAD[[#This Row],[Symbol]],ColStart_CAD:ColEnd_CAD,MATCH("Financial  Health Grade",Morningstar_Cols_CAD,EXACT_MATCH),EXACT_MATCH)</f>
        <v>#N/A</v>
      </c>
      <c r="N17" s="107" t="e">
        <f>VLOOKUP(Companies_CAD[[#This Row],[Symbol]],ColStart_CAD:ColEnd_CAD,MATCH("% Dividend Yield TTM",Morningstar_Cols_CAD,EXACT_MATCH),EXACT_MATCH)/100</f>
        <v>#N/A</v>
      </c>
      <c r="O17" s="94" t="e">
        <f>RatingDefault+SUM(Companies_CAD[[#This Row],[3MoPoints]:[PFVPoints]])</f>
        <v>#N/A</v>
      </c>
      <c r="P17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7" s="52" t="e">
        <f>IF(Companies_CAD[[#This Row],[3 Mo. Ret.]]&gt;Return3Mo_Grn,1,IF(Companies_CAD[[#This Row],[3 Mo. Ret.]]&lt;Return3Mo_Red,-1,0))</f>
        <v>#N/A</v>
      </c>
      <c r="R17" s="52" t="e">
        <f>IF(Companies_CAD[[#This Row],[12 Mo. Ret.]]&gt;Return12Mo_Grn,1,IF(Companies_CAD[[#This Row],[12 Mo. Ret.]]&lt;Return12Mo_Red,-1,0))</f>
        <v>#N/A</v>
      </c>
      <c r="S17" s="52" t="e">
        <f>IF(Companies_CAD[[#This Row],[PSR]]&lt;PSR_Green,1,IF(Companies_CAD[[#This Row],[PSR]]&gt;PSR_Red,-1,0))</f>
        <v>#N/A</v>
      </c>
      <c r="T17" s="52" t="e">
        <f>IF(Companies_CAD[[#This Row],[Financial Health]]&lt;"C",1,IF(Companies_CAD[[#This Row],[Financial Health]]&gt;"C",-1,0))</f>
        <v>#N/A</v>
      </c>
      <c r="U17" s="52" t="e">
        <f>IF(Companies_CAD[[#This Row],[PFV]]&lt;PFV_Green,1,IF(Companies_CAD[[#This Row],[PFV]]&gt;PFV_Red,-1,0))</f>
        <v>#N/A</v>
      </c>
    </row>
    <row r="18" spans="2:21" s="52" customFormat="1" ht="25.15" customHeight="1" x14ac:dyDescent="0.25">
      <c r="B18" s="11" t="s">
        <v>307</v>
      </c>
      <c r="C18" s="11" t="e">
        <f>VLOOKUP(Companies_CAD[[#This Row],[Symbol]],ColStart_CAD:ColEnd_CAD,MATCH("Name",Morningstar_Cols_CAD,EXACT_MATCH),EXACT_MATCH)</f>
        <v>#N/A</v>
      </c>
      <c r="D18" s="81" t="e">
        <f>VLOOKUP(Companies_CAD[[#This Row],[Symbol]],ColStart_CAD:ColEnd_CAD,MATCH("$ Current Price",Morningstar_Cols_CAD,EXACT_MATCH),EXACT_MATCH)</f>
        <v>#N/A</v>
      </c>
      <c r="E18" s="84" t="e">
        <f>VLOOKUP(Companies_CAD[[#This Row],[Symbol]],ColStart_CAD:ColEnd_CAD,MATCH("$ Change",Morningstar_Cols_CAD,EXACT_MATCH),EXACT_MATCH)</f>
        <v>#N/A</v>
      </c>
      <c r="F18" s="82" t="e">
        <f>IF(Companies_CAD[[#This Row],[$ Change]]&lt;&gt;0,Companies_CAD[[#This Row],[$ Change]]/(Companies_CAD[[#This Row],[Last Close]]-Companies_CAD[[#This Row],[$ Change]]),0)</f>
        <v>#N/A</v>
      </c>
      <c r="G18" s="11" t="e">
        <f>VLOOKUP(Companies_CAD[[#This Row],[Symbol]],ColStart_CAD:ColEnd_CAD,MATCH("Industry Group",Morningstar_Cols_CAD,EXACT_MATCH),EXACT_MATCH)</f>
        <v>#N/A</v>
      </c>
      <c r="H18" s="114" t="e">
        <f>VLOOKUP(Companies_CAD[[#This Row],[Symbol]],ColStart_CAD:ColEnd_CAD,MATCH("mil$ Market Cap",Morningstar_Cols_CAD,EXACT_MATCH),EXACT_MATCH)</f>
        <v>#N/A</v>
      </c>
      <c r="I18" s="115" t="e">
        <f>VLOOKUP(Companies_CAD[[#This Row],[Symbol]],ColStart_CAD:ColEnd_CAD,MATCH("%  Total Return 3 Month",Morningstar_Cols_CAD,EXACT_MATCH),EXACT_MATCH)/100</f>
        <v>#N/A</v>
      </c>
      <c r="J18" s="115" t="e">
        <f>VLOOKUP(Companies_CAD[[#This Row],[Symbol]],ColStart_CAD:ColEnd_CAD,MATCH("%  Total Return 12 Month",Morningstar_Cols_CAD,EXACT_MATCH),EXACT_MATCH)/100</f>
        <v>#N/A</v>
      </c>
      <c r="K18" s="116" t="e">
        <f>VLOOKUP(Companies_CAD[[#This Row],[Symbol]],ColStart_CAD:ColEnd_CAD,MATCH("Price/ Sales",Morningstar_Cols_CAD,EXACT_MATCH),EXACT_MATCH)</f>
        <v>#N/A</v>
      </c>
      <c r="L18" s="117" t="e">
        <f>VLOOKUP(Companies_CAD[[#This Row],[Symbol]],ColStart_CAD:ColEnd_CAD,MATCH("Price/ Fair Value",Morningstar_Cols_CAD,EXACT_MATCH),EXACT_MATCH)</f>
        <v>#N/A</v>
      </c>
      <c r="M18" s="118" t="e">
        <f>VLOOKUP(Companies_CAD[[#This Row],[Symbol]],ColStart_CAD:ColEnd_CAD,MATCH("Financial  Health Grade",Morningstar_Cols_CAD,EXACT_MATCH),EXACT_MATCH)</f>
        <v>#N/A</v>
      </c>
      <c r="N18" s="107" t="e">
        <f>VLOOKUP(Companies_CAD[[#This Row],[Symbol]],ColStart_CAD:ColEnd_CAD,MATCH("% Dividend Yield TTM",Morningstar_Cols_CAD,EXACT_MATCH),EXACT_MATCH)/100</f>
        <v>#N/A</v>
      </c>
      <c r="O18" s="94" t="e">
        <f>RatingDefault+SUM(Companies_CAD[[#This Row],[3MoPoints]:[PFVPoints]])</f>
        <v>#N/A</v>
      </c>
      <c r="P18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8" s="52" t="e">
        <f>IF(Companies_CAD[[#This Row],[3 Mo. Ret.]]&gt;Return3Mo_Grn,1,IF(Companies_CAD[[#This Row],[3 Mo. Ret.]]&lt;Return3Mo_Red,-1,0))</f>
        <v>#N/A</v>
      </c>
      <c r="R18" s="52" t="e">
        <f>IF(Companies_CAD[[#This Row],[12 Mo. Ret.]]&gt;Return12Mo_Grn,1,IF(Companies_CAD[[#This Row],[12 Mo. Ret.]]&lt;Return12Mo_Red,-1,0))</f>
        <v>#N/A</v>
      </c>
      <c r="S18" s="52" t="e">
        <f>IF(Companies_CAD[[#This Row],[PSR]]&lt;PSR_Green,1,IF(Companies_CAD[[#This Row],[PSR]]&gt;PSR_Red,-1,0))</f>
        <v>#N/A</v>
      </c>
      <c r="T18" s="52" t="e">
        <f>IF(Companies_CAD[[#This Row],[Financial Health]]&lt;"C",1,IF(Companies_CAD[[#This Row],[Financial Health]]&gt;"C",-1,0))</f>
        <v>#N/A</v>
      </c>
      <c r="U18" s="52" t="e">
        <f>IF(Companies_CAD[[#This Row],[PFV]]&lt;PFV_Green,1,IF(Companies_CAD[[#This Row],[PFV]]&gt;PFV_Red,-1,0))</f>
        <v>#N/A</v>
      </c>
    </row>
    <row r="19" spans="2:21" s="52" customFormat="1" ht="25.15" customHeight="1" x14ac:dyDescent="0.25">
      <c r="B19" s="11" t="s">
        <v>462</v>
      </c>
      <c r="C19" s="11" t="e">
        <f>VLOOKUP(Companies_CAD[[#This Row],[Symbol]],ColStart_CAD:ColEnd_CAD,MATCH("Name",Morningstar_Cols_CAD,EXACT_MATCH),EXACT_MATCH)</f>
        <v>#N/A</v>
      </c>
      <c r="D19" s="81" t="e">
        <f>VLOOKUP(Companies_CAD[[#This Row],[Symbol]],ColStart_CAD:ColEnd_CAD,MATCH("$ Current Price",Morningstar_Cols_CAD,EXACT_MATCH),EXACT_MATCH)</f>
        <v>#N/A</v>
      </c>
      <c r="E19" s="84" t="e">
        <f>VLOOKUP(Companies_CAD[[#This Row],[Symbol]],ColStart_CAD:ColEnd_CAD,MATCH("$ Change",Morningstar_Cols_CAD,EXACT_MATCH),EXACT_MATCH)</f>
        <v>#N/A</v>
      </c>
      <c r="F19" s="82" t="e">
        <f>IF(Companies_CAD[[#This Row],[$ Change]]&lt;&gt;0,Companies_CAD[[#This Row],[$ Change]]/(Companies_CAD[[#This Row],[Last Close]]-Companies_CAD[[#This Row],[$ Change]]),0)</f>
        <v>#N/A</v>
      </c>
      <c r="G19" s="11" t="e">
        <f>VLOOKUP(Companies_CAD[[#This Row],[Symbol]],ColStart_CAD:ColEnd_CAD,MATCH("Industry Group",Morningstar_Cols_CAD,EXACT_MATCH),EXACT_MATCH)</f>
        <v>#N/A</v>
      </c>
      <c r="H19" s="114" t="e">
        <f>VLOOKUP(Companies_CAD[[#This Row],[Symbol]],ColStart_CAD:ColEnd_CAD,MATCH("mil$ Market Cap",Morningstar_Cols_CAD,EXACT_MATCH),EXACT_MATCH)</f>
        <v>#N/A</v>
      </c>
      <c r="I19" s="115" t="e">
        <f>VLOOKUP(Companies_CAD[[#This Row],[Symbol]],ColStart_CAD:ColEnd_CAD,MATCH("%  Total Return 3 Month",Morningstar_Cols_CAD,EXACT_MATCH),EXACT_MATCH)/100</f>
        <v>#N/A</v>
      </c>
      <c r="J19" s="115" t="e">
        <f>VLOOKUP(Companies_CAD[[#This Row],[Symbol]],ColStart_CAD:ColEnd_CAD,MATCH("%  Total Return 12 Month",Morningstar_Cols_CAD,EXACT_MATCH),EXACT_MATCH)/100</f>
        <v>#N/A</v>
      </c>
      <c r="K19" s="116" t="e">
        <f>VLOOKUP(Companies_CAD[[#This Row],[Symbol]],ColStart_CAD:ColEnd_CAD,MATCH("Price/ Sales",Morningstar_Cols_CAD,EXACT_MATCH),EXACT_MATCH)</f>
        <v>#N/A</v>
      </c>
      <c r="L19" s="117" t="e">
        <f>VLOOKUP(Companies_CAD[[#This Row],[Symbol]],ColStart_CAD:ColEnd_CAD,MATCH("Price/ Fair Value",Morningstar_Cols_CAD,EXACT_MATCH),EXACT_MATCH)</f>
        <v>#N/A</v>
      </c>
      <c r="M19" s="118" t="e">
        <f>VLOOKUP(Companies_CAD[[#This Row],[Symbol]],ColStart_CAD:ColEnd_CAD,MATCH("Financial  Health Grade",Morningstar_Cols_CAD,EXACT_MATCH),EXACT_MATCH)</f>
        <v>#N/A</v>
      </c>
      <c r="N19" s="107" t="e">
        <f>VLOOKUP(Companies_CAD[[#This Row],[Symbol]],ColStart_CAD:ColEnd_CAD,MATCH("% Dividend Yield TTM",Morningstar_Cols_CAD,EXACT_MATCH),EXACT_MATCH)/100</f>
        <v>#N/A</v>
      </c>
      <c r="O19" s="94" t="e">
        <f>RatingDefault+SUM(Companies_CAD[[#This Row],[3MoPoints]:[PFVPoints]])</f>
        <v>#N/A</v>
      </c>
      <c r="P19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9" s="52" t="e">
        <f>IF(Companies_CAD[[#This Row],[3 Mo. Ret.]]&gt;Return3Mo_Grn,1,IF(Companies_CAD[[#This Row],[3 Mo. Ret.]]&lt;Return3Mo_Red,-1,0))</f>
        <v>#N/A</v>
      </c>
      <c r="R19" s="52" t="e">
        <f>IF(Companies_CAD[[#This Row],[12 Mo. Ret.]]&gt;Return12Mo_Grn,1,IF(Companies_CAD[[#This Row],[12 Mo. Ret.]]&lt;Return12Mo_Red,-1,0))</f>
        <v>#N/A</v>
      </c>
      <c r="S19" s="52" t="e">
        <f>IF(Companies_CAD[[#This Row],[PSR]]&lt;PSR_Green,1,IF(Companies_CAD[[#This Row],[PSR]]&gt;PSR_Red,-1,0))</f>
        <v>#N/A</v>
      </c>
      <c r="T19" s="52" t="e">
        <f>IF(Companies_CAD[[#This Row],[Financial Health]]&lt;"C",1,IF(Companies_CAD[[#This Row],[Financial Health]]&gt;"C",-1,0))</f>
        <v>#N/A</v>
      </c>
      <c r="U19" s="52" t="e">
        <f>IF(Companies_CAD[[#This Row],[PFV]]&lt;PFV_Green,1,IF(Companies_CAD[[#This Row],[PFV]]&gt;PFV_Red,-1,0))</f>
        <v>#N/A</v>
      </c>
    </row>
    <row r="20" spans="2:21" s="52" customFormat="1" ht="25.15" customHeight="1" x14ac:dyDescent="0.25">
      <c r="B20" s="11" t="s">
        <v>463</v>
      </c>
      <c r="C20" s="11" t="e">
        <f>VLOOKUP(Companies_CAD[[#This Row],[Symbol]],ColStart_CAD:ColEnd_CAD,MATCH("Name",Morningstar_Cols_CAD,EXACT_MATCH),EXACT_MATCH)</f>
        <v>#N/A</v>
      </c>
      <c r="D20" s="81" t="e">
        <f>VLOOKUP(Companies_CAD[[#This Row],[Symbol]],ColStart_CAD:ColEnd_CAD,MATCH("$ Current Price",Morningstar_Cols_CAD,EXACT_MATCH),EXACT_MATCH)</f>
        <v>#N/A</v>
      </c>
      <c r="E20" s="84" t="e">
        <f>VLOOKUP(Companies_CAD[[#This Row],[Symbol]],ColStart_CAD:ColEnd_CAD,MATCH("$ Change",Morningstar_Cols_CAD,EXACT_MATCH),EXACT_MATCH)</f>
        <v>#N/A</v>
      </c>
      <c r="F20" s="82" t="e">
        <f>IF(Companies_CAD[[#This Row],[$ Change]]&lt;&gt;0,Companies_CAD[[#This Row],[$ Change]]/(Companies_CAD[[#This Row],[Last Close]]-Companies_CAD[[#This Row],[$ Change]]),0)</f>
        <v>#N/A</v>
      </c>
      <c r="G20" s="11" t="e">
        <f>VLOOKUP(Companies_CAD[[#This Row],[Symbol]],ColStart_CAD:ColEnd_CAD,MATCH("Industry Group",Morningstar_Cols_CAD,EXACT_MATCH),EXACT_MATCH)</f>
        <v>#N/A</v>
      </c>
      <c r="H20" s="114" t="e">
        <f>VLOOKUP(Companies_CAD[[#This Row],[Symbol]],ColStart_CAD:ColEnd_CAD,MATCH("mil$ Market Cap",Morningstar_Cols_CAD,EXACT_MATCH),EXACT_MATCH)</f>
        <v>#N/A</v>
      </c>
      <c r="I20" s="115" t="e">
        <f>VLOOKUP(Companies_CAD[[#This Row],[Symbol]],ColStart_CAD:ColEnd_CAD,MATCH("%  Total Return 3 Month",Morningstar_Cols_CAD,EXACT_MATCH),EXACT_MATCH)/100</f>
        <v>#N/A</v>
      </c>
      <c r="J20" s="115" t="e">
        <f>VLOOKUP(Companies_CAD[[#This Row],[Symbol]],ColStart_CAD:ColEnd_CAD,MATCH("%  Total Return 12 Month",Morningstar_Cols_CAD,EXACT_MATCH),EXACT_MATCH)/100</f>
        <v>#N/A</v>
      </c>
      <c r="K20" s="116" t="e">
        <f>VLOOKUP(Companies_CAD[[#This Row],[Symbol]],ColStart_CAD:ColEnd_CAD,MATCH("Price/ Sales",Morningstar_Cols_CAD,EXACT_MATCH),EXACT_MATCH)</f>
        <v>#N/A</v>
      </c>
      <c r="L20" s="117" t="e">
        <f>VLOOKUP(Companies_CAD[[#This Row],[Symbol]],ColStart_CAD:ColEnd_CAD,MATCH("Price/ Fair Value",Morningstar_Cols_CAD,EXACT_MATCH),EXACT_MATCH)</f>
        <v>#N/A</v>
      </c>
      <c r="M20" s="118" t="e">
        <f>VLOOKUP(Companies_CAD[[#This Row],[Symbol]],ColStart_CAD:ColEnd_CAD,MATCH("Financial  Health Grade",Morningstar_Cols_CAD,EXACT_MATCH),EXACT_MATCH)</f>
        <v>#N/A</v>
      </c>
      <c r="N20" s="107" t="e">
        <f>VLOOKUP(Companies_CAD[[#This Row],[Symbol]],ColStart_CAD:ColEnd_CAD,MATCH("% Dividend Yield TTM",Morningstar_Cols_CAD,EXACT_MATCH),EXACT_MATCH)/100</f>
        <v>#N/A</v>
      </c>
      <c r="O20" s="94" t="e">
        <f>RatingDefault+SUM(Companies_CAD[[#This Row],[3MoPoints]:[PFVPoints]])</f>
        <v>#N/A</v>
      </c>
      <c r="P20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20" s="52" t="e">
        <f>IF(Companies_CAD[[#This Row],[3 Mo. Ret.]]&gt;Return3Mo_Grn,1,IF(Companies_CAD[[#This Row],[3 Mo. Ret.]]&lt;Return3Mo_Red,-1,0))</f>
        <v>#N/A</v>
      </c>
      <c r="R20" s="52" t="e">
        <f>IF(Companies_CAD[[#This Row],[12 Mo. Ret.]]&gt;Return12Mo_Grn,1,IF(Companies_CAD[[#This Row],[12 Mo. Ret.]]&lt;Return12Mo_Red,-1,0))</f>
        <v>#N/A</v>
      </c>
      <c r="S20" s="52" t="e">
        <f>IF(Companies_CAD[[#This Row],[PSR]]&lt;PSR_Green,1,IF(Companies_CAD[[#This Row],[PSR]]&gt;PSR_Red,-1,0))</f>
        <v>#N/A</v>
      </c>
      <c r="T20" s="52" t="e">
        <f>IF(Companies_CAD[[#This Row],[Financial Health]]&lt;"C",1,IF(Companies_CAD[[#This Row],[Financial Health]]&gt;"C",-1,0))</f>
        <v>#N/A</v>
      </c>
      <c r="U20" s="52" t="e">
        <f>IF(Companies_CAD[[#This Row],[PFV]]&lt;PFV_Green,1,IF(Companies_CAD[[#This Row],[PFV]]&gt;PFV_Red,-1,0))</f>
        <v>#N/A</v>
      </c>
    </row>
    <row r="21" spans="2:21" s="52" customFormat="1" ht="25.15" customHeight="1" x14ac:dyDescent="0.25">
      <c r="B21" s="11" t="s">
        <v>494</v>
      </c>
      <c r="C21" s="11" t="e">
        <f>VLOOKUP(Companies_CAD[[#This Row],[Symbol]],ColStart_CAD:ColEnd_CAD,MATCH("Name",Morningstar_Cols_CAD,EXACT_MATCH),EXACT_MATCH)</f>
        <v>#N/A</v>
      </c>
      <c r="D21" s="81" t="e">
        <f>VLOOKUP(Companies_CAD[[#This Row],[Symbol]],ColStart_CAD:ColEnd_CAD,MATCH("$ Current Price",Morningstar_Cols_CAD,EXACT_MATCH),EXACT_MATCH)</f>
        <v>#N/A</v>
      </c>
      <c r="E21" s="84" t="e">
        <f>VLOOKUP(Companies_CAD[[#This Row],[Symbol]],ColStart_CAD:ColEnd_CAD,MATCH("$ Change",Morningstar_Cols_CAD,EXACT_MATCH),EXACT_MATCH)</f>
        <v>#N/A</v>
      </c>
      <c r="F21" s="82" t="e">
        <f>IF(Companies_CAD[[#This Row],[$ Change]]&lt;&gt;0,Companies_CAD[[#This Row],[$ Change]]/(Companies_CAD[[#This Row],[Last Close]]-Companies_CAD[[#This Row],[$ Change]]),0)</f>
        <v>#N/A</v>
      </c>
      <c r="G21" s="11" t="e">
        <f>VLOOKUP(Companies_CAD[[#This Row],[Symbol]],ColStart_CAD:ColEnd_CAD,MATCH("Industry Group",Morningstar_Cols_CAD,EXACT_MATCH),EXACT_MATCH)</f>
        <v>#N/A</v>
      </c>
      <c r="H21" s="114" t="e">
        <f>VLOOKUP(Companies_CAD[[#This Row],[Symbol]],ColStart_CAD:ColEnd_CAD,MATCH("mil$ Market Cap",Morningstar_Cols_CAD,EXACT_MATCH),EXACT_MATCH)</f>
        <v>#N/A</v>
      </c>
      <c r="I21" s="115" t="e">
        <f>VLOOKUP(Companies_CAD[[#This Row],[Symbol]],ColStart_CAD:ColEnd_CAD,MATCH("%  Total Return 3 Month",Morningstar_Cols_CAD,EXACT_MATCH),EXACT_MATCH)/100</f>
        <v>#N/A</v>
      </c>
      <c r="J21" s="115" t="e">
        <f>VLOOKUP(Companies_CAD[[#This Row],[Symbol]],ColStart_CAD:ColEnd_CAD,MATCH("%  Total Return 12 Month",Morningstar_Cols_CAD,EXACT_MATCH),EXACT_MATCH)/100</f>
        <v>#N/A</v>
      </c>
      <c r="K21" s="116" t="e">
        <f>VLOOKUP(Companies_CAD[[#This Row],[Symbol]],ColStart_CAD:ColEnd_CAD,MATCH("Price/ Sales",Morningstar_Cols_CAD,EXACT_MATCH),EXACT_MATCH)</f>
        <v>#N/A</v>
      </c>
      <c r="L21" s="117" t="e">
        <f>VLOOKUP(Companies_CAD[[#This Row],[Symbol]],ColStart_CAD:ColEnd_CAD,MATCH("Price/ Fair Value",Morningstar_Cols_CAD,EXACT_MATCH),EXACT_MATCH)</f>
        <v>#N/A</v>
      </c>
      <c r="M21" s="118" t="e">
        <f>VLOOKUP(Companies_CAD[[#This Row],[Symbol]],ColStart_CAD:ColEnd_CAD,MATCH("Financial  Health Grade",Morningstar_Cols_CAD,EXACT_MATCH),EXACT_MATCH)</f>
        <v>#N/A</v>
      </c>
      <c r="N21" s="107" t="e">
        <f>VLOOKUP(Companies_CAD[[#This Row],[Symbol]],ColStart_CAD:ColEnd_CAD,MATCH("% Dividend Yield TTM",Morningstar_Cols_CAD,EXACT_MATCH),EXACT_MATCH)/100</f>
        <v>#N/A</v>
      </c>
      <c r="O21" s="94" t="e">
        <f>RatingDefault+SUM(Companies_CAD[[#This Row],[3MoPoints]:[PFVPoints]])</f>
        <v>#N/A</v>
      </c>
      <c r="P21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21" s="52" t="e">
        <f>IF(Companies_CAD[[#This Row],[3 Mo. Ret.]]&gt;Return3Mo_Grn,1,IF(Companies_CAD[[#This Row],[3 Mo. Ret.]]&lt;Return3Mo_Red,-1,0))</f>
        <v>#N/A</v>
      </c>
      <c r="R21" s="52" t="e">
        <f>IF(Companies_CAD[[#This Row],[12 Mo. Ret.]]&gt;Return12Mo_Grn,1,IF(Companies_CAD[[#This Row],[12 Mo. Ret.]]&lt;Return12Mo_Red,-1,0))</f>
        <v>#N/A</v>
      </c>
      <c r="S21" s="52" t="e">
        <f>IF(Companies_CAD[[#This Row],[PSR]]&lt;PSR_Green,1,IF(Companies_CAD[[#This Row],[PSR]]&gt;PSR_Red,-1,0))</f>
        <v>#N/A</v>
      </c>
      <c r="T21" s="52" t="e">
        <f>IF(Companies_CAD[[#This Row],[Financial Health]]&lt;"C",1,IF(Companies_CAD[[#This Row],[Financial Health]]&gt;"C",-1,0))</f>
        <v>#N/A</v>
      </c>
      <c r="U21" s="52" t="e">
        <f>IF(Companies_CAD[[#This Row],[PFV]]&lt;PFV_Green,1,IF(Companies_CAD[[#This Row],[PFV]]&gt;PFV_Red,-1,0))</f>
        <v>#N/A</v>
      </c>
    </row>
    <row r="22" spans="2:21" s="52" customFormat="1" ht="25.15" customHeight="1" x14ac:dyDescent="0.25">
      <c r="B22" s="11" t="s">
        <v>499</v>
      </c>
      <c r="C22" s="11" t="e">
        <f>VLOOKUP(Companies_CAD[[#This Row],[Symbol]],ColStart_CAD:ColEnd_CAD,MATCH("Name",Morningstar_Cols_CAD,EXACT_MATCH),EXACT_MATCH)</f>
        <v>#N/A</v>
      </c>
      <c r="D22" s="81" t="e">
        <f>VLOOKUP(Companies_CAD[[#This Row],[Symbol]],ColStart_CAD:ColEnd_CAD,MATCH("$ Current Price",Morningstar_Cols_CAD,EXACT_MATCH),EXACT_MATCH)</f>
        <v>#N/A</v>
      </c>
      <c r="E22" s="84" t="e">
        <f>VLOOKUP(Companies_CAD[[#This Row],[Symbol]],ColStart_CAD:ColEnd_CAD,MATCH("$ Change",Morningstar_Cols_CAD,EXACT_MATCH),EXACT_MATCH)</f>
        <v>#N/A</v>
      </c>
      <c r="F22" s="82" t="e">
        <f>IF(Companies_CAD[[#This Row],[$ Change]]&lt;&gt;0,Companies_CAD[[#This Row],[$ Change]]/(Companies_CAD[[#This Row],[Last Close]]-Companies_CAD[[#This Row],[$ Change]]),0)</f>
        <v>#N/A</v>
      </c>
      <c r="G22" s="11" t="e">
        <f>VLOOKUP(Companies_CAD[[#This Row],[Symbol]],ColStart_CAD:ColEnd_CAD,MATCH("Industry Group",Morningstar_Cols_CAD,EXACT_MATCH),EXACT_MATCH)</f>
        <v>#N/A</v>
      </c>
      <c r="H22" s="114" t="e">
        <f>VLOOKUP(Companies_CAD[[#This Row],[Symbol]],ColStart_CAD:ColEnd_CAD,MATCH("mil$ Market Cap",Morningstar_Cols_CAD,EXACT_MATCH),EXACT_MATCH)</f>
        <v>#N/A</v>
      </c>
      <c r="I22" s="115" t="e">
        <f>VLOOKUP(Companies_CAD[[#This Row],[Symbol]],ColStart_CAD:ColEnd_CAD,MATCH("%  Total Return 3 Month",Morningstar_Cols_CAD,EXACT_MATCH),EXACT_MATCH)/100</f>
        <v>#N/A</v>
      </c>
      <c r="J22" s="115" t="e">
        <f>VLOOKUP(Companies_CAD[[#This Row],[Symbol]],ColStart_CAD:ColEnd_CAD,MATCH("%  Total Return 12 Month",Morningstar_Cols_CAD,EXACT_MATCH),EXACT_MATCH)/100</f>
        <v>#N/A</v>
      </c>
      <c r="K22" s="116" t="e">
        <f>VLOOKUP(Companies_CAD[[#This Row],[Symbol]],ColStart_CAD:ColEnd_CAD,MATCH("Price/ Sales",Morningstar_Cols_CAD,EXACT_MATCH),EXACT_MATCH)</f>
        <v>#N/A</v>
      </c>
      <c r="L22" s="117" t="e">
        <f>VLOOKUP(Companies_CAD[[#This Row],[Symbol]],ColStart_CAD:ColEnd_CAD,MATCH("Price/ Fair Value",Morningstar_Cols_CAD,EXACT_MATCH),EXACT_MATCH)</f>
        <v>#N/A</v>
      </c>
      <c r="M22" s="118" t="e">
        <f>VLOOKUP(Companies_CAD[[#This Row],[Symbol]],ColStart_CAD:ColEnd_CAD,MATCH("Financial  Health Grade",Morningstar_Cols_CAD,EXACT_MATCH),EXACT_MATCH)</f>
        <v>#N/A</v>
      </c>
      <c r="N22" s="107" t="e">
        <f>VLOOKUP(Companies_CAD[[#This Row],[Symbol]],ColStart_CAD:ColEnd_CAD,MATCH("% Dividend Yield TTM",Morningstar_Cols_CAD,EXACT_MATCH),EXACT_MATCH)/100</f>
        <v>#N/A</v>
      </c>
      <c r="O22" s="94" t="e">
        <f>RatingDefault+SUM(Companies_CAD[[#This Row],[3MoPoints]:[PFVPoints]])</f>
        <v>#N/A</v>
      </c>
      <c r="P22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22" s="52" t="e">
        <f>IF(Companies_CAD[[#This Row],[3 Mo. Ret.]]&gt;Return3Mo_Grn,1,IF(Companies_CAD[[#This Row],[3 Mo. Ret.]]&lt;Return3Mo_Red,-1,0))</f>
        <v>#N/A</v>
      </c>
      <c r="R22" s="52" t="e">
        <f>IF(Companies_CAD[[#This Row],[12 Mo. Ret.]]&gt;Return12Mo_Grn,1,IF(Companies_CAD[[#This Row],[12 Mo. Ret.]]&lt;Return12Mo_Red,-1,0))</f>
        <v>#N/A</v>
      </c>
      <c r="S22" s="52" t="e">
        <f>IF(Companies_CAD[[#This Row],[PSR]]&lt;PSR_Green,1,IF(Companies_CAD[[#This Row],[PSR]]&gt;PSR_Red,-1,0))</f>
        <v>#N/A</v>
      </c>
      <c r="T22" s="52" t="e">
        <f>IF(Companies_CAD[[#This Row],[Financial Health]]&lt;"C",1,IF(Companies_CAD[[#This Row],[Financial Health]]&gt;"C",-1,0))</f>
        <v>#N/A</v>
      </c>
      <c r="U22" s="52" t="e">
        <f>IF(Companies_CAD[[#This Row],[PFV]]&lt;PFV_Green,1,IF(Companies_CAD[[#This Row],[PFV]]&gt;PFV_Red,-1,0))</f>
        <v>#N/A</v>
      </c>
    </row>
    <row r="23" spans="2:21" s="52" customFormat="1" ht="25.15" customHeight="1" x14ac:dyDescent="0.25">
      <c r="B23" s="11" t="s">
        <v>493</v>
      </c>
      <c r="C23" s="11" t="e">
        <f>VLOOKUP(Companies_CAD[[#This Row],[Symbol]],ColStart_CAD:ColEnd_CAD,MATCH("Name",Morningstar_Cols_CAD,EXACT_MATCH),EXACT_MATCH)</f>
        <v>#N/A</v>
      </c>
      <c r="D23" s="81" t="e">
        <f>VLOOKUP(Companies_CAD[[#This Row],[Symbol]],ColStart_CAD:ColEnd_CAD,MATCH("$ Current Price",Morningstar_Cols_CAD,EXACT_MATCH),EXACT_MATCH)</f>
        <v>#N/A</v>
      </c>
      <c r="E23" s="84" t="e">
        <f>VLOOKUP(Companies_CAD[[#This Row],[Symbol]],ColStart_CAD:ColEnd_CAD,MATCH("$ Change",Morningstar_Cols_CAD,EXACT_MATCH),EXACT_MATCH)</f>
        <v>#N/A</v>
      </c>
      <c r="F23" s="82" t="e">
        <f>IF(Companies_CAD[[#This Row],[$ Change]]&lt;&gt;0,Companies_CAD[[#This Row],[$ Change]]/(Companies_CAD[[#This Row],[Last Close]]-Companies_CAD[[#This Row],[$ Change]]),0)</f>
        <v>#N/A</v>
      </c>
      <c r="G23" s="11" t="e">
        <f>VLOOKUP(Companies_CAD[[#This Row],[Symbol]],ColStart_CAD:ColEnd_CAD,MATCH("Industry Group",Morningstar_Cols_CAD,EXACT_MATCH),EXACT_MATCH)</f>
        <v>#N/A</v>
      </c>
      <c r="H23" s="114" t="e">
        <f>VLOOKUP(Companies_CAD[[#This Row],[Symbol]],ColStart_CAD:ColEnd_CAD,MATCH("mil$ Market Cap",Morningstar_Cols_CAD,EXACT_MATCH),EXACT_MATCH)</f>
        <v>#N/A</v>
      </c>
      <c r="I23" s="115" t="e">
        <f>VLOOKUP(Companies_CAD[[#This Row],[Symbol]],ColStart_CAD:ColEnd_CAD,MATCH("%  Total Return 3 Month",Morningstar_Cols_CAD,EXACT_MATCH),EXACT_MATCH)/100</f>
        <v>#N/A</v>
      </c>
      <c r="J23" s="115" t="e">
        <f>VLOOKUP(Companies_CAD[[#This Row],[Symbol]],ColStart_CAD:ColEnd_CAD,MATCH("%  Total Return 12 Month",Morningstar_Cols_CAD,EXACT_MATCH),EXACT_MATCH)/100</f>
        <v>#N/A</v>
      </c>
      <c r="K23" s="116" t="e">
        <f>VLOOKUP(Companies_CAD[[#This Row],[Symbol]],ColStart_CAD:ColEnd_CAD,MATCH("Price/ Sales",Morningstar_Cols_CAD,EXACT_MATCH),EXACT_MATCH)</f>
        <v>#N/A</v>
      </c>
      <c r="L23" s="117" t="e">
        <f>VLOOKUP(Companies_CAD[[#This Row],[Symbol]],ColStart_CAD:ColEnd_CAD,MATCH("Price/ Fair Value",Morningstar_Cols_CAD,EXACT_MATCH),EXACT_MATCH)</f>
        <v>#N/A</v>
      </c>
      <c r="M23" s="118" t="e">
        <f>VLOOKUP(Companies_CAD[[#This Row],[Symbol]],ColStart_CAD:ColEnd_CAD,MATCH("Financial  Health Grade",Morningstar_Cols_CAD,EXACT_MATCH),EXACT_MATCH)</f>
        <v>#N/A</v>
      </c>
      <c r="N23" s="107" t="e">
        <f>VLOOKUP(Companies_CAD[[#This Row],[Symbol]],ColStart_CAD:ColEnd_CAD,MATCH("% Dividend Yield TTM",Morningstar_Cols_CAD,EXACT_MATCH),EXACT_MATCH)/100</f>
        <v>#N/A</v>
      </c>
      <c r="O23" s="94" t="e">
        <f>RatingDefault+SUM(Companies_CAD[[#This Row],[3MoPoints]:[PFVPoints]])</f>
        <v>#N/A</v>
      </c>
      <c r="P23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23" s="52" t="e">
        <f>IF(Companies_CAD[[#This Row],[3 Mo. Ret.]]&gt;Return3Mo_Grn,1,IF(Companies_CAD[[#This Row],[3 Mo. Ret.]]&lt;Return3Mo_Red,-1,0))</f>
        <v>#N/A</v>
      </c>
      <c r="R23" s="52" t="e">
        <f>IF(Companies_CAD[[#This Row],[12 Mo. Ret.]]&gt;Return12Mo_Grn,1,IF(Companies_CAD[[#This Row],[12 Mo. Ret.]]&lt;Return12Mo_Red,-1,0))</f>
        <v>#N/A</v>
      </c>
      <c r="S23" s="52" t="e">
        <f>IF(Companies_CAD[[#This Row],[PSR]]&lt;PSR_Green,1,IF(Companies_CAD[[#This Row],[PSR]]&gt;PSR_Red,-1,0))</f>
        <v>#N/A</v>
      </c>
      <c r="T23" s="52" t="e">
        <f>IF(Companies_CAD[[#This Row],[Financial Health]]&lt;"C",1,IF(Companies_CAD[[#This Row],[Financial Health]]&gt;"C",-1,0))</f>
        <v>#N/A</v>
      </c>
      <c r="U23" s="52" t="e">
        <f>IF(Companies_CAD[[#This Row],[PFV]]&lt;PFV_Green,1,IF(Companies_CAD[[#This Row],[PFV]]&gt;PFV_Red,-1,0))</f>
        <v>#N/A</v>
      </c>
    </row>
    <row r="24" spans="2:21" s="52" customFormat="1" ht="25.15" customHeight="1" x14ac:dyDescent="0.25">
      <c r="B24" s="11" t="s">
        <v>501</v>
      </c>
      <c r="C24" s="11" t="e">
        <f>VLOOKUP(Companies_CAD[[#This Row],[Symbol]],ColStart_CAD:ColEnd_CAD,MATCH("Name",Morningstar_Cols_CAD,EXACT_MATCH),EXACT_MATCH)</f>
        <v>#N/A</v>
      </c>
      <c r="D24" s="81" t="e">
        <f>VLOOKUP(Companies_CAD[[#This Row],[Symbol]],ColStart_CAD:ColEnd_CAD,MATCH("$ Current Price",Morningstar_Cols_CAD,EXACT_MATCH),EXACT_MATCH)</f>
        <v>#N/A</v>
      </c>
      <c r="E24" s="84" t="e">
        <f>VLOOKUP(Companies_CAD[[#This Row],[Symbol]],ColStart_CAD:ColEnd_CAD,MATCH("$ Change",Morningstar_Cols_CAD,EXACT_MATCH),EXACT_MATCH)</f>
        <v>#N/A</v>
      </c>
      <c r="F24" s="82" t="e">
        <f>IF(Companies_CAD[[#This Row],[$ Change]]&lt;&gt;0,Companies_CAD[[#This Row],[$ Change]]/(Companies_CAD[[#This Row],[Last Close]]-Companies_CAD[[#This Row],[$ Change]]),0)</f>
        <v>#N/A</v>
      </c>
      <c r="G24" s="11" t="e">
        <f>VLOOKUP(Companies_CAD[[#This Row],[Symbol]],ColStart_CAD:ColEnd_CAD,MATCH("Industry Group",Morningstar_Cols_CAD,EXACT_MATCH),EXACT_MATCH)</f>
        <v>#N/A</v>
      </c>
      <c r="H24" s="114" t="e">
        <f>VLOOKUP(Companies_CAD[[#This Row],[Symbol]],ColStart_CAD:ColEnd_CAD,MATCH("mil$ Market Cap",Morningstar_Cols_CAD,EXACT_MATCH),EXACT_MATCH)</f>
        <v>#N/A</v>
      </c>
      <c r="I24" s="115" t="e">
        <f>VLOOKUP(Companies_CAD[[#This Row],[Symbol]],ColStart_CAD:ColEnd_CAD,MATCH("%  Total Return 3 Month",Morningstar_Cols_CAD,EXACT_MATCH),EXACT_MATCH)/100</f>
        <v>#N/A</v>
      </c>
      <c r="J24" s="115" t="e">
        <f>VLOOKUP(Companies_CAD[[#This Row],[Symbol]],ColStart_CAD:ColEnd_CAD,MATCH("%  Total Return 12 Month",Morningstar_Cols_CAD,EXACT_MATCH),EXACT_MATCH)/100</f>
        <v>#N/A</v>
      </c>
      <c r="K24" s="116" t="e">
        <f>VLOOKUP(Companies_CAD[[#This Row],[Symbol]],ColStart_CAD:ColEnd_CAD,MATCH("Price/ Sales",Morningstar_Cols_CAD,EXACT_MATCH),EXACT_MATCH)</f>
        <v>#N/A</v>
      </c>
      <c r="L24" s="117" t="e">
        <f>VLOOKUP(Companies_CAD[[#This Row],[Symbol]],ColStart_CAD:ColEnd_CAD,MATCH("Price/ Fair Value",Morningstar_Cols_CAD,EXACT_MATCH),EXACT_MATCH)</f>
        <v>#N/A</v>
      </c>
      <c r="M24" s="118" t="e">
        <f>VLOOKUP(Companies_CAD[[#This Row],[Symbol]],ColStart_CAD:ColEnd_CAD,MATCH("Financial  Health Grade",Morningstar_Cols_CAD,EXACT_MATCH),EXACT_MATCH)</f>
        <v>#N/A</v>
      </c>
      <c r="N24" s="107" t="e">
        <f>VLOOKUP(Companies_CAD[[#This Row],[Symbol]],ColStart_CAD:ColEnd_CAD,MATCH("% Dividend Yield TTM",Morningstar_Cols_CAD,EXACT_MATCH),EXACT_MATCH)/100</f>
        <v>#N/A</v>
      </c>
      <c r="O24" s="94" t="e">
        <f>RatingDefault+SUM(Companies_CAD[[#This Row],[3MoPoints]:[PFVPoints]])</f>
        <v>#N/A</v>
      </c>
      <c r="P24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24" s="52" t="e">
        <f>IF(Companies_CAD[[#This Row],[3 Mo. Ret.]]&gt;Return3Mo_Grn,1,IF(Companies_CAD[[#This Row],[3 Mo. Ret.]]&lt;Return3Mo_Red,-1,0))</f>
        <v>#N/A</v>
      </c>
      <c r="R24" s="52" t="e">
        <f>IF(Companies_CAD[[#This Row],[12 Mo. Ret.]]&gt;Return12Mo_Grn,1,IF(Companies_CAD[[#This Row],[12 Mo. Ret.]]&lt;Return12Mo_Red,-1,0))</f>
        <v>#N/A</v>
      </c>
      <c r="S24" s="52" t="e">
        <f>IF(Companies_CAD[[#This Row],[PSR]]&lt;PSR_Green,1,IF(Companies_CAD[[#This Row],[PSR]]&gt;PSR_Red,-1,0))</f>
        <v>#N/A</v>
      </c>
      <c r="T24" s="52" t="e">
        <f>IF(Companies_CAD[[#This Row],[Financial Health]]&lt;"C",1,IF(Companies_CAD[[#This Row],[Financial Health]]&gt;"C",-1,0))</f>
        <v>#N/A</v>
      </c>
      <c r="U24" s="52" t="e">
        <f>IF(Companies_CAD[[#This Row],[PFV]]&lt;PFV_Green,1,IF(Companies_CAD[[#This Row],[PFV]]&gt;PFV_Red,-1,0))</f>
        <v>#N/A</v>
      </c>
    </row>
    <row r="25" spans="2:21" s="52" customFormat="1" ht="25.15" customHeight="1" x14ac:dyDescent="0.25">
      <c r="B25" s="11" t="s">
        <v>305</v>
      </c>
      <c r="C25" s="11" t="e">
        <f>VLOOKUP(Companies_CAD[[#This Row],[Symbol]],ColStart_CAD:ColEnd_CAD,MATCH("Name",Morningstar_Cols_CAD,EXACT_MATCH),EXACT_MATCH)</f>
        <v>#N/A</v>
      </c>
      <c r="D25" s="81" t="e">
        <f>VLOOKUP(Companies_CAD[[#This Row],[Symbol]],ColStart_CAD:ColEnd_CAD,MATCH("$ Current Price",Morningstar_Cols_CAD,EXACT_MATCH),EXACT_MATCH)</f>
        <v>#N/A</v>
      </c>
      <c r="E25" s="84" t="e">
        <f>VLOOKUP(Companies_CAD[[#This Row],[Symbol]],ColStart_CAD:ColEnd_CAD,MATCH("$ Change",Morningstar_Cols_CAD,EXACT_MATCH),EXACT_MATCH)</f>
        <v>#N/A</v>
      </c>
      <c r="F25" s="82" t="e">
        <f>IF(Companies_CAD[[#This Row],[$ Change]]&lt;&gt;0,Companies_CAD[[#This Row],[$ Change]]/(Companies_CAD[[#This Row],[Last Close]]-Companies_CAD[[#This Row],[$ Change]]),0)</f>
        <v>#N/A</v>
      </c>
      <c r="G25" s="11" t="e">
        <f>VLOOKUP(Companies_CAD[[#This Row],[Symbol]],ColStart_CAD:ColEnd_CAD,MATCH("Industry Group",Morningstar_Cols_CAD,EXACT_MATCH),EXACT_MATCH)</f>
        <v>#N/A</v>
      </c>
      <c r="H25" s="114" t="e">
        <f>VLOOKUP(Companies_CAD[[#This Row],[Symbol]],ColStart_CAD:ColEnd_CAD,MATCH("mil$ Market Cap",Morningstar_Cols_CAD,EXACT_MATCH),EXACT_MATCH)</f>
        <v>#N/A</v>
      </c>
      <c r="I25" s="115" t="e">
        <f>VLOOKUP(Companies_CAD[[#This Row],[Symbol]],ColStart_CAD:ColEnd_CAD,MATCH("%  Total Return 3 Month",Morningstar_Cols_CAD,EXACT_MATCH),EXACT_MATCH)/100</f>
        <v>#N/A</v>
      </c>
      <c r="J25" s="115" t="e">
        <f>VLOOKUP(Companies_CAD[[#This Row],[Symbol]],ColStart_CAD:ColEnd_CAD,MATCH("%  Total Return 12 Month",Morningstar_Cols_CAD,EXACT_MATCH),EXACT_MATCH)/100</f>
        <v>#N/A</v>
      </c>
      <c r="K25" s="116" t="e">
        <f>VLOOKUP(Companies_CAD[[#This Row],[Symbol]],ColStart_CAD:ColEnd_CAD,MATCH("Price/ Sales",Morningstar_Cols_CAD,EXACT_MATCH),EXACT_MATCH)</f>
        <v>#N/A</v>
      </c>
      <c r="L25" s="117" t="e">
        <f>VLOOKUP(Companies_CAD[[#This Row],[Symbol]],ColStart_CAD:ColEnd_CAD,MATCH("Price/ Fair Value",Morningstar_Cols_CAD,EXACT_MATCH),EXACT_MATCH)</f>
        <v>#N/A</v>
      </c>
      <c r="M25" s="118" t="e">
        <f>VLOOKUP(Companies_CAD[[#This Row],[Symbol]],ColStart_CAD:ColEnd_CAD,MATCH("Financial  Health Grade",Morningstar_Cols_CAD,EXACT_MATCH),EXACT_MATCH)</f>
        <v>#N/A</v>
      </c>
      <c r="N25" s="107" t="e">
        <f>VLOOKUP(Companies_CAD[[#This Row],[Symbol]],ColStart_CAD:ColEnd_CAD,MATCH("% Dividend Yield TTM",Morningstar_Cols_CAD,EXACT_MATCH),EXACT_MATCH)/100</f>
        <v>#N/A</v>
      </c>
      <c r="O25" s="94" t="e">
        <f>RatingDefault+SUM(Companies_CAD[[#This Row],[3MoPoints]:[PFVPoints]])</f>
        <v>#N/A</v>
      </c>
      <c r="P25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25" s="52" t="e">
        <f>IF(Companies_CAD[[#This Row],[3 Mo. Ret.]]&gt;Return3Mo_Grn,1,IF(Companies_CAD[[#This Row],[3 Mo. Ret.]]&lt;Return3Mo_Red,-1,0))</f>
        <v>#N/A</v>
      </c>
      <c r="R25" s="52" t="e">
        <f>IF(Companies_CAD[[#This Row],[12 Mo. Ret.]]&gt;Return12Mo_Grn,1,IF(Companies_CAD[[#This Row],[12 Mo. Ret.]]&lt;Return12Mo_Red,-1,0))</f>
        <v>#N/A</v>
      </c>
      <c r="S25" s="52" t="e">
        <f>IF(Companies_CAD[[#This Row],[PSR]]&lt;PSR_Green,1,IF(Companies_CAD[[#This Row],[PSR]]&gt;PSR_Red,-1,0))</f>
        <v>#N/A</v>
      </c>
      <c r="T25" s="52" t="e">
        <f>IF(Companies_CAD[[#This Row],[Financial Health]]&lt;"C",1,IF(Companies_CAD[[#This Row],[Financial Health]]&gt;"C",-1,0))</f>
        <v>#N/A</v>
      </c>
      <c r="U25" s="52" t="e">
        <f>IF(Companies_CAD[[#This Row],[PFV]]&lt;PFV_Green,1,IF(Companies_CAD[[#This Row],[PFV]]&gt;PFV_Red,-1,0))</f>
        <v>#N/A</v>
      </c>
    </row>
    <row r="26" spans="2:21" s="52" customFormat="1" ht="25.15" customHeight="1" x14ac:dyDescent="0.25">
      <c r="B26" s="11" t="s">
        <v>509</v>
      </c>
      <c r="C26" s="11" t="e">
        <f>VLOOKUP(Companies_CAD[[#This Row],[Symbol]],ColStart_CAD:ColEnd_CAD,MATCH("Name",Morningstar_Cols_CAD,EXACT_MATCH),EXACT_MATCH)</f>
        <v>#N/A</v>
      </c>
      <c r="D26" s="81" t="e">
        <f>VLOOKUP(Companies_CAD[[#This Row],[Symbol]],ColStart_CAD:ColEnd_CAD,MATCH("$ Current Price",Morningstar_Cols_CAD,EXACT_MATCH),EXACT_MATCH)</f>
        <v>#N/A</v>
      </c>
      <c r="E26" s="84" t="e">
        <f>VLOOKUP(Companies_CAD[[#This Row],[Symbol]],ColStart_CAD:ColEnd_CAD,MATCH("$ Change",Morningstar_Cols_CAD,EXACT_MATCH),EXACT_MATCH)</f>
        <v>#N/A</v>
      </c>
      <c r="F26" s="82" t="e">
        <f>IF(Companies_CAD[[#This Row],[$ Change]]&lt;&gt;0,Companies_CAD[[#This Row],[$ Change]]/(Companies_CAD[[#This Row],[Last Close]]-Companies_CAD[[#This Row],[$ Change]]),0)</f>
        <v>#N/A</v>
      </c>
      <c r="G26" s="11" t="e">
        <f>VLOOKUP(Companies_CAD[[#This Row],[Symbol]],ColStart_CAD:ColEnd_CAD,MATCH("Industry Group",Morningstar_Cols_CAD,EXACT_MATCH),EXACT_MATCH)</f>
        <v>#N/A</v>
      </c>
      <c r="H26" s="114" t="e">
        <f>VLOOKUP(Companies_CAD[[#This Row],[Symbol]],ColStart_CAD:ColEnd_CAD,MATCH("mil$ Market Cap",Morningstar_Cols_CAD,EXACT_MATCH),EXACT_MATCH)</f>
        <v>#N/A</v>
      </c>
      <c r="I26" s="115" t="e">
        <f>VLOOKUP(Companies_CAD[[#This Row],[Symbol]],ColStart_CAD:ColEnd_CAD,MATCH("%  Total Return 3 Month",Morningstar_Cols_CAD,EXACT_MATCH),EXACT_MATCH)/100</f>
        <v>#N/A</v>
      </c>
      <c r="J26" s="115" t="e">
        <f>VLOOKUP(Companies_CAD[[#This Row],[Symbol]],ColStart_CAD:ColEnd_CAD,MATCH("%  Total Return 12 Month",Morningstar_Cols_CAD,EXACT_MATCH),EXACT_MATCH)/100</f>
        <v>#N/A</v>
      </c>
      <c r="K26" s="116" t="e">
        <f>VLOOKUP(Companies_CAD[[#This Row],[Symbol]],ColStart_CAD:ColEnd_CAD,MATCH("Price/ Sales",Morningstar_Cols_CAD,EXACT_MATCH),EXACT_MATCH)</f>
        <v>#N/A</v>
      </c>
      <c r="L26" s="117" t="e">
        <f>VLOOKUP(Companies_CAD[[#This Row],[Symbol]],ColStart_CAD:ColEnd_CAD,MATCH("Price/ Fair Value",Morningstar_Cols_CAD,EXACT_MATCH),EXACT_MATCH)</f>
        <v>#N/A</v>
      </c>
      <c r="M26" s="118" t="e">
        <f>VLOOKUP(Companies_CAD[[#This Row],[Symbol]],ColStart_CAD:ColEnd_CAD,MATCH("Financial  Health Grade",Morningstar_Cols_CAD,EXACT_MATCH),EXACT_MATCH)</f>
        <v>#N/A</v>
      </c>
      <c r="N26" s="107" t="e">
        <f>VLOOKUP(Companies_CAD[[#This Row],[Symbol]],ColStart_CAD:ColEnd_CAD,MATCH("% Dividend Yield TTM",Morningstar_Cols_CAD,EXACT_MATCH),EXACT_MATCH)/100</f>
        <v>#N/A</v>
      </c>
      <c r="O26" s="94" t="e">
        <f>RatingDefault+SUM(Companies_CAD[[#This Row],[3MoPoints]:[PFVPoints]])</f>
        <v>#N/A</v>
      </c>
      <c r="P26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26" s="52" t="e">
        <f>IF(Companies_CAD[[#This Row],[3 Mo. Ret.]]&gt;Return3Mo_Grn,1,IF(Companies_CAD[[#This Row],[3 Mo. Ret.]]&lt;Return3Mo_Red,-1,0))</f>
        <v>#N/A</v>
      </c>
      <c r="R26" s="52" t="e">
        <f>IF(Companies_CAD[[#This Row],[12 Mo. Ret.]]&gt;Return12Mo_Grn,1,IF(Companies_CAD[[#This Row],[12 Mo. Ret.]]&lt;Return12Mo_Red,-1,0))</f>
        <v>#N/A</v>
      </c>
      <c r="S26" s="52" t="e">
        <f>IF(Companies_CAD[[#This Row],[PSR]]&lt;PSR_Green,1,IF(Companies_CAD[[#This Row],[PSR]]&gt;PSR_Red,-1,0))</f>
        <v>#N/A</v>
      </c>
      <c r="T26" s="52" t="e">
        <f>IF(Companies_CAD[[#This Row],[Financial Health]]&lt;"C",1,IF(Companies_CAD[[#This Row],[Financial Health]]&gt;"C",-1,0))</f>
        <v>#N/A</v>
      </c>
      <c r="U26" s="52" t="e">
        <f>IF(Companies_CAD[[#This Row],[PFV]]&lt;PFV_Green,1,IF(Companies_CAD[[#This Row],[PFV]]&gt;PFV_Red,-1,0))</f>
        <v>#N/A</v>
      </c>
    </row>
    <row r="27" spans="2:21" s="52" customFormat="1" ht="25.15" customHeight="1" x14ac:dyDescent="0.25">
      <c r="B27" s="11" t="s">
        <v>503</v>
      </c>
      <c r="C27" s="11" t="e">
        <f>VLOOKUP(Companies_CAD[[#This Row],[Symbol]],ColStart_CAD:ColEnd_CAD,MATCH("Name",Morningstar_Cols_CAD,EXACT_MATCH),EXACT_MATCH)</f>
        <v>#N/A</v>
      </c>
      <c r="D27" s="81" t="e">
        <f>VLOOKUP(Companies_CAD[[#This Row],[Symbol]],ColStart_CAD:ColEnd_CAD,MATCH("$ Current Price",Morningstar_Cols_CAD,EXACT_MATCH),EXACT_MATCH)</f>
        <v>#N/A</v>
      </c>
      <c r="E27" s="84" t="e">
        <f>VLOOKUP(Companies_CAD[[#This Row],[Symbol]],ColStart_CAD:ColEnd_CAD,MATCH("$ Change",Morningstar_Cols_CAD,EXACT_MATCH),EXACT_MATCH)</f>
        <v>#N/A</v>
      </c>
      <c r="F27" s="82" t="e">
        <f>IF(Companies_CAD[[#This Row],[$ Change]]&lt;&gt;0,Companies_CAD[[#This Row],[$ Change]]/(Companies_CAD[[#This Row],[Last Close]]-Companies_CAD[[#This Row],[$ Change]]),0)</f>
        <v>#N/A</v>
      </c>
      <c r="G27" s="11" t="e">
        <f>VLOOKUP(Companies_CAD[[#This Row],[Symbol]],ColStart_CAD:ColEnd_CAD,MATCH("Industry Group",Morningstar_Cols_CAD,EXACT_MATCH),EXACT_MATCH)</f>
        <v>#N/A</v>
      </c>
      <c r="H27" s="114" t="e">
        <f>VLOOKUP(Companies_CAD[[#This Row],[Symbol]],ColStart_CAD:ColEnd_CAD,MATCH("mil$ Market Cap",Morningstar_Cols_CAD,EXACT_MATCH),EXACT_MATCH)</f>
        <v>#N/A</v>
      </c>
      <c r="I27" s="115" t="e">
        <f>VLOOKUP(Companies_CAD[[#This Row],[Symbol]],ColStart_CAD:ColEnd_CAD,MATCH("%  Total Return 3 Month",Morningstar_Cols_CAD,EXACT_MATCH),EXACT_MATCH)/100</f>
        <v>#N/A</v>
      </c>
      <c r="J27" s="115" t="e">
        <f>VLOOKUP(Companies_CAD[[#This Row],[Symbol]],ColStart_CAD:ColEnd_CAD,MATCH("%  Total Return 12 Month",Morningstar_Cols_CAD,EXACT_MATCH),EXACT_MATCH)/100</f>
        <v>#N/A</v>
      </c>
      <c r="K27" s="116" t="e">
        <f>VLOOKUP(Companies_CAD[[#This Row],[Symbol]],ColStart_CAD:ColEnd_CAD,MATCH("Price/ Sales",Morningstar_Cols_CAD,EXACT_MATCH),EXACT_MATCH)</f>
        <v>#N/A</v>
      </c>
      <c r="L27" s="117" t="e">
        <f>VLOOKUP(Companies_CAD[[#This Row],[Symbol]],ColStart_CAD:ColEnd_CAD,MATCH("Price/ Fair Value",Morningstar_Cols_CAD,EXACT_MATCH),EXACT_MATCH)</f>
        <v>#N/A</v>
      </c>
      <c r="M27" s="118" t="e">
        <f>VLOOKUP(Companies_CAD[[#This Row],[Symbol]],ColStart_CAD:ColEnd_CAD,MATCH("Financial  Health Grade",Morningstar_Cols_CAD,EXACT_MATCH),EXACT_MATCH)</f>
        <v>#N/A</v>
      </c>
      <c r="N27" s="107" t="e">
        <f>VLOOKUP(Companies_CAD[[#This Row],[Symbol]],ColStart_CAD:ColEnd_CAD,MATCH("% Dividend Yield TTM",Morningstar_Cols_CAD,EXACT_MATCH),EXACT_MATCH)/100</f>
        <v>#N/A</v>
      </c>
      <c r="O27" s="94" t="e">
        <f>RatingDefault+SUM(Companies_CAD[[#This Row],[3MoPoints]:[PFVPoints]])</f>
        <v>#N/A</v>
      </c>
      <c r="P27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27" s="52" t="e">
        <f>IF(Companies_CAD[[#This Row],[3 Mo. Ret.]]&gt;Return3Mo_Grn,1,IF(Companies_CAD[[#This Row],[3 Mo. Ret.]]&lt;Return3Mo_Red,-1,0))</f>
        <v>#N/A</v>
      </c>
      <c r="R27" s="52" t="e">
        <f>IF(Companies_CAD[[#This Row],[12 Mo. Ret.]]&gt;Return12Mo_Grn,1,IF(Companies_CAD[[#This Row],[12 Mo. Ret.]]&lt;Return12Mo_Red,-1,0))</f>
        <v>#N/A</v>
      </c>
      <c r="S27" s="52" t="e">
        <f>IF(Companies_CAD[[#This Row],[PSR]]&lt;PSR_Green,1,IF(Companies_CAD[[#This Row],[PSR]]&gt;PSR_Red,-1,0))</f>
        <v>#N/A</v>
      </c>
      <c r="T27" s="52" t="e">
        <f>IF(Companies_CAD[[#This Row],[Financial Health]]&lt;"C",1,IF(Companies_CAD[[#This Row],[Financial Health]]&gt;"C",-1,0))</f>
        <v>#N/A</v>
      </c>
      <c r="U27" s="52" t="e">
        <f>IF(Companies_CAD[[#This Row],[PFV]]&lt;PFV_Green,1,IF(Companies_CAD[[#This Row],[PFV]]&gt;PFV_Red,-1,0))</f>
        <v>#N/A</v>
      </c>
    </row>
    <row r="28" spans="2:21" s="52" customFormat="1" ht="25.15" customHeight="1" x14ac:dyDescent="0.25">
      <c r="B28" s="11" t="s">
        <v>512</v>
      </c>
      <c r="C28" s="11" t="e">
        <f>VLOOKUP(Companies_CAD[[#This Row],[Symbol]],ColStart_CAD:ColEnd_CAD,MATCH("Name",Morningstar_Cols_CAD,EXACT_MATCH),EXACT_MATCH)</f>
        <v>#N/A</v>
      </c>
      <c r="D28" s="81" t="e">
        <f>VLOOKUP(Companies_CAD[[#This Row],[Symbol]],ColStart_CAD:ColEnd_CAD,MATCH("$ Current Price",Morningstar_Cols_CAD,EXACT_MATCH),EXACT_MATCH)</f>
        <v>#N/A</v>
      </c>
      <c r="E28" s="84" t="e">
        <f>VLOOKUP(Companies_CAD[[#This Row],[Symbol]],ColStart_CAD:ColEnd_CAD,MATCH("$ Change",Morningstar_Cols_CAD,EXACT_MATCH),EXACT_MATCH)</f>
        <v>#N/A</v>
      </c>
      <c r="F28" s="82" t="e">
        <f>IF(Companies_CAD[[#This Row],[$ Change]]&lt;&gt;0,Companies_CAD[[#This Row],[$ Change]]/(Companies_CAD[[#This Row],[Last Close]]-Companies_CAD[[#This Row],[$ Change]]),0)</f>
        <v>#N/A</v>
      </c>
      <c r="G28" s="11" t="e">
        <f>VLOOKUP(Companies_CAD[[#This Row],[Symbol]],ColStart_CAD:ColEnd_CAD,MATCH("Industry Group",Morningstar_Cols_CAD,EXACT_MATCH),EXACT_MATCH)</f>
        <v>#N/A</v>
      </c>
      <c r="H28" s="114" t="e">
        <f>VLOOKUP(Companies_CAD[[#This Row],[Symbol]],ColStart_CAD:ColEnd_CAD,MATCH("mil$ Market Cap",Morningstar_Cols_CAD,EXACT_MATCH),EXACT_MATCH)</f>
        <v>#N/A</v>
      </c>
      <c r="I28" s="115" t="e">
        <f>VLOOKUP(Companies_CAD[[#This Row],[Symbol]],ColStart_CAD:ColEnd_CAD,MATCH("%  Total Return 3 Month",Morningstar_Cols_CAD,EXACT_MATCH),EXACT_MATCH)/100</f>
        <v>#N/A</v>
      </c>
      <c r="J28" s="115" t="e">
        <f>VLOOKUP(Companies_CAD[[#This Row],[Symbol]],ColStart_CAD:ColEnd_CAD,MATCH("%  Total Return 12 Month",Morningstar_Cols_CAD,EXACT_MATCH),EXACT_MATCH)/100</f>
        <v>#N/A</v>
      </c>
      <c r="K28" s="116" t="e">
        <f>VLOOKUP(Companies_CAD[[#This Row],[Symbol]],ColStart_CAD:ColEnd_CAD,MATCH("Price/ Sales",Morningstar_Cols_CAD,EXACT_MATCH),EXACT_MATCH)</f>
        <v>#N/A</v>
      </c>
      <c r="L28" s="117" t="e">
        <f>VLOOKUP(Companies_CAD[[#This Row],[Symbol]],ColStart_CAD:ColEnd_CAD,MATCH("Price/ Fair Value",Morningstar_Cols_CAD,EXACT_MATCH),EXACT_MATCH)</f>
        <v>#N/A</v>
      </c>
      <c r="M28" s="118" t="e">
        <f>VLOOKUP(Companies_CAD[[#This Row],[Symbol]],ColStart_CAD:ColEnd_CAD,MATCH("Financial  Health Grade",Morningstar_Cols_CAD,EXACT_MATCH),EXACT_MATCH)</f>
        <v>#N/A</v>
      </c>
      <c r="N28" s="107" t="e">
        <f>VLOOKUP(Companies_CAD[[#This Row],[Symbol]],ColStart_CAD:ColEnd_CAD,MATCH("% Dividend Yield TTM",Morningstar_Cols_CAD,EXACT_MATCH),EXACT_MATCH)/100</f>
        <v>#N/A</v>
      </c>
      <c r="O28" s="94" t="e">
        <f>RatingDefault+SUM(Companies_CAD[[#This Row],[3MoPoints]:[PFVPoints]])</f>
        <v>#N/A</v>
      </c>
      <c r="P28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28" s="52" t="e">
        <f>IF(Companies_CAD[[#This Row],[3 Mo. Ret.]]&gt;Return3Mo_Grn,1,IF(Companies_CAD[[#This Row],[3 Mo. Ret.]]&lt;Return3Mo_Red,-1,0))</f>
        <v>#N/A</v>
      </c>
      <c r="R28" s="52" t="e">
        <f>IF(Companies_CAD[[#This Row],[12 Mo. Ret.]]&gt;Return12Mo_Grn,1,IF(Companies_CAD[[#This Row],[12 Mo. Ret.]]&lt;Return12Mo_Red,-1,0))</f>
        <v>#N/A</v>
      </c>
      <c r="S28" s="52" t="e">
        <f>IF(Companies_CAD[[#This Row],[PSR]]&lt;PSR_Green,1,IF(Companies_CAD[[#This Row],[PSR]]&gt;PSR_Red,-1,0))</f>
        <v>#N/A</v>
      </c>
      <c r="T28" s="52" t="e">
        <f>IF(Companies_CAD[[#This Row],[Financial Health]]&lt;"C",1,IF(Companies_CAD[[#This Row],[Financial Health]]&gt;"C",-1,0))</f>
        <v>#N/A</v>
      </c>
      <c r="U28" s="52" t="e">
        <f>IF(Companies_CAD[[#This Row],[PFV]]&lt;PFV_Green,1,IF(Companies_CAD[[#This Row],[PFV]]&gt;PFV_Red,-1,0))</f>
        <v>#N/A</v>
      </c>
    </row>
    <row r="29" spans="2:21" s="52" customFormat="1" ht="25.15" customHeight="1" x14ac:dyDescent="0.25">
      <c r="B29" s="11" t="s">
        <v>505</v>
      </c>
      <c r="C29" s="11" t="e">
        <f>VLOOKUP(Companies_CAD[[#This Row],[Symbol]],ColStart_CAD:ColEnd_CAD,MATCH("Name",Morningstar_Cols_CAD,EXACT_MATCH),EXACT_MATCH)</f>
        <v>#N/A</v>
      </c>
      <c r="D29" s="81" t="e">
        <f>VLOOKUP(Companies_CAD[[#This Row],[Symbol]],ColStart_CAD:ColEnd_CAD,MATCH("$ Current Price",Morningstar_Cols_CAD,EXACT_MATCH),EXACT_MATCH)</f>
        <v>#N/A</v>
      </c>
      <c r="E29" s="84" t="e">
        <f>VLOOKUP(Companies_CAD[[#This Row],[Symbol]],ColStart_CAD:ColEnd_CAD,MATCH("$ Change",Morningstar_Cols_CAD,EXACT_MATCH),EXACT_MATCH)</f>
        <v>#N/A</v>
      </c>
      <c r="F29" s="82" t="e">
        <f>IF(Companies_CAD[[#This Row],[$ Change]]&lt;&gt;0,Companies_CAD[[#This Row],[$ Change]]/(Companies_CAD[[#This Row],[Last Close]]-Companies_CAD[[#This Row],[$ Change]]),0)</f>
        <v>#N/A</v>
      </c>
      <c r="G29" s="11" t="e">
        <f>VLOOKUP(Companies_CAD[[#This Row],[Symbol]],ColStart_CAD:ColEnd_CAD,MATCH("Industry Group",Morningstar_Cols_CAD,EXACT_MATCH),EXACT_MATCH)</f>
        <v>#N/A</v>
      </c>
      <c r="H29" s="114" t="e">
        <f>VLOOKUP(Companies_CAD[[#This Row],[Symbol]],ColStart_CAD:ColEnd_CAD,MATCH("mil$ Market Cap",Morningstar_Cols_CAD,EXACT_MATCH),EXACT_MATCH)</f>
        <v>#N/A</v>
      </c>
      <c r="I29" s="115" t="e">
        <f>VLOOKUP(Companies_CAD[[#This Row],[Symbol]],ColStart_CAD:ColEnd_CAD,MATCH("%  Total Return 3 Month",Morningstar_Cols_CAD,EXACT_MATCH),EXACT_MATCH)/100</f>
        <v>#N/A</v>
      </c>
      <c r="J29" s="115" t="e">
        <f>VLOOKUP(Companies_CAD[[#This Row],[Symbol]],ColStart_CAD:ColEnd_CAD,MATCH("%  Total Return 12 Month",Morningstar_Cols_CAD,EXACT_MATCH),EXACT_MATCH)/100</f>
        <v>#N/A</v>
      </c>
      <c r="K29" s="116" t="e">
        <f>VLOOKUP(Companies_CAD[[#This Row],[Symbol]],ColStart_CAD:ColEnd_CAD,MATCH("Price/ Sales",Morningstar_Cols_CAD,EXACT_MATCH),EXACT_MATCH)</f>
        <v>#N/A</v>
      </c>
      <c r="L29" s="117" t="e">
        <f>VLOOKUP(Companies_CAD[[#This Row],[Symbol]],ColStart_CAD:ColEnd_CAD,MATCH("Price/ Fair Value",Morningstar_Cols_CAD,EXACT_MATCH),EXACT_MATCH)</f>
        <v>#N/A</v>
      </c>
      <c r="M29" s="118" t="e">
        <f>VLOOKUP(Companies_CAD[[#This Row],[Symbol]],ColStart_CAD:ColEnd_CAD,MATCH("Financial  Health Grade",Morningstar_Cols_CAD,EXACT_MATCH),EXACT_MATCH)</f>
        <v>#N/A</v>
      </c>
      <c r="N29" s="107" t="e">
        <f>VLOOKUP(Companies_CAD[[#This Row],[Symbol]],ColStart_CAD:ColEnd_CAD,MATCH("% Dividend Yield TTM",Morningstar_Cols_CAD,EXACT_MATCH),EXACT_MATCH)/100</f>
        <v>#N/A</v>
      </c>
      <c r="O29" s="94" t="e">
        <f>RatingDefault+SUM(Companies_CAD[[#This Row],[3MoPoints]:[PFVPoints]])</f>
        <v>#N/A</v>
      </c>
      <c r="P29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29" s="52" t="e">
        <f>IF(Companies_CAD[[#This Row],[3 Mo. Ret.]]&gt;Return3Mo_Grn,1,IF(Companies_CAD[[#This Row],[3 Mo. Ret.]]&lt;Return3Mo_Red,-1,0))</f>
        <v>#N/A</v>
      </c>
      <c r="R29" s="52" t="e">
        <f>IF(Companies_CAD[[#This Row],[12 Mo. Ret.]]&gt;Return12Mo_Grn,1,IF(Companies_CAD[[#This Row],[12 Mo. Ret.]]&lt;Return12Mo_Red,-1,0))</f>
        <v>#N/A</v>
      </c>
      <c r="S29" s="52" t="e">
        <f>IF(Companies_CAD[[#This Row],[PSR]]&lt;PSR_Green,1,IF(Companies_CAD[[#This Row],[PSR]]&gt;PSR_Red,-1,0))</f>
        <v>#N/A</v>
      </c>
      <c r="T29" s="52" t="e">
        <f>IF(Companies_CAD[[#This Row],[Financial Health]]&lt;"C",1,IF(Companies_CAD[[#This Row],[Financial Health]]&gt;"C",-1,0))</f>
        <v>#N/A</v>
      </c>
      <c r="U29" s="52" t="e">
        <f>IF(Companies_CAD[[#This Row],[PFV]]&lt;PFV_Green,1,IF(Companies_CAD[[#This Row],[PFV]]&gt;PFV_Red,-1,0))</f>
        <v>#N/A</v>
      </c>
    </row>
    <row r="30" spans="2:21" s="52" customFormat="1" ht="25.15" customHeight="1" x14ac:dyDescent="0.25">
      <c r="B30" s="11" t="s">
        <v>502</v>
      </c>
      <c r="C30" s="11" t="e">
        <f>VLOOKUP(Companies_CAD[[#This Row],[Symbol]],ColStart_CAD:ColEnd_CAD,MATCH("Name",Morningstar_Cols_CAD,EXACT_MATCH),EXACT_MATCH)</f>
        <v>#N/A</v>
      </c>
      <c r="D30" s="81" t="e">
        <f>VLOOKUP(Companies_CAD[[#This Row],[Symbol]],ColStart_CAD:ColEnd_CAD,MATCH("$ Current Price",Morningstar_Cols_CAD,EXACT_MATCH),EXACT_MATCH)</f>
        <v>#N/A</v>
      </c>
      <c r="E30" s="84" t="e">
        <f>VLOOKUP(Companies_CAD[[#This Row],[Symbol]],ColStart_CAD:ColEnd_CAD,MATCH("$ Change",Morningstar_Cols_CAD,EXACT_MATCH),EXACT_MATCH)</f>
        <v>#N/A</v>
      </c>
      <c r="F30" s="82" t="e">
        <f>IF(Companies_CAD[[#This Row],[$ Change]]&lt;&gt;0,Companies_CAD[[#This Row],[$ Change]]/(Companies_CAD[[#This Row],[Last Close]]-Companies_CAD[[#This Row],[$ Change]]),0)</f>
        <v>#N/A</v>
      </c>
      <c r="G30" s="11" t="e">
        <f>VLOOKUP(Companies_CAD[[#This Row],[Symbol]],ColStart_CAD:ColEnd_CAD,MATCH("Industry Group",Morningstar_Cols_CAD,EXACT_MATCH),EXACT_MATCH)</f>
        <v>#N/A</v>
      </c>
      <c r="H30" s="114" t="e">
        <f>VLOOKUP(Companies_CAD[[#This Row],[Symbol]],ColStart_CAD:ColEnd_CAD,MATCH("mil$ Market Cap",Morningstar_Cols_CAD,EXACT_MATCH),EXACT_MATCH)</f>
        <v>#N/A</v>
      </c>
      <c r="I30" s="115" t="e">
        <f>VLOOKUP(Companies_CAD[[#This Row],[Symbol]],ColStart_CAD:ColEnd_CAD,MATCH("%  Total Return 3 Month",Morningstar_Cols_CAD,EXACT_MATCH),EXACT_MATCH)/100</f>
        <v>#N/A</v>
      </c>
      <c r="J30" s="115" t="e">
        <f>VLOOKUP(Companies_CAD[[#This Row],[Symbol]],ColStart_CAD:ColEnd_CAD,MATCH("%  Total Return 12 Month",Morningstar_Cols_CAD,EXACT_MATCH),EXACT_MATCH)/100</f>
        <v>#N/A</v>
      </c>
      <c r="K30" s="116" t="e">
        <f>VLOOKUP(Companies_CAD[[#This Row],[Symbol]],ColStart_CAD:ColEnd_CAD,MATCH("Price/ Sales",Morningstar_Cols_CAD,EXACT_MATCH),EXACT_MATCH)</f>
        <v>#N/A</v>
      </c>
      <c r="L30" s="117" t="e">
        <f>VLOOKUP(Companies_CAD[[#This Row],[Symbol]],ColStart_CAD:ColEnd_CAD,MATCH("Price/ Fair Value",Morningstar_Cols_CAD,EXACT_MATCH),EXACT_MATCH)</f>
        <v>#N/A</v>
      </c>
      <c r="M30" s="118" t="e">
        <f>VLOOKUP(Companies_CAD[[#This Row],[Symbol]],ColStart_CAD:ColEnd_CAD,MATCH("Financial  Health Grade",Morningstar_Cols_CAD,EXACT_MATCH),EXACT_MATCH)</f>
        <v>#N/A</v>
      </c>
      <c r="N30" s="107" t="e">
        <f>VLOOKUP(Companies_CAD[[#This Row],[Symbol]],ColStart_CAD:ColEnd_CAD,MATCH("% Dividend Yield TTM",Morningstar_Cols_CAD,EXACT_MATCH),EXACT_MATCH)/100</f>
        <v>#N/A</v>
      </c>
      <c r="O30" s="94" t="e">
        <f>RatingDefault+SUM(Companies_CAD[[#This Row],[3MoPoints]:[PFVPoints]])</f>
        <v>#N/A</v>
      </c>
      <c r="P30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30" s="52" t="e">
        <f>IF(Companies_CAD[[#This Row],[3 Mo. Ret.]]&gt;Return3Mo_Grn,1,IF(Companies_CAD[[#This Row],[3 Mo. Ret.]]&lt;Return3Mo_Red,-1,0))</f>
        <v>#N/A</v>
      </c>
      <c r="R30" s="52" t="e">
        <f>IF(Companies_CAD[[#This Row],[12 Mo. Ret.]]&gt;Return12Mo_Grn,1,IF(Companies_CAD[[#This Row],[12 Mo. Ret.]]&lt;Return12Mo_Red,-1,0))</f>
        <v>#N/A</v>
      </c>
      <c r="S30" s="52" t="e">
        <f>IF(Companies_CAD[[#This Row],[PSR]]&lt;PSR_Green,1,IF(Companies_CAD[[#This Row],[PSR]]&gt;PSR_Red,-1,0))</f>
        <v>#N/A</v>
      </c>
      <c r="T30" s="52" t="e">
        <f>IF(Companies_CAD[[#This Row],[Financial Health]]&lt;"C",1,IF(Companies_CAD[[#This Row],[Financial Health]]&gt;"C",-1,0))</f>
        <v>#N/A</v>
      </c>
      <c r="U30" s="52" t="e">
        <f>IF(Companies_CAD[[#This Row],[PFV]]&lt;PFV_Green,1,IF(Companies_CAD[[#This Row],[PFV]]&gt;PFV_Red,-1,0))</f>
        <v>#N/A</v>
      </c>
    </row>
    <row r="31" spans="2:21" s="52" customFormat="1" ht="25.15" customHeight="1" x14ac:dyDescent="0.25">
      <c r="B31" s="11" t="s">
        <v>506</v>
      </c>
      <c r="C31" s="11" t="e">
        <f>VLOOKUP(Companies_CAD[[#This Row],[Symbol]],ColStart_CAD:ColEnd_CAD,MATCH("Name",Morningstar_Cols_CAD,EXACT_MATCH),EXACT_MATCH)</f>
        <v>#N/A</v>
      </c>
      <c r="D31" s="81" t="e">
        <f>VLOOKUP(Companies_CAD[[#This Row],[Symbol]],ColStart_CAD:ColEnd_CAD,MATCH("$ Current Price",Morningstar_Cols_CAD,EXACT_MATCH),EXACT_MATCH)</f>
        <v>#N/A</v>
      </c>
      <c r="E31" s="84" t="e">
        <f>VLOOKUP(Companies_CAD[[#This Row],[Symbol]],ColStart_CAD:ColEnd_CAD,MATCH("$ Change",Morningstar_Cols_CAD,EXACT_MATCH),EXACT_MATCH)</f>
        <v>#N/A</v>
      </c>
      <c r="F31" s="82" t="e">
        <f>IF(Companies_CAD[[#This Row],[$ Change]]&lt;&gt;0,Companies_CAD[[#This Row],[$ Change]]/(Companies_CAD[[#This Row],[Last Close]]-Companies_CAD[[#This Row],[$ Change]]),0)</f>
        <v>#N/A</v>
      </c>
      <c r="G31" s="11" t="e">
        <f>VLOOKUP(Companies_CAD[[#This Row],[Symbol]],ColStart_CAD:ColEnd_CAD,MATCH("Industry Group",Morningstar_Cols_CAD,EXACT_MATCH),EXACT_MATCH)</f>
        <v>#N/A</v>
      </c>
      <c r="H31" s="114" t="e">
        <f>VLOOKUP(Companies_CAD[[#This Row],[Symbol]],ColStart_CAD:ColEnd_CAD,MATCH("mil$ Market Cap",Morningstar_Cols_CAD,EXACT_MATCH),EXACT_MATCH)</f>
        <v>#N/A</v>
      </c>
      <c r="I31" s="115" t="e">
        <f>VLOOKUP(Companies_CAD[[#This Row],[Symbol]],ColStart_CAD:ColEnd_CAD,MATCH("%  Total Return 3 Month",Morningstar_Cols_CAD,EXACT_MATCH),EXACT_MATCH)/100</f>
        <v>#N/A</v>
      </c>
      <c r="J31" s="115" t="e">
        <f>VLOOKUP(Companies_CAD[[#This Row],[Symbol]],ColStart_CAD:ColEnd_CAD,MATCH("%  Total Return 12 Month",Morningstar_Cols_CAD,EXACT_MATCH),EXACT_MATCH)/100</f>
        <v>#N/A</v>
      </c>
      <c r="K31" s="116" t="e">
        <f>VLOOKUP(Companies_CAD[[#This Row],[Symbol]],ColStart_CAD:ColEnd_CAD,MATCH("Price/ Sales",Morningstar_Cols_CAD,EXACT_MATCH),EXACT_MATCH)</f>
        <v>#N/A</v>
      </c>
      <c r="L31" s="117" t="e">
        <f>VLOOKUP(Companies_CAD[[#This Row],[Symbol]],ColStart_CAD:ColEnd_CAD,MATCH("Price/ Fair Value",Morningstar_Cols_CAD,EXACT_MATCH),EXACT_MATCH)</f>
        <v>#N/A</v>
      </c>
      <c r="M31" s="118" t="e">
        <f>VLOOKUP(Companies_CAD[[#This Row],[Symbol]],ColStart_CAD:ColEnd_CAD,MATCH("Financial  Health Grade",Morningstar_Cols_CAD,EXACT_MATCH),EXACT_MATCH)</f>
        <v>#N/A</v>
      </c>
      <c r="N31" s="107" t="e">
        <f>VLOOKUP(Companies_CAD[[#This Row],[Symbol]],ColStart_CAD:ColEnd_CAD,MATCH("% Dividend Yield TTM",Morningstar_Cols_CAD,EXACT_MATCH),EXACT_MATCH)/100</f>
        <v>#N/A</v>
      </c>
      <c r="O31" s="94" t="e">
        <f>RatingDefault+SUM(Companies_CAD[[#This Row],[3MoPoints]:[PFVPoints]])</f>
        <v>#N/A</v>
      </c>
      <c r="P31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31" s="52" t="e">
        <f>IF(Companies_CAD[[#This Row],[3 Mo. Ret.]]&gt;Return3Mo_Grn,1,IF(Companies_CAD[[#This Row],[3 Mo. Ret.]]&lt;Return3Mo_Red,-1,0))</f>
        <v>#N/A</v>
      </c>
      <c r="R31" s="52" t="e">
        <f>IF(Companies_CAD[[#This Row],[12 Mo. Ret.]]&gt;Return12Mo_Grn,1,IF(Companies_CAD[[#This Row],[12 Mo. Ret.]]&lt;Return12Mo_Red,-1,0))</f>
        <v>#N/A</v>
      </c>
      <c r="S31" s="52" t="e">
        <f>IF(Companies_CAD[[#This Row],[PSR]]&lt;PSR_Green,1,IF(Companies_CAD[[#This Row],[PSR]]&gt;PSR_Red,-1,0))</f>
        <v>#N/A</v>
      </c>
      <c r="T31" s="52" t="e">
        <f>IF(Companies_CAD[[#This Row],[Financial Health]]&lt;"C",1,IF(Companies_CAD[[#This Row],[Financial Health]]&gt;"C",-1,0))</f>
        <v>#N/A</v>
      </c>
      <c r="U31" s="52" t="e">
        <f>IF(Companies_CAD[[#This Row],[PFV]]&lt;PFV_Green,1,IF(Companies_CAD[[#This Row],[PFV]]&gt;PFV_Red,-1,0))</f>
        <v>#N/A</v>
      </c>
    </row>
    <row r="32" spans="2:21" s="52" customFormat="1" ht="25.15" customHeight="1" x14ac:dyDescent="0.25">
      <c r="B32" s="11" t="s">
        <v>465</v>
      </c>
      <c r="C32" s="11" t="e">
        <f>VLOOKUP(Companies_CAD[[#This Row],[Symbol]],ColStart_CAD:ColEnd_CAD,MATCH("Name",Morningstar_Cols_CAD,EXACT_MATCH),EXACT_MATCH)</f>
        <v>#N/A</v>
      </c>
      <c r="D32" s="81" t="e">
        <f>VLOOKUP(Companies_CAD[[#This Row],[Symbol]],ColStart_CAD:ColEnd_CAD,MATCH("$ Current Price",Morningstar_Cols_CAD,EXACT_MATCH),EXACT_MATCH)</f>
        <v>#N/A</v>
      </c>
      <c r="E32" s="84" t="e">
        <f>VLOOKUP(Companies_CAD[[#This Row],[Symbol]],ColStart_CAD:ColEnd_CAD,MATCH("$ Change",Morningstar_Cols_CAD,EXACT_MATCH),EXACT_MATCH)</f>
        <v>#N/A</v>
      </c>
      <c r="F32" s="82" t="e">
        <f>IF(Companies_CAD[[#This Row],[$ Change]]&lt;&gt;0,Companies_CAD[[#This Row],[$ Change]]/(Companies_CAD[[#This Row],[Last Close]]-Companies_CAD[[#This Row],[$ Change]]),0)</f>
        <v>#N/A</v>
      </c>
      <c r="G32" s="11" t="e">
        <f>VLOOKUP(Companies_CAD[[#This Row],[Symbol]],ColStart_CAD:ColEnd_CAD,MATCH("Industry Group",Morningstar_Cols_CAD,EXACT_MATCH),EXACT_MATCH)</f>
        <v>#N/A</v>
      </c>
      <c r="H32" s="114" t="e">
        <f>VLOOKUP(Companies_CAD[[#This Row],[Symbol]],ColStart_CAD:ColEnd_CAD,MATCH("mil$ Market Cap",Morningstar_Cols_CAD,EXACT_MATCH),EXACT_MATCH)</f>
        <v>#N/A</v>
      </c>
      <c r="I32" s="115" t="e">
        <f>VLOOKUP(Companies_CAD[[#This Row],[Symbol]],ColStart_CAD:ColEnd_CAD,MATCH("%  Total Return 3 Month",Morningstar_Cols_CAD,EXACT_MATCH),EXACT_MATCH)/100</f>
        <v>#N/A</v>
      </c>
      <c r="J32" s="115" t="e">
        <f>VLOOKUP(Companies_CAD[[#This Row],[Symbol]],ColStart_CAD:ColEnd_CAD,MATCH("%  Total Return 12 Month",Morningstar_Cols_CAD,EXACT_MATCH),EXACT_MATCH)/100</f>
        <v>#N/A</v>
      </c>
      <c r="K32" s="116" t="e">
        <f>VLOOKUP(Companies_CAD[[#This Row],[Symbol]],ColStart_CAD:ColEnd_CAD,MATCH("Price/ Sales",Morningstar_Cols_CAD,EXACT_MATCH),EXACT_MATCH)</f>
        <v>#N/A</v>
      </c>
      <c r="L32" s="117" t="e">
        <f>VLOOKUP(Companies_CAD[[#This Row],[Symbol]],ColStart_CAD:ColEnd_CAD,MATCH("Price/ Fair Value",Morningstar_Cols_CAD,EXACT_MATCH),EXACT_MATCH)</f>
        <v>#N/A</v>
      </c>
      <c r="M32" s="118" t="e">
        <f>VLOOKUP(Companies_CAD[[#This Row],[Symbol]],ColStart_CAD:ColEnd_CAD,MATCH("Financial  Health Grade",Morningstar_Cols_CAD,EXACT_MATCH),EXACT_MATCH)</f>
        <v>#N/A</v>
      </c>
      <c r="N32" s="107" t="e">
        <f>VLOOKUP(Companies_CAD[[#This Row],[Symbol]],ColStart_CAD:ColEnd_CAD,MATCH("% Dividend Yield TTM",Morningstar_Cols_CAD,EXACT_MATCH),EXACT_MATCH)/100</f>
        <v>#N/A</v>
      </c>
      <c r="O32" s="94" t="e">
        <f>RatingDefault+SUM(Companies_CAD[[#This Row],[3MoPoints]:[PFVPoints]])</f>
        <v>#N/A</v>
      </c>
      <c r="P32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32" s="52" t="e">
        <f>IF(Companies_CAD[[#This Row],[3 Mo. Ret.]]&gt;Return3Mo_Grn,1,IF(Companies_CAD[[#This Row],[3 Mo. Ret.]]&lt;Return3Mo_Red,-1,0))</f>
        <v>#N/A</v>
      </c>
      <c r="R32" s="52" t="e">
        <f>IF(Companies_CAD[[#This Row],[12 Mo. Ret.]]&gt;Return12Mo_Grn,1,IF(Companies_CAD[[#This Row],[12 Mo. Ret.]]&lt;Return12Mo_Red,-1,0))</f>
        <v>#N/A</v>
      </c>
      <c r="S32" s="52" t="e">
        <f>IF(Companies_CAD[[#This Row],[PSR]]&lt;PSR_Green,1,IF(Companies_CAD[[#This Row],[PSR]]&gt;PSR_Red,-1,0))</f>
        <v>#N/A</v>
      </c>
      <c r="T32" s="52" t="e">
        <f>IF(Companies_CAD[[#This Row],[Financial Health]]&lt;"C",1,IF(Companies_CAD[[#This Row],[Financial Health]]&gt;"C",-1,0))</f>
        <v>#N/A</v>
      </c>
      <c r="U32" s="52" t="e">
        <f>IF(Companies_CAD[[#This Row],[PFV]]&lt;PFV_Green,1,IF(Companies_CAD[[#This Row],[PFV]]&gt;PFV_Red,-1,0))</f>
        <v>#N/A</v>
      </c>
    </row>
    <row r="33" spans="2:21" s="52" customFormat="1" ht="25.15" customHeight="1" x14ac:dyDescent="0.25">
      <c r="B33" s="11" t="s">
        <v>511</v>
      </c>
      <c r="C33" s="11" t="e">
        <f>VLOOKUP(Companies_CAD[[#This Row],[Symbol]],ColStart_CAD:ColEnd_CAD,MATCH("Name",Morningstar_Cols_CAD,EXACT_MATCH),EXACT_MATCH)</f>
        <v>#N/A</v>
      </c>
      <c r="D33" s="81" t="e">
        <f>VLOOKUP(Companies_CAD[[#This Row],[Symbol]],ColStart_CAD:ColEnd_CAD,MATCH("$ Current Price",Morningstar_Cols_CAD,EXACT_MATCH),EXACT_MATCH)</f>
        <v>#N/A</v>
      </c>
      <c r="E33" s="84" t="e">
        <f>VLOOKUP(Companies_CAD[[#This Row],[Symbol]],ColStart_CAD:ColEnd_CAD,MATCH("$ Change",Morningstar_Cols_CAD,EXACT_MATCH),EXACT_MATCH)</f>
        <v>#N/A</v>
      </c>
      <c r="F33" s="82" t="e">
        <f>IF(Companies_CAD[[#This Row],[$ Change]]&lt;&gt;0,Companies_CAD[[#This Row],[$ Change]]/(Companies_CAD[[#This Row],[Last Close]]-Companies_CAD[[#This Row],[$ Change]]),0)</f>
        <v>#N/A</v>
      </c>
      <c r="G33" s="11" t="e">
        <f>VLOOKUP(Companies_CAD[[#This Row],[Symbol]],ColStart_CAD:ColEnd_CAD,MATCH("Industry Group",Morningstar_Cols_CAD,EXACT_MATCH),EXACT_MATCH)</f>
        <v>#N/A</v>
      </c>
      <c r="H33" s="114" t="e">
        <f>VLOOKUP(Companies_CAD[[#This Row],[Symbol]],ColStart_CAD:ColEnd_CAD,MATCH("mil$ Market Cap",Morningstar_Cols_CAD,EXACT_MATCH),EXACT_MATCH)</f>
        <v>#N/A</v>
      </c>
      <c r="I33" s="115" t="e">
        <f>VLOOKUP(Companies_CAD[[#This Row],[Symbol]],ColStart_CAD:ColEnd_CAD,MATCH("%  Total Return 3 Month",Morningstar_Cols_CAD,EXACT_MATCH),EXACT_MATCH)/100</f>
        <v>#N/A</v>
      </c>
      <c r="J33" s="115" t="e">
        <f>VLOOKUP(Companies_CAD[[#This Row],[Symbol]],ColStart_CAD:ColEnd_CAD,MATCH("%  Total Return 12 Month",Morningstar_Cols_CAD,EXACT_MATCH),EXACT_MATCH)/100</f>
        <v>#N/A</v>
      </c>
      <c r="K33" s="116" t="e">
        <f>VLOOKUP(Companies_CAD[[#This Row],[Symbol]],ColStart_CAD:ColEnd_CAD,MATCH("Price/ Sales",Morningstar_Cols_CAD,EXACT_MATCH),EXACT_MATCH)</f>
        <v>#N/A</v>
      </c>
      <c r="L33" s="117" t="e">
        <f>VLOOKUP(Companies_CAD[[#This Row],[Symbol]],ColStart_CAD:ColEnd_CAD,MATCH("Price/ Fair Value",Morningstar_Cols_CAD,EXACT_MATCH),EXACT_MATCH)</f>
        <v>#N/A</v>
      </c>
      <c r="M33" s="118" t="e">
        <f>VLOOKUP(Companies_CAD[[#This Row],[Symbol]],ColStart_CAD:ColEnd_CAD,MATCH("Financial  Health Grade",Morningstar_Cols_CAD,EXACT_MATCH),EXACT_MATCH)</f>
        <v>#N/A</v>
      </c>
      <c r="N33" s="107" t="e">
        <f>VLOOKUP(Companies_CAD[[#This Row],[Symbol]],ColStart_CAD:ColEnd_CAD,MATCH("% Dividend Yield TTM",Morningstar_Cols_CAD,EXACT_MATCH),EXACT_MATCH)/100</f>
        <v>#N/A</v>
      </c>
      <c r="O33" s="94" t="e">
        <f>RatingDefault+SUM(Companies_CAD[[#This Row],[3MoPoints]:[PFVPoints]])</f>
        <v>#N/A</v>
      </c>
      <c r="P33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33" s="52" t="e">
        <f>IF(Companies_CAD[[#This Row],[3 Mo. Ret.]]&gt;Return3Mo_Grn,1,IF(Companies_CAD[[#This Row],[3 Mo. Ret.]]&lt;Return3Mo_Red,-1,0))</f>
        <v>#N/A</v>
      </c>
      <c r="R33" s="52" t="e">
        <f>IF(Companies_CAD[[#This Row],[12 Mo. Ret.]]&gt;Return12Mo_Grn,1,IF(Companies_CAD[[#This Row],[12 Mo. Ret.]]&lt;Return12Mo_Red,-1,0))</f>
        <v>#N/A</v>
      </c>
      <c r="S33" s="52" t="e">
        <f>IF(Companies_CAD[[#This Row],[PSR]]&lt;PSR_Green,1,IF(Companies_CAD[[#This Row],[PSR]]&gt;PSR_Red,-1,0))</f>
        <v>#N/A</v>
      </c>
      <c r="T33" s="52" t="e">
        <f>IF(Companies_CAD[[#This Row],[Financial Health]]&lt;"C",1,IF(Companies_CAD[[#This Row],[Financial Health]]&gt;"C",-1,0))</f>
        <v>#N/A</v>
      </c>
      <c r="U33" s="52" t="e">
        <f>IF(Companies_CAD[[#This Row],[PFV]]&lt;PFV_Green,1,IF(Companies_CAD[[#This Row],[PFV]]&gt;PFV_Red,-1,0))</f>
        <v>#N/A</v>
      </c>
    </row>
    <row r="34" spans="2:21" s="52" customFormat="1" ht="25.15" customHeight="1" x14ac:dyDescent="0.25">
      <c r="B34" s="11" t="s">
        <v>507</v>
      </c>
      <c r="C34" s="11" t="e">
        <f>VLOOKUP(Companies_CAD[[#This Row],[Symbol]],ColStart_CAD:ColEnd_CAD,MATCH("Name",Morningstar_Cols_CAD,EXACT_MATCH),EXACT_MATCH)</f>
        <v>#N/A</v>
      </c>
      <c r="D34" s="81" t="e">
        <f>VLOOKUP(Companies_CAD[[#This Row],[Symbol]],ColStart_CAD:ColEnd_CAD,MATCH("$ Current Price",Morningstar_Cols_CAD,EXACT_MATCH),EXACT_MATCH)</f>
        <v>#N/A</v>
      </c>
      <c r="E34" s="84" t="e">
        <f>VLOOKUP(Companies_CAD[[#This Row],[Symbol]],ColStart_CAD:ColEnd_CAD,MATCH("$ Change",Morningstar_Cols_CAD,EXACT_MATCH),EXACT_MATCH)</f>
        <v>#N/A</v>
      </c>
      <c r="F34" s="82" t="e">
        <f>IF(Companies_CAD[[#This Row],[$ Change]]&lt;&gt;0,Companies_CAD[[#This Row],[$ Change]]/(Companies_CAD[[#This Row],[Last Close]]-Companies_CAD[[#This Row],[$ Change]]),0)</f>
        <v>#N/A</v>
      </c>
      <c r="G34" s="11" t="e">
        <f>VLOOKUP(Companies_CAD[[#This Row],[Symbol]],ColStart_CAD:ColEnd_CAD,MATCH("Industry Group",Morningstar_Cols_CAD,EXACT_MATCH),EXACT_MATCH)</f>
        <v>#N/A</v>
      </c>
      <c r="H34" s="114" t="e">
        <f>VLOOKUP(Companies_CAD[[#This Row],[Symbol]],ColStart_CAD:ColEnd_CAD,MATCH("mil$ Market Cap",Morningstar_Cols_CAD,EXACT_MATCH),EXACT_MATCH)</f>
        <v>#N/A</v>
      </c>
      <c r="I34" s="115" t="e">
        <f>VLOOKUP(Companies_CAD[[#This Row],[Symbol]],ColStart_CAD:ColEnd_CAD,MATCH("%  Total Return 3 Month",Morningstar_Cols_CAD,EXACT_MATCH),EXACT_MATCH)/100</f>
        <v>#N/A</v>
      </c>
      <c r="J34" s="115" t="e">
        <f>VLOOKUP(Companies_CAD[[#This Row],[Symbol]],ColStart_CAD:ColEnd_CAD,MATCH("%  Total Return 12 Month",Morningstar_Cols_CAD,EXACT_MATCH),EXACT_MATCH)/100</f>
        <v>#N/A</v>
      </c>
      <c r="K34" s="116" t="e">
        <f>VLOOKUP(Companies_CAD[[#This Row],[Symbol]],ColStart_CAD:ColEnd_CAD,MATCH("Price/ Sales",Morningstar_Cols_CAD,EXACT_MATCH),EXACT_MATCH)</f>
        <v>#N/A</v>
      </c>
      <c r="L34" s="117" t="e">
        <f>VLOOKUP(Companies_CAD[[#This Row],[Symbol]],ColStart_CAD:ColEnd_CAD,MATCH("Price/ Fair Value",Morningstar_Cols_CAD,EXACT_MATCH),EXACT_MATCH)</f>
        <v>#N/A</v>
      </c>
      <c r="M34" s="118" t="e">
        <f>VLOOKUP(Companies_CAD[[#This Row],[Symbol]],ColStart_CAD:ColEnd_CAD,MATCH("Financial  Health Grade",Morningstar_Cols_CAD,EXACT_MATCH),EXACT_MATCH)</f>
        <v>#N/A</v>
      </c>
      <c r="N34" s="107" t="e">
        <f>VLOOKUP(Companies_CAD[[#This Row],[Symbol]],ColStart_CAD:ColEnd_CAD,MATCH("% Dividend Yield TTM",Morningstar_Cols_CAD,EXACT_MATCH),EXACT_MATCH)/100</f>
        <v>#N/A</v>
      </c>
      <c r="O34" s="94" t="e">
        <f>RatingDefault+SUM(Companies_CAD[[#This Row],[3MoPoints]:[PFVPoints]])</f>
        <v>#N/A</v>
      </c>
      <c r="P34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34" s="52" t="e">
        <f>IF(Companies_CAD[[#This Row],[3 Mo. Ret.]]&gt;Return3Mo_Grn,1,IF(Companies_CAD[[#This Row],[3 Mo. Ret.]]&lt;Return3Mo_Red,-1,0))</f>
        <v>#N/A</v>
      </c>
      <c r="R34" s="52" t="e">
        <f>IF(Companies_CAD[[#This Row],[12 Mo. Ret.]]&gt;Return12Mo_Grn,1,IF(Companies_CAD[[#This Row],[12 Mo. Ret.]]&lt;Return12Mo_Red,-1,0))</f>
        <v>#N/A</v>
      </c>
      <c r="S34" s="52" t="e">
        <f>IF(Companies_CAD[[#This Row],[PSR]]&lt;PSR_Green,1,IF(Companies_CAD[[#This Row],[PSR]]&gt;PSR_Red,-1,0))</f>
        <v>#N/A</v>
      </c>
      <c r="T34" s="52" t="e">
        <f>IF(Companies_CAD[[#This Row],[Financial Health]]&lt;"C",1,IF(Companies_CAD[[#This Row],[Financial Health]]&gt;"C",-1,0))</f>
        <v>#N/A</v>
      </c>
      <c r="U34" s="52" t="e">
        <f>IF(Companies_CAD[[#This Row],[PFV]]&lt;PFV_Green,1,IF(Companies_CAD[[#This Row],[PFV]]&gt;PFV_Red,-1,0))</f>
        <v>#N/A</v>
      </c>
    </row>
    <row r="35" spans="2:21" s="52" customFormat="1" ht="25.15" customHeight="1" x14ac:dyDescent="0.25">
      <c r="B35" s="11" t="s">
        <v>508</v>
      </c>
      <c r="C35" s="11" t="e">
        <f>VLOOKUP(Companies_CAD[[#This Row],[Symbol]],ColStart_CAD:ColEnd_CAD,MATCH("Name",Morningstar_Cols_CAD,EXACT_MATCH),EXACT_MATCH)</f>
        <v>#N/A</v>
      </c>
      <c r="D35" s="81" t="e">
        <f>VLOOKUP(Companies_CAD[[#This Row],[Symbol]],ColStart_CAD:ColEnd_CAD,MATCH("$ Current Price",Morningstar_Cols_CAD,EXACT_MATCH),EXACT_MATCH)</f>
        <v>#N/A</v>
      </c>
      <c r="E35" s="84" t="e">
        <f>VLOOKUP(Companies_CAD[[#This Row],[Symbol]],ColStart_CAD:ColEnd_CAD,MATCH("$ Change",Morningstar_Cols_CAD,EXACT_MATCH),EXACT_MATCH)</f>
        <v>#N/A</v>
      </c>
      <c r="F35" s="82" t="e">
        <f>IF(Companies_CAD[[#This Row],[$ Change]]&lt;&gt;0,Companies_CAD[[#This Row],[$ Change]]/(Companies_CAD[[#This Row],[Last Close]]-Companies_CAD[[#This Row],[$ Change]]),0)</f>
        <v>#N/A</v>
      </c>
      <c r="G35" s="11" t="e">
        <f>VLOOKUP(Companies_CAD[[#This Row],[Symbol]],ColStart_CAD:ColEnd_CAD,MATCH("Industry Group",Morningstar_Cols_CAD,EXACT_MATCH),EXACT_MATCH)</f>
        <v>#N/A</v>
      </c>
      <c r="H35" s="114" t="e">
        <f>VLOOKUP(Companies_CAD[[#This Row],[Symbol]],ColStart_CAD:ColEnd_CAD,MATCH("mil$ Market Cap",Morningstar_Cols_CAD,EXACT_MATCH),EXACT_MATCH)</f>
        <v>#N/A</v>
      </c>
      <c r="I35" s="115" t="e">
        <f>VLOOKUP(Companies_CAD[[#This Row],[Symbol]],ColStart_CAD:ColEnd_CAD,MATCH("%  Total Return 3 Month",Morningstar_Cols_CAD,EXACT_MATCH),EXACT_MATCH)/100</f>
        <v>#N/A</v>
      </c>
      <c r="J35" s="115" t="e">
        <f>VLOOKUP(Companies_CAD[[#This Row],[Symbol]],ColStart_CAD:ColEnd_CAD,MATCH("%  Total Return 12 Month",Morningstar_Cols_CAD,EXACT_MATCH),EXACT_MATCH)/100</f>
        <v>#N/A</v>
      </c>
      <c r="K35" s="116" t="e">
        <f>VLOOKUP(Companies_CAD[[#This Row],[Symbol]],ColStart_CAD:ColEnd_CAD,MATCH("Price/ Sales",Morningstar_Cols_CAD,EXACT_MATCH),EXACT_MATCH)</f>
        <v>#N/A</v>
      </c>
      <c r="L35" s="117" t="e">
        <f>VLOOKUP(Companies_CAD[[#This Row],[Symbol]],ColStart_CAD:ColEnd_CAD,MATCH("Price/ Fair Value",Morningstar_Cols_CAD,EXACT_MATCH),EXACT_MATCH)</f>
        <v>#N/A</v>
      </c>
      <c r="M35" s="118" t="e">
        <f>VLOOKUP(Companies_CAD[[#This Row],[Symbol]],ColStart_CAD:ColEnd_CAD,MATCH("Financial  Health Grade",Morningstar_Cols_CAD,EXACT_MATCH),EXACT_MATCH)</f>
        <v>#N/A</v>
      </c>
      <c r="N35" s="107" t="e">
        <f>VLOOKUP(Companies_CAD[[#This Row],[Symbol]],ColStart_CAD:ColEnd_CAD,MATCH("% Dividend Yield TTM",Morningstar_Cols_CAD,EXACT_MATCH),EXACT_MATCH)/100</f>
        <v>#N/A</v>
      </c>
      <c r="O35" s="94" t="e">
        <f>RatingDefault+SUM(Companies_CAD[[#This Row],[3MoPoints]:[PFVPoints]])</f>
        <v>#N/A</v>
      </c>
      <c r="P35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35" s="52" t="e">
        <f>IF(Companies_CAD[[#This Row],[3 Mo. Ret.]]&gt;Return3Mo_Grn,1,IF(Companies_CAD[[#This Row],[3 Mo. Ret.]]&lt;Return3Mo_Red,-1,0))</f>
        <v>#N/A</v>
      </c>
      <c r="R35" s="52" t="e">
        <f>IF(Companies_CAD[[#This Row],[12 Mo. Ret.]]&gt;Return12Mo_Grn,1,IF(Companies_CAD[[#This Row],[12 Mo. Ret.]]&lt;Return12Mo_Red,-1,0))</f>
        <v>#N/A</v>
      </c>
      <c r="S35" s="52" t="e">
        <f>IF(Companies_CAD[[#This Row],[PSR]]&lt;PSR_Green,1,IF(Companies_CAD[[#This Row],[PSR]]&gt;PSR_Red,-1,0))</f>
        <v>#N/A</v>
      </c>
      <c r="T35" s="52" t="e">
        <f>IF(Companies_CAD[[#This Row],[Financial Health]]&lt;"C",1,IF(Companies_CAD[[#This Row],[Financial Health]]&gt;"C",-1,0))</f>
        <v>#N/A</v>
      </c>
      <c r="U35" s="52" t="e">
        <f>IF(Companies_CAD[[#This Row],[PFV]]&lt;PFV_Green,1,IF(Companies_CAD[[#This Row],[PFV]]&gt;PFV_Red,-1,0))</f>
        <v>#N/A</v>
      </c>
    </row>
    <row r="36" spans="2:21" s="52" customFormat="1" ht="25.15" customHeight="1" x14ac:dyDescent="0.25">
      <c r="B36" s="11" t="s">
        <v>303</v>
      </c>
      <c r="C36" s="11" t="e">
        <f>VLOOKUP(Companies_CAD[[#This Row],[Symbol]],ColStart_CAD:ColEnd_CAD,MATCH("Name",Morningstar_Cols_CAD,EXACT_MATCH),EXACT_MATCH)</f>
        <v>#N/A</v>
      </c>
      <c r="D36" s="81" t="e">
        <f>VLOOKUP(Companies_CAD[[#This Row],[Symbol]],ColStart_CAD:ColEnd_CAD,MATCH("$ Current Price",Morningstar_Cols_CAD,EXACT_MATCH),EXACT_MATCH)</f>
        <v>#N/A</v>
      </c>
      <c r="E36" s="84" t="e">
        <f>VLOOKUP(Companies_CAD[[#This Row],[Symbol]],ColStart_CAD:ColEnd_CAD,MATCH("$ Change",Morningstar_Cols_CAD,EXACT_MATCH),EXACT_MATCH)</f>
        <v>#N/A</v>
      </c>
      <c r="F36" s="82" t="e">
        <f>IF(Companies_CAD[[#This Row],[$ Change]]&lt;&gt;0,Companies_CAD[[#This Row],[$ Change]]/(Companies_CAD[[#This Row],[Last Close]]-Companies_CAD[[#This Row],[$ Change]]),0)</f>
        <v>#N/A</v>
      </c>
      <c r="G36" s="11" t="e">
        <f>VLOOKUP(Companies_CAD[[#This Row],[Symbol]],ColStart_CAD:ColEnd_CAD,MATCH("Industry Group",Morningstar_Cols_CAD,EXACT_MATCH),EXACT_MATCH)</f>
        <v>#N/A</v>
      </c>
      <c r="H36" s="114" t="e">
        <f>VLOOKUP(Companies_CAD[[#This Row],[Symbol]],ColStart_CAD:ColEnd_CAD,MATCH("mil$ Market Cap",Morningstar_Cols_CAD,EXACT_MATCH),EXACT_MATCH)</f>
        <v>#N/A</v>
      </c>
      <c r="I36" s="115" t="e">
        <f>VLOOKUP(Companies_CAD[[#This Row],[Symbol]],ColStart_CAD:ColEnd_CAD,MATCH("%  Total Return 3 Month",Morningstar_Cols_CAD,EXACT_MATCH),EXACT_MATCH)/100</f>
        <v>#N/A</v>
      </c>
      <c r="J36" s="115" t="e">
        <f>VLOOKUP(Companies_CAD[[#This Row],[Symbol]],ColStart_CAD:ColEnd_CAD,MATCH("%  Total Return 12 Month",Morningstar_Cols_CAD,EXACT_MATCH),EXACT_MATCH)/100</f>
        <v>#N/A</v>
      </c>
      <c r="K36" s="116" t="e">
        <f>VLOOKUP(Companies_CAD[[#This Row],[Symbol]],ColStart_CAD:ColEnd_CAD,MATCH("Price/ Sales",Morningstar_Cols_CAD,EXACT_MATCH),EXACT_MATCH)</f>
        <v>#N/A</v>
      </c>
      <c r="L36" s="117" t="e">
        <f>VLOOKUP(Companies_CAD[[#This Row],[Symbol]],ColStart_CAD:ColEnd_CAD,MATCH("Price/ Fair Value",Morningstar_Cols_CAD,EXACT_MATCH),EXACT_MATCH)</f>
        <v>#N/A</v>
      </c>
      <c r="M36" s="118" t="e">
        <f>VLOOKUP(Companies_CAD[[#This Row],[Symbol]],ColStart_CAD:ColEnd_CAD,MATCH("Financial  Health Grade",Morningstar_Cols_CAD,EXACT_MATCH),EXACT_MATCH)</f>
        <v>#N/A</v>
      </c>
      <c r="N36" s="107" t="e">
        <f>VLOOKUP(Companies_CAD[[#This Row],[Symbol]],ColStart_CAD:ColEnd_CAD,MATCH("% Dividend Yield TTM",Morningstar_Cols_CAD,EXACT_MATCH),EXACT_MATCH)/100</f>
        <v>#N/A</v>
      </c>
      <c r="O36" s="94" t="e">
        <f>RatingDefault+SUM(Companies_CAD[[#This Row],[3MoPoints]:[PFVPoints]])</f>
        <v>#N/A</v>
      </c>
      <c r="P36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36" s="52" t="e">
        <f>IF(Companies_CAD[[#This Row],[3 Mo. Ret.]]&gt;Return3Mo_Grn,1,IF(Companies_CAD[[#This Row],[3 Mo. Ret.]]&lt;Return3Mo_Red,-1,0))</f>
        <v>#N/A</v>
      </c>
      <c r="R36" s="52" t="e">
        <f>IF(Companies_CAD[[#This Row],[12 Mo. Ret.]]&gt;Return12Mo_Grn,1,IF(Companies_CAD[[#This Row],[12 Mo. Ret.]]&lt;Return12Mo_Red,-1,0))</f>
        <v>#N/A</v>
      </c>
      <c r="S36" s="52" t="e">
        <f>IF(Companies_CAD[[#This Row],[PSR]]&lt;PSR_Green,1,IF(Companies_CAD[[#This Row],[PSR]]&gt;PSR_Red,-1,0))</f>
        <v>#N/A</v>
      </c>
      <c r="T36" s="52" t="e">
        <f>IF(Companies_CAD[[#This Row],[Financial Health]]&lt;"C",1,IF(Companies_CAD[[#This Row],[Financial Health]]&gt;"C",-1,0))</f>
        <v>#N/A</v>
      </c>
      <c r="U36" s="52" t="e">
        <f>IF(Companies_CAD[[#This Row],[PFV]]&lt;PFV_Green,1,IF(Companies_CAD[[#This Row],[PFV]]&gt;PFV_Red,-1,0))</f>
        <v>#N/A</v>
      </c>
    </row>
    <row r="37" spans="2:21" s="52" customFormat="1" ht="25.15" customHeight="1" x14ac:dyDescent="0.25">
      <c r="B37" s="11" t="s">
        <v>513</v>
      </c>
      <c r="C37" s="11" t="e">
        <f>VLOOKUP(Companies_CAD[[#This Row],[Symbol]],ColStart_CAD:ColEnd_CAD,MATCH("Name",Morningstar_Cols_CAD,EXACT_MATCH),EXACT_MATCH)</f>
        <v>#N/A</v>
      </c>
      <c r="D37" s="81" t="e">
        <f>VLOOKUP(Companies_CAD[[#This Row],[Symbol]],ColStart_CAD:ColEnd_CAD,MATCH("$ Current Price",Morningstar_Cols_CAD,EXACT_MATCH),EXACT_MATCH)</f>
        <v>#N/A</v>
      </c>
      <c r="E37" s="84" t="e">
        <f>VLOOKUP(Companies_CAD[[#This Row],[Symbol]],ColStart_CAD:ColEnd_CAD,MATCH("$ Change",Morningstar_Cols_CAD,EXACT_MATCH),EXACT_MATCH)</f>
        <v>#N/A</v>
      </c>
      <c r="F37" s="82" t="e">
        <f>IF(Companies_CAD[[#This Row],[$ Change]]&lt;&gt;0,Companies_CAD[[#This Row],[$ Change]]/(Companies_CAD[[#This Row],[Last Close]]-Companies_CAD[[#This Row],[$ Change]]),0)</f>
        <v>#N/A</v>
      </c>
      <c r="G37" s="11" t="e">
        <f>VLOOKUP(Companies_CAD[[#This Row],[Symbol]],ColStart_CAD:ColEnd_CAD,MATCH("Industry Group",Morningstar_Cols_CAD,EXACT_MATCH),EXACT_MATCH)</f>
        <v>#N/A</v>
      </c>
      <c r="H37" s="114" t="e">
        <f>VLOOKUP(Companies_CAD[[#This Row],[Symbol]],ColStart_CAD:ColEnd_CAD,MATCH("mil$ Market Cap",Morningstar_Cols_CAD,EXACT_MATCH),EXACT_MATCH)</f>
        <v>#N/A</v>
      </c>
      <c r="I37" s="115" t="e">
        <f>VLOOKUP(Companies_CAD[[#This Row],[Symbol]],ColStart_CAD:ColEnd_CAD,MATCH("%  Total Return 3 Month",Morningstar_Cols_CAD,EXACT_MATCH),EXACT_MATCH)/100</f>
        <v>#N/A</v>
      </c>
      <c r="J37" s="115" t="e">
        <f>VLOOKUP(Companies_CAD[[#This Row],[Symbol]],ColStart_CAD:ColEnd_CAD,MATCH("%  Total Return 12 Month",Morningstar_Cols_CAD,EXACT_MATCH),EXACT_MATCH)/100</f>
        <v>#N/A</v>
      </c>
      <c r="K37" s="116" t="e">
        <f>VLOOKUP(Companies_CAD[[#This Row],[Symbol]],ColStart_CAD:ColEnd_CAD,MATCH("Price/ Sales",Morningstar_Cols_CAD,EXACT_MATCH),EXACT_MATCH)</f>
        <v>#N/A</v>
      </c>
      <c r="L37" s="117" t="e">
        <f>VLOOKUP(Companies_CAD[[#This Row],[Symbol]],ColStart_CAD:ColEnd_CAD,MATCH("Price/ Fair Value",Morningstar_Cols_CAD,EXACT_MATCH),EXACT_MATCH)</f>
        <v>#N/A</v>
      </c>
      <c r="M37" s="118" t="e">
        <f>VLOOKUP(Companies_CAD[[#This Row],[Symbol]],ColStart_CAD:ColEnd_CAD,MATCH("Financial  Health Grade",Morningstar_Cols_CAD,EXACT_MATCH),EXACT_MATCH)</f>
        <v>#N/A</v>
      </c>
      <c r="N37" s="107" t="e">
        <f>VLOOKUP(Companies_CAD[[#This Row],[Symbol]],ColStart_CAD:ColEnd_CAD,MATCH("% Dividend Yield TTM",Morningstar_Cols_CAD,EXACT_MATCH),EXACT_MATCH)/100</f>
        <v>#N/A</v>
      </c>
      <c r="O37" s="94" t="e">
        <f>RatingDefault+SUM(Companies_CAD[[#This Row],[3MoPoints]:[PFVPoints]])</f>
        <v>#N/A</v>
      </c>
      <c r="P37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37" s="52" t="e">
        <f>IF(Companies_CAD[[#This Row],[3 Mo. Ret.]]&gt;Return3Mo_Grn,1,IF(Companies_CAD[[#This Row],[3 Mo. Ret.]]&lt;Return3Mo_Red,-1,0))</f>
        <v>#N/A</v>
      </c>
      <c r="R37" s="52" t="e">
        <f>IF(Companies_CAD[[#This Row],[12 Mo. Ret.]]&gt;Return12Mo_Grn,1,IF(Companies_CAD[[#This Row],[12 Mo. Ret.]]&lt;Return12Mo_Red,-1,0))</f>
        <v>#N/A</v>
      </c>
      <c r="S37" s="52" t="e">
        <f>IF(Companies_CAD[[#This Row],[PSR]]&lt;PSR_Green,1,IF(Companies_CAD[[#This Row],[PSR]]&gt;PSR_Red,-1,0))</f>
        <v>#N/A</v>
      </c>
      <c r="T37" s="52" t="e">
        <f>IF(Companies_CAD[[#This Row],[Financial Health]]&lt;"C",1,IF(Companies_CAD[[#This Row],[Financial Health]]&gt;"C",-1,0))</f>
        <v>#N/A</v>
      </c>
      <c r="U37" s="52" t="e">
        <f>IF(Companies_CAD[[#This Row],[PFV]]&lt;PFV_Green,1,IF(Companies_CAD[[#This Row],[PFV]]&gt;PFV_Red,-1,0))</f>
        <v>#N/A</v>
      </c>
    </row>
    <row r="38" spans="2:21" s="52" customFormat="1" ht="25.15" customHeight="1" x14ac:dyDescent="0.25">
      <c r="B38" s="11" t="s">
        <v>464</v>
      </c>
      <c r="C38" s="11" t="e">
        <f>VLOOKUP(Companies_CAD[[#This Row],[Symbol]],ColStart_CAD:ColEnd_CAD,MATCH("Name",Morningstar_Cols_CAD,EXACT_MATCH),EXACT_MATCH)</f>
        <v>#N/A</v>
      </c>
      <c r="D38" s="81" t="e">
        <f>VLOOKUP(Companies_CAD[[#This Row],[Symbol]],ColStart_CAD:ColEnd_CAD,MATCH("$ Current Price",Morningstar_Cols_CAD,EXACT_MATCH),EXACT_MATCH)</f>
        <v>#N/A</v>
      </c>
      <c r="E38" s="84" t="e">
        <f>VLOOKUP(Companies_CAD[[#This Row],[Symbol]],ColStart_CAD:ColEnd_CAD,MATCH("$ Change",Morningstar_Cols_CAD,EXACT_MATCH),EXACT_MATCH)</f>
        <v>#N/A</v>
      </c>
      <c r="F38" s="82" t="e">
        <f>IF(Companies_CAD[[#This Row],[$ Change]]&lt;&gt;0,Companies_CAD[[#This Row],[$ Change]]/(Companies_CAD[[#This Row],[Last Close]]-Companies_CAD[[#This Row],[$ Change]]),0)</f>
        <v>#N/A</v>
      </c>
      <c r="G38" s="11" t="e">
        <f>VLOOKUP(Companies_CAD[[#This Row],[Symbol]],ColStart_CAD:ColEnd_CAD,MATCH("Industry Group",Morningstar_Cols_CAD,EXACT_MATCH),EXACT_MATCH)</f>
        <v>#N/A</v>
      </c>
      <c r="H38" s="114" t="e">
        <f>VLOOKUP(Companies_CAD[[#This Row],[Symbol]],ColStart_CAD:ColEnd_CAD,MATCH("mil$ Market Cap",Morningstar_Cols_CAD,EXACT_MATCH),EXACT_MATCH)</f>
        <v>#N/A</v>
      </c>
      <c r="I38" s="115" t="e">
        <f>VLOOKUP(Companies_CAD[[#This Row],[Symbol]],ColStart_CAD:ColEnd_CAD,MATCH("%  Total Return 3 Month",Morningstar_Cols_CAD,EXACT_MATCH),EXACT_MATCH)/100</f>
        <v>#N/A</v>
      </c>
      <c r="J38" s="115" t="e">
        <f>VLOOKUP(Companies_CAD[[#This Row],[Symbol]],ColStart_CAD:ColEnd_CAD,MATCH("%  Total Return 12 Month",Morningstar_Cols_CAD,EXACT_MATCH),EXACT_MATCH)/100</f>
        <v>#N/A</v>
      </c>
      <c r="K38" s="116" t="e">
        <f>VLOOKUP(Companies_CAD[[#This Row],[Symbol]],ColStart_CAD:ColEnd_CAD,MATCH("Price/ Sales",Morningstar_Cols_CAD,EXACT_MATCH),EXACT_MATCH)</f>
        <v>#N/A</v>
      </c>
      <c r="L38" s="117" t="e">
        <f>VLOOKUP(Companies_CAD[[#This Row],[Symbol]],ColStart_CAD:ColEnd_CAD,MATCH("Price/ Fair Value",Morningstar_Cols_CAD,EXACT_MATCH),EXACT_MATCH)</f>
        <v>#N/A</v>
      </c>
      <c r="M38" s="118" t="e">
        <f>VLOOKUP(Companies_CAD[[#This Row],[Symbol]],ColStart_CAD:ColEnd_CAD,MATCH("Financial  Health Grade",Morningstar_Cols_CAD,EXACT_MATCH),EXACT_MATCH)</f>
        <v>#N/A</v>
      </c>
      <c r="N38" s="107" t="e">
        <f>VLOOKUP(Companies_CAD[[#This Row],[Symbol]],ColStart_CAD:ColEnd_CAD,MATCH("% Dividend Yield TTM",Morningstar_Cols_CAD,EXACT_MATCH),EXACT_MATCH)/100</f>
        <v>#N/A</v>
      </c>
      <c r="O38" s="94" t="e">
        <f>RatingDefault+SUM(Companies_CAD[[#This Row],[3MoPoints]:[PFVPoints]])</f>
        <v>#N/A</v>
      </c>
      <c r="P38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38" s="52" t="e">
        <f>IF(Companies_CAD[[#This Row],[3 Mo. Ret.]]&gt;Return3Mo_Grn,1,IF(Companies_CAD[[#This Row],[3 Mo. Ret.]]&lt;Return3Mo_Red,-1,0))</f>
        <v>#N/A</v>
      </c>
      <c r="R38" s="52" t="e">
        <f>IF(Companies_CAD[[#This Row],[12 Mo. Ret.]]&gt;Return12Mo_Grn,1,IF(Companies_CAD[[#This Row],[12 Mo. Ret.]]&lt;Return12Mo_Red,-1,0))</f>
        <v>#N/A</v>
      </c>
      <c r="S38" s="52" t="e">
        <f>IF(Companies_CAD[[#This Row],[PSR]]&lt;PSR_Green,1,IF(Companies_CAD[[#This Row],[PSR]]&gt;PSR_Red,-1,0))</f>
        <v>#N/A</v>
      </c>
      <c r="T38" s="52" t="e">
        <f>IF(Companies_CAD[[#This Row],[Financial Health]]&lt;"C",1,IF(Companies_CAD[[#This Row],[Financial Health]]&gt;"C",-1,0))</f>
        <v>#N/A</v>
      </c>
      <c r="U38" s="52" t="e">
        <f>IF(Companies_CAD[[#This Row],[PFV]]&lt;PFV_Green,1,IF(Companies_CAD[[#This Row],[PFV]]&gt;PFV_Red,-1,0))</f>
        <v>#N/A</v>
      </c>
    </row>
    <row r="39" spans="2:21" s="52" customFormat="1" ht="25.15" customHeight="1" x14ac:dyDescent="0.25">
      <c r="B39" s="11" t="s">
        <v>510</v>
      </c>
      <c r="C39" s="11" t="e">
        <f>VLOOKUP(Companies_CAD[[#This Row],[Symbol]],ColStart_CAD:ColEnd_CAD,MATCH("Name",Morningstar_Cols_CAD,EXACT_MATCH),EXACT_MATCH)</f>
        <v>#N/A</v>
      </c>
      <c r="D39" s="81" t="e">
        <f>VLOOKUP(Companies_CAD[[#This Row],[Symbol]],ColStart_CAD:ColEnd_CAD,MATCH("$ Current Price",Morningstar_Cols_CAD,EXACT_MATCH),EXACT_MATCH)</f>
        <v>#N/A</v>
      </c>
      <c r="E39" s="84" t="e">
        <f>VLOOKUP(Companies_CAD[[#This Row],[Symbol]],ColStart_CAD:ColEnd_CAD,MATCH("$ Change",Morningstar_Cols_CAD,EXACT_MATCH),EXACT_MATCH)</f>
        <v>#N/A</v>
      </c>
      <c r="F39" s="82" t="e">
        <f>IF(Companies_CAD[[#This Row],[$ Change]]&lt;&gt;0,Companies_CAD[[#This Row],[$ Change]]/(Companies_CAD[[#This Row],[Last Close]]-Companies_CAD[[#This Row],[$ Change]]),0)</f>
        <v>#N/A</v>
      </c>
      <c r="G39" s="11" t="e">
        <f>VLOOKUP(Companies_CAD[[#This Row],[Symbol]],ColStart_CAD:ColEnd_CAD,MATCH("Industry Group",Morningstar_Cols_CAD,EXACT_MATCH),EXACT_MATCH)</f>
        <v>#N/A</v>
      </c>
      <c r="H39" s="114" t="e">
        <f>VLOOKUP(Companies_CAD[[#This Row],[Symbol]],ColStart_CAD:ColEnd_CAD,MATCH("mil$ Market Cap",Morningstar_Cols_CAD,EXACT_MATCH),EXACT_MATCH)</f>
        <v>#N/A</v>
      </c>
      <c r="I39" s="115" t="e">
        <f>VLOOKUP(Companies_CAD[[#This Row],[Symbol]],ColStart_CAD:ColEnd_CAD,MATCH("%  Total Return 3 Month",Morningstar_Cols_CAD,EXACT_MATCH),EXACT_MATCH)/100</f>
        <v>#N/A</v>
      </c>
      <c r="J39" s="115" t="e">
        <f>VLOOKUP(Companies_CAD[[#This Row],[Symbol]],ColStart_CAD:ColEnd_CAD,MATCH("%  Total Return 12 Month",Morningstar_Cols_CAD,EXACT_MATCH),EXACT_MATCH)/100</f>
        <v>#N/A</v>
      </c>
      <c r="K39" s="116" t="e">
        <f>VLOOKUP(Companies_CAD[[#This Row],[Symbol]],ColStart_CAD:ColEnd_CAD,MATCH("Price/ Sales",Morningstar_Cols_CAD,EXACT_MATCH),EXACT_MATCH)</f>
        <v>#N/A</v>
      </c>
      <c r="L39" s="117" t="e">
        <f>VLOOKUP(Companies_CAD[[#This Row],[Symbol]],ColStart_CAD:ColEnd_CAD,MATCH("Price/ Fair Value",Morningstar_Cols_CAD,EXACT_MATCH),EXACT_MATCH)</f>
        <v>#N/A</v>
      </c>
      <c r="M39" s="118" t="e">
        <f>VLOOKUP(Companies_CAD[[#This Row],[Symbol]],ColStart_CAD:ColEnd_CAD,MATCH("Financial  Health Grade",Morningstar_Cols_CAD,EXACT_MATCH),EXACT_MATCH)</f>
        <v>#N/A</v>
      </c>
      <c r="N39" s="107" t="e">
        <f>VLOOKUP(Companies_CAD[[#This Row],[Symbol]],ColStart_CAD:ColEnd_CAD,MATCH("% Dividend Yield TTM",Morningstar_Cols_CAD,EXACT_MATCH),EXACT_MATCH)/100</f>
        <v>#N/A</v>
      </c>
      <c r="O39" s="94" t="e">
        <f>RatingDefault+SUM(Companies_CAD[[#This Row],[3MoPoints]:[PFVPoints]])</f>
        <v>#N/A</v>
      </c>
      <c r="P39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39" s="52" t="e">
        <f>IF(Companies_CAD[[#This Row],[3 Mo. Ret.]]&gt;Return3Mo_Grn,1,IF(Companies_CAD[[#This Row],[3 Mo. Ret.]]&lt;Return3Mo_Red,-1,0))</f>
        <v>#N/A</v>
      </c>
      <c r="R39" s="52" t="e">
        <f>IF(Companies_CAD[[#This Row],[12 Mo. Ret.]]&gt;Return12Mo_Grn,1,IF(Companies_CAD[[#This Row],[12 Mo. Ret.]]&lt;Return12Mo_Red,-1,0))</f>
        <v>#N/A</v>
      </c>
      <c r="S39" s="52" t="e">
        <f>IF(Companies_CAD[[#This Row],[PSR]]&lt;PSR_Green,1,IF(Companies_CAD[[#This Row],[PSR]]&gt;PSR_Red,-1,0))</f>
        <v>#N/A</v>
      </c>
      <c r="T39" s="52" t="e">
        <f>IF(Companies_CAD[[#This Row],[Financial Health]]&lt;"C",1,IF(Companies_CAD[[#This Row],[Financial Health]]&gt;"C",-1,0))</f>
        <v>#N/A</v>
      </c>
      <c r="U39" s="52" t="e">
        <f>IF(Companies_CAD[[#This Row],[PFV]]&lt;PFV_Green,1,IF(Companies_CAD[[#This Row],[PFV]]&gt;PFV_Red,-1,0))</f>
        <v>#N/A</v>
      </c>
    </row>
    <row r="40" spans="2:21" s="52" customFormat="1" ht="25.15" customHeight="1" x14ac:dyDescent="0.25">
      <c r="B40" s="11" t="s">
        <v>504</v>
      </c>
      <c r="C40" s="11" t="e">
        <f>VLOOKUP(Companies_CAD[[#This Row],[Symbol]],ColStart_CAD:ColEnd_CAD,MATCH("Name",Morningstar_Cols_CAD,EXACT_MATCH),EXACT_MATCH)</f>
        <v>#N/A</v>
      </c>
      <c r="D40" s="81" t="e">
        <f>VLOOKUP(Companies_CAD[[#This Row],[Symbol]],ColStart_CAD:ColEnd_CAD,MATCH("$ Current Price",Morningstar_Cols_CAD,EXACT_MATCH),EXACT_MATCH)</f>
        <v>#N/A</v>
      </c>
      <c r="E40" s="84" t="e">
        <f>VLOOKUP(Companies_CAD[[#This Row],[Symbol]],ColStart_CAD:ColEnd_CAD,MATCH("$ Change",Morningstar_Cols_CAD,EXACT_MATCH),EXACT_MATCH)</f>
        <v>#N/A</v>
      </c>
      <c r="F40" s="82" t="e">
        <f>IF(Companies_CAD[[#This Row],[$ Change]]&lt;&gt;0,Companies_CAD[[#This Row],[$ Change]]/(Companies_CAD[[#This Row],[Last Close]]-Companies_CAD[[#This Row],[$ Change]]),0)</f>
        <v>#N/A</v>
      </c>
      <c r="G40" s="11" t="e">
        <f>VLOOKUP(Companies_CAD[[#This Row],[Symbol]],ColStart_CAD:ColEnd_CAD,MATCH("Industry Group",Morningstar_Cols_CAD,EXACT_MATCH),EXACT_MATCH)</f>
        <v>#N/A</v>
      </c>
      <c r="H40" s="114" t="e">
        <f>VLOOKUP(Companies_CAD[[#This Row],[Symbol]],ColStart_CAD:ColEnd_CAD,MATCH("mil$ Market Cap",Morningstar_Cols_CAD,EXACT_MATCH),EXACT_MATCH)</f>
        <v>#N/A</v>
      </c>
      <c r="I40" s="115" t="e">
        <f>VLOOKUP(Companies_CAD[[#This Row],[Symbol]],ColStart_CAD:ColEnd_CAD,MATCH("%  Total Return 3 Month",Morningstar_Cols_CAD,EXACT_MATCH),EXACT_MATCH)/100</f>
        <v>#N/A</v>
      </c>
      <c r="J40" s="115" t="e">
        <f>VLOOKUP(Companies_CAD[[#This Row],[Symbol]],ColStart_CAD:ColEnd_CAD,MATCH("%  Total Return 12 Month",Morningstar_Cols_CAD,EXACT_MATCH),EXACT_MATCH)/100</f>
        <v>#N/A</v>
      </c>
      <c r="K40" s="116" t="e">
        <f>VLOOKUP(Companies_CAD[[#This Row],[Symbol]],ColStart_CAD:ColEnd_CAD,MATCH("Price/ Sales",Morningstar_Cols_CAD,EXACT_MATCH),EXACT_MATCH)</f>
        <v>#N/A</v>
      </c>
      <c r="L40" s="117" t="e">
        <f>VLOOKUP(Companies_CAD[[#This Row],[Symbol]],ColStart_CAD:ColEnd_CAD,MATCH("Price/ Fair Value",Morningstar_Cols_CAD,EXACT_MATCH),EXACT_MATCH)</f>
        <v>#N/A</v>
      </c>
      <c r="M40" s="118" t="e">
        <f>VLOOKUP(Companies_CAD[[#This Row],[Symbol]],ColStart_CAD:ColEnd_CAD,MATCH("Financial  Health Grade",Morningstar_Cols_CAD,EXACT_MATCH),EXACT_MATCH)</f>
        <v>#N/A</v>
      </c>
      <c r="N40" s="107" t="e">
        <f>VLOOKUP(Companies_CAD[[#This Row],[Symbol]],ColStart_CAD:ColEnd_CAD,MATCH("% Dividend Yield TTM",Morningstar_Cols_CAD,EXACT_MATCH),EXACT_MATCH)/100</f>
        <v>#N/A</v>
      </c>
      <c r="O40" s="94" t="e">
        <f>RatingDefault+SUM(Companies_CAD[[#This Row],[3MoPoints]:[PFVPoints]])</f>
        <v>#N/A</v>
      </c>
      <c r="P40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40" s="52" t="e">
        <f>IF(Companies_CAD[[#This Row],[3 Mo. Ret.]]&gt;Return3Mo_Grn,1,IF(Companies_CAD[[#This Row],[3 Mo. Ret.]]&lt;Return3Mo_Red,-1,0))</f>
        <v>#N/A</v>
      </c>
      <c r="R40" s="52" t="e">
        <f>IF(Companies_CAD[[#This Row],[12 Mo. Ret.]]&gt;Return12Mo_Grn,1,IF(Companies_CAD[[#This Row],[12 Mo. Ret.]]&lt;Return12Mo_Red,-1,0))</f>
        <v>#N/A</v>
      </c>
      <c r="S40" s="52" t="e">
        <f>IF(Companies_CAD[[#This Row],[PSR]]&lt;PSR_Green,1,IF(Companies_CAD[[#This Row],[PSR]]&gt;PSR_Red,-1,0))</f>
        <v>#N/A</v>
      </c>
      <c r="T40" s="52" t="e">
        <f>IF(Companies_CAD[[#This Row],[Financial Health]]&lt;"C",1,IF(Companies_CAD[[#This Row],[Financial Health]]&gt;"C",-1,0))</f>
        <v>#N/A</v>
      </c>
      <c r="U40" s="52" t="e">
        <f>IF(Companies_CAD[[#This Row],[PFV]]&lt;PFV_Green,1,IF(Companies_CAD[[#This Row],[PFV]]&gt;PFV_Red,-1,0))</f>
        <v>#N/A</v>
      </c>
    </row>
    <row r="41" spans="2:21" s="52" customFormat="1" ht="25.15" customHeight="1" x14ac:dyDescent="0.25">
      <c r="B41" s="11" t="s">
        <v>514</v>
      </c>
      <c r="C41" s="11" t="e">
        <f>VLOOKUP(Companies_CAD[[#This Row],[Symbol]],ColStart_CAD:ColEnd_CAD,MATCH("Name",Morningstar_Cols_CAD,EXACT_MATCH),EXACT_MATCH)</f>
        <v>#N/A</v>
      </c>
      <c r="D41" s="81" t="e">
        <f>VLOOKUP(Companies_CAD[[#This Row],[Symbol]],ColStart_CAD:ColEnd_CAD,MATCH("$ Current Price",Morningstar_Cols_CAD,EXACT_MATCH),EXACT_MATCH)</f>
        <v>#N/A</v>
      </c>
      <c r="E41" s="84" t="e">
        <f>VLOOKUP(Companies_CAD[[#This Row],[Symbol]],ColStart_CAD:ColEnd_CAD,MATCH("$ Change",Morningstar_Cols_CAD,EXACT_MATCH),EXACT_MATCH)</f>
        <v>#N/A</v>
      </c>
      <c r="F41" s="82" t="e">
        <f>IF(Companies_CAD[[#This Row],[$ Change]]&lt;&gt;0,Companies_CAD[[#This Row],[$ Change]]/(Companies_CAD[[#This Row],[Last Close]]-Companies_CAD[[#This Row],[$ Change]]),0)</f>
        <v>#N/A</v>
      </c>
      <c r="G41" s="11" t="e">
        <f>VLOOKUP(Companies_CAD[[#This Row],[Symbol]],ColStart_CAD:ColEnd_CAD,MATCH("Industry Group",Morningstar_Cols_CAD,EXACT_MATCH),EXACT_MATCH)</f>
        <v>#N/A</v>
      </c>
      <c r="H41" s="114" t="e">
        <f>VLOOKUP(Companies_CAD[[#This Row],[Symbol]],ColStart_CAD:ColEnd_CAD,MATCH("mil$ Market Cap",Morningstar_Cols_CAD,EXACT_MATCH),EXACT_MATCH)</f>
        <v>#N/A</v>
      </c>
      <c r="I41" s="115" t="e">
        <f>VLOOKUP(Companies_CAD[[#This Row],[Symbol]],ColStart_CAD:ColEnd_CAD,MATCH("%  Total Return 3 Month",Morningstar_Cols_CAD,EXACT_MATCH),EXACT_MATCH)/100</f>
        <v>#N/A</v>
      </c>
      <c r="J41" s="115" t="e">
        <f>VLOOKUP(Companies_CAD[[#This Row],[Symbol]],ColStart_CAD:ColEnd_CAD,MATCH("%  Total Return 12 Month",Morningstar_Cols_CAD,EXACT_MATCH),EXACT_MATCH)/100</f>
        <v>#N/A</v>
      </c>
      <c r="K41" s="116" t="e">
        <f>VLOOKUP(Companies_CAD[[#This Row],[Symbol]],ColStart_CAD:ColEnd_CAD,MATCH("Price/ Sales",Morningstar_Cols_CAD,EXACT_MATCH),EXACT_MATCH)</f>
        <v>#N/A</v>
      </c>
      <c r="L41" s="117" t="e">
        <f>VLOOKUP(Companies_CAD[[#This Row],[Symbol]],ColStart_CAD:ColEnd_CAD,MATCH("Price/ Fair Value",Morningstar_Cols_CAD,EXACT_MATCH),EXACT_MATCH)</f>
        <v>#N/A</v>
      </c>
      <c r="M41" s="118" t="e">
        <f>VLOOKUP(Companies_CAD[[#This Row],[Symbol]],ColStart_CAD:ColEnd_CAD,MATCH("Financial  Health Grade",Morningstar_Cols_CAD,EXACT_MATCH),EXACT_MATCH)</f>
        <v>#N/A</v>
      </c>
      <c r="N41" s="107" t="e">
        <f>VLOOKUP(Companies_CAD[[#This Row],[Symbol]],ColStart_CAD:ColEnd_CAD,MATCH("% Dividend Yield TTM",Morningstar_Cols_CAD,EXACT_MATCH),EXACT_MATCH)/100</f>
        <v>#N/A</v>
      </c>
      <c r="O41" s="94" t="e">
        <f>RatingDefault+SUM(Companies_CAD[[#This Row],[3MoPoints]:[PFVPoints]])</f>
        <v>#N/A</v>
      </c>
      <c r="P41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41" s="52" t="e">
        <f>IF(Companies_CAD[[#This Row],[3 Mo. Ret.]]&gt;Return3Mo_Grn,1,IF(Companies_CAD[[#This Row],[3 Mo. Ret.]]&lt;Return3Mo_Red,-1,0))</f>
        <v>#N/A</v>
      </c>
      <c r="R41" s="52" t="e">
        <f>IF(Companies_CAD[[#This Row],[12 Mo. Ret.]]&gt;Return12Mo_Grn,1,IF(Companies_CAD[[#This Row],[12 Mo. Ret.]]&lt;Return12Mo_Red,-1,0))</f>
        <v>#N/A</v>
      </c>
      <c r="S41" s="52" t="e">
        <f>IF(Companies_CAD[[#This Row],[PSR]]&lt;PSR_Green,1,IF(Companies_CAD[[#This Row],[PSR]]&gt;PSR_Red,-1,0))</f>
        <v>#N/A</v>
      </c>
      <c r="T41" s="52" t="e">
        <f>IF(Companies_CAD[[#This Row],[Financial Health]]&lt;"C",1,IF(Companies_CAD[[#This Row],[Financial Health]]&gt;"C",-1,0))</f>
        <v>#N/A</v>
      </c>
      <c r="U41" s="52" t="e">
        <f>IF(Companies_CAD[[#This Row],[PFV]]&lt;PFV_Green,1,IF(Companies_CAD[[#This Row],[PFV]]&gt;PFV_Red,-1,0))</f>
        <v>#N/A</v>
      </c>
    </row>
    <row r="42" spans="2:21" s="52" customFormat="1" ht="25.15" customHeight="1" x14ac:dyDescent="0.25">
      <c r="B42" s="11" t="s">
        <v>306</v>
      </c>
      <c r="C42" s="11" t="e">
        <f>VLOOKUP(Companies_CAD[[#This Row],[Symbol]],ColStart_CAD:ColEnd_CAD,MATCH("Name",Morningstar_Cols_CAD,EXACT_MATCH),EXACT_MATCH)</f>
        <v>#N/A</v>
      </c>
      <c r="D42" s="81" t="e">
        <f>VLOOKUP(Companies_CAD[[#This Row],[Symbol]],ColStart_CAD:ColEnd_CAD,MATCH("$ Current Price",Morningstar_Cols_CAD,EXACT_MATCH),EXACT_MATCH)</f>
        <v>#N/A</v>
      </c>
      <c r="E42" s="84" t="e">
        <f>VLOOKUP(Companies_CAD[[#This Row],[Symbol]],ColStart_CAD:ColEnd_CAD,MATCH("$ Change",Morningstar_Cols_CAD,EXACT_MATCH),EXACT_MATCH)</f>
        <v>#N/A</v>
      </c>
      <c r="F42" s="82" t="e">
        <f>IF(Companies_CAD[[#This Row],[$ Change]]&lt;&gt;0,Companies_CAD[[#This Row],[$ Change]]/(Companies_CAD[[#This Row],[Last Close]]-Companies_CAD[[#This Row],[$ Change]]),0)</f>
        <v>#N/A</v>
      </c>
      <c r="G42" s="11" t="e">
        <f>VLOOKUP(Companies_CAD[[#This Row],[Symbol]],ColStart_CAD:ColEnd_CAD,MATCH("Industry Group",Morningstar_Cols_CAD,EXACT_MATCH),EXACT_MATCH)</f>
        <v>#N/A</v>
      </c>
      <c r="H42" s="114" t="e">
        <f>VLOOKUP(Companies_CAD[[#This Row],[Symbol]],ColStart_CAD:ColEnd_CAD,MATCH("mil$ Market Cap",Morningstar_Cols_CAD,EXACT_MATCH),EXACT_MATCH)</f>
        <v>#N/A</v>
      </c>
      <c r="I42" s="115" t="e">
        <f>VLOOKUP(Companies_CAD[[#This Row],[Symbol]],ColStart_CAD:ColEnd_CAD,MATCH("%  Total Return 3 Month",Morningstar_Cols_CAD,EXACT_MATCH),EXACT_MATCH)/100</f>
        <v>#N/A</v>
      </c>
      <c r="J42" s="115" t="e">
        <f>VLOOKUP(Companies_CAD[[#This Row],[Symbol]],ColStart_CAD:ColEnd_CAD,MATCH("%  Total Return 12 Month",Morningstar_Cols_CAD,EXACT_MATCH),EXACT_MATCH)/100</f>
        <v>#N/A</v>
      </c>
      <c r="K42" s="116" t="e">
        <f>VLOOKUP(Companies_CAD[[#This Row],[Symbol]],ColStart_CAD:ColEnd_CAD,MATCH("Price/ Sales",Morningstar_Cols_CAD,EXACT_MATCH),EXACT_MATCH)</f>
        <v>#N/A</v>
      </c>
      <c r="L42" s="117" t="e">
        <f>VLOOKUP(Companies_CAD[[#This Row],[Symbol]],ColStart_CAD:ColEnd_CAD,MATCH("Price/ Fair Value",Morningstar_Cols_CAD,EXACT_MATCH),EXACT_MATCH)</f>
        <v>#N/A</v>
      </c>
      <c r="M42" s="118" t="e">
        <f>VLOOKUP(Companies_CAD[[#This Row],[Symbol]],ColStart_CAD:ColEnd_CAD,MATCH("Financial  Health Grade",Morningstar_Cols_CAD,EXACT_MATCH),EXACT_MATCH)</f>
        <v>#N/A</v>
      </c>
      <c r="N42" s="107" t="e">
        <f>VLOOKUP(Companies_CAD[[#This Row],[Symbol]],ColStart_CAD:ColEnd_CAD,MATCH("% Dividend Yield TTM",Morningstar_Cols_CAD,EXACT_MATCH),EXACT_MATCH)/100</f>
        <v>#N/A</v>
      </c>
      <c r="O42" s="94" t="e">
        <f>RatingDefault+SUM(Companies_CAD[[#This Row],[3MoPoints]:[PFVPoints]])</f>
        <v>#N/A</v>
      </c>
      <c r="P42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42" s="52" t="e">
        <f>IF(Companies_CAD[[#This Row],[3 Mo. Ret.]]&gt;Return3Mo_Grn,1,IF(Companies_CAD[[#This Row],[3 Mo. Ret.]]&lt;Return3Mo_Red,-1,0))</f>
        <v>#N/A</v>
      </c>
      <c r="R42" s="52" t="e">
        <f>IF(Companies_CAD[[#This Row],[12 Mo. Ret.]]&gt;Return12Mo_Grn,1,IF(Companies_CAD[[#This Row],[12 Mo. Ret.]]&lt;Return12Mo_Red,-1,0))</f>
        <v>#N/A</v>
      </c>
      <c r="S42" s="52" t="e">
        <f>IF(Companies_CAD[[#This Row],[PSR]]&lt;PSR_Green,1,IF(Companies_CAD[[#This Row],[PSR]]&gt;PSR_Red,-1,0))</f>
        <v>#N/A</v>
      </c>
      <c r="T42" s="52" t="e">
        <f>IF(Companies_CAD[[#This Row],[Financial Health]]&lt;"C",1,IF(Companies_CAD[[#This Row],[Financial Health]]&gt;"C",-1,0))</f>
        <v>#N/A</v>
      </c>
      <c r="U42" s="52" t="e">
        <f>IF(Companies_CAD[[#This Row],[PFV]]&lt;PFV_Green,1,IF(Companies_CAD[[#This Row],[PFV]]&gt;PFV_Red,-1,0))</f>
        <v>#N/A</v>
      </c>
    </row>
    <row r="43" spans="2:21" s="52" customFormat="1" ht="25.15" customHeight="1" x14ac:dyDescent="0.25">
      <c r="B43" s="11" t="s">
        <v>888</v>
      </c>
      <c r="C43" s="11" t="e">
        <f>VLOOKUP(Companies_CAD[[#This Row],[Symbol]],ColStart_CAD:ColEnd_CAD,MATCH("Name",Morningstar_Cols_CAD,EXACT_MATCH),EXACT_MATCH)</f>
        <v>#N/A</v>
      </c>
      <c r="D43" s="81" t="e">
        <f>VLOOKUP(Companies_CAD[[#This Row],[Symbol]],ColStart_CAD:ColEnd_CAD,MATCH("$ Current Price",Morningstar_Cols_CAD,EXACT_MATCH),EXACT_MATCH)</f>
        <v>#N/A</v>
      </c>
      <c r="E43" s="84" t="e">
        <f>VLOOKUP(Companies_CAD[[#This Row],[Symbol]],ColStart_CAD:ColEnd_CAD,MATCH("$ Change",Morningstar_Cols_CAD,EXACT_MATCH),EXACT_MATCH)</f>
        <v>#N/A</v>
      </c>
      <c r="F43" s="82" t="e">
        <f>IF(Companies_CAD[[#This Row],[$ Change]]&lt;&gt;0,Companies_CAD[[#This Row],[$ Change]]/(Companies_CAD[[#This Row],[Last Close]]-Companies_CAD[[#This Row],[$ Change]]),0)</f>
        <v>#N/A</v>
      </c>
      <c r="G43" s="11" t="e">
        <f>VLOOKUP(Companies_CAD[[#This Row],[Symbol]],ColStart_CAD:ColEnd_CAD,MATCH("Industry Group",Morningstar_Cols_CAD,EXACT_MATCH),EXACT_MATCH)</f>
        <v>#N/A</v>
      </c>
      <c r="H43" s="114" t="e">
        <f>VLOOKUP(Companies_CAD[[#This Row],[Symbol]],ColStart_CAD:ColEnd_CAD,MATCH("mil$ Market Cap",Morningstar_Cols_CAD,EXACT_MATCH),EXACT_MATCH)</f>
        <v>#N/A</v>
      </c>
      <c r="I43" s="115" t="e">
        <f>VLOOKUP(Companies_CAD[[#This Row],[Symbol]],ColStart_CAD:ColEnd_CAD,MATCH("%  Total Return 3 Month",Morningstar_Cols_CAD,EXACT_MATCH),EXACT_MATCH)/100</f>
        <v>#N/A</v>
      </c>
      <c r="J43" s="115" t="e">
        <f>VLOOKUP(Companies_CAD[[#This Row],[Symbol]],ColStart_CAD:ColEnd_CAD,MATCH("%  Total Return 12 Month",Morningstar_Cols_CAD,EXACT_MATCH),EXACT_MATCH)/100</f>
        <v>#N/A</v>
      </c>
      <c r="K43" s="116" t="e">
        <f>VLOOKUP(Companies_CAD[[#This Row],[Symbol]],ColStart_CAD:ColEnd_CAD,MATCH("Price/ Sales",Morningstar_Cols_CAD,EXACT_MATCH),EXACT_MATCH)</f>
        <v>#N/A</v>
      </c>
      <c r="L43" s="117" t="e">
        <f>VLOOKUP(Companies_CAD[[#This Row],[Symbol]],ColStart_CAD:ColEnd_CAD,MATCH("Price/ Fair Value",Morningstar_Cols_CAD,EXACT_MATCH),EXACT_MATCH)</f>
        <v>#N/A</v>
      </c>
      <c r="M43" s="118" t="e">
        <f>VLOOKUP(Companies_CAD[[#This Row],[Symbol]],ColStart_CAD:ColEnd_CAD,MATCH("Financial  Health Grade",Morningstar_Cols_CAD,EXACT_MATCH),EXACT_MATCH)</f>
        <v>#N/A</v>
      </c>
      <c r="N43" s="107" t="e">
        <f>VLOOKUP(Companies_CAD[[#This Row],[Symbol]],ColStart_CAD:ColEnd_CAD,MATCH("% Dividend Yield TTM",Morningstar_Cols_CAD,EXACT_MATCH),EXACT_MATCH)/100</f>
        <v>#N/A</v>
      </c>
      <c r="O43" s="94" t="e">
        <f>RatingDefault+SUM(Companies_CAD[[#This Row],[3MoPoints]:[PFVPoints]])</f>
        <v>#N/A</v>
      </c>
      <c r="P43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43" s="52" t="e">
        <f>IF(Companies_CAD[[#This Row],[3 Mo. Ret.]]&gt;Return3Mo_Grn,1,IF(Companies_CAD[[#This Row],[3 Mo. Ret.]]&lt;Return3Mo_Red,-1,0))</f>
        <v>#N/A</v>
      </c>
      <c r="R43" s="52" t="e">
        <f>IF(Companies_CAD[[#This Row],[12 Mo. Ret.]]&gt;Return12Mo_Grn,1,IF(Companies_CAD[[#This Row],[12 Mo. Ret.]]&lt;Return12Mo_Red,-1,0))</f>
        <v>#N/A</v>
      </c>
      <c r="S43" s="52" t="e">
        <f>IF(Companies_CAD[[#This Row],[PSR]]&lt;PSR_Green,1,IF(Companies_CAD[[#This Row],[PSR]]&gt;PSR_Red,-1,0))</f>
        <v>#N/A</v>
      </c>
      <c r="T43" s="52" t="e">
        <f>IF(Companies_CAD[[#This Row],[Financial Health]]&lt;"C",1,IF(Companies_CAD[[#This Row],[Financial Health]]&gt;"C",-1,0))</f>
        <v>#N/A</v>
      </c>
      <c r="U43" s="52" t="e">
        <f>IF(Companies_CAD[[#This Row],[PFV]]&lt;PFV_Green,1,IF(Companies_CAD[[#This Row],[PFV]]&gt;PFV_Red,-1,0))</f>
        <v>#N/A</v>
      </c>
    </row>
    <row r="44" spans="2:21" s="52" customFormat="1" ht="25.15" customHeight="1" x14ac:dyDescent="0.25">
      <c r="B44" s="11" t="s">
        <v>500</v>
      </c>
      <c r="C44" s="11" t="e">
        <f>VLOOKUP(Companies_CAD[[#This Row],[Symbol]],ColStart_CAD:ColEnd_CAD,MATCH("Name",Morningstar_Cols_CAD,EXACT_MATCH),EXACT_MATCH)</f>
        <v>#N/A</v>
      </c>
      <c r="D44" s="81" t="e">
        <f>VLOOKUP(Companies_CAD[[#This Row],[Symbol]],ColStart_CAD:ColEnd_CAD,MATCH("$ Current Price",Morningstar_Cols_CAD,EXACT_MATCH),EXACT_MATCH)</f>
        <v>#N/A</v>
      </c>
      <c r="E44" s="84" t="e">
        <f>VLOOKUP(Companies_CAD[[#This Row],[Symbol]],ColStart_CAD:ColEnd_CAD,MATCH("$ Change",Morningstar_Cols_CAD,EXACT_MATCH),EXACT_MATCH)</f>
        <v>#N/A</v>
      </c>
      <c r="F44" s="82" t="e">
        <f>IF(Companies_CAD[[#This Row],[$ Change]]&lt;&gt;0,Companies_CAD[[#This Row],[$ Change]]/(Companies_CAD[[#This Row],[Last Close]]-Companies_CAD[[#This Row],[$ Change]]),0)</f>
        <v>#N/A</v>
      </c>
      <c r="G44" s="11" t="e">
        <f>VLOOKUP(Companies_CAD[[#This Row],[Symbol]],ColStart_CAD:ColEnd_CAD,MATCH("Industry Group",Morningstar_Cols_CAD,EXACT_MATCH),EXACT_MATCH)</f>
        <v>#N/A</v>
      </c>
      <c r="H44" s="114" t="e">
        <f>VLOOKUP(Companies_CAD[[#This Row],[Symbol]],ColStart_CAD:ColEnd_CAD,MATCH("mil$ Market Cap",Morningstar_Cols_CAD,EXACT_MATCH),EXACT_MATCH)</f>
        <v>#N/A</v>
      </c>
      <c r="I44" s="115" t="e">
        <f>VLOOKUP(Companies_CAD[[#This Row],[Symbol]],ColStart_CAD:ColEnd_CAD,MATCH("%  Total Return 3 Month",Morningstar_Cols_CAD,EXACT_MATCH),EXACT_MATCH)/100</f>
        <v>#N/A</v>
      </c>
      <c r="J44" s="115" t="e">
        <f>VLOOKUP(Companies_CAD[[#This Row],[Symbol]],ColStart_CAD:ColEnd_CAD,MATCH("%  Total Return 12 Month",Morningstar_Cols_CAD,EXACT_MATCH),EXACT_MATCH)/100</f>
        <v>#N/A</v>
      </c>
      <c r="K44" s="116" t="e">
        <f>VLOOKUP(Companies_CAD[[#This Row],[Symbol]],ColStart_CAD:ColEnd_CAD,MATCH("Price/ Sales",Morningstar_Cols_CAD,EXACT_MATCH),EXACT_MATCH)</f>
        <v>#N/A</v>
      </c>
      <c r="L44" s="117" t="e">
        <f>VLOOKUP(Companies_CAD[[#This Row],[Symbol]],ColStart_CAD:ColEnd_CAD,MATCH("Price/ Fair Value",Morningstar_Cols_CAD,EXACT_MATCH),EXACT_MATCH)</f>
        <v>#N/A</v>
      </c>
      <c r="M44" s="118" t="e">
        <f>VLOOKUP(Companies_CAD[[#This Row],[Symbol]],ColStart_CAD:ColEnd_CAD,MATCH("Financial  Health Grade",Morningstar_Cols_CAD,EXACT_MATCH),EXACT_MATCH)</f>
        <v>#N/A</v>
      </c>
      <c r="N44" s="107" t="e">
        <f>VLOOKUP(Companies_CAD[[#This Row],[Symbol]],ColStart_CAD:ColEnd_CAD,MATCH("% Dividend Yield TTM",Morningstar_Cols_CAD,EXACT_MATCH),EXACT_MATCH)/100</f>
        <v>#N/A</v>
      </c>
      <c r="O44" s="94" t="e">
        <f>RatingDefault+SUM(Companies_CAD[[#This Row],[3MoPoints]:[PFVPoints]])</f>
        <v>#N/A</v>
      </c>
      <c r="P44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44" s="52" t="e">
        <f>IF(Companies_CAD[[#This Row],[3 Mo. Ret.]]&gt;Return3Mo_Grn,1,IF(Companies_CAD[[#This Row],[3 Mo. Ret.]]&lt;Return3Mo_Red,-1,0))</f>
        <v>#N/A</v>
      </c>
      <c r="R44" s="52" t="e">
        <f>IF(Companies_CAD[[#This Row],[12 Mo. Ret.]]&gt;Return12Mo_Grn,1,IF(Companies_CAD[[#This Row],[12 Mo. Ret.]]&lt;Return12Mo_Red,-1,0))</f>
        <v>#N/A</v>
      </c>
      <c r="S44" s="52" t="e">
        <f>IF(Companies_CAD[[#This Row],[PSR]]&lt;PSR_Green,1,IF(Companies_CAD[[#This Row],[PSR]]&gt;PSR_Red,-1,0))</f>
        <v>#N/A</v>
      </c>
      <c r="T44" s="52" t="e">
        <f>IF(Companies_CAD[[#This Row],[Financial Health]]&lt;"C",1,IF(Companies_CAD[[#This Row],[Financial Health]]&gt;"C",-1,0))</f>
        <v>#N/A</v>
      </c>
      <c r="U44" s="52" t="e">
        <f>IF(Companies_CAD[[#This Row],[PFV]]&lt;PFV_Green,1,IF(Companies_CAD[[#This Row],[PFV]]&gt;PFV_Red,-1,0))</f>
        <v>#N/A</v>
      </c>
    </row>
    <row r="45" spans="2:21" s="52" customFormat="1" ht="25.15" customHeight="1" x14ac:dyDescent="0.25">
      <c r="B45" s="11" t="s">
        <v>516</v>
      </c>
      <c r="C45" s="11" t="e">
        <f>VLOOKUP(Companies_CAD[[#This Row],[Symbol]],ColStart_CAD:ColEnd_CAD,MATCH("Name",Morningstar_Cols_CAD,EXACT_MATCH),EXACT_MATCH)</f>
        <v>#N/A</v>
      </c>
      <c r="D45" s="81" t="e">
        <f>VLOOKUP(Companies_CAD[[#This Row],[Symbol]],ColStart_CAD:ColEnd_CAD,MATCH("$ Current Price",Morningstar_Cols_CAD,EXACT_MATCH),EXACT_MATCH)</f>
        <v>#N/A</v>
      </c>
      <c r="E45" s="84" t="e">
        <f>VLOOKUP(Companies_CAD[[#This Row],[Symbol]],ColStart_CAD:ColEnd_CAD,MATCH("$ Change",Morningstar_Cols_CAD,EXACT_MATCH),EXACT_MATCH)</f>
        <v>#N/A</v>
      </c>
      <c r="F45" s="82" t="e">
        <f>IF(Companies_CAD[[#This Row],[$ Change]]&lt;&gt;0,Companies_CAD[[#This Row],[$ Change]]/(Companies_CAD[[#This Row],[Last Close]]-Companies_CAD[[#This Row],[$ Change]]),0)</f>
        <v>#N/A</v>
      </c>
      <c r="G45" s="11" t="e">
        <f>VLOOKUP(Companies_CAD[[#This Row],[Symbol]],ColStart_CAD:ColEnd_CAD,MATCH("Industry Group",Morningstar_Cols_CAD,EXACT_MATCH),EXACT_MATCH)</f>
        <v>#N/A</v>
      </c>
      <c r="H45" s="114" t="e">
        <f>VLOOKUP(Companies_CAD[[#This Row],[Symbol]],ColStart_CAD:ColEnd_CAD,MATCH("mil$ Market Cap",Morningstar_Cols_CAD,EXACT_MATCH),EXACT_MATCH)</f>
        <v>#N/A</v>
      </c>
      <c r="I45" s="115" t="e">
        <f>VLOOKUP(Companies_CAD[[#This Row],[Symbol]],ColStart_CAD:ColEnd_CAD,MATCH("%  Total Return 3 Month",Morningstar_Cols_CAD,EXACT_MATCH),EXACT_MATCH)/100</f>
        <v>#N/A</v>
      </c>
      <c r="J45" s="115" t="e">
        <f>VLOOKUP(Companies_CAD[[#This Row],[Symbol]],ColStart_CAD:ColEnd_CAD,MATCH("%  Total Return 12 Month",Morningstar_Cols_CAD,EXACT_MATCH),EXACT_MATCH)/100</f>
        <v>#N/A</v>
      </c>
      <c r="K45" s="116" t="e">
        <f>VLOOKUP(Companies_CAD[[#This Row],[Symbol]],ColStart_CAD:ColEnd_CAD,MATCH("Price/ Sales",Morningstar_Cols_CAD,EXACT_MATCH),EXACT_MATCH)</f>
        <v>#N/A</v>
      </c>
      <c r="L45" s="117" t="e">
        <f>VLOOKUP(Companies_CAD[[#This Row],[Symbol]],ColStart_CAD:ColEnd_CAD,MATCH("Price/ Fair Value",Morningstar_Cols_CAD,EXACT_MATCH),EXACT_MATCH)</f>
        <v>#N/A</v>
      </c>
      <c r="M45" s="118" t="e">
        <f>VLOOKUP(Companies_CAD[[#This Row],[Symbol]],ColStart_CAD:ColEnd_CAD,MATCH("Financial  Health Grade",Morningstar_Cols_CAD,EXACT_MATCH),EXACT_MATCH)</f>
        <v>#N/A</v>
      </c>
      <c r="N45" s="107" t="e">
        <f>VLOOKUP(Companies_CAD[[#This Row],[Symbol]],ColStart_CAD:ColEnd_CAD,MATCH("% Dividend Yield TTM",Morningstar_Cols_CAD,EXACT_MATCH),EXACT_MATCH)/100</f>
        <v>#N/A</v>
      </c>
      <c r="O45" s="94" t="e">
        <f>RatingDefault+SUM(Companies_CAD[[#This Row],[3MoPoints]:[PFVPoints]])</f>
        <v>#N/A</v>
      </c>
      <c r="P45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45" s="52" t="e">
        <f>IF(Companies_CAD[[#This Row],[3 Mo. Ret.]]&gt;Return3Mo_Grn,1,IF(Companies_CAD[[#This Row],[3 Mo. Ret.]]&lt;Return3Mo_Red,-1,0))</f>
        <v>#N/A</v>
      </c>
      <c r="R45" s="52" t="e">
        <f>IF(Companies_CAD[[#This Row],[12 Mo. Ret.]]&gt;Return12Mo_Grn,1,IF(Companies_CAD[[#This Row],[12 Mo. Ret.]]&lt;Return12Mo_Red,-1,0))</f>
        <v>#N/A</v>
      </c>
      <c r="S45" s="52" t="e">
        <f>IF(Companies_CAD[[#This Row],[PSR]]&lt;PSR_Green,1,IF(Companies_CAD[[#This Row],[PSR]]&gt;PSR_Red,-1,0))</f>
        <v>#N/A</v>
      </c>
      <c r="T45" s="52" t="e">
        <f>IF(Companies_CAD[[#This Row],[Financial Health]]&lt;"C",1,IF(Companies_CAD[[#This Row],[Financial Health]]&gt;"C",-1,0))</f>
        <v>#N/A</v>
      </c>
      <c r="U45" s="52" t="e">
        <f>IF(Companies_CAD[[#This Row],[PFV]]&lt;PFV_Green,1,IF(Companies_CAD[[#This Row],[PFV]]&gt;PFV_Red,-1,0))</f>
        <v>#N/A</v>
      </c>
    </row>
    <row r="46" spans="2:21" s="52" customFormat="1" ht="25.15" customHeight="1" x14ac:dyDescent="0.25">
      <c r="B46" s="11" t="s">
        <v>515</v>
      </c>
      <c r="C46" s="11" t="e">
        <f>VLOOKUP(Companies_CAD[[#This Row],[Symbol]],ColStart_CAD:ColEnd_CAD,MATCH("Name",Morningstar_Cols_CAD,EXACT_MATCH),EXACT_MATCH)</f>
        <v>#N/A</v>
      </c>
      <c r="D46" s="81" t="e">
        <f>VLOOKUP(Companies_CAD[[#This Row],[Symbol]],ColStart_CAD:ColEnd_CAD,MATCH("$ Current Price",Morningstar_Cols_CAD,EXACT_MATCH),EXACT_MATCH)</f>
        <v>#N/A</v>
      </c>
      <c r="E46" s="84" t="e">
        <f>VLOOKUP(Companies_CAD[[#This Row],[Symbol]],ColStart_CAD:ColEnd_CAD,MATCH("$ Change",Morningstar_Cols_CAD,EXACT_MATCH),EXACT_MATCH)</f>
        <v>#N/A</v>
      </c>
      <c r="F46" s="82" t="e">
        <f>IF(Companies_CAD[[#This Row],[$ Change]]&lt;&gt;0,Companies_CAD[[#This Row],[$ Change]]/(Companies_CAD[[#This Row],[Last Close]]-Companies_CAD[[#This Row],[$ Change]]),0)</f>
        <v>#N/A</v>
      </c>
      <c r="G46" s="11" t="e">
        <f>VLOOKUP(Companies_CAD[[#This Row],[Symbol]],ColStart_CAD:ColEnd_CAD,MATCH("Industry Group",Morningstar_Cols_CAD,EXACT_MATCH),EXACT_MATCH)</f>
        <v>#N/A</v>
      </c>
      <c r="H46" s="114" t="e">
        <f>VLOOKUP(Companies_CAD[[#This Row],[Symbol]],ColStart_CAD:ColEnd_CAD,MATCH("mil$ Market Cap",Morningstar_Cols_CAD,EXACT_MATCH),EXACT_MATCH)</f>
        <v>#N/A</v>
      </c>
      <c r="I46" s="115" t="e">
        <f>VLOOKUP(Companies_CAD[[#This Row],[Symbol]],ColStart_CAD:ColEnd_CAD,MATCH("%  Total Return 3 Month",Morningstar_Cols_CAD,EXACT_MATCH),EXACT_MATCH)/100</f>
        <v>#N/A</v>
      </c>
      <c r="J46" s="115" t="e">
        <f>VLOOKUP(Companies_CAD[[#This Row],[Symbol]],ColStart_CAD:ColEnd_CAD,MATCH("%  Total Return 12 Month",Morningstar_Cols_CAD,EXACT_MATCH),EXACT_MATCH)/100</f>
        <v>#N/A</v>
      </c>
      <c r="K46" s="116" t="e">
        <f>VLOOKUP(Companies_CAD[[#This Row],[Symbol]],ColStart_CAD:ColEnd_CAD,MATCH("Price/ Sales",Morningstar_Cols_CAD,EXACT_MATCH),EXACT_MATCH)</f>
        <v>#N/A</v>
      </c>
      <c r="L46" s="117" t="e">
        <f>VLOOKUP(Companies_CAD[[#This Row],[Symbol]],ColStart_CAD:ColEnd_CAD,MATCH("Price/ Fair Value",Morningstar_Cols_CAD,EXACT_MATCH),EXACT_MATCH)</f>
        <v>#N/A</v>
      </c>
      <c r="M46" s="118" t="e">
        <f>VLOOKUP(Companies_CAD[[#This Row],[Symbol]],ColStart_CAD:ColEnd_CAD,MATCH("Financial  Health Grade",Morningstar_Cols_CAD,EXACT_MATCH),EXACT_MATCH)</f>
        <v>#N/A</v>
      </c>
      <c r="N46" s="107" t="e">
        <f>VLOOKUP(Companies_CAD[[#This Row],[Symbol]],ColStart_CAD:ColEnd_CAD,MATCH("% Dividend Yield TTM",Morningstar_Cols_CAD,EXACT_MATCH),EXACT_MATCH)/100</f>
        <v>#N/A</v>
      </c>
      <c r="O46" s="94" t="e">
        <f>RatingDefault+SUM(Companies_CAD[[#This Row],[3MoPoints]:[PFVPoints]])</f>
        <v>#N/A</v>
      </c>
      <c r="P46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46" s="52" t="e">
        <f>IF(Companies_CAD[[#This Row],[3 Mo. Ret.]]&gt;Return3Mo_Grn,1,IF(Companies_CAD[[#This Row],[3 Mo. Ret.]]&lt;Return3Mo_Red,-1,0))</f>
        <v>#N/A</v>
      </c>
      <c r="R46" s="52" t="e">
        <f>IF(Companies_CAD[[#This Row],[12 Mo. Ret.]]&gt;Return12Mo_Grn,1,IF(Companies_CAD[[#This Row],[12 Mo. Ret.]]&lt;Return12Mo_Red,-1,0))</f>
        <v>#N/A</v>
      </c>
      <c r="S46" s="52" t="e">
        <f>IF(Companies_CAD[[#This Row],[PSR]]&lt;PSR_Green,1,IF(Companies_CAD[[#This Row],[PSR]]&gt;PSR_Red,-1,0))</f>
        <v>#N/A</v>
      </c>
      <c r="T46" s="52" t="e">
        <f>IF(Companies_CAD[[#This Row],[Financial Health]]&lt;"C",1,IF(Companies_CAD[[#This Row],[Financial Health]]&gt;"C",-1,0))</f>
        <v>#N/A</v>
      </c>
      <c r="U46" s="52" t="e">
        <f>IF(Companies_CAD[[#This Row],[PFV]]&lt;PFV_Green,1,IF(Companies_CAD[[#This Row],[PFV]]&gt;PFV_Red,-1,0))</f>
        <v>#N/A</v>
      </c>
    </row>
    <row r="47" spans="2:21" s="52" customFormat="1" ht="25.15" customHeight="1" x14ac:dyDescent="0.25">
      <c r="B47" s="11" t="s">
        <v>304</v>
      </c>
      <c r="C47" s="11" t="str">
        <f>VLOOKUP(Companies_CAD[[#This Row],[Symbol]],ColStart_CAD:ColEnd_CAD,MATCH("Name",Morningstar_Cols_CAD,EXACT_MATCH),EXACT_MATCH)</f>
        <v>Enbridge Inc</v>
      </c>
      <c r="D47" s="81">
        <f>VLOOKUP(Companies_CAD[[#This Row],[Symbol]],ColStart_CAD:ColEnd_CAD,MATCH("$ Current Price",Morningstar_Cols_CAD,EXACT_MATCH),EXACT_MATCH)</f>
        <v>42.58</v>
      </c>
      <c r="E47" s="84">
        <f>VLOOKUP(Companies_CAD[[#This Row],[Symbol]],ColStart_CAD:ColEnd_CAD,MATCH("$ Change",Morningstar_Cols_CAD,EXACT_MATCH),EXACT_MATCH)</f>
        <v>0.4</v>
      </c>
      <c r="F47" s="82">
        <f>IF(Companies_CAD[[#This Row],[$ Change]]&lt;&gt;0,Companies_CAD[[#This Row],[$ Change]]/(Companies_CAD[[#This Row],[Last Close]]-Companies_CAD[[#This Row],[$ Change]]),0)</f>
        <v>9.4831673779042207E-3</v>
      </c>
      <c r="G47" s="11" t="e">
        <f>VLOOKUP(Companies_CAD[[#This Row],[Symbol]],ColStart_CAD:ColEnd_CAD,MATCH("Industry Group",Morningstar_Cols_CAD,EXACT_MATCH),EXACT_MATCH)</f>
        <v>#N/A</v>
      </c>
      <c r="H47" s="114" t="e">
        <f>VLOOKUP(Companies_CAD[[#This Row],[Symbol]],ColStart_CAD:ColEnd_CAD,MATCH("mil$ Market Cap",Morningstar_Cols_CAD,EXACT_MATCH),EXACT_MATCH)</f>
        <v>#N/A</v>
      </c>
      <c r="I47" s="115">
        <f>VLOOKUP(Companies_CAD[[#This Row],[Symbol]],ColStart_CAD:ColEnd_CAD,MATCH("%  Total Return 3 Month",Morningstar_Cols_CAD,EXACT_MATCH),EXACT_MATCH)/100</f>
        <v>0.156</v>
      </c>
      <c r="J47" s="115">
        <f>VLOOKUP(Companies_CAD[[#This Row],[Symbol]],ColStart_CAD:ColEnd_CAD,MATCH("%  Total Return 12 Month",Morningstar_Cols_CAD,EXACT_MATCH),EXACT_MATCH)/100</f>
        <v>0.18390000000000001</v>
      </c>
      <c r="K47" s="116" t="str">
        <f>VLOOKUP(Companies_CAD[[#This Row],[Symbol]],ColStart_CAD:ColEnd_CAD,MATCH("Price/ Sales",Morningstar_Cols_CAD,EXACT_MATCH),EXACT_MATCH)</f>
        <v>2.26</v>
      </c>
      <c r="L47" s="117">
        <f>VLOOKUP(Companies_CAD[[#This Row],[Symbol]],ColStart_CAD:ColEnd_CAD,MATCH("Price/ Fair Value",Morningstar_Cols_CAD,EXACT_MATCH),EXACT_MATCH)</f>
        <v>0.91</v>
      </c>
      <c r="M47" s="118" t="str">
        <f>VLOOKUP(Companies_CAD[[#This Row],[Symbol]],ColStart_CAD:ColEnd_CAD,MATCH("Financial  Health Grade",Morningstar_Cols_CAD,EXACT_MATCH),EXACT_MATCH)</f>
        <v>A</v>
      </c>
      <c r="N47" s="107">
        <f>VLOOKUP(Companies_CAD[[#This Row],[Symbol]],ColStart_CAD:ColEnd_CAD,MATCH("% Dividend Yield TTM",Morningstar_Cols_CAD,EXACT_MATCH),EXACT_MATCH)/100</f>
        <v>5.2900000000000003E-2</v>
      </c>
      <c r="O47" s="94">
        <f>RatingDefault+SUM(Companies_CAD[[#This Row],[3MoPoints]:[PFVPoints]])</f>
        <v>3</v>
      </c>
      <c r="P47" s="53" t="str">
        <f>IF(Companies_CAD[[#This Row],[Rating]]&gt;6,"Strong Buy",IF(Companies_CAD[[#This Row],[Rating]]=6,"Buy",IF(Companies_CAD[[#This Row],[Rating]]=5,"Monitor",IF(Companies_CAD[[#This Row],[Rating]]=4,"Prospect","Avoid"))))</f>
        <v>Avoid</v>
      </c>
      <c r="Q47" s="52">
        <f>IF(Companies_CAD[[#This Row],[3 Mo. Ret.]]&gt;Return3Mo_Grn,1,IF(Companies_CAD[[#This Row],[3 Mo. Ret.]]&lt;Return3Mo_Red,-1,0))</f>
        <v>0</v>
      </c>
      <c r="R47" s="52">
        <f>IF(Companies_CAD[[#This Row],[12 Mo. Ret.]]&gt;Return12Mo_Grn,1,IF(Companies_CAD[[#This Row],[12 Mo. Ret.]]&lt;Return12Mo_Red,-1,0))</f>
        <v>-1</v>
      </c>
      <c r="S47" s="52">
        <f>IF(Companies_CAD[[#This Row],[PSR]]&lt;PSR_Green,1,IF(Companies_CAD[[#This Row],[PSR]]&gt;PSR_Red,-1,0))</f>
        <v>-1</v>
      </c>
      <c r="T47" s="52">
        <f>IF(Companies_CAD[[#This Row],[Financial Health]]&lt;"C",1,IF(Companies_CAD[[#This Row],[Financial Health]]&gt;"C",-1,0))</f>
        <v>1</v>
      </c>
      <c r="U47" s="52">
        <f>IF(Companies_CAD[[#This Row],[PFV]]&lt;PFV_Green,1,IF(Companies_CAD[[#This Row],[PFV]]&gt;PFV_Red,-1,0))</f>
        <v>1</v>
      </c>
    </row>
    <row r="48" spans="2:21" s="52" customFormat="1" ht="25.15" customHeight="1" x14ac:dyDescent="0.25">
      <c r="B48" s="11" t="s">
        <v>466</v>
      </c>
      <c r="C48" s="11" t="e">
        <f>VLOOKUP(Companies_CAD[[#This Row],[Symbol]],ColStart_CAD:ColEnd_CAD,MATCH("Name",Morningstar_Cols_CAD,EXACT_MATCH),EXACT_MATCH)</f>
        <v>#N/A</v>
      </c>
      <c r="D48" s="81" t="e">
        <f>VLOOKUP(Companies_CAD[[#This Row],[Symbol]],ColStart_CAD:ColEnd_CAD,MATCH("$ Current Price",Morningstar_Cols_CAD,EXACT_MATCH),EXACT_MATCH)</f>
        <v>#N/A</v>
      </c>
      <c r="E48" s="84" t="e">
        <f>VLOOKUP(Companies_CAD[[#This Row],[Symbol]],ColStart_CAD:ColEnd_CAD,MATCH("$ Change",Morningstar_Cols_CAD,EXACT_MATCH),EXACT_MATCH)</f>
        <v>#N/A</v>
      </c>
      <c r="F48" s="82" t="e">
        <f>IF(Companies_CAD[[#This Row],[$ Change]]&lt;&gt;0,Companies_CAD[[#This Row],[$ Change]]/(Companies_CAD[[#This Row],[Last Close]]-Companies_CAD[[#This Row],[$ Change]]),0)</f>
        <v>#N/A</v>
      </c>
      <c r="G48" s="11" t="e">
        <f>VLOOKUP(Companies_CAD[[#This Row],[Symbol]],ColStart_CAD:ColEnd_CAD,MATCH("Industry Group",Morningstar_Cols_CAD,EXACT_MATCH),EXACT_MATCH)</f>
        <v>#N/A</v>
      </c>
      <c r="H48" s="114" t="e">
        <f>VLOOKUP(Companies_CAD[[#This Row],[Symbol]],ColStart_CAD:ColEnd_CAD,MATCH("mil$ Market Cap",Morningstar_Cols_CAD,EXACT_MATCH),EXACT_MATCH)</f>
        <v>#N/A</v>
      </c>
      <c r="I48" s="115" t="e">
        <f>VLOOKUP(Companies_CAD[[#This Row],[Symbol]],ColStart_CAD:ColEnd_CAD,MATCH("%  Total Return 3 Month",Morningstar_Cols_CAD,EXACT_MATCH),EXACT_MATCH)/100</f>
        <v>#N/A</v>
      </c>
      <c r="J48" s="115" t="e">
        <f>VLOOKUP(Companies_CAD[[#This Row],[Symbol]],ColStart_CAD:ColEnd_CAD,MATCH("%  Total Return 12 Month",Morningstar_Cols_CAD,EXACT_MATCH),EXACT_MATCH)/100</f>
        <v>#N/A</v>
      </c>
      <c r="K48" s="116" t="e">
        <f>VLOOKUP(Companies_CAD[[#This Row],[Symbol]],ColStart_CAD:ColEnd_CAD,MATCH("Price/ Sales",Morningstar_Cols_CAD,EXACT_MATCH),EXACT_MATCH)</f>
        <v>#N/A</v>
      </c>
      <c r="L48" s="117" t="e">
        <f>VLOOKUP(Companies_CAD[[#This Row],[Symbol]],ColStart_CAD:ColEnd_CAD,MATCH("Price/ Fair Value",Morningstar_Cols_CAD,EXACT_MATCH),EXACT_MATCH)</f>
        <v>#N/A</v>
      </c>
      <c r="M48" s="118" t="e">
        <f>VLOOKUP(Companies_CAD[[#This Row],[Symbol]],ColStart_CAD:ColEnd_CAD,MATCH("Financial  Health Grade",Morningstar_Cols_CAD,EXACT_MATCH),EXACT_MATCH)</f>
        <v>#N/A</v>
      </c>
      <c r="N48" s="107" t="e">
        <f>VLOOKUP(Companies_CAD[[#This Row],[Symbol]],ColStart_CAD:ColEnd_CAD,MATCH("% Dividend Yield TTM",Morningstar_Cols_CAD,EXACT_MATCH),EXACT_MATCH)/100</f>
        <v>#N/A</v>
      </c>
      <c r="O48" s="94" t="e">
        <f>RatingDefault+SUM(Companies_CAD[[#This Row],[3MoPoints]:[PFVPoints]])</f>
        <v>#N/A</v>
      </c>
      <c r="P48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48" s="52" t="e">
        <f>IF(Companies_CAD[[#This Row],[3 Mo. Ret.]]&gt;Return3Mo_Grn,1,IF(Companies_CAD[[#This Row],[3 Mo. Ret.]]&lt;Return3Mo_Red,-1,0))</f>
        <v>#N/A</v>
      </c>
      <c r="R48" s="52" t="e">
        <f>IF(Companies_CAD[[#This Row],[12 Mo. Ret.]]&gt;Return12Mo_Grn,1,IF(Companies_CAD[[#This Row],[12 Mo. Ret.]]&lt;Return12Mo_Red,-1,0))</f>
        <v>#N/A</v>
      </c>
      <c r="S48" s="52" t="e">
        <f>IF(Companies_CAD[[#This Row],[PSR]]&lt;PSR_Green,1,IF(Companies_CAD[[#This Row],[PSR]]&gt;PSR_Red,-1,0))</f>
        <v>#N/A</v>
      </c>
      <c r="T48" s="52" t="e">
        <f>IF(Companies_CAD[[#This Row],[Financial Health]]&lt;"C",1,IF(Companies_CAD[[#This Row],[Financial Health]]&gt;"C",-1,0))</f>
        <v>#N/A</v>
      </c>
      <c r="U48" s="52" t="e">
        <f>IF(Companies_CAD[[#This Row],[PFV]]&lt;PFV_Green,1,IF(Companies_CAD[[#This Row],[PFV]]&gt;PFV_Red,-1,0))</f>
        <v>#N/A</v>
      </c>
    </row>
    <row r="49" spans="2:21" s="52" customFormat="1" ht="25.15" customHeight="1" x14ac:dyDescent="0.25">
      <c r="B49" s="11" t="s">
        <v>517</v>
      </c>
      <c r="C49" s="11" t="e">
        <f>VLOOKUP(Companies_CAD[[#This Row],[Symbol]],ColStart_CAD:ColEnd_CAD,MATCH("Name",Morningstar_Cols_CAD,EXACT_MATCH),EXACT_MATCH)</f>
        <v>#N/A</v>
      </c>
      <c r="D49" s="81" t="e">
        <f>VLOOKUP(Companies_CAD[[#This Row],[Symbol]],ColStart_CAD:ColEnd_CAD,MATCH("$ Current Price",Morningstar_Cols_CAD,EXACT_MATCH),EXACT_MATCH)</f>
        <v>#N/A</v>
      </c>
      <c r="E49" s="84" t="e">
        <f>VLOOKUP(Companies_CAD[[#This Row],[Symbol]],ColStart_CAD:ColEnd_CAD,MATCH("$ Change",Morningstar_Cols_CAD,EXACT_MATCH),EXACT_MATCH)</f>
        <v>#N/A</v>
      </c>
      <c r="F49" s="82" t="e">
        <f>IF(Companies_CAD[[#This Row],[$ Change]]&lt;&gt;0,Companies_CAD[[#This Row],[$ Change]]/(Companies_CAD[[#This Row],[Last Close]]-Companies_CAD[[#This Row],[$ Change]]),0)</f>
        <v>#N/A</v>
      </c>
      <c r="G49" s="11" t="e">
        <f>VLOOKUP(Companies_CAD[[#This Row],[Symbol]],ColStart_CAD:ColEnd_CAD,MATCH("Industry Group",Morningstar_Cols_CAD,EXACT_MATCH),EXACT_MATCH)</f>
        <v>#N/A</v>
      </c>
      <c r="H49" s="114" t="e">
        <f>VLOOKUP(Companies_CAD[[#This Row],[Symbol]],ColStart_CAD:ColEnd_CAD,MATCH("mil$ Market Cap",Morningstar_Cols_CAD,EXACT_MATCH),EXACT_MATCH)</f>
        <v>#N/A</v>
      </c>
      <c r="I49" s="115" t="e">
        <f>VLOOKUP(Companies_CAD[[#This Row],[Symbol]],ColStart_CAD:ColEnd_CAD,MATCH("%  Total Return 3 Month",Morningstar_Cols_CAD,EXACT_MATCH),EXACT_MATCH)/100</f>
        <v>#N/A</v>
      </c>
      <c r="J49" s="115" t="e">
        <f>VLOOKUP(Companies_CAD[[#This Row],[Symbol]],ColStart_CAD:ColEnd_CAD,MATCH("%  Total Return 12 Month",Morningstar_Cols_CAD,EXACT_MATCH),EXACT_MATCH)/100</f>
        <v>#N/A</v>
      </c>
      <c r="K49" s="116" t="e">
        <f>VLOOKUP(Companies_CAD[[#This Row],[Symbol]],ColStart_CAD:ColEnd_CAD,MATCH("Price/ Sales",Morningstar_Cols_CAD,EXACT_MATCH),EXACT_MATCH)</f>
        <v>#N/A</v>
      </c>
      <c r="L49" s="117" t="e">
        <f>VLOOKUP(Companies_CAD[[#This Row],[Symbol]],ColStart_CAD:ColEnd_CAD,MATCH("Price/ Fair Value",Morningstar_Cols_CAD,EXACT_MATCH),EXACT_MATCH)</f>
        <v>#N/A</v>
      </c>
      <c r="M49" s="118" t="e">
        <f>VLOOKUP(Companies_CAD[[#This Row],[Symbol]],ColStart_CAD:ColEnd_CAD,MATCH("Financial  Health Grade",Morningstar_Cols_CAD,EXACT_MATCH),EXACT_MATCH)</f>
        <v>#N/A</v>
      </c>
      <c r="N49" s="107" t="e">
        <f>VLOOKUP(Companies_CAD[[#This Row],[Symbol]],ColStart_CAD:ColEnd_CAD,MATCH("% Dividend Yield TTM",Morningstar_Cols_CAD,EXACT_MATCH),EXACT_MATCH)/100</f>
        <v>#N/A</v>
      </c>
      <c r="O49" s="94" t="e">
        <f>RatingDefault+SUM(Companies_CAD[[#This Row],[3MoPoints]:[PFVPoints]])</f>
        <v>#N/A</v>
      </c>
      <c r="P49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49" s="52" t="e">
        <f>IF(Companies_CAD[[#This Row],[3 Mo. Ret.]]&gt;Return3Mo_Grn,1,IF(Companies_CAD[[#This Row],[3 Mo. Ret.]]&lt;Return3Mo_Red,-1,0))</f>
        <v>#N/A</v>
      </c>
      <c r="R49" s="52" t="e">
        <f>IF(Companies_CAD[[#This Row],[12 Mo. Ret.]]&gt;Return12Mo_Grn,1,IF(Companies_CAD[[#This Row],[12 Mo. Ret.]]&lt;Return12Mo_Red,-1,0))</f>
        <v>#N/A</v>
      </c>
      <c r="S49" s="52" t="e">
        <f>IF(Companies_CAD[[#This Row],[PSR]]&lt;PSR_Green,1,IF(Companies_CAD[[#This Row],[PSR]]&gt;PSR_Red,-1,0))</f>
        <v>#N/A</v>
      </c>
      <c r="T49" s="52" t="e">
        <f>IF(Companies_CAD[[#This Row],[Financial Health]]&lt;"C",1,IF(Companies_CAD[[#This Row],[Financial Health]]&gt;"C",-1,0))</f>
        <v>#N/A</v>
      </c>
      <c r="U49" s="52" t="e">
        <f>IF(Companies_CAD[[#This Row],[PFV]]&lt;PFV_Green,1,IF(Companies_CAD[[#This Row],[PFV]]&gt;PFV_Red,-1,0))</f>
        <v>#N/A</v>
      </c>
    </row>
    <row r="50" spans="2:21" s="52" customFormat="1" ht="25.15" customHeight="1" x14ac:dyDescent="0.25">
      <c r="B50" s="11" t="s">
        <v>518</v>
      </c>
      <c r="C50" s="11" t="e">
        <f>VLOOKUP(Companies_CAD[[#This Row],[Symbol]],ColStart_CAD:ColEnd_CAD,MATCH("Name",Morningstar_Cols_CAD,EXACT_MATCH),EXACT_MATCH)</f>
        <v>#N/A</v>
      </c>
      <c r="D50" s="81" t="e">
        <f>VLOOKUP(Companies_CAD[[#This Row],[Symbol]],ColStart_CAD:ColEnd_CAD,MATCH("$ Current Price",Morningstar_Cols_CAD,EXACT_MATCH),EXACT_MATCH)</f>
        <v>#N/A</v>
      </c>
      <c r="E50" s="84" t="e">
        <f>VLOOKUP(Companies_CAD[[#This Row],[Symbol]],ColStart_CAD:ColEnd_CAD,MATCH("$ Change",Morningstar_Cols_CAD,EXACT_MATCH),EXACT_MATCH)</f>
        <v>#N/A</v>
      </c>
      <c r="F50" s="82" t="e">
        <f>IF(Companies_CAD[[#This Row],[$ Change]]&lt;&gt;0,Companies_CAD[[#This Row],[$ Change]]/(Companies_CAD[[#This Row],[Last Close]]-Companies_CAD[[#This Row],[$ Change]]),0)</f>
        <v>#N/A</v>
      </c>
      <c r="G50" s="11" t="e">
        <f>VLOOKUP(Companies_CAD[[#This Row],[Symbol]],ColStart_CAD:ColEnd_CAD,MATCH("Industry Group",Morningstar_Cols_CAD,EXACT_MATCH),EXACT_MATCH)</f>
        <v>#N/A</v>
      </c>
      <c r="H50" s="114" t="e">
        <f>VLOOKUP(Companies_CAD[[#This Row],[Symbol]],ColStart_CAD:ColEnd_CAD,MATCH("mil$ Market Cap",Morningstar_Cols_CAD,EXACT_MATCH),EXACT_MATCH)</f>
        <v>#N/A</v>
      </c>
      <c r="I50" s="115" t="e">
        <f>VLOOKUP(Companies_CAD[[#This Row],[Symbol]],ColStart_CAD:ColEnd_CAD,MATCH("%  Total Return 3 Month",Morningstar_Cols_CAD,EXACT_MATCH),EXACT_MATCH)/100</f>
        <v>#N/A</v>
      </c>
      <c r="J50" s="115" t="e">
        <f>VLOOKUP(Companies_CAD[[#This Row],[Symbol]],ColStart_CAD:ColEnd_CAD,MATCH("%  Total Return 12 Month",Morningstar_Cols_CAD,EXACT_MATCH),EXACT_MATCH)/100</f>
        <v>#N/A</v>
      </c>
      <c r="K50" s="116" t="e">
        <f>VLOOKUP(Companies_CAD[[#This Row],[Symbol]],ColStart_CAD:ColEnd_CAD,MATCH("Price/ Sales",Morningstar_Cols_CAD,EXACT_MATCH),EXACT_MATCH)</f>
        <v>#N/A</v>
      </c>
      <c r="L50" s="117" t="e">
        <f>VLOOKUP(Companies_CAD[[#This Row],[Symbol]],ColStart_CAD:ColEnd_CAD,MATCH("Price/ Fair Value",Morningstar_Cols_CAD,EXACT_MATCH),EXACT_MATCH)</f>
        <v>#N/A</v>
      </c>
      <c r="M50" s="118" t="e">
        <f>VLOOKUP(Companies_CAD[[#This Row],[Symbol]],ColStart_CAD:ColEnd_CAD,MATCH("Financial  Health Grade",Morningstar_Cols_CAD,EXACT_MATCH),EXACT_MATCH)</f>
        <v>#N/A</v>
      </c>
      <c r="N50" s="107" t="e">
        <f>VLOOKUP(Companies_CAD[[#This Row],[Symbol]],ColStart_CAD:ColEnd_CAD,MATCH("% Dividend Yield TTM",Morningstar_Cols_CAD,EXACT_MATCH),EXACT_MATCH)/100</f>
        <v>#N/A</v>
      </c>
      <c r="O50" s="94" t="e">
        <f>RatingDefault+SUM(Companies_CAD[[#This Row],[3MoPoints]:[PFVPoints]])</f>
        <v>#N/A</v>
      </c>
      <c r="P50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50" s="52" t="e">
        <f>IF(Companies_CAD[[#This Row],[3 Mo. Ret.]]&gt;Return3Mo_Grn,1,IF(Companies_CAD[[#This Row],[3 Mo. Ret.]]&lt;Return3Mo_Red,-1,0))</f>
        <v>#N/A</v>
      </c>
      <c r="R50" s="52" t="e">
        <f>IF(Companies_CAD[[#This Row],[12 Mo. Ret.]]&gt;Return12Mo_Grn,1,IF(Companies_CAD[[#This Row],[12 Mo. Ret.]]&lt;Return12Mo_Red,-1,0))</f>
        <v>#N/A</v>
      </c>
      <c r="S50" s="52" t="e">
        <f>IF(Companies_CAD[[#This Row],[PSR]]&lt;PSR_Green,1,IF(Companies_CAD[[#This Row],[PSR]]&gt;PSR_Red,-1,0))</f>
        <v>#N/A</v>
      </c>
      <c r="T50" s="52" t="e">
        <f>IF(Companies_CAD[[#This Row],[Financial Health]]&lt;"C",1,IF(Companies_CAD[[#This Row],[Financial Health]]&gt;"C",-1,0))</f>
        <v>#N/A</v>
      </c>
      <c r="U50" s="52" t="e">
        <f>IF(Companies_CAD[[#This Row],[PFV]]&lt;PFV_Green,1,IF(Companies_CAD[[#This Row],[PFV]]&gt;PFV_Red,-1,0))</f>
        <v>#N/A</v>
      </c>
    </row>
    <row r="51" spans="2:21" s="52" customFormat="1" ht="25.15" customHeight="1" x14ac:dyDescent="0.25">
      <c r="B51" s="11" t="s">
        <v>520</v>
      </c>
      <c r="C51" s="11" t="e">
        <f>VLOOKUP(Companies_CAD[[#This Row],[Symbol]],ColStart_CAD:ColEnd_CAD,MATCH("Name",Morningstar_Cols_CAD,EXACT_MATCH),EXACT_MATCH)</f>
        <v>#N/A</v>
      </c>
      <c r="D51" s="81" t="e">
        <f>VLOOKUP(Companies_CAD[[#This Row],[Symbol]],ColStart_CAD:ColEnd_CAD,MATCH("$ Current Price",Morningstar_Cols_CAD,EXACT_MATCH),EXACT_MATCH)</f>
        <v>#N/A</v>
      </c>
      <c r="E51" s="84" t="e">
        <f>VLOOKUP(Companies_CAD[[#This Row],[Symbol]],ColStart_CAD:ColEnd_CAD,MATCH("$ Change",Morningstar_Cols_CAD,EXACT_MATCH),EXACT_MATCH)</f>
        <v>#N/A</v>
      </c>
      <c r="F51" s="82" t="e">
        <f>IF(Companies_CAD[[#This Row],[$ Change]]&lt;&gt;0,Companies_CAD[[#This Row],[$ Change]]/(Companies_CAD[[#This Row],[Last Close]]-Companies_CAD[[#This Row],[$ Change]]),0)</f>
        <v>#N/A</v>
      </c>
      <c r="G51" s="11" t="e">
        <f>VLOOKUP(Companies_CAD[[#This Row],[Symbol]],ColStart_CAD:ColEnd_CAD,MATCH("Industry Group",Morningstar_Cols_CAD,EXACT_MATCH),EXACT_MATCH)</f>
        <v>#N/A</v>
      </c>
      <c r="H51" s="114" t="e">
        <f>VLOOKUP(Companies_CAD[[#This Row],[Symbol]],ColStart_CAD:ColEnd_CAD,MATCH("mil$ Market Cap",Morningstar_Cols_CAD,EXACT_MATCH),EXACT_MATCH)</f>
        <v>#N/A</v>
      </c>
      <c r="I51" s="115" t="e">
        <f>VLOOKUP(Companies_CAD[[#This Row],[Symbol]],ColStart_CAD:ColEnd_CAD,MATCH("%  Total Return 3 Month",Morningstar_Cols_CAD,EXACT_MATCH),EXACT_MATCH)/100</f>
        <v>#N/A</v>
      </c>
      <c r="J51" s="115" t="e">
        <f>VLOOKUP(Companies_CAD[[#This Row],[Symbol]],ColStart_CAD:ColEnd_CAD,MATCH("%  Total Return 12 Month",Morningstar_Cols_CAD,EXACT_MATCH),EXACT_MATCH)/100</f>
        <v>#N/A</v>
      </c>
      <c r="K51" s="116" t="e">
        <f>VLOOKUP(Companies_CAD[[#This Row],[Symbol]],ColStart_CAD:ColEnd_CAD,MATCH("Price/ Sales",Morningstar_Cols_CAD,EXACT_MATCH),EXACT_MATCH)</f>
        <v>#N/A</v>
      </c>
      <c r="L51" s="117" t="e">
        <f>VLOOKUP(Companies_CAD[[#This Row],[Symbol]],ColStart_CAD:ColEnd_CAD,MATCH("Price/ Fair Value",Morningstar_Cols_CAD,EXACT_MATCH),EXACT_MATCH)</f>
        <v>#N/A</v>
      </c>
      <c r="M51" s="118" t="e">
        <f>VLOOKUP(Companies_CAD[[#This Row],[Symbol]],ColStart_CAD:ColEnd_CAD,MATCH("Financial  Health Grade",Morningstar_Cols_CAD,EXACT_MATCH),EXACT_MATCH)</f>
        <v>#N/A</v>
      </c>
      <c r="N51" s="107" t="e">
        <f>VLOOKUP(Companies_CAD[[#This Row],[Symbol]],ColStart_CAD:ColEnd_CAD,MATCH("% Dividend Yield TTM",Morningstar_Cols_CAD,EXACT_MATCH),EXACT_MATCH)/100</f>
        <v>#N/A</v>
      </c>
      <c r="O51" s="94" t="e">
        <f>RatingDefault+SUM(Companies_CAD[[#This Row],[3MoPoints]:[PFVPoints]])</f>
        <v>#N/A</v>
      </c>
      <c r="P51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51" s="52" t="e">
        <f>IF(Companies_CAD[[#This Row],[3 Mo. Ret.]]&gt;Return3Mo_Grn,1,IF(Companies_CAD[[#This Row],[3 Mo. Ret.]]&lt;Return3Mo_Red,-1,0))</f>
        <v>#N/A</v>
      </c>
      <c r="R51" s="52" t="e">
        <f>IF(Companies_CAD[[#This Row],[12 Mo. Ret.]]&gt;Return12Mo_Grn,1,IF(Companies_CAD[[#This Row],[12 Mo. Ret.]]&lt;Return12Mo_Red,-1,0))</f>
        <v>#N/A</v>
      </c>
      <c r="S51" s="52" t="e">
        <f>IF(Companies_CAD[[#This Row],[PSR]]&lt;PSR_Green,1,IF(Companies_CAD[[#This Row],[PSR]]&gt;PSR_Red,-1,0))</f>
        <v>#N/A</v>
      </c>
      <c r="T51" s="52" t="e">
        <f>IF(Companies_CAD[[#This Row],[Financial Health]]&lt;"C",1,IF(Companies_CAD[[#This Row],[Financial Health]]&gt;"C",-1,0))</f>
        <v>#N/A</v>
      </c>
      <c r="U51" s="52" t="e">
        <f>IF(Companies_CAD[[#This Row],[PFV]]&lt;PFV_Green,1,IF(Companies_CAD[[#This Row],[PFV]]&gt;PFV_Red,-1,0))</f>
        <v>#N/A</v>
      </c>
    </row>
    <row r="52" spans="2:21" s="52" customFormat="1" ht="25.15" customHeight="1" x14ac:dyDescent="0.25">
      <c r="B52" s="11" t="s">
        <v>467</v>
      </c>
      <c r="C52" s="11" t="e">
        <f>VLOOKUP(Companies_CAD[[#This Row],[Symbol]],ColStart_CAD:ColEnd_CAD,MATCH("Name",Morningstar_Cols_CAD,EXACT_MATCH),EXACT_MATCH)</f>
        <v>#N/A</v>
      </c>
      <c r="D52" s="81" t="e">
        <f>VLOOKUP(Companies_CAD[[#This Row],[Symbol]],ColStart_CAD:ColEnd_CAD,MATCH("$ Current Price",Morningstar_Cols_CAD,EXACT_MATCH),EXACT_MATCH)</f>
        <v>#N/A</v>
      </c>
      <c r="E52" s="84" t="e">
        <f>VLOOKUP(Companies_CAD[[#This Row],[Symbol]],ColStart_CAD:ColEnd_CAD,MATCH("$ Change",Morningstar_Cols_CAD,EXACT_MATCH),EXACT_MATCH)</f>
        <v>#N/A</v>
      </c>
      <c r="F52" s="82" t="e">
        <f>IF(Companies_CAD[[#This Row],[$ Change]]&lt;&gt;0,Companies_CAD[[#This Row],[$ Change]]/(Companies_CAD[[#This Row],[Last Close]]-Companies_CAD[[#This Row],[$ Change]]),0)</f>
        <v>#N/A</v>
      </c>
      <c r="G52" s="11" t="e">
        <f>VLOOKUP(Companies_CAD[[#This Row],[Symbol]],ColStart_CAD:ColEnd_CAD,MATCH("Industry Group",Morningstar_Cols_CAD,EXACT_MATCH),EXACT_MATCH)</f>
        <v>#N/A</v>
      </c>
      <c r="H52" s="114" t="e">
        <f>VLOOKUP(Companies_CAD[[#This Row],[Symbol]],ColStart_CAD:ColEnd_CAD,MATCH("mil$ Market Cap",Morningstar_Cols_CAD,EXACT_MATCH),EXACT_MATCH)</f>
        <v>#N/A</v>
      </c>
      <c r="I52" s="115" t="e">
        <f>VLOOKUP(Companies_CAD[[#This Row],[Symbol]],ColStart_CAD:ColEnd_CAD,MATCH("%  Total Return 3 Month",Morningstar_Cols_CAD,EXACT_MATCH),EXACT_MATCH)/100</f>
        <v>#N/A</v>
      </c>
      <c r="J52" s="115" t="e">
        <f>VLOOKUP(Companies_CAD[[#This Row],[Symbol]],ColStart_CAD:ColEnd_CAD,MATCH("%  Total Return 12 Month",Morningstar_Cols_CAD,EXACT_MATCH),EXACT_MATCH)/100</f>
        <v>#N/A</v>
      </c>
      <c r="K52" s="116" t="e">
        <f>VLOOKUP(Companies_CAD[[#This Row],[Symbol]],ColStart_CAD:ColEnd_CAD,MATCH("Price/ Sales",Morningstar_Cols_CAD,EXACT_MATCH),EXACT_MATCH)</f>
        <v>#N/A</v>
      </c>
      <c r="L52" s="117" t="e">
        <f>VLOOKUP(Companies_CAD[[#This Row],[Symbol]],ColStart_CAD:ColEnd_CAD,MATCH("Price/ Fair Value",Morningstar_Cols_CAD,EXACT_MATCH),EXACT_MATCH)</f>
        <v>#N/A</v>
      </c>
      <c r="M52" s="118" t="e">
        <f>VLOOKUP(Companies_CAD[[#This Row],[Symbol]],ColStart_CAD:ColEnd_CAD,MATCH("Financial  Health Grade",Morningstar_Cols_CAD,EXACT_MATCH),EXACT_MATCH)</f>
        <v>#N/A</v>
      </c>
      <c r="N52" s="107" t="e">
        <f>VLOOKUP(Companies_CAD[[#This Row],[Symbol]],ColStart_CAD:ColEnd_CAD,MATCH("% Dividend Yield TTM",Morningstar_Cols_CAD,EXACT_MATCH),EXACT_MATCH)/100</f>
        <v>#N/A</v>
      </c>
      <c r="O52" s="94" t="e">
        <f>RatingDefault+SUM(Companies_CAD[[#This Row],[3MoPoints]:[PFVPoints]])</f>
        <v>#N/A</v>
      </c>
      <c r="P52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52" s="52" t="e">
        <f>IF(Companies_CAD[[#This Row],[3 Mo. Ret.]]&gt;Return3Mo_Grn,1,IF(Companies_CAD[[#This Row],[3 Mo. Ret.]]&lt;Return3Mo_Red,-1,0))</f>
        <v>#N/A</v>
      </c>
      <c r="R52" s="52" t="e">
        <f>IF(Companies_CAD[[#This Row],[12 Mo. Ret.]]&gt;Return12Mo_Grn,1,IF(Companies_CAD[[#This Row],[12 Mo. Ret.]]&lt;Return12Mo_Red,-1,0))</f>
        <v>#N/A</v>
      </c>
      <c r="S52" s="52" t="e">
        <f>IF(Companies_CAD[[#This Row],[PSR]]&lt;PSR_Green,1,IF(Companies_CAD[[#This Row],[PSR]]&gt;PSR_Red,-1,0))</f>
        <v>#N/A</v>
      </c>
      <c r="T52" s="52" t="e">
        <f>IF(Companies_CAD[[#This Row],[Financial Health]]&lt;"C",1,IF(Companies_CAD[[#This Row],[Financial Health]]&gt;"C",-1,0))</f>
        <v>#N/A</v>
      </c>
      <c r="U52" s="52" t="e">
        <f>IF(Companies_CAD[[#This Row],[PFV]]&lt;PFV_Green,1,IF(Companies_CAD[[#This Row],[PFV]]&gt;PFV_Red,-1,0))</f>
        <v>#N/A</v>
      </c>
    </row>
    <row r="53" spans="2:21" s="52" customFormat="1" ht="25.15" customHeight="1" x14ac:dyDescent="0.25">
      <c r="B53" s="11" t="s">
        <v>519</v>
      </c>
      <c r="C53" s="11" t="e">
        <f>VLOOKUP(Companies_CAD[[#This Row],[Symbol]],ColStart_CAD:ColEnd_CAD,MATCH("Name",Morningstar_Cols_CAD,EXACT_MATCH),EXACT_MATCH)</f>
        <v>#N/A</v>
      </c>
      <c r="D53" s="81" t="e">
        <f>VLOOKUP(Companies_CAD[[#This Row],[Symbol]],ColStart_CAD:ColEnd_CAD,MATCH("$ Current Price",Morningstar_Cols_CAD,EXACT_MATCH),EXACT_MATCH)</f>
        <v>#N/A</v>
      </c>
      <c r="E53" s="84" t="e">
        <f>VLOOKUP(Companies_CAD[[#This Row],[Symbol]],ColStart_CAD:ColEnd_CAD,MATCH("$ Change",Morningstar_Cols_CAD,EXACT_MATCH),EXACT_MATCH)</f>
        <v>#N/A</v>
      </c>
      <c r="F53" s="82" t="e">
        <f>IF(Companies_CAD[[#This Row],[$ Change]]&lt;&gt;0,Companies_CAD[[#This Row],[$ Change]]/(Companies_CAD[[#This Row],[Last Close]]-Companies_CAD[[#This Row],[$ Change]]),0)</f>
        <v>#N/A</v>
      </c>
      <c r="G53" s="11" t="e">
        <f>VLOOKUP(Companies_CAD[[#This Row],[Symbol]],ColStart_CAD:ColEnd_CAD,MATCH("Industry Group",Morningstar_Cols_CAD,EXACT_MATCH),EXACT_MATCH)</f>
        <v>#N/A</v>
      </c>
      <c r="H53" s="114" t="e">
        <f>VLOOKUP(Companies_CAD[[#This Row],[Symbol]],ColStart_CAD:ColEnd_CAD,MATCH("mil$ Market Cap",Morningstar_Cols_CAD,EXACT_MATCH),EXACT_MATCH)</f>
        <v>#N/A</v>
      </c>
      <c r="I53" s="115" t="e">
        <f>VLOOKUP(Companies_CAD[[#This Row],[Symbol]],ColStart_CAD:ColEnd_CAD,MATCH("%  Total Return 3 Month",Morningstar_Cols_CAD,EXACT_MATCH),EXACT_MATCH)/100</f>
        <v>#N/A</v>
      </c>
      <c r="J53" s="115" t="e">
        <f>VLOOKUP(Companies_CAD[[#This Row],[Symbol]],ColStart_CAD:ColEnd_CAD,MATCH("%  Total Return 12 Month",Morningstar_Cols_CAD,EXACT_MATCH),EXACT_MATCH)/100</f>
        <v>#N/A</v>
      </c>
      <c r="K53" s="116" t="e">
        <f>VLOOKUP(Companies_CAD[[#This Row],[Symbol]],ColStart_CAD:ColEnd_CAD,MATCH("Price/ Sales",Morningstar_Cols_CAD,EXACT_MATCH),EXACT_MATCH)</f>
        <v>#N/A</v>
      </c>
      <c r="L53" s="117" t="e">
        <f>VLOOKUP(Companies_CAD[[#This Row],[Symbol]],ColStart_CAD:ColEnd_CAD,MATCH("Price/ Fair Value",Morningstar_Cols_CAD,EXACT_MATCH),EXACT_MATCH)</f>
        <v>#N/A</v>
      </c>
      <c r="M53" s="118" t="e">
        <f>VLOOKUP(Companies_CAD[[#This Row],[Symbol]],ColStart_CAD:ColEnd_CAD,MATCH("Financial  Health Grade",Morningstar_Cols_CAD,EXACT_MATCH),EXACT_MATCH)</f>
        <v>#N/A</v>
      </c>
      <c r="N53" s="107" t="e">
        <f>VLOOKUP(Companies_CAD[[#This Row],[Symbol]],ColStart_CAD:ColEnd_CAD,MATCH("% Dividend Yield TTM",Morningstar_Cols_CAD,EXACT_MATCH),EXACT_MATCH)/100</f>
        <v>#N/A</v>
      </c>
      <c r="O53" s="94" t="e">
        <f>RatingDefault+SUM(Companies_CAD[[#This Row],[3MoPoints]:[PFVPoints]])</f>
        <v>#N/A</v>
      </c>
      <c r="P53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53" s="52" t="e">
        <f>IF(Companies_CAD[[#This Row],[3 Mo. Ret.]]&gt;Return3Mo_Grn,1,IF(Companies_CAD[[#This Row],[3 Mo. Ret.]]&lt;Return3Mo_Red,-1,0))</f>
        <v>#N/A</v>
      </c>
      <c r="R53" s="52" t="e">
        <f>IF(Companies_CAD[[#This Row],[12 Mo. Ret.]]&gt;Return12Mo_Grn,1,IF(Companies_CAD[[#This Row],[12 Mo. Ret.]]&lt;Return12Mo_Red,-1,0))</f>
        <v>#N/A</v>
      </c>
      <c r="S53" s="52" t="e">
        <f>IF(Companies_CAD[[#This Row],[PSR]]&lt;PSR_Green,1,IF(Companies_CAD[[#This Row],[PSR]]&gt;PSR_Red,-1,0))</f>
        <v>#N/A</v>
      </c>
      <c r="T53" s="52" t="e">
        <f>IF(Companies_CAD[[#This Row],[Financial Health]]&lt;"C",1,IF(Companies_CAD[[#This Row],[Financial Health]]&gt;"C",-1,0))</f>
        <v>#N/A</v>
      </c>
      <c r="U53" s="52" t="e">
        <f>IF(Companies_CAD[[#This Row],[PFV]]&lt;PFV_Green,1,IF(Companies_CAD[[#This Row],[PFV]]&gt;PFV_Red,-1,0))</f>
        <v>#N/A</v>
      </c>
    </row>
    <row r="54" spans="2:21" s="52" customFormat="1" ht="25.15" customHeight="1" x14ac:dyDescent="0.25">
      <c r="B54" s="11" t="s">
        <v>496</v>
      </c>
      <c r="C54" s="11" t="e">
        <f>VLOOKUP(Companies_CAD[[#This Row],[Symbol]],ColStart_CAD:ColEnd_CAD,MATCH("Name",Morningstar_Cols_CAD,EXACT_MATCH),EXACT_MATCH)</f>
        <v>#N/A</v>
      </c>
      <c r="D54" s="81" t="e">
        <f>VLOOKUP(Companies_CAD[[#This Row],[Symbol]],ColStart_CAD:ColEnd_CAD,MATCH("$ Current Price",Morningstar_Cols_CAD,EXACT_MATCH),EXACT_MATCH)</f>
        <v>#N/A</v>
      </c>
      <c r="E54" s="84" t="e">
        <f>VLOOKUP(Companies_CAD[[#This Row],[Symbol]],ColStart_CAD:ColEnd_CAD,MATCH("$ Change",Morningstar_Cols_CAD,EXACT_MATCH),EXACT_MATCH)</f>
        <v>#N/A</v>
      </c>
      <c r="F54" s="82" t="e">
        <f>IF(Companies_CAD[[#This Row],[$ Change]]&lt;&gt;0,Companies_CAD[[#This Row],[$ Change]]/(Companies_CAD[[#This Row],[Last Close]]-Companies_CAD[[#This Row],[$ Change]]),0)</f>
        <v>#N/A</v>
      </c>
      <c r="G54" s="11" t="e">
        <f>VLOOKUP(Companies_CAD[[#This Row],[Symbol]],ColStart_CAD:ColEnd_CAD,MATCH("Industry Group",Morningstar_Cols_CAD,EXACT_MATCH),EXACT_MATCH)</f>
        <v>#N/A</v>
      </c>
      <c r="H54" s="114" t="e">
        <f>VLOOKUP(Companies_CAD[[#This Row],[Symbol]],ColStart_CAD:ColEnd_CAD,MATCH("mil$ Market Cap",Morningstar_Cols_CAD,EXACT_MATCH),EXACT_MATCH)</f>
        <v>#N/A</v>
      </c>
      <c r="I54" s="115" t="e">
        <f>VLOOKUP(Companies_CAD[[#This Row],[Symbol]],ColStart_CAD:ColEnd_CAD,MATCH("%  Total Return 3 Month",Morningstar_Cols_CAD,EXACT_MATCH),EXACT_MATCH)/100</f>
        <v>#N/A</v>
      </c>
      <c r="J54" s="115" t="e">
        <f>VLOOKUP(Companies_CAD[[#This Row],[Symbol]],ColStart_CAD:ColEnd_CAD,MATCH("%  Total Return 12 Month",Morningstar_Cols_CAD,EXACT_MATCH),EXACT_MATCH)/100</f>
        <v>#N/A</v>
      </c>
      <c r="K54" s="116" t="e">
        <f>VLOOKUP(Companies_CAD[[#This Row],[Symbol]],ColStart_CAD:ColEnd_CAD,MATCH("Price/ Sales",Morningstar_Cols_CAD,EXACT_MATCH),EXACT_MATCH)</f>
        <v>#N/A</v>
      </c>
      <c r="L54" s="117" t="e">
        <f>VLOOKUP(Companies_CAD[[#This Row],[Symbol]],ColStart_CAD:ColEnd_CAD,MATCH("Price/ Fair Value",Morningstar_Cols_CAD,EXACT_MATCH),EXACT_MATCH)</f>
        <v>#N/A</v>
      </c>
      <c r="M54" s="118" t="e">
        <f>VLOOKUP(Companies_CAD[[#This Row],[Symbol]],ColStart_CAD:ColEnd_CAD,MATCH("Financial  Health Grade",Morningstar_Cols_CAD,EXACT_MATCH),EXACT_MATCH)</f>
        <v>#N/A</v>
      </c>
      <c r="N54" s="107" t="e">
        <f>VLOOKUP(Companies_CAD[[#This Row],[Symbol]],ColStart_CAD:ColEnd_CAD,MATCH("% Dividend Yield TTM",Morningstar_Cols_CAD,EXACT_MATCH),EXACT_MATCH)/100</f>
        <v>#N/A</v>
      </c>
      <c r="O54" s="94" t="e">
        <f>RatingDefault+SUM(Companies_CAD[[#This Row],[3MoPoints]:[PFVPoints]])</f>
        <v>#N/A</v>
      </c>
      <c r="P54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54" s="52" t="e">
        <f>IF(Companies_CAD[[#This Row],[3 Mo. Ret.]]&gt;Return3Mo_Grn,1,IF(Companies_CAD[[#This Row],[3 Mo. Ret.]]&lt;Return3Mo_Red,-1,0))</f>
        <v>#N/A</v>
      </c>
      <c r="R54" s="52" t="e">
        <f>IF(Companies_CAD[[#This Row],[12 Mo. Ret.]]&gt;Return12Mo_Grn,1,IF(Companies_CAD[[#This Row],[12 Mo. Ret.]]&lt;Return12Mo_Red,-1,0))</f>
        <v>#N/A</v>
      </c>
      <c r="S54" s="52" t="e">
        <f>IF(Companies_CAD[[#This Row],[PSR]]&lt;PSR_Green,1,IF(Companies_CAD[[#This Row],[PSR]]&gt;PSR_Red,-1,0))</f>
        <v>#N/A</v>
      </c>
      <c r="T54" s="52" t="e">
        <f>IF(Companies_CAD[[#This Row],[Financial Health]]&lt;"C",1,IF(Companies_CAD[[#This Row],[Financial Health]]&gt;"C",-1,0))</f>
        <v>#N/A</v>
      </c>
      <c r="U54" s="52" t="e">
        <f>IF(Companies_CAD[[#This Row],[PFV]]&lt;PFV_Green,1,IF(Companies_CAD[[#This Row],[PFV]]&gt;PFV_Red,-1,0))</f>
        <v>#N/A</v>
      </c>
    </row>
    <row r="55" spans="2:21" s="52" customFormat="1" ht="25.15" customHeight="1" x14ac:dyDescent="0.25">
      <c r="B55" s="11" t="s">
        <v>526</v>
      </c>
      <c r="C55" s="11" t="e">
        <f>VLOOKUP(Companies_CAD[[#This Row],[Symbol]],ColStart_CAD:ColEnd_CAD,MATCH("Name",Morningstar_Cols_CAD,EXACT_MATCH),EXACT_MATCH)</f>
        <v>#N/A</v>
      </c>
      <c r="D55" s="81" t="e">
        <f>VLOOKUP(Companies_CAD[[#This Row],[Symbol]],ColStart_CAD:ColEnd_CAD,MATCH("$ Current Price",Morningstar_Cols_CAD,EXACT_MATCH),EXACT_MATCH)</f>
        <v>#N/A</v>
      </c>
      <c r="E55" s="84" t="e">
        <f>VLOOKUP(Companies_CAD[[#This Row],[Symbol]],ColStart_CAD:ColEnd_CAD,MATCH("$ Change",Morningstar_Cols_CAD,EXACT_MATCH),EXACT_MATCH)</f>
        <v>#N/A</v>
      </c>
      <c r="F55" s="82" t="e">
        <f>IF(Companies_CAD[[#This Row],[$ Change]]&lt;&gt;0,Companies_CAD[[#This Row],[$ Change]]/(Companies_CAD[[#This Row],[Last Close]]-Companies_CAD[[#This Row],[$ Change]]),0)</f>
        <v>#N/A</v>
      </c>
      <c r="G55" s="11" t="e">
        <f>VLOOKUP(Companies_CAD[[#This Row],[Symbol]],ColStart_CAD:ColEnd_CAD,MATCH("Industry Group",Morningstar_Cols_CAD,EXACT_MATCH),EXACT_MATCH)</f>
        <v>#N/A</v>
      </c>
      <c r="H55" s="114" t="e">
        <f>VLOOKUP(Companies_CAD[[#This Row],[Symbol]],ColStart_CAD:ColEnd_CAD,MATCH("mil$ Market Cap",Morningstar_Cols_CAD,EXACT_MATCH),EXACT_MATCH)</f>
        <v>#N/A</v>
      </c>
      <c r="I55" s="115" t="e">
        <f>VLOOKUP(Companies_CAD[[#This Row],[Symbol]],ColStart_CAD:ColEnd_CAD,MATCH("%  Total Return 3 Month",Morningstar_Cols_CAD,EXACT_MATCH),EXACT_MATCH)/100</f>
        <v>#N/A</v>
      </c>
      <c r="J55" s="115" t="e">
        <f>VLOOKUP(Companies_CAD[[#This Row],[Symbol]],ColStart_CAD:ColEnd_CAD,MATCH("%  Total Return 12 Month",Morningstar_Cols_CAD,EXACT_MATCH),EXACT_MATCH)/100</f>
        <v>#N/A</v>
      </c>
      <c r="K55" s="116" t="e">
        <f>VLOOKUP(Companies_CAD[[#This Row],[Symbol]],ColStart_CAD:ColEnd_CAD,MATCH("Price/ Sales",Morningstar_Cols_CAD,EXACT_MATCH),EXACT_MATCH)</f>
        <v>#N/A</v>
      </c>
      <c r="L55" s="117" t="e">
        <f>VLOOKUP(Companies_CAD[[#This Row],[Symbol]],ColStart_CAD:ColEnd_CAD,MATCH("Price/ Fair Value",Morningstar_Cols_CAD,EXACT_MATCH),EXACT_MATCH)</f>
        <v>#N/A</v>
      </c>
      <c r="M55" s="118" t="e">
        <f>VLOOKUP(Companies_CAD[[#This Row],[Symbol]],ColStart_CAD:ColEnd_CAD,MATCH("Financial  Health Grade",Morningstar_Cols_CAD,EXACT_MATCH),EXACT_MATCH)</f>
        <v>#N/A</v>
      </c>
      <c r="N55" s="107" t="e">
        <f>VLOOKUP(Companies_CAD[[#This Row],[Symbol]],ColStart_CAD:ColEnd_CAD,MATCH("% Dividend Yield TTM",Morningstar_Cols_CAD,EXACT_MATCH),EXACT_MATCH)/100</f>
        <v>#N/A</v>
      </c>
      <c r="O55" s="94" t="e">
        <f>RatingDefault+SUM(Companies_CAD[[#This Row],[3MoPoints]:[PFVPoints]])</f>
        <v>#N/A</v>
      </c>
      <c r="P55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55" s="52" t="e">
        <f>IF(Companies_CAD[[#This Row],[3 Mo. Ret.]]&gt;Return3Mo_Grn,1,IF(Companies_CAD[[#This Row],[3 Mo. Ret.]]&lt;Return3Mo_Red,-1,0))</f>
        <v>#N/A</v>
      </c>
      <c r="R55" s="52" t="e">
        <f>IF(Companies_CAD[[#This Row],[12 Mo. Ret.]]&gt;Return12Mo_Grn,1,IF(Companies_CAD[[#This Row],[12 Mo. Ret.]]&lt;Return12Mo_Red,-1,0))</f>
        <v>#N/A</v>
      </c>
      <c r="S55" s="52" t="e">
        <f>IF(Companies_CAD[[#This Row],[PSR]]&lt;PSR_Green,1,IF(Companies_CAD[[#This Row],[PSR]]&gt;PSR_Red,-1,0))</f>
        <v>#N/A</v>
      </c>
      <c r="T55" s="52" t="e">
        <f>IF(Companies_CAD[[#This Row],[Financial Health]]&lt;"C",1,IF(Companies_CAD[[#This Row],[Financial Health]]&gt;"C",-1,0))</f>
        <v>#N/A</v>
      </c>
      <c r="U55" s="52" t="e">
        <f>IF(Companies_CAD[[#This Row],[PFV]]&lt;PFV_Green,1,IF(Companies_CAD[[#This Row],[PFV]]&gt;PFV_Red,-1,0))</f>
        <v>#N/A</v>
      </c>
    </row>
    <row r="56" spans="2:21" s="52" customFormat="1" ht="25.15" customHeight="1" x14ac:dyDescent="0.25">
      <c r="B56" s="11" t="s">
        <v>523</v>
      </c>
      <c r="C56" s="11" t="e">
        <f>VLOOKUP(Companies_CAD[[#This Row],[Symbol]],ColStart_CAD:ColEnd_CAD,MATCH("Name",Morningstar_Cols_CAD,EXACT_MATCH),EXACT_MATCH)</f>
        <v>#N/A</v>
      </c>
      <c r="D56" s="81" t="e">
        <f>VLOOKUP(Companies_CAD[[#This Row],[Symbol]],ColStart_CAD:ColEnd_CAD,MATCH("$ Current Price",Morningstar_Cols_CAD,EXACT_MATCH),EXACT_MATCH)</f>
        <v>#N/A</v>
      </c>
      <c r="E56" s="84" t="e">
        <f>VLOOKUP(Companies_CAD[[#This Row],[Symbol]],ColStart_CAD:ColEnd_CAD,MATCH("$ Change",Morningstar_Cols_CAD,EXACT_MATCH),EXACT_MATCH)</f>
        <v>#N/A</v>
      </c>
      <c r="F56" s="82" t="e">
        <f>IF(Companies_CAD[[#This Row],[$ Change]]&lt;&gt;0,Companies_CAD[[#This Row],[$ Change]]/(Companies_CAD[[#This Row],[Last Close]]-Companies_CAD[[#This Row],[$ Change]]),0)</f>
        <v>#N/A</v>
      </c>
      <c r="G56" s="11" t="e">
        <f>VLOOKUP(Companies_CAD[[#This Row],[Symbol]],ColStart_CAD:ColEnd_CAD,MATCH("Industry Group",Morningstar_Cols_CAD,EXACT_MATCH),EXACT_MATCH)</f>
        <v>#N/A</v>
      </c>
      <c r="H56" s="114" t="e">
        <f>VLOOKUP(Companies_CAD[[#This Row],[Symbol]],ColStart_CAD:ColEnd_CAD,MATCH("mil$ Market Cap",Morningstar_Cols_CAD,EXACT_MATCH),EXACT_MATCH)</f>
        <v>#N/A</v>
      </c>
      <c r="I56" s="115" t="e">
        <f>VLOOKUP(Companies_CAD[[#This Row],[Symbol]],ColStart_CAD:ColEnd_CAD,MATCH("%  Total Return 3 Month",Morningstar_Cols_CAD,EXACT_MATCH),EXACT_MATCH)/100</f>
        <v>#N/A</v>
      </c>
      <c r="J56" s="115" t="e">
        <f>VLOOKUP(Companies_CAD[[#This Row],[Symbol]],ColStart_CAD:ColEnd_CAD,MATCH("%  Total Return 12 Month",Morningstar_Cols_CAD,EXACT_MATCH),EXACT_MATCH)/100</f>
        <v>#N/A</v>
      </c>
      <c r="K56" s="116" t="e">
        <f>VLOOKUP(Companies_CAD[[#This Row],[Symbol]],ColStart_CAD:ColEnd_CAD,MATCH("Price/ Sales",Morningstar_Cols_CAD,EXACT_MATCH),EXACT_MATCH)</f>
        <v>#N/A</v>
      </c>
      <c r="L56" s="117" t="e">
        <f>VLOOKUP(Companies_CAD[[#This Row],[Symbol]],ColStart_CAD:ColEnd_CAD,MATCH("Price/ Fair Value",Morningstar_Cols_CAD,EXACT_MATCH),EXACT_MATCH)</f>
        <v>#N/A</v>
      </c>
      <c r="M56" s="118" t="e">
        <f>VLOOKUP(Companies_CAD[[#This Row],[Symbol]],ColStart_CAD:ColEnd_CAD,MATCH("Financial  Health Grade",Morningstar_Cols_CAD,EXACT_MATCH),EXACT_MATCH)</f>
        <v>#N/A</v>
      </c>
      <c r="N56" s="107" t="e">
        <f>VLOOKUP(Companies_CAD[[#This Row],[Symbol]],ColStart_CAD:ColEnd_CAD,MATCH("% Dividend Yield TTM",Morningstar_Cols_CAD,EXACT_MATCH),EXACT_MATCH)/100</f>
        <v>#N/A</v>
      </c>
      <c r="O56" s="94" t="e">
        <f>RatingDefault+SUM(Companies_CAD[[#This Row],[3MoPoints]:[PFVPoints]])</f>
        <v>#N/A</v>
      </c>
      <c r="P56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56" s="52" t="e">
        <f>IF(Companies_CAD[[#This Row],[3 Mo. Ret.]]&gt;Return3Mo_Grn,1,IF(Companies_CAD[[#This Row],[3 Mo. Ret.]]&lt;Return3Mo_Red,-1,0))</f>
        <v>#N/A</v>
      </c>
      <c r="R56" s="52" t="e">
        <f>IF(Companies_CAD[[#This Row],[12 Mo. Ret.]]&gt;Return12Mo_Grn,1,IF(Companies_CAD[[#This Row],[12 Mo. Ret.]]&lt;Return12Mo_Red,-1,0))</f>
        <v>#N/A</v>
      </c>
      <c r="S56" s="52" t="e">
        <f>IF(Companies_CAD[[#This Row],[PSR]]&lt;PSR_Green,1,IF(Companies_CAD[[#This Row],[PSR]]&gt;PSR_Red,-1,0))</f>
        <v>#N/A</v>
      </c>
      <c r="T56" s="52" t="e">
        <f>IF(Companies_CAD[[#This Row],[Financial Health]]&lt;"C",1,IF(Companies_CAD[[#This Row],[Financial Health]]&gt;"C",-1,0))</f>
        <v>#N/A</v>
      </c>
      <c r="U56" s="52" t="e">
        <f>IF(Companies_CAD[[#This Row],[PFV]]&lt;PFV_Green,1,IF(Companies_CAD[[#This Row],[PFV]]&gt;PFV_Red,-1,0))</f>
        <v>#N/A</v>
      </c>
    </row>
    <row r="57" spans="2:21" s="52" customFormat="1" ht="25.15" customHeight="1" x14ac:dyDescent="0.25">
      <c r="B57" s="11" t="s">
        <v>521</v>
      </c>
      <c r="C57" s="11" t="e">
        <f>VLOOKUP(Companies_CAD[[#This Row],[Symbol]],ColStart_CAD:ColEnd_CAD,MATCH("Name",Morningstar_Cols_CAD,EXACT_MATCH),EXACT_MATCH)</f>
        <v>#N/A</v>
      </c>
      <c r="D57" s="81" t="e">
        <f>VLOOKUP(Companies_CAD[[#This Row],[Symbol]],ColStart_CAD:ColEnd_CAD,MATCH("$ Current Price",Morningstar_Cols_CAD,EXACT_MATCH),EXACT_MATCH)</f>
        <v>#N/A</v>
      </c>
      <c r="E57" s="84" t="e">
        <f>VLOOKUP(Companies_CAD[[#This Row],[Symbol]],ColStart_CAD:ColEnd_CAD,MATCH("$ Change",Morningstar_Cols_CAD,EXACT_MATCH),EXACT_MATCH)</f>
        <v>#N/A</v>
      </c>
      <c r="F57" s="82" t="e">
        <f>IF(Companies_CAD[[#This Row],[$ Change]]&lt;&gt;0,Companies_CAD[[#This Row],[$ Change]]/(Companies_CAD[[#This Row],[Last Close]]-Companies_CAD[[#This Row],[$ Change]]),0)</f>
        <v>#N/A</v>
      </c>
      <c r="G57" s="11" t="e">
        <f>VLOOKUP(Companies_CAD[[#This Row],[Symbol]],ColStart_CAD:ColEnd_CAD,MATCH("Industry Group",Morningstar_Cols_CAD,EXACT_MATCH),EXACT_MATCH)</f>
        <v>#N/A</v>
      </c>
      <c r="H57" s="114" t="e">
        <f>VLOOKUP(Companies_CAD[[#This Row],[Symbol]],ColStart_CAD:ColEnd_CAD,MATCH("mil$ Market Cap",Morningstar_Cols_CAD,EXACT_MATCH),EXACT_MATCH)</f>
        <v>#N/A</v>
      </c>
      <c r="I57" s="115" t="e">
        <f>VLOOKUP(Companies_CAD[[#This Row],[Symbol]],ColStart_CAD:ColEnd_CAD,MATCH("%  Total Return 3 Month",Morningstar_Cols_CAD,EXACT_MATCH),EXACT_MATCH)/100</f>
        <v>#N/A</v>
      </c>
      <c r="J57" s="115" t="e">
        <f>VLOOKUP(Companies_CAD[[#This Row],[Symbol]],ColStart_CAD:ColEnd_CAD,MATCH("%  Total Return 12 Month",Morningstar_Cols_CAD,EXACT_MATCH),EXACT_MATCH)/100</f>
        <v>#N/A</v>
      </c>
      <c r="K57" s="116" t="e">
        <f>VLOOKUP(Companies_CAD[[#This Row],[Symbol]],ColStart_CAD:ColEnd_CAD,MATCH("Price/ Sales",Morningstar_Cols_CAD,EXACT_MATCH),EXACT_MATCH)</f>
        <v>#N/A</v>
      </c>
      <c r="L57" s="117" t="e">
        <f>VLOOKUP(Companies_CAD[[#This Row],[Symbol]],ColStart_CAD:ColEnd_CAD,MATCH("Price/ Fair Value",Morningstar_Cols_CAD,EXACT_MATCH),EXACT_MATCH)</f>
        <v>#N/A</v>
      </c>
      <c r="M57" s="118" t="e">
        <f>VLOOKUP(Companies_CAD[[#This Row],[Symbol]],ColStart_CAD:ColEnd_CAD,MATCH("Financial  Health Grade",Morningstar_Cols_CAD,EXACT_MATCH),EXACT_MATCH)</f>
        <v>#N/A</v>
      </c>
      <c r="N57" s="107" t="e">
        <f>VLOOKUP(Companies_CAD[[#This Row],[Symbol]],ColStart_CAD:ColEnd_CAD,MATCH("% Dividend Yield TTM",Morningstar_Cols_CAD,EXACT_MATCH),EXACT_MATCH)/100</f>
        <v>#N/A</v>
      </c>
      <c r="O57" s="94" t="e">
        <f>RatingDefault+SUM(Companies_CAD[[#This Row],[3MoPoints]:[PFVPoints]])</f>
        <v>#N/A</v>
      </c>
      <c r="P57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57" s="52" t="e">
        <f>IF(Companies_CAD[[#This Row],[3 Mo. Ret.]]&gt;Return3Mo_Grn,1,IF(Companies_CAD[[#This Row],[3 Mo. Ret.]]&lt;Return3Mo_Red,-1,0))</f>
        <v>#N/A</v>
      </c>
      <c r="R57" s="52" t="e">
        <f>IF(Companies_CAD[[#This Row],[12 Mo. Ret.]]&gt;Return12Mo_Grn,1,IF(Companies_CAD[[#This Row],[12 Mo. Ret.]]&lt;Return12Mo_Red,-1,0))</f>
        <v>#N/A</v>
      </c>
      <c r="S57" s="52" t="e">
        <f>IF(Companies_CAD[[#This Row],[PSR]]&lt;PSR_Green,1,IF(Companies_CAD[[#This Row],[PSR]]&gt;PSR_Red,-1,0))</f>
        <v>#N/A</v>
      </c>
      <c r="T57" s="52" t="e">
        <f>IF(Companies_CAD[[#This Row],[Financial Health]]&lt;"C",1,IF(Companies_CAD[[#This Row],[Financial Health]]&gt;"C",-1,0))</f>
        <v>#N/A</v>
      </c>
      <c r="U57" s="52" t="e">
        <f>IF(Companies_CAD[[#This Row],[PFV]]&lt;PFV_Green,1,IF(Companies_CAD[[#This Row],[PFV]]&gt;PFV_Red,-1,0))</f>
        <v>#N/A</v>
      </c>
    </row>
    <row r="58" spans="2:21" s="52" customFormat="1" ht="25.15" customHeight="1" x14ac:dyDescent="0.25">
      <c r="B58" s="11" t="s">
        <v>525</v>
      </c>
      <c r="C58" s="11" t="e">
        <f>VLOOKUP(Companies_CAD[[#This Row],[Symbol]],ColStart_CAD:ColEnd_CAD,MATCH("Name",Morningstar_Cols_CAD,EXACT_MATCH),EXACT_MATCH)</f>
        <v>#N/A</v>
      </c>
      <c r="D58" s="81" t="e">
        <f>VLOOKUP(Companies_CAD[[#This Row],[Symbol]],ColStart_CAD:ColEnd_CAD,MATCH("$ Current Price",Morningstar_Cols_CAD,EXACT_MATCH),EXACT_MATCH)</f>
        <v>#N/A</v>
      </c>
      <c r="E58" s="84" t="e">
        <f>VLOOKUP(Companies_CAD[[#This Row],[Symbol]],ColStart_CAD:ColEnd_CAD,MATCH("$ Change",Morningstar_Cols_CAD,EXACT_MATCH),EXACT_MATCH)</f>
        <v>#N/A</v>
      </c>
      <c r="F58" s="82" t="e">
        <f>IF(Companies_CAD[[#This Row],[$ Change]]&lt;&gt;0,Companies_CAD[[#This Row],[$ Change]]/(Companies_CAD[[#This Row],[Last Close]]-Companies_CAD[[#This Row],[$ Change]]),0)</f>
        <v>#N/A</v>
      </c>
      <c r="G58" s="11" t="e">
        <f>VLOOKUP(Companies_CAD[[#This Row],[Symbol]],ColStart_CAD:ColEnd_CAD,MATCH("Industry Group",Morningstar_Cols_CAD,EXACT_MATCH),EXACT_MATCH)</f>
        <v>#N/A</v>
      </c>
      <c r="H58" s="114" t="e">
        <f>VLOOKUP(Companies_CAD[[#This Row],[Symbol]],ColStart_CAD:ColEnd_CAD,MATCH("mil$ Market Cap",Morningstar_Cols_CAD,EXACT_MATCH),EXACT_MATCH)</f>
        <v>#N/A</v>
      </c>
      <c r="I58" s="115" t="e">
        <f>VLOOKUP(Companies_CAD[[#This Row],[Symbol]],ColStart_CAD:ColEnd_CAD,MATCH("%  Total Return 3 Month",Morningstar_Cols_CAD,EXACT_MATCH),EXACT_MATCH)/100</f>
        <v>#N/A</v>
      </c>
      <c r="J58" s="115" t="e">
        <f>VLOOKUP(Companies_CAD[[#This Row],[Symbol]],ColStart_CAD:ColEnd_CAD,MATCH("%  Total Return 12 Month",Morningstar_Cols_CAD,EXACT_MATCH),EXACT_MATCH)/100</f>
        <v>#N/A</v>
      </c>
      <c r="K58" s="116" t="e">
        <f>VLOOKUP(Companies_CAD[[#This Row],[Symbol]],ColStart_CAD:ColEnd_CAD,MATCH("Price/ Sales",Morningstar_Cols_CAD,EXACT_MATCH),EXACT_MATCH)</f>
        <v>#N/A</v>
      </c>
      <c r="L58" s="117" t="e">
        <f>VLOOKUP(Companies_CAD[[#This Row],[Symbol]],ColStart_CAD:ColEnd_CAD,MATCH("Price/ Fair Value",Morningstar_Cols_CAD,EXACT_MATCH),EXACT_MATCH)</f>
        <v>#N/A</v>
      </c>
      <c r="M58" s="118" t="e">
        <f>VLOOKUP(Companies_CAD[[#This Row],[Symbol]],ColStart_CAD:ColEnd_CAD,MATCH("Financial  Health Grade",Morningstar_Cols_CAD,EXACT_MATCH),EXACT_MATCH)</f>
        <v>#N/A</v>
      </c>
      <c r="N58" s="107" t="e">
        <f>VLOOKUP(Companies_CAD[[#This Row],[Symbol]],ColStart_CAD:ColEnd_CAD,MATCH("% Dividend Yield TTM",Morningstar_Cols_CAD,EXACT_MATCH),EXACT_MATCH)/100</f>
        <v>#N/A</v>
      </c>
      <c r="O58" s="94" t="e">
        <f>RatingDefault+SUM(Companies_CAD[[#This Row],[3MoPoints]:[PFVPoints]])</f>
        <v>#N/A</v>
      </c>
      <c r="P58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58" s="52" t="e">
        <f>IF(Companies_CAD[[#This Row],[3 Mo. Ret.]]&gt;Return3Mo_Grn,1,IF(Companies_CAD[[#This Row],[3 Mo. Ret.]]&lt;Return3Mo_Red,-1,0))</f>
        <v>#N/A</v>
      </c>
      <c r="R58" s="52" t="e">
        <f>IF(Companies_CAD[[#This Row],[12 Mo. Ret.]]&gt;Return12Mo_Grn,1,IF(Companies_CAD[[#This Row],[12 Mo. Ret.]]&lt;Return12Mo_Red,-1,0))</f>
        <v>#N/A</v>
      </c>
      <c r="S58" s="52" t="e">
        <f>IF(Companies_CAD[[#This Row],[PSR]]&lt;PSR_Green,1,IF(Companies_CAD[[#This Row],[PSR]]&gt;PSR_Red,-1,0))</f>
        <v>#N/A</v>
      </c>
      <c r="T58" s="52" t="e">
        <f>IF(Companies_CAD[[#This Row],[Financial Health]]&lt;"C",1,IF(Companies_CAD[[#This Row],[Financial Health]]&gt;"C",-1,0))</f>
        <v>#N/A</v>
      </c>
      <c r="U58" s="52" t="e">
        <f>IF(Companies_CAD[[#This Row],[PFV]]&lt;PFV_Green,1,IF(Companies_CAD[[#This Row],[PFV]]&gt;PFV_Red,-1,0))</f>
        <v>#N/A</v>
      </c>
    </row>
    <row r="59" spans="2:21" s="52" customFormat="1" ht="25.15" customHeight="1" x14ac:dyDescent="0.25">
      <c r="B59" s="11" t="s">
        <v>522</v>
      </c>
      <c r="C59" s="11" t="e">
        <f>VLOOKUP(Companies_CAD[[#This Row],[Symbol]],ColStart_CAD:ColEnd_CAD,MATCH("Name",Morningstar_Cols_CAD,EXACT_MATCH),EXACT_MATCH)</f>
        <v>#N/A</v>
      </c>
      <c r="D59" s="81" t="e">
        <f>VLOOKUP(Companies_CAD[[#This Row],[Symbol]],ColStart_CAD:ColEnd_CAD,MATCH("$ Current Price",Morningstar_Cols_CAD,EXACT_MATCH),EXACT_MATCH)</f>
        <v>#N/A</v>
      </c>
      <c r="E59" s="84" t="e">
        <f>VLOOKUP(Companies_CAD[[#This Row],[Symbol]],ColStart_CAD:ColEnd_CAD,MATCH("$ Change",Morningstar_Cols_CAD,EXACT_MATCH),EXACT_MATCH)</f>
        <v>#N/A</v>
      </c>
      <c r="F59" s="82" t="e">
        <f>IF(Companies_CAD[[#This Row],[$ Change]]&lt;&gt;0,Companies_CAD[[#This Row],[$ Change]]/(Companies_CAD[[#This Row],[Last Close]]-Companies_CAD[[#This Row],[$ Change]]),0)</f>
        <v>#N/A</v>
      </c>
      <c r="G59" s="11" t="e">
        <f>VLOOKUP(Companies_CAD[[#This Row],[Symbol]],ColStart_CAD:ColEnd_CAD,MATCH("Industry Group",Morningstar_Cols_CAD,EXACT_MATCH),EXACT_MATCH)</f>
        <v>#N/A</v>
      </c>
      <c r="H59" s="114" t="e">
        <f>VLOOKUP(Companies_CAD[[#This Row],[Symbol]],ColStart_CAD:ColEnd_CAD,MATCH("mil$ Market Cap",Morningstar_Cols_CAD,EXACT_MATCH),EXACT_MATCH)</f>
        <v>#N/A</v>
      </c>
      <c r="I59" s="115" t="e">
        <f>VLOOKUP(Companies_CAD[[#This Row],[Symbol]],ColStart_CAD:ColEnd_CAD,MATCH("%  Total Return 3 Month",Morningstar_Cols_CAD,EXACT_MATCH),EXACT_MATCH)/100</f>
        <v>#N/A</v>
      </c>
      <c r="J59" s="115" t="e">
        <f>VLOOKUP(Companies_CAD[[#This Row],[Symbol]],ColStart_CAD:ColEnd_CAD,MATCH("%  Total Return 12 Month",Morningstar_Cols_CAD,EXACT_MATCH),EXACT_MATCH)/100</f>
        <v>#N/A</v>
      </c>
      <c r="K59" s="116" t="e">
        <f>VLOOKUP(Companies_CAD[[#This Row],[Symbol]],ColStart_CAD:ColEnd_CAD,MATCH("Price/ Sales",Morningstar_Cols_CAD,EXACT_MATCH),EXACT_MATCH)</f>
        <v>#N/A</v>
      </c>
      <c r="L59" s="117" t="e">
        <f>VLOOKUP(Companies_CAD[[#This Row],[Symbol]],ColStart_CAD:ColEnd_CAD,MATCH("Price/ Fair Value",Morningstar_Cols_CAD,EXACT_MATCH),EXACT_MATCH)</f>
        <v>#N/A</v>
      </c>
      <c r="M59" s="118" t="e">
        <f>VLOOKUP(Companies_CAD[[#This Row],[Symbol]],ColStart_CAD:ColEnd_CAD,MATCH("Financial  Health Grade",Morningstar_Cols_CAD,EXACT_MATCH),EXACT_MATCH)</f>
        <v>#N/A</v>
      </c>
      <c r="N59" s="107" t="e">
        <f>VLOOKUP(Companies_CAD[[#This Row],[Symbol]],ColStart_CAD:ColEnd_CAD,MATCH("% Dividend Yield TTM",Morningstar_Cols_CAD,EXACT_MATCH),EXACT_MATCH)/100</f>
        <v>#N/A</v>
      </c>
      <c r="O59" s="94" t="e">
        <f>RatingDefault+SUM(Companies_CAD[[#This Row],[3MoPoints]:[PFVPoints]])</f>
        <v>#N/A</v>
      </c>
      <c r="P59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59" s="52" t="e">
        <f>IF(Companies_CAD[[#This Row],[3 Mo. Ret.]]&gt;Return3Mo_Grn,1,IF(Companies_CAD[[#This Row],[3 Mo. Ret.]]&lt;Return3Mo_Red,-1,0))</f>
        <v>#N/A</v>
      </c>
      <c r="R59" s="52" t="e">
        <f>IF(Companies_CAD[[#This Row],[12 Mo. Ret.]]&gt;Return12Mo_Grn,1,IF(Companies_CAD[[#This Row],[12 Mo. Ret.]]&lt;Return12Mo_Red,-1,0))</f>
        <v>#N/A</v>
      </c>
      <c r="S59" s="52" t="e">
        <f>IF(Companies_CAD[[#This Row],[PSR]]&lt;PSR_Green,1,IF(Companies_CAD[[#This Row],[PSR]]&gt;PSR_Red,-1,0))</f>
        <v>#N/A</v>
      </c>
      <c r="T59" s="52" t="e">
        <f>IF(Companies_CAD[[#This Row],[Financial Health]]&lt;"C",1,IF(Companies_CAD[[#This Row],[Financial Health]]&gt;"C",-1,0))</f>
        <v>#N/A</v>
      </c>
      <c r="U59" s="52" t="e">
        <f>IF(Companies_CAD[[#This Row],[PFV]]&lt;PFV_Green,1,IF(Companies_CAD[[#This Row],[PFV]]&gt;PFV_Red,-1,0))</f>
        <v>#N/A</v>
      </c>
    </row>
    <row r="60" spans="2:21" s="52" customFormat="1" ht="25.15" customHeight="1" x14ac:dyDescent="0.25">
      <c r="B60" s="11" t="s">
        <v>482</v>
      </c>
      <c r="C60" s="11" t="e">
        <f>VLOOKUP(Companies_CAD[[#This Row],[Symbol]],ColStart_CAD:ColEnd_CAD,MATCH("Name",Morningstar_Cols_CAD,EXACT_MATCH),EXACT_MATCH)</f>
        <v>#N/A</v>
      </c>
      <c r="D60" s="81" t="e">
        <f>VLOOKUP(Companies_CAD[[#This Row],[Symbol]],ColStart_CAD:ColEnd_CAD,MATCH("$ Current Price",Morningstar_Cols_CAD,EXACT_MATCH),EXACT_MATCH)</f>
        <v>#N/A</v>
      </c>
      <c r="E60" s="84" t="e">
        <f>VLOOKUP(Companies_CAD[[#This Row],[Symbol]],ColStart_CAD:ColEnd_CAD,MATCH("$ Change",Morningstar_Cols_CAD,EXACT_MATCH),EXACT_MATCH)</f>
        <v>#N/A</v>
      </c>
      <c r="F60" s="82" t="e">
        <f>IF(Companies_CAD[[#This Row],[$ Change]]&lt;&gt;0,Companies_CAD[[#This Row],[$ Change]]/(Companies_CAD[[#This Row],[Last Close]]-Companies_CAD[[#This Row],[$ Change]]),0)</f>
        <v>#N/A</v>
      </c>
      <c r="G60" s="11" t="e">
        <f>VLOOKUP(Companies_CAD[[#This Row],[Symbol]],ColStart_CAD:ColEnd_CAD,MATCH("Industry Group",Morningstar_Cols_CAD,EXACT_MATCH),EXACT_MATCH)</f>
        <v>#N/A</v>
      </c>
      <c r="H60" s="114" t="e">
        <f>VLOOKUP(Companies_CAD[[#This Row],[Symbol]],ColStart_CAD:ColEnd_CAD,MATCH("mil$ Market Cap",Morningstar_Cols_CAD,EXACT_MATCH),EXACT_MATCH)</f>
        <v>#N/A</v>
      </c>
      <c r="I60" s="115" t="e">
        <f>VLOOKUP(Companies_CAD[[#This Row],[Symbol]],ColStart_CAD:ColEnd_CAD,MATCH("%  Total Return 3 Month",Morningstar_Cols_CAD,EXACT_MATCH),EXACT_MATCH)/100</f>
        <v>#N/A</v>
      </c>
      <c r="J60" s="115" t="e">
        <f>VLOOKUP(Companies_CAD[[#This Row],[Symbol]],ColStart_CAD:ColEnd_CAD,MATCH("%  Total Return 12 Month",Morningstar_Cols_CAD,EXACT_MATCH),EXACT_MATCH)/100</f>
        <v>#N/A</v>
      </c>
      <c r="K60" s="116" t="e">
        <f>VLOOKUP(Companies_CAD[[#This Row],[Symbol]],ColStart_CAD:ColEnd_CAD,MATCH("Price/ Sales",Morningstar_Cols_CAD,EXACT_MATCH),EXACT_MATCH)</f>
        <v>#N/A</v>
      </c>
      <c r="L60" s="117" t="e">
        <f>VLOOKUP(Companies_CAD[[#This Row],[Symbol]],ColStart_CAD:ColEnd_CAD,MATCH("Price/ Fair Value",Morningstar_Cols_CAD,EXACT_MATCH),EXACT_MATCH)</f>
        <v>#N/A</v>
      </c>
      <c r="M60" s="118" t="e">
        <f>VLOOKUP(Companies_CAD[[#This Row],[Symbol]],ColStart_CAD:ColEnd_CAD,MATCH("Financial  Health Grade",Morningstar_Cols_CAD,EXACT_MATCH),EXACT_MATCH)</f>
        <v>#N/A</v>
      </c>
      <c r="N60" s="107" t="e">
        <f>VLOOKUP(Companies_CAD[[#This Row],[Symbol]],ColStart_CAD:ColEnd_CAD,MATCH("% Dividend Yield TTM",Morningstar_Cols_CAD,EXACT_MATCH),EXACT_MATCH)/100</f>
        <v>#N/A</v>
      </c>
      <c r="O60" s="94" t="e">
        <f>RatingDefault+SUM(Companies_CAD[[#This Row],[3MoPoints]:[PFVPoints]])</f>
        <v>#N/A</v>
      </c>
      <c r="P60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60" s="52" t="e">
        <f>IF(Companies_CAD[[#This Row],[3 Mo. Ret.]]&gt;Return3Mo_Grn,1,IF(Companies_CAD[[#This Row],[3 Mo. Ret.]]&lt;Return3Mo_Red,-1,0))</f>
        <v>#N/A</v>
      </c>
      <c r="R60" s="52" t="e">
        <f>IF(Companies_CAD[[#This Row],[12 Mo. Ret.]]&gt;Return12Mo_Grn,1,IF(Companies_CAD[[#This Row],[12 Mo. Ret.]]&lt;Return12Mo_Red,-1,0))</f>
        <v>#N/A</v>
      </c>
      <c r="S60" s="52" t="e">
        <f>IF(Companies_CAD[[#This Row],[PSR]]&lt;PSR_Green,1,IF(Companies_CAD[[#This Row],[PSR]]&gt;PSR_Red,-1,0))</f>
        <v>#N/A</v>
      </c>
      <c r="T60" s="52" t="e">
        <f>IF(Companies_CAD[[#This Row],[Financial Health]]&lt;"C",1,IF(Companies_CAD[[#This Row],[Financial Health]]&gt;"C",-1,0))</f>
        <v>#N/A</v>
      </c>
      <c r="U60" s="52" t="e">
        <f>IF(Companies_CAD[[#This Row],[PFV]]&lt;PFV_Green,1,IF(Companies_CAD[[#This Row],[PFV]]&gt;PFV_Red,-1,0))</f>
        <v>#N/A</v>
      </c>
    </row>
    <row r="61" spans="2:21" s="52" customFormat="1" ht="25.15" customHeight="1" x14ac:dyDescent="0.25">
      <c r="B61" s="11" t="s">
        <v>527</v>
      </c>
      <c r="C61" s="11" t="e">
        <f>VLOOKUP(Companies_CAD[[#This Row],[Symbol]],ColStart_CAD:ColEnd_CAD,MATCH("Name",Morningstar_Cols_CAD,EXACT_MATCH),EXACT_MATCH)</f>
        <v>#N/A</v>
      </c>
      <c r="D61" s="81" t="e">
        <f>VLOOKUP(Companies_CAD[[#This Row],[Symbol]],ColStart_CAD:ColEnd_CAD,MATCH("$ Current Price",Morningstar_Cols_CAD,EXACT_MATCH),EXACT_MATCH)</f>
        <v>#N/A</v>
      </c>
      <c r="E61" s="84" t="e">
        <f>VLOOKUP(Companies_CAD[[#This Row],[Symbol]],ColStart_CAD:ColEnd_CAD,MATCH("$ Change",Morningstar_Cols_CAD,EXACT_MATCH),EXACT_MATCH)</f>
        <v>#N/A</v>
      </c>
      <c r="F61" s="82" t="e">
        <f>IF(Companies_CAD[[#This Row],[$ Change]]&lt;&gt;0,Companies_CAD[[#This Row],[$ Change]]/(Companies_CAD[[#This Row],[Last Close]]-Companies_CAD[[#This Row],[$ Change]]),0)</f>
        <v>#N/A</v>
      </c>
      <c r="G61" s="11" t="e">
        <f>VLOOKUP(Companies_CAD[[#This Row],[Symbol]],ColStart_CAD:ColEnd_CAD,MATCH("Industry Group",Morningstar_Cols_CAD,EXACT_MATCH),EXACT_MATCH)</f>
        <v>#N/A</v>
      </c>
      <c r="H61" s="114" t="e">
        <f>VLOOKUP(Companies_CAD[[#This Row],[Symbol]],ColStart_CAD:ColEnd_CAD,MATCH("mil$ Market Cap",Morningstar_Cols_CAD,EXACT_MATCH),EXACT_MATCH)</f>
        <v>#N/A</v>
      </c>
      <c r="I61" s="115" t="e">
        <f>VLOOKUP(Companies_CAD[[#This Row],[Symbol]],ColStart_CAD:ColEnd_CAD,MATCH("%  Total Return 3 Month",Morningstar_Cols_CAD,EXACT_MATCH),EXACT_MATCH)/100</f>
        <v>#N/A</v>
      </c>
      <c r="J61" s="115" t="e">
        <f>VLOOKUP(Companies_CAD[[#This Row],[Symbol]],ColStart_CAD:ColEnd_CAD,MATCH("%  Total Return 12 Month",Morningstar_Cols_CAD,EXACT_MATCH),EXACT_MATCH)/100</f>
        <v>#N/A</v>
      </c>
      <c r="K61" s="116" t="e">
        <f>VLOOKUP(Companies_CAD[[#This Row],[Symbol]],ColStart_CAD:ColEnd_CAD,MATCH("Price/ Sales",Morningstar_Cols_CAD,EXACT_MATCH),EXACT_MATCH)</f>
        <v>#N/A</v>
      </c>
      <c r="L61" s="117" t="e">
        <f>VLOOKUP(Companies_CAD[[#This Row],[Symbol]],ColStart_CAD:ColEnd_CAD,MATCH("Price/ Fair Value",Morningstar_Cols_CAD,EXACT_MATCH),EXACT_MATCH)</f>
        <v>#N/A</v>
      </c>
      <c r="M61" s="118" t="e">
        <f>VLOOKUP(Companies_CAD[[#This Row],[Symbol]],ColStart_CAD:ColEnd_CAD,MATCH("Financial  Health Grade",Morningstar_Cols_CAD,EXACT_MATCH),EXACT_MATCH)</f>
        <v>#N/A</v>
      </c>
      <c r="N61" s="107" t="e">
        <f>VLOOKUP(Companies_CAD[[#This Row],[Symbol]],ColStart_CAD:ColEnd_CAD,MATCH("% Dividend Yield TTM",Morningstar_Cols_CAD,EXACT_MATCH),EXACT_MATCH)/100</f>
        <v>#N/A</v>
      </c>
      <c r="O61" s="94" t="e">
        <f>RatingDefault+SUM(Companies_CAD[[#This Row],[3MoPoints]:[PFVPoints]])</f>
        <v>#N/A</v>
      </c>
      <c r="P61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61" s="52" t="e">
        <f>IF(Companies_CAD[[#This Row],[3 Mo. Ret.]]&gt;Return3Mo_Grn,1,IF(Companies_CAD[[#This Row],[3 Mo. Ret.]]&lt;Return3Mo_Red,-1,0))</f>
        <v>#N/A</v>
      </c>
      <c r="R61" s="52" t="e">
        <f>IF(Companies_CAD[[#This Row],[12 Mo. Ret.]]&gt;Return12Mo_Grn,1,IF(Companies_CAD[[#This Row],[12 Mo. Ret.]]&lt;Return12Mo_Red,-1,0))</f>
        <v>#N/A</v>
      </c>
      <c r="S61" s="52" t="e">
        <f>IF(Companies_CAD[[#This Row],[PSR]]&lt;PSR_Green,1,IF(Companies_CAD[[#This Row],[PSR]]&gt;PSR_Red,-1,0))</f>
        <v>#N/A</v>
      </c>
      <c r="T61" s="52" t="e">
        <f>IF(Companies_CAD[[#This Row],[Financial Health]]&lt;"C",1,IF(Companies_CAD[[#This Row],[Financial Health]]&gt;"C",-1,0))</f>
        <v>#N/A</v>
      </c>
      <c r="U61" s="52" t="e">
        <f>IF(Companies_CAD[[#This Row],[PFV]]&lt;PFV_Green,1,IF(Companies_CAD[[#This Row],[PFV]]&gt;PFV_Red,-1,0))</f>
        <v>#N/A</v>
      </c>
    </row>
    <row r="62" spans="2:21" s="52" customFormat="1" ht="25.15" customHeight="1" x14ac:dyDescent="0.25">
      <c r="B62" s="11" t="s">
        <v>468</v>
      </c>
      <c r="C62" s="11" t="e">
        <f>VLOOKUP(Companies_CAD[[#This Row],[Symbol]],ColStart_CAD:ColEnd_CAD,MATCH("Name",Morningstar_Cols_CAD,EXACT_MATCH),EXACT_MATCH)</f>
        <v>#N/A</v>
      </c>
      <c r="D62" s="81" t="e">
        <f>VLOOKUP(Companies_CAD[[#This Row],[Symbol]],ColStart_CAD:ColEnd_CAD,MATCH("$ Current Price",Morningstar_Cols_CAD,EXACT_MATCH),EXACT_MATCH)</f>
        <v>#N/A</v>
      </c>
      <c r="E62" s="84" t="e">
        <f>VLOOKUP(Companies_CAD[[#This Row],[Symbol]],ColStart_CAD:ColEnd_CAD,MATCH("$ Change",Morningstar_Cols_CAD,EXACT_MATCH),EXACT_MATCH)</f>
        <v>#N/A</v>
      </c>
      <c r="F62" s="82" t="e">
        <f>IF(Companies_CAD[[#This Row],[$ Change]]&lt;&gt;0,Companies_CAD[[#This Row],[$ Change]]/(Companies_CAD[[#This Row],[Last Close]]-Companies_CAD[[#This Row],[$ Change]]),0)</f>
        <v>#N/A</v>
      </c>
      <c r="G62" s="11" t="e">
        <f>VLOOKUP(Companies_CAD[[#This Row],[Symbol]],ColStart_CAD:ColEnd_CAD,MATCH("Industry Group",Morningstar_Cols_CAD,EXACT_MATCH),EXACT_MATCH)</f>
        <v>#N/A</v>
      </c>
      <c r="H62" s="114" t="e">
        <f>VLOOKUP(Companies_CAD[[#This Row],[Symbol]],ColStart_CAD:ColEnd_CAD,MATCH("mil$ Market Cap",Morningstar_Cols_CAD,EXACT_MATCH),EXACT_MATCH)</f>
        <v>#N/A</v>
      </c>
      <c r="I62" s="115" t="e">
        <f>VLOOKUP(Companies_CAD[[#This Row],[Symbol]],ColStart_CAD:ColEnd_CAD,MATCH("%  Total Return 3 Month",Morningstar_Cols_CAD,EXACT_MATCH),EXACT_MATCH)/100</f>
        <v>#N/A</v>
      </c>
      <c r="J62" s="115" t="e">
        <f>VLOOKUP(Companies_CAD[[#This Row],[Symbol]],ColStart_CAD:ColEnd_CAD,MATCH("%  Total Return 12 Month",Morningstar_Cols_CAD,EXACT_MATCH),EXACT_MATCH)/100</f>
        <v>#N/A</v>
      </c>
      <c r="K62" s="116" t="e">
        <f>VLOOKUP(Companies_CAD[[#This Row],[Symbol]],ColStart_CAD:ColEnd_CAD,MATCH("Price/ Sales",Morningstar_Cols_CAD,EXACT_MATCH),EXACT_MATCH)</f>
        <v>#N/A</v>
      </c>
      <c r="L62" s="117" t="e">
        <f>VLOOKUP(Companies_CAD[[#This Row],[Symbol]],ColStart_CAD:ColEnd_CAD,MATCH("Price/ Fair Value",Morningstar_Cols_CAD,EXACT_MATCH),EXACT_MATCH)</f>
        <v>#N/A</v>
      </c>
      <c r="M62" s="118" t="e">
        <f>VLOOKUP(Companies_CAD[[#This Row],[Symbol]],ColStart_CAD:ColEnd_CAD,MATCH("Financial  Health Grade",Morningstar_Cols_CAD,EXACT_MATCH),EXACT_MATCH)</f>
        <v>#N/A</v>
      </c>
      <c r="N62" s="107" t="e">
        <f>VLOOKUP(Companies_CAD[[#This Row],[Symbol]],ColStart_CAD:ColEnd_CAD,MATCH("% Dividend Yield TTM",Morningstar_Cols_CAD,EXACT_MATCH),EXACT_MATCH)/100</f>
        <v>#N/A</v>
      </c>
      <c r="O62" s="94" t="e">
        <f>RatingDefault+SUM(Companies_CAD[[#This Row],[3MoPoints]:[PFVPoints]])</f>
        <v>#N/A</v>
      </c>
      <c r="P62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62" s="52" t="e">
        <f>IF(Companies_CAD[[#This Row],[3 Mo. Ret.]]&gt;Return3Mo_Grn,1,IF(Companies_CAD[[#This Row],[3 Mo. Ret.]]&lt;Return3Mo_Red,-1,0))</f>
        <v>#N/A</v>
      </c>
      <c r="R62" s="52" t="e">
        <f>IF(Companies_CAD[[#This Row],[12 Mo. Ret.]]&gt;Return12Mo_Grn,1,IF(Companies_CAD[[#This Row],[12 Mo. Ret.]]&lt;Return12Mo_Red,-1,0))</f>
        <v>#N/A</v>
      </c>
      <c r="S62" s="52" t="e">
        <f>IF(Companies_CAD[[#This Row],[PSR]]&lt;PSR_Green,1,IF(Companies_CAD[[#This Row],[PSR]]&gt;PSR_Red,-1,0))</f>
        <v>#N/A</v>
      </c>
      <c r="T62" s="52" t="e">
        <f>IF(Companies_CAD[[#This Row],[Financial Health]]&lt;"C",1,IF(Companies_CAD[[#This Row],[Financial Health]]&gt;"C",-1,0))</f>
        <v>#N/A</v>
      </c>
      <c r="U62" s="52" t="e">
        <f>IF(Companies_CAD[[#This Row],[PFV]]&lt;PFV_Green,1,IF(Companies_CAD[[#This Row],[PFV]]&gt;PFV_Red,-1,0))</f>
        <v>#N/A</v>
      </c>
    </row>
    <row r="63" spans="2:21" s="52" customFormat="1" ht="25.15" customHeight="1" x14ac:dyDescent="0.25">
      <c r="B63" s="11" t="s">
        <v>528</v>
      </c>
      <c r="C63" s="11" t="e">
        <f>VLOOKUP(Companies_CAD[[#This Row],[Symbol]],ColStart_CAD:ColEnd_CAD,MATCH("Name",Morningstar_Cols_CAD,EXACT_MATCH),EXACT_MATCH)</f>
        <v>#N/A</v>
      </c>
      <c r="D63" s="81" t="e">
        <f>VLOOKUP(Companies_CAD[[#This Row],[Symbol]],ColStart_CAD:ColEnd_CAD,MATCH("$ Current Price",Morningstar_Cols_CAD,EXACT_MATCH),EXACT_MATCH)</f>
        <v>#N/A</v>
      </c>
      <c r="E63" s="84" t="e">
        <f>VLOOKUP(Companies_CAD[[#This Row],[Symbol]],ColStart_CAD:ColEnd_CAD,MATCH("$ Change",Morningstar_Cols_CAD,EXACT_MATCH),EXACT_MATCH)</f>
        <v>#N/A</v>
      </c>
      <c r="F63" s="82" t="e">
        <f>IF(Companies_CAD[[#This Row],[$ Change]]&lt;&gt;0,Companies_CAD[[#This Row],[$ Change]]/(Companies_CAD[[#This Row],[Last Close]]-Companies_CAD[[#This Row],[$ Change]]),0)</f>
        <v>#N/A</v>
      </c>
      <c r="G63" s="11" t="e">
        <f>VLOOKUP(Companies_CAD[[#This Row],[Symbol]],ColStart_CAD:ColEnd_CAD,MATCH("Industry Group",Morningstar_Cols_CAD,EXACT_MATCH),EXACT_MATCH)</f>
        <v>#N/A</v>
      </c>
      <c r="H63" s="114" t="e">
        <f>VLOOKUP(Companies_CAD[[#This Row],[Symbol]],ColStart_CAD:ColEnd_CAD,MATCH("mil$ Market Cap",Morningstar_Cols_CAD,EXACT_MATCH),EXACT_MATCH)</f>
        <v>#N/A</v>
      </c>
      <c r="I63" s="115" t="e">
        <f>VLOOKUP(Companies_CAD[[#This Row],[Symbol]],ColStart_CAD:ColEnd_CAD,MATCH("%  Total Return 3 Month",Morningstar_Cols_CAD,EXACT_MATCH),EXACT_MATCH)/100</f>
        <v>#N/A</v>
      </c>
      <c r="J63" s="115" t="e">
        <f>VLOOKUP(Companies_CAD[[#This Row],[Symbol]],ColStart_CAD:ColEnd_CAD,MATCH("%  Total Return 12 Month",Morningstar_Cols_CAD,EXACT_MATCH),EXACT_MATCH)/100</f>
        <v>#N/A</v>
      </c>
      <c r="K63" s="116" t="e">
        <f>VLOOKUP(Companies_CAD[[#This Row],[Symbol]],ColStart_CAD:ColEnd_CAD,MATCH("Price/ Sales",Morningstar_Cols_CAD,EXACT_MATCH),EXACT_MATCH)</f>
        <v>#N/A</v>
      </c>
      <c r="L63" s="117" t="e">
        <f>VLOOKUP(Companies_CAD[[#This Row],[Symbol]],ColStart_CAD:ColEnd_CAD,MATCH("Price/ Fair Value",Morningstar_Cols_CAD,EXACT_MATCH),EXACT_MATCH)</f>
        <v>#N/A</v>
      </c>
      <c r="M63" s="118" t="e">
        <f>VLOOKUP(Companies_CAD[[#This Row],[Symbol]],ColStart_CAD:ColEnd_CAD,MATCH("Financial  Health Grade",Morningstar_Cols_CAD,EXACT_MATCH),EXACT_MATCH)</f>
        <v>#N/A</v>
      </c>
      <c r="N63" s="107" t="e">
        <f>VLOOKUP(Companies_CAD[[#This Row],[Symbol]],ColStart_CAD:ColEnd_CAD,MATCH("% Dividend Yield TTM",Morningstar_Cols_CAD,EXACT_MATCH),EXACT_MATCH)/100</f>
        <v>#N/A</v>
      </c>
      <c r="O63" s="94" t="e">
        <f>RatingDefault+SUM(Companies_CAD[[#This Row],[3MoPoints]:[PFVPoints]])</f>
        <v>#N/A</v>
      </c>
      <c r="P63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63" s="52" t="e">
        <f>IF(Companies_CAD[[#This Row],[3 Mo. Ret.]]&gt;Return3Mo_Grn,1,IF(Companies_CAD[[#This Row],[3 Mo. Ret.]]&lt;Return3Mo_Red,-1,0))</f>
        <v>#N/A</v>
      </c>
      <c r="R63" s="52" t="e">
        <f>IF(Companies_CAD[[#This Row],[12 Mo. Ret.]]&gt;Return12Mo_Grn,1,IF(Companies_CAD[[#This Row],[12 Mo. Ret.]]&lt;Return12Mo_Red,-1,0))</f>
        <v>#N/A</v>
      </c>
      <c r="S63" s="52" t="e">
        <f>IF(Companies_CAD[[#This Row],[PSR]]&lt;PSR_Green,1,IF(Companies_CAD[[#This Row],[PSR]]&gt;PSR_Red,-1,0))</f>
        <v>#N/A</v>
      </c>
      <c r="T63" s="52" t="e">
        <f>IF(Companies_CAD[[#This Row],[Financial Health]]&lt;"C",1,IF(Companies_CAD[[#This Row],[Financial Health]]&gt;"C",-1,0))</f>
        <v>#N/A</v>
      </c>
      <c r="U63" s="52" t="e">
        <f>IF(Companies_CAD[[#This Row],[PFV]]&lt;PFV_Green,1,IF(Companies_CAD[[#This Row],[PFV]]&gt;PFV_Red,-1,0))</f>
        <v>#N/A</v>
      </c>
    </row>
    <row r="64" spans="2:21" s="52" customFormat="1" ht="25.15" customHeight="1" x14ac:dyDescent="0.25">
      <c r="B64" s="11" t="s">
        <v>529</v>
      </c>
      <c r="C64" s="11" t="e">
        <f>VLOOKUP(Companies_CAD[[#This Row],[Symbol]],ColStart_CAD:ColEnd_CAD,MATCH("Name",Morningstar_Cols_CAD,EXACT_MATCH),EXACT_MATCH)</f>
        <v>#N/A</v>
      </c>
      <c r="D64" s="81" t="e">
        <f>VLOOKUP(Companies_CAD[[#This Row],[Symbol]],ColStart_CAD:ColEnd_CAD,MATCH("$ Current Price",Morningstar_Cols_CAD,EXACT_MATCH),EXACT_MATCH)</f>
        <v>#N/A</v>
      </c>
      <c r="E64" s="84" t="e">
        <f>VLOOKUP(Companies_CAD[[#This Row],[Symbol]],ColStart_CAD:ColEnd_CAD,MATCH("$ Change",Morningstar_Cols_CAD,EXACT_MATCH),EXACT_MATCH)</f>
        <v>#N/A</v>
      </c>
      <c r="F64" s="82" t="e">
        <f>IF(Companies_CAD[[#This Row],[$ Change]]&lt;&gt;0,Companies_CAD[[#This Row],[$ Change]]/(Companies_CAD[[#This Row],[Last Close]]-Companies_CAD[[#This Row],[$ Change]]),0)</f>
        <v>#N/A</v>
      </c>
      <c r="G64" s="11" t="e">
        <f>VLOOKUP(Companies_CAD[[#This Row],[Symbol]],ColStart_CAD:ColEnd_CAD,MATCH("Industry Group",Morningstar_Cols_CAD,EXACT_MATCH),EXACT_MATCH)</f>
        <v>#N/A</v>
      </c>
      <c r="H64" s="114" t="e">
        <f>VLOOKUP(Companies_CAD[[#This Row],[Symbol]],ColStart_CAD:ColEnd_CAD,MATCH("mil$ Market Cap",Morningstar_Cols_CAD,EXACT_MATCH),EXACT_MATCH)</f>
        <v>#N/A</v>
      </c>
      <c r="I64" s="115" t="e">
        <f>VLOOKUP(Companies_CAD[[#This Row],[Symbol]],ColStart_CAD:ColEnd_CAD,MATCH("%  Total Return 3 Month",Morningstar_Cols_CAD,EXACT_MATCH),EXACT_MATCH)/100</f>
        <v>#N/A</v>
      </c>
      <c r="J64" s="115" t="e">
        <f>VLOOKUP(Companies_CAD[[#This Row],[Symbol]],ColStart_CAD:ColEnd_CAD,MATCH("%  Total Return 12 Month",Morningstar_Cols_CAD,EXACT_MATCH),EXACT_MATCH)/100</f>
        <v>#N/A</v>
      </c>
      <c r="K64" s="116" t="e">
        <f>VLOOKUP(Companies_CAD[[#This Row],[Symbol]],ColStart_CAD:ColEnd_CAD,MATCH("Price/ Sales",Morningstar_Cols_CAD,EXACT_MATCH),EXACT_MATCH)</f>
        <v>#N/A</v>
      </c>
      <c r="L64" s="117" t="e">
        <f>VLOOKUP(Companies_CAD[[#This Row],[Symbol]],ColStart_CAD:ColEnd_CAD,MATCH("Price/ Fair Value",Morningstar_Cols_CAD,EXACT_MATCH),EXACT_MATCH)</f>
        <v>#N/A</v>
      </c>
      <c r="M64" s="118" t="e">
        <f>VLOOKUP(Companies_CAD[[#This Row],[Symbol]],ColStart_CAD:ColEnd_CAD,MATCH("Financial  Health Grade",Morningstar_Cols_CAD,EXACT_MATCH),EXACT_MATCH)</f>
        <v>#N/A</v>
      </c>
      <c r="N64" s="107" t="e">
        <f>VLOOKUP(Companies_CAD[[#This Row],[Symbol]],ColStart_CAD:ColEnd_CAD,MATCH("% Dividend Yield TTM",Morningstar_Cols_CAD,EXACT_MATCH),EXACT_MATCH)/100</f>
        <v>#N/A</v>
      </c>
      <c r="O64" s="94" t="e">
        <f>RatingDefault+SUM(Companies_CAD[[#This Row],[3MoPoints]:[PFVPoints]])</f>
        <v>#N/A</v>
      </c>
      <c r="P64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64" s="52" t="e">
        <f>IF(Companies_CAD[[#This Row],[3 Mo. Ret.]]&gt;Return3Mo_Grn,1,IF(Companies_CAD[[#This Row],[3 Mo. Ret.]]&lt;Return3Mo_Red,-1,0))</f>
        <v>#N/A</v>
      </c>
      <c r="R64" s="52" t="e">
        <f>IF(Companies_CAD[[#This Row],[12 Mo. Ret.]]&gt;Return12Mo_Grn,1,IF(Companies_CAD[[#This Row],[12 Mo. Ret.]]&lt;Return12Mo_Red,-1,0))</f>
        <v>#N/A</v>
      </c>
      <c r="S64" s="52" t="e">
        <f>IF(Companies_CAD[[#This Row],[PSR]]&lt;PSR_Green,1,IF(Companies_CAD[[#This Row],[PSR]]&gt;PSR_Red,-1,0))</f>
        <v>#N/A</v>
      </c>
      <c r="T64" s="52" t="e">
        <f>IF(Companies_CAD[[#This Row],[Financial Health]]&lt;"C",1,IF(Companies_CAD[[#This Row],[Financial Health]]&gt;"C",-1,0))</f>
        <v>#N/A</v>
      </c>
      <c r="U64" s="52" t="e">
        <f>IF(Companies_CAD[[#This Row],[PFV]]&lt;PFV_Green,1,IF(Companies_CAD[[#This Row],[PFV]]&gt;PFV_Red,-1,0))</f>
        <v>#N/A</v>
      </c>
    </row>
    <row r="65" spans="2:21" s="52" customFormat="1" ht="25.15" customHeight="1" x14ac:dyDescent="0.25">
      <c r="B65" s="11" t="s">
        <v>622</v>
      </c>
      <c r="C65" s="11" t="str">
        <f>VLOOKUP(Companies_CAD[[#This Row],[Symbol]],ColStart_CAD:ColEnd_CAD,MATCH("Name",Morningstar_Cols_CAD,EXACT_MATCH),EXACT_MATCH)</f>
        <v>L Brands Inc</v>
      </c>
      <c r="D65" s="81">
        <f>VLOOKUP(Companies_CAD[[#This Row],[Symbol]],ColStart_CAD:ColEnd_CAD,MATCH("$ Current Price",Morningstar_Cols_CAD,EXACT_MATCH),EXACT_MATCH)</f>
        <v>24.14</v>
      </c>
      <c r="E65" s="84">
        <f>VLOOKUP(Companies_CAD[[#This Row],[Symbol]],ColStart_CAD:ColEnd_CAD,MATCH("$ Change",Morningstar_Cols_CAD,EXACT_MATCH),EXACT_MATCH)</f>
        <v>0.56000000000000005</v>
      </c>
      <c r="F65" s="82">
        <f>IF(Companies_CAD[[#This Row],[$ Change]]&lt;&gt;0,Companies_CAD[[#This Row],[$ Change]]/(Companies_CAD[[#This Row],[Last Close]]-Companies_CAD[[#This Row],[$ Change]]),0)</f>
        <v>2.3748939779474131E-2</v>
      </c>
      <c r="G65" s="11" t="e">
        <f>VLOOKUP(Companies_CAD[[#This Row],[Symbol]],ColStart_CAD:ColEnd_CAD,MATCH("Industry Group",Morningstar_Cols_CAD,EXACT_MATCH),EXACT_MATCH)</f>
        <v>#N/A</v>
      </c>
      <c r="H65" s="114" t="e">
        <f>VLOOKUP(Companies_CAD[[#This Row],[Symbol]],ColStart_CAD:ColEnd_CAD,MATCH("mil$ Market Cap",Morningstar_Cols_CAD,EXACT_MATCH),EXACT_MATCH)</f>
        <v>#N/A</v>
      </c>
      <c r="I65" s="115">
        <f>VLOOKUP(Companies_CAD[[#This Row],[Symbol]],ColStart_CAD:ColEnd_CAD,MATCH("%  Total Return 3 Month",Morningstar_Cols_CAD,EXACT_MATCH),EXACT_MATCH)/100</f>
        <v>0.35259999999999997</v>
      </c>
      <c r="J65" s="115">
        <f>VLOOKUP(Companies_CAD[[#This Row],[Symbol]],ColStart_CAD:ColEnd_CAD,MATCH("%  Total Return 12 Month",Morningstar_Cols_CAD,EXACT_MATCH),EXACT_MATCH)/100</f>
        <v>-7.1900000000000006E-2</v>
      </c>
      <c r="K65" s="116" t="str">
        <f>VLOOKUP(Companies_CAD[[#This Row],[Symbol]],ColStart_CAD:ColEnd_CAD,MATCH("Price/ Sales",Morningstar_Cols_CAD,EXACT_MATCH),EXACT_MATCH)</f>
        <v>0.52</v>
      </c>
      <c r="L65" s="117">
        <f>VLOOKUP(Companies_CAD[[#This Row],[Symbol]],ColStart_CAD:ColEnd_CAD,MATCH("Price/ Fair Value",Morningstar_Cols_CAD,EXACT_MATCH),EXACT_MATCH)</f>
        <v>0.6</v>
      </c>
      <c r="M65" s="118" t="str">
        <f>VLOOKUP(Companies_CAD[[#This Row],[Symbol]],ColStart_CAD:ColEnd_CAD,MATCH("Financial  Health Grade",Morningstar_Cols_CAD,EXACT_MATCH),EXACT_MATCH)</f>
        <v>C</v>
      </c>
      <c r="N65" s="107">
        <f>VLOOKUP(Companies_CAD[[#This Row],[Symbol]],ColStart_CAD:ColEnd_CAD,MATCH("% Dividend Yield TTM",Morningstar_Cols_CAD,EXACT_MATCH),EXACT_MATCH)/100</f>
        <v>4.8799999999999996E-2</v>
      </c>
      <c r="O65" s="94">
        <f>RatingDefault+SUM(Companies_CAD[[#This Row],[3MoPoints]:[PFVPoints]])</f>
        <v>3</v>
      </c>
      <c r="P65" s="53" t="str">
        <f>IF(Companies_CAD[[#This Row],[Rating]]&gt;6,"Strong Buy",IF(Companies_CAD[[#This Row],[Rating]]=6,"Buy",IF(Companies_CAD[[#This Row],[Rating]]=5,"Monitor",IF(Companies_CAD[[#This Row],[Rating]]=4,"Prospect","Avoid"))))</f>
        <v>Avoid</v>
      </c>
      <c r="Q65" s="52">
        <f>IF(Companies_CAD[[#This Row],[3 Mo. Ret.]]&gt;Return3Mo_Grn,1,IF(Companies_CAD[[#This Row],[3 Mo. Ret.]]&lt;Return3Mo_Red,-1,0))</f>
        <v>1</v>
      </c>
      <c r="R65" s="52">
        <f>IF(Companies_CAD[[#This Row],[12 Mo. Ret.]]&gt;Return12Mo_Grn,1,IF(Companies_CAD[[#This Row],[12 Mo. Ret.]]&lt;Return12Mo_Red,-1,0))</f>
        <v>-1</v>
      </c>
      <c r="S65" s="52">
        <f>IF(Companies_CAD[[#This Row],[PSR]]&lt;PSR_Green,1,IF(Companies_CAD[[#This Row],[PSR]]&gt;PSR_Red,-1,0))</f>
        <v>-1</v>
      </c>
      <c r="T65" s="52">
        <f>IF(Companies_CAD[[#This Row],[Financial Health]]&lt;"C",1,IF(Companies_CAD[[#This Row],[Financial Health]]&gt;"C",-1,0))</f>
        <v>0</v>
      </c>
      <c r="U65" s="52">
        <f>IF(Companies_CAD[[#This Row],[PFV]]&lt;PFV_Green,1,IF(Companies_CAD[[#This Row],[PFV]]&gt;PFV_Red,-1,0))</f>
        <v>1</v>
      </c>
    </row>
    <row r="66" spans="2:21" s="52" customFormat="1" ht="25.15" customHeight="1" x14ac:dyDescent="0.25">
      <c r="B66" s="11" t="s">
        <v>530</v>
      </c>
      <c r="C66" s="11" t="e">
        <f>VLOOKUP(Companies_CAD[[#This Row],[Symbol]],ColStart_CAD:ColEnd_CAD,MATCH("Name",Morningstar_Cols_CAD,EXACT_MATCH),EXACT_MATCH)</f>
        <v>#N/A</v>
      </c>
      <c r="D66" s="81" t="e">
        <f>VLOOKUP(Companies_CAD[[#This Row],[Symbol]],ColStart_CAD:ColEnd_CAD,MATCH("$ Current Price",Morningstar_Cols_CAD,EXACT_MATCH),EXACT_MATCH)</f>
        <v>#N/A</v>
      </c>
      <c r="E66" s="84" t="e">
        <f>VLOOKUP(Companies_CAD[[#This Row],[Symbol]],ColStart_CAD:ColEnd_CAD,MATCH("$ Change",Morningstar_Cols_CAD,EXACT_MATCH),EXACT_MATCH)</f>
        <v>#N/A</v>
      </c>
      <c r="F66" s="82" t="e">
        <f>IF(Companies_CAD[[#This Row],[$ Change]]&lt;&gt;0,Companies_CAD[[#This Row],[$ Change]]/(Companies_CAD[[#This Row],[Last Close]]-Companies_CAD[[#This Row],[$ Change]]),0)</f>
        <v>#N/A</v>
      </c>
      <c r="G66" s="11" t="e">
        <f>VLOOKUP(Companies_CAD[[#This Row],[Symbol]],ColStart_CAD:ColEnd_CAD,MATCH("Industry Group",Morningstar_Cols_CAD,EXACT_MATCH),EXACT_MATCH)</f>
        <v>#N/A</v>
      </c>
      <c r="H66" s="114" t="e">
        <f>VLOOKUP(Companies_CAD[[#This Row],[Symbol]],ColStart_CAD:ColEnd_CAD,MATCH("mil$ Market Cap",Morningstar_Cols_CAD,EXACT_MATCH),EXACT_MATCH)</f>
        <v>#N/A</v>
      </c>
      <c r="I66" s="115" t="e">
        <f>VLOOKUP(Companies_CAD[[#This Row],[Symbol]],ColStart_CAD:ColEnd_CAD,MATCH("%  Total Return 3 Month",Morningstar_Cols_CAD,EXACT_MATCH),EXACT_MATCH)/100</f>
        <v>#N/A</v>
      </c>
      <c r="J66" s="115" t="e">
        <f>VLOOKUP(Companies_CAD[[#This Row],[Symbol]],ColStart_CAD:ColEnd_CAD,MATCH("%  Total Return 12 Month",Morningstar_Cols_CAD,EXACT_MATCH),EXACT_MATCH)/100</f>
        <v>#N/A</v>
      </c>
      <c r="K66" s="116" t="e">
        <f>VLOOKUP(Companies_CAD[[#This Row],[Symbol]],ColStart_CAD:ColEnd_CAD,MATCH("Price/ Sales",Morningstar_Cols_CAD,EXACT_MATCH),EXACT_MATCH)</f>
        <v>#N/A</v>
      </c>
      <c r="L66" s="117" t="e">
        <f>VLOOKUP(Companies_CAD[[#This Row],[Symbol]],ColStart_CAD:ColEnd_CAD,MATCH("Price/ Fair Value",Morningstar_Cols_CAD,EXACT_MATCH),EXACT_MATCH)</f>
        <v>#N/A</v>
      </c>
      <c r="M66" s="118" t="e">
        <f>VLOOKUP(Companies_CAD[[#This Row],[Symbol]],ColStart_CAD:ColEnd_CAD,MATCH("Financial  Health Grade",Morningstar_Cols_CAD,EXACT_MATCH),EXACT_MATCH)</f>
        <v>#N/A</v>
      </c>
      <c r="N66" s="107" t="e">
        <f>VLOOKUP(Companies_CAD[[#This Row],[Symbol]],ColStart_CAD:ColEnd_CAD,MATCH("% Dividend Yield TTM",Morningstar_Cols_CAD,EXACT_MATCH),EXACT_MATCH)/100</f>
        <v>#N/A</v>
      </c>
      <c r="O66" s="94" t="e">
        <f>RatingDefault+SUM(Companies_CAD[[#This Row],[3MoPoints]:[PFVPoints]])</f>
        <v>#N/A</v>
      </c>
      <c r="P66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66" s="52" t="e">
        <f>IF(Companies_CAD[[#This Row],[3 Mo. Ret.]]&gt;Return3Mo_Grn,1,IF(Companies_CAD[[#This Row],[3 Mo. Ret.]]&lt;Return3Mo_Red,-1,0))</f>
        <v>#N/A</v>
      </c>
      <c r="R66" s="52" t="e">
        <f>IF(Companies_CAD[[#This Row],[12 Mo. Ret.]]&gt;Return12Mo_Grn,1,IF(Companies_CAD[[#This Row],[12 Mo. Ret.]]&lt;Return12Mo_Red,-1,0))</f>
        <v>#N/A</v>
      </c>
      <c r="S66" s="52" t="e">
        <f>IF(Companies_CAD[[#This Row],[PSR]]&lt;PSR_Green,1,IF(Companies_CAD[[#This Row],[PSR]]&gt;PSR_Red,-1,0))</f>
        <v>#N/A</v>
      </c>
      <c r="T66" s="52" t="e">
        <f>IF(Companies_CAD[[#This Row],[Financial Health]]&lt;"C",1,IF(Companies_CAD[[#This Row],[Financial Health]]&gt;"C",-1,0))</f>
        <v>#N/A</v>
      </c>
      <c r="U66" s="52" t="e">
        <f>IF(Companies_CAD[[#This Row],[PFV]]&lt;PFV_Green,1,IF(Companies_CAD[[#This Row],[PFV]]&gt;PFV_Red,-1,0))</f>
        <v>#N/A</v>
      </c>
    </row>
    <row r="67" spans="2:21" s="52" customFormat="1" ht="25.15" customHeight="1" x14ac:dyDescent="0.25">
      <c r="B67" s="11" t="s">
        <v>531</v>
      </c>
      <c r="C67" s="11" t="e">
        <f>VLOOKUP(Companies_CAD[[#This Row],[Symbol]],ColStart_CAD:ColEnd_CAD,MATCH("Name",Morningstar_Cols_CAD,EXACT_MATCH),EXACT_MATCH)</f>
        <v>#N/A</v>
      </c>
      <c r="D67" s="81" t="e">
        <f>VLOOKUP(Companies_CAD[[#This Row],[Symbol]],ColStart_CAD:ColEnd_CAD,MATCH("$ Current Price",Morningstar_Cols_CAD,EXACT_MATCH),EXACT_MATCH)</f>
        <v>#N/A</v>
      </c>
      <c r="E67" s="84" t="e">
        <f>VLOOKUP(Companies_CAD[[#This Row],[Symbol]],ColStart_CAD:ColEnd_CAD,MATCH("$ Change",Morningstar_Cols_CAD,EXACT_MATCH),EXACT_MATCH)</f>
        <v>#N/A</v>
      </c>
      <c r="F67" s="82" t="e">
        <f>IF(Companies_CAD[[#This Row],[$ Change]]&lt;&gt;0,Companies_CAD[[#This Row],[$ Change]]/(Companies_CAD[[#This Row],[Last Close]]-Companies_CAD[[#This Row],[$ Change]]),0)</f>
        <v>#N/A</v>
      </c>
      <c r="G67" s="11" t="e">
        <f>VLOOKUP(Companies_CAD[[#This Row],[Symbol]],ColStart_CAD:ColEnd_CAD,MATCH("Industry Group",Morningstar_Cols_CAD,EXACT_MATCH),EXACT_MATCH)</f>
        <v>#N/A</v>
      </c>
      <c r="H67" s="114" t="e">
        <f>VLOOKUP(Companies_CAD[[#This Row],[Symbol]],ColStart_CAD:ColEnd_CAD,MATCH("mil$ Market Cap",Morningstar_Cols_CAD,EXACT_MATCH),EXACT_MATCH)</f>
        <v>#N/A</v>
      </c>
      <c r="I67" s="115" t="e">
        <f>VLOOKUP(Companies_CAD[[#This Row],[Symbol]],ColStart_CAD:ColEnd_CAD,MATCH("%  Total Return 3 Month",Morningstar_Cols_CAD,EXACT_MATCH),EXACT_MATCH)/100</f>
        <v>#N/A</v>
      </c>
      <c r="J67" s="115" t="e">
        <f>VLOOKUP(Companies_CAD[[#This Row],[Symbol]],ColStart_CAD:ColEnd_CAD,MATCH("%  Total Return 12 Month",Morningstar_Cols_CAD,EXACT_MATCH),EXACT_MATCH)/100</f>
        <v>#N/A</v>
      </c>
      <c r="K67" s="116" t="e">
        <f>VLOOKUP(Companies_CAD[[#This Row],[Symbol]],ColStart_CAD:ColEnd_CAD,MATCH("Price/ Sales",Morningstar_Cols_CAD,EXACT_MATCH),EXACT_MATCH)</f>
        <v>#N/A</v>
      </c>
      <c r="L67" s="117" t="e">
        <f>VLOOKUP(Companies_CAD[[#This Row],[Symbol]],ColStart_CAD:ColEnd_CAD,MATCH("Price/ Fair Value",Morningstar_Cols_CAD,EXACT_MATCH),EXACT_MATCH)</f>
        <v>#N/A</v>
      </c>
      <c r="M67" s="118" t="e">
        <f>VLOOKUP(Companies_CAD[[#This Row],[Symbol]],ColStart_CAD:ColEnd_CAD,MATCH("Financial  Health Grade",Morningstar_Cols_CAD,EXACT_MATCH),EXACT_MATCH)</f>
        <v>#N/A</v>
      </c>
      <c r="N67" s="107" t="e">
        <f>VLOOKUP(Companies_CAD[[#This Row],[Symbol]],ColStart_CAD:ColEnd_CAD,MATCH("% Dividend Yield TTM",Morningstar_Cols_CAD,EXACT_MATCH),EXACT_MATCH)/100</f>
        <v>#N/A</v>
      </c>
      <c r="O67" s="94" t="e">
        <f>RatingDefault+SUM(Companies_CAD[[#This Row],[3MoPoints]:[PFVPoints]])</f>
        <v>#N/A</v>
      </c>
      <c r="P67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67" s="52" t="e">
        <f>IF(Companies_CAD[[#This Row],[3 Mo. Ret.]]&gt;Return3Mo_Grn,1,IF(Companies_CAD[[#This Row],[3 Mo. Ret.]]&lt;Return3Mo_Red,-1,0))</f>
        <v>#N/A</v>
      </c>
      <c r="R67" s="52" t="e">
        <f>IF(Companies_CAD[[#This Row],[12 Mo. Ret.]]&gt;Return12Mo_Grn,1,IF(Companies_CAD[[#This Row],[12 Mo. Ret.]]&lt;Return12Mo_Red,-1,0))</f>
        <v>#N/A</v>
      </c>
      <c r="S67" s="52" t="e">
        <f>IF(Companies_CAD[[#This Row],[PSR]]&lt;PSR_Green,1,IF(Companies_CAD[[#This Row],[PSR]]&gt;PSR_Red,-1,0))</f>
        <v>#N/A</v>
      </c>
      <c r="T67" s="52" t="e">
        <f>IF(Companies_CAD[[#This Row],[Financial Health]]&lt;"C",1,IF(Companies_CAD[[#This Row],[Financial Health]]&gt;"C",-1,0))</f>
        <v>#N/A</v>
      </c>
      <c r="U67" s="52" t="e">
        <f>IF(Companies_CAD[[#This Row],[PFV]]&lt;PFV_Green,1,IF(Companies_CAD[[#This Row],[PFV]]&gt;PFV_Red,-1,0))</f>
        <v>#N/A</v>
      </c>
    </row>
    <row r="68" spans="2:21" s="52" customFormat="1" ht="25.15" customHeight="1" x14ac:dyDescent="0.25">
      <c r="B68" s="11" t="s">
        <v>532</v>
      </c>
      <c r="C68" s="11" t="e">
        <f>VLOOKUP(Companies_CAD[[#This Row],[Symbol]],ColStart_CAD:ColEnd_CAD,MATCH("Name",Morningstar_Cols_CAD,EXACT_MATCH),EXACT_MATCH)</f>
        <v>#N/A</v>
      </c>
      <c r="D68" s="81" t="e">
        <f>VLOOKUP(Companies_CAD[[#This Row],[Symbol]],ColStart_CAD:ColEnd_CAD,MATCH("$ Current Price",Morningstar_Cols_CAD,EXACT_MATCH),EXACT_MATCH)</f>
        <v>#N/A</v>
      </c>
      <c r="E68" s="84" t="e">
        <f>VLOOKUP(Companies_CAD[[#This Row],[Symbol]],ColStart_CAD:ColEnd_CAD,MATCH("$ Change",Morningstar_Cols_CAD,EXACT_MATCH),EXACT_MATCH)</f>
        <v>#N/A</v>
      </c>
      <c r="F68" s="82" t="e">
        <f>IF(Companies_CAD[[#This Row],[$ Change]]&lt;&gt;0,Companies_CAD[[#This Row],[$ Change]]/(Companies_CAD[[#This Row],[Last Close]]-Companies_CAD[[#This Row],[$ Change]]),0)</f>
        <v>#N/A</v>
      </c>
      <c r="G68" s="11" t="e">
        <f>VLOOKUP(Companies_CAD[[#This Row],[Symbol]],ColStart_CAD:ColEnd_CAD,MATCH("Industry Group",Morningstar_Cols_CAD,EXACT_MATCH),EXACT_MATCH)</f>
        <v>#N/A</v>
      </c>
      <c r="H68" s="114" t="e">
        <f>VLOOKUP(Companies_CAD[[#This Row],[Symbol]],ColStart_CAD:ColEnd_CAD,MATCH("mil$ Market Cap",Morningstar_Cols_CAD,EXACT_MATCH),EXACT_MATCH)</f>
        <v>#N/A</v>
      </c>
      <c r="I68" s="115" t="e">
        <f>VLOOKUP(Companies_CAD[[#This Row],[Symbol]],ColStart_CAD:ColEnd_CAD,MATCH("%  Total Return 3 Month",Morningstar_Cols_CAD,EXACT_MATCH),EXACT_MATCH)/100</f>
        <v>#N/A</v>
      </c>
      <c r="J68" s="115" t="e">
        <f>VLOOKUP(Companies_CAD[[#This Row],[Symbol]],ColStart_CAD:ColEnd_CAD,MATCH("%  Total Return 12 Month",Morningstar_Cols_CAD,EXACT_MATCH),EXACT_MATCH)/100</f>
        <v>#N/A</v>
      </c>
      <c r="K68" s="116" t="e">
        <f>VLOOKUP(Companies_CAD[[#This Row],[Symbol]],ColStart_CAD:ColEnd_CAD,MATCH("Price/ Sales",Morningstar_Cols_CAD,EXACT_MATCH),EXACT_MATCH)</f>
        <v>#N/A</v>
      </c>
      <c r="L68" s="117" t="e">
        <f>VLOOKUP(Companies_CAD[[#This Row],[Symbol]],ColStart_CAD:ColEnd_CAD,MATCH("Price/ Fair Value",Morningstar_Cols_CAD,EXACT_MATCH),EXACT_MATCH)</f>
        <v>#N/A</v>
      </c>
      <c r="M68" s="118" t="e">
        <f>VLOOKUP(Companies_CAD[[#This Row],[Symbol]],ColStart_CAD:ColEnd_CAD,MATCH("Financial  Health Grade",Morningstar_Cols_CAD,EXACT_MATCH),EXACT_MATCH)</f>
        <v>#N/A</v>
      </c>
      <c r="N68" s="107" t="e">
        <f>VLOOKUP(Companies_CAD[[#This Row],[Symbol]],ColStart_CAD:ColEnd_CAD,MATCH("% Dividend Yield TTM",Morningstar_Cols_CAD,EXACT_MATCH),EXACT_MATCH)/100</f>
        <v>#N/A</v>
      </c>
      <c r="O68" s="94" t="e">
        <f>RatingDefault+SUM(Companies_CAD[[#This Row],[3MoPoints]:[PFVPoints]])</f>
        <v>#N/A</v>
      </c>
      <c r="P68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68" s="52" t="e">
        <f>IF(Companies_CAD[[#This Row],[3 Mo. Ret.]]&gt;Return3Mo_Grn,1,IF(Companies_CAD[[#This Row],[3 Mo. Ret.]]&lt;Return3Mo_Red,-1,0))</f>
        <v>#N/A</v>
      </c>
      <c r="R68" s="52" t="e">
        <f>IF(Companies_CAD[[#This Row],[12 Mo. Ret.]]&gt;Return12Mo_Grn,1,IF(Companies_CAD[[#This Row],[12 Mo. Ret.]]&lt;Return12Mo_Red,-1,0))</f>
        <v>#N/A</v>
      </c>
      <c r="S68" s="52" t="e">
        <f>IF(Companies_CAD[[#This Row],[PSR]]&lt;PSR_Green,1,IF(Companies_CAD[[#This Row],[PSR]]&gt;PSR_Red,-1,0))</f>
        <v>#N/A</v>
      </c>
      <c r="T68" s="52" t="e">
        <f>IF(Companies_CAD[[#This Row],[Financial Health]]&lt;"C",1,IF(Companies_CAD[[#This Row],[Financial Health]]&gt;"C",-1,0))</f>
        <v>#N/A</v>
      </c>
      <c r="U68" s="52" t="e">
        <f>IF(Companies_CAD[[#This Row],[PFV]]&lt;PFV_Green,1,IF(Companies_CAD[[#This Row],[PFV]]&gt;PFV_Red,-1,0))</f>
        <v>#N/A</v>
      </c>
    </row>
    <row r="69" spans="2:21" s="52" customFormat="1" ht="25.15" customHeight="1" x14ac:dyDescent="0.25">
      <c r="B69" s="11" t="s">
        <v>536</v>
      </c>
      <c r="C69" s="11" t="e">
        <f>VLOOKUP(Companies_CAD[[#This Row],[Symbol]],ColStart_CAD:ColEnd_CAD,MATCH("Name",Morningstar_Cols_CAD,EXACT_MATCH),EXACT_MATCH)</f>
        <v>#N/A</v>
      </c>
      <c r="D69" s="81" t="e">
        <f>VLOOKUP(Companies_CAD[[#This Row],[Symbol]],ColStart_CAD:ColEnd_CAD,MATCH("$ Current Price",Morningstar_Cols_CAD,EXACT_MATCH),EXACT_MATCH)</f>
        <v>#N/A</v>
      </c>
      <c r="E69" s="84" t="e">
        <f>VLOOKUP(Companies_CAD[[#This Row],[Symbol]],ColStart_CAD:ColEnd_CAD,MATCH("$ Change",Morningstar_Cols_CAD,EXACT_MATCH),EXACT_MATCH)</f>
        <v>#N/A</v>
      </c>
      <c r="F69" s="82" t="e">
        <f>IF(Companies_CAD[[#This Row],[$ Change]]&lt;&gt;0,Companies_CAD[[#This Row],[$ Change]]/(Companies_CAD[[#This Row],[Last Close]]-Companies_CAD[[#This Row],[$ Change]]),0)</f>
        <v>#N/A</v>
      </c>
      <c r="G69" s="11" t="e">
        <f>VLOOKUP(Companies_CAD[[#This Row],[Symbol]],ColStart_CAD:ColEnd_CAD,MATCH("Industry Group",Morningstar_Cols_CAD,EXACT_MATCH),EXACT_MATCH)</f>
        <v>#N/A</v>
      </c>
      <c r="H69" s="114" t="e">
        <f>VLOOKUP(Companies_CAD[[#This Row],[Symbol]],ColStart_CAD:ColEnd_CAD,MATCH("mil$ Market Cap",Morningstar_Cols_CAD,EXACT_MATCH),EXACT_MATCH)</f>
        <v>#N/A</v>
      </c>
      <c r="I69" s="115" t="e">
        <f>VLOOKUP(Companies_CAD[[#This Row],[Symbol]],ColStart_CAD:ColEnd_CAD,MATCH("%  Total Return 3 Month",Morningstar_Cols_CAD,EXACT_MATCH),EXACT_MATCH)/100</f>
        <v>#N/A</v>
      </c>
      <c r="J69" s="115" t="e">
        <f>VLOOKUP(Companies_CAD[[#This Row],[Symbol]],ColStart_CAD:ColEnd_CAD,MATCH("%  Total Return 12 Month",Morningstar_Cols_CAD,EXACT_MATCH),EXACT_MATCH)/100</f>
        <v>#N/A</v>
      </c>
      <c r="K69" s="116" t="e">
        <f>VLOOKUP(Companies_CAD[[#This Row],[Symbol]],ColStart_CAD:ColEnd_CAD,MATCH("Price/ Sales",Morningstar_Cols_CAD,EXACT_MATCH),EXACT_MATCH)</f>
        <v>#N/A</v>
      </c>
      <c r="L69" s="117" t="e">
        <f>VLOOKUP(Companies_CAD[[#This Row],[Symbol]],ColStart_CAD:ColEnd_CAD,MATCH("Price/ Fair Value",Morningstar_Cols_CAD,EXACT_MATCH),EXACT_MATCH)</f>
        <v>#N/A</v>
      </c>
      <c r="M69" s="118" t="e">
        <f>VLOOKUP(Companies_CAD[[#This Row],[Symbol]],ColStart_CAD:ColEnd_CAD,MATCH("Financial  Health Grade",Morningstar_Cols_CAD,EXACT_MATCH),EXACT_MATCH)</f>
        <v>#N/A</v>
      </c>
      <c r="N69" s="107" t="e">
        <f>VLOOKUP(Companies_CAD[[#This Row],[Symbol]],ColStart_CAD:ColEnd_CAD,MATCH("% Dividend Yield TTM",Morningstar_Cols_CAD,EXACT_MATCH),EXACT_MATCH)/100</f>
        <v>#N/A</v>
      </c>
      <c r="O69" s="94" t="e">
        <f>RatingDefault+SUM(Companies_CAD[[#This Row],[3MoPoints]:[PFVPoints]])</f>
        <v>#N/A</v>
      </c>
      <c r="P69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69" s="52" t="e">
        <f>IF(Companies_CAD[[#This Row],[3 Mo. Ret.]]&gt;Return3Mo_Grn,1,IF(Companies_CAD[[#This Row],[3 Mo. Ret.]]&lt;Return3Mo_Red,-1,0))</f>
        <v>#N/A</v>
      </c>
      <c r="R69" s="52" t="e">
        <f>IF(Companies_CAD[[#This Row],[12 Mo. Ret.]]&gt;Return12Mo_Grn,1,IF(Companies_CAD[[#This Row],[12 Mo. Ret.]]&lt;Return12Mo_Red,-1,0))</f>
        <v>#N/A</v>
      </c>
      <c r="S69" s="52" t="e">
        <f>IF(Companies_CAD[[#This Row],[PSR]]&lt;PSR_Green,1,IF(Companies_CAD[[#This Row],[PSR]]&gt;PSR_Red,-1,0))</f>
        <v>#N/A</v>
      </c>
      <c r="T69" s="52" t="e">
        <f>IF(Companies_CAD[[#This Row],[Financial Health]]&lt;"C",1,IF(Companies_CAD[[#This Row],[Financial Health]]&gt;"C",-1,0))</f>
        <v>#N/A</v>
      </c>
      <c r="U69" s="52" t="e">
        <f>IF(Companies_CAD[[#This Row],[PFV]]&lt;PFV_Green,1,IF(Companies_CAD[[#This Row],[PFV]]&gt;PFV_Red,-1,0))</f>
        <v>#N/A</v>
      </c>
    </row>
    <row r="70" spans="2:21" s="52" customFormat="1" ht="25.15" customHeight="1" x14ac:dyDescent="0.25">
      <c r="B70" s="11" t="s">
        <v>310</v>
      </c>
      <c r="C70" s="11" t="e">
        <f>VLOOKUP(Companies_CAD[[#This Row],[Symbol]],ColStart_CAD:ColEnd_CAD,MATCH("Name",Morningstar_Cols_CAD,EXACT_MATCH),EXACT_MATCH)</f>
        <v>#N/A</v>
      </c>
      <c r="D70" s="81" t="e">
        <f>VLOOKUP(Companies_CAD[[#This Row],[Symbol]],ColStart_CAD:ColEnd_CAD,MATCH("$ Current Price",Morningstar_Cols_CAD,EXACT_MATCH),EXACT_MATCH)</f>
        <v>#N/A</v>
      </c>
      <c r="E70" s="84" t="e">
        <f>VLOOKUP(Companies_CAD[[#This Row],[Symbol]],ColStart_CAD:ColEnd_CAD,MATCH("$ Change",Morningstar_Cols_CAD,EXACT_MATCH),EXACT_MATCH)</f>
        <v>#N/A</v>
      </c>
      <c r="F70" s="82" t="e">
        <f>IF(Companies_CAD[[#This Row],[$ Change]]&lt;&gt;0,Companies_CAD[[#This Row],[$ Change]]/(Companies_CAD[[#This Row],[Last Close]]-Companies_CAD[[#This Row],[$ Change]]),0)</f>
        <v>#N/A</v>
      </c>
      <c r="G70" s="11" t="e">
        <f>VLOOKUP(Companies_CAD[[#This Row],[Symbol]],ColStart_CAD:ColEnd_CAD,MATCH("Industry Group",Morningstar_Cols_CAD,EXACT_MATCH),EXACT_MATCH)</f>
        <v>#N/A</v>
      </c>
      <c r="H70" s="114" t="e">
        <f>VLOOKUP(Companies_CAD[[#This Row],[Symbol]],ColStart_CAD:ColEnd_CAD,MATCH("mil$ Market Cap",Morningstar_Cols_CAD,EXACT_MATCH),EXACT_MATCH)</f>
        <v>#N/A</v>
      </c>
      <c r="I70" s="115" t="e">
        <f>VLOOKUP(Companies_CAD[[#This Row],[Symbol]],ColStart_CAD:ColEnd_CAD,MATCH("%  Total Return 3 Month",Morningstar_Cols_CAD,EXACT_MATCH),EXACT_MATCH)/100</f>
        <v>#N/A</v>
      </c>
      <c r="J70" s="115" t="e">
        <f>VLOOKUP(Companies_CAD[[#This Row],[Symbol]],ColStart_CAD:ColEnd_CAD,MATCH("%  Total Return 12 Month",Morningstar_Cols_CAD,EXACT_MATCH),EXACT_MATCH)/100</f>
        <v>#N/A</v>
      </c>
      <c r="K70" s="116" t="e">
        <f>VLOOKUP(Companies_CAD[[#This Row],[Symbol]],ColStart_CAD:ColEnd_CAD,MATCH("Price/ Sales",Morningstar_Cols_CAD,EXACT_MATCH),EXACT_MATCH)</f>
        <v>#N/A</v>
      </c>
      <c r="L70" s="117" t="e">
        <f>VLOOKUP(Companies_CAD[[#This Row],[Symbol]],ColStart_CAD:ColEnd_CAD,MATCH("Price/ Fair Value",Morningstar_Cols_CAD,EXACT_MATCH),EXACT_MATCH)</f>
        <v>#N/A</v>
      </c>
      <c r="M70" s="118" t="e">
        <f>VLOOKUP(Companies_CAD[[#This Row],[Symbol]],ColStart_CAD:ColEnd_CAD,MATCH("Financial  Health Grade",Morningstar_Cols_CAD,EXACT_MATCH),EXACT_MATCH)</f>
        <v>#N/A</v>
      </c>
      <c r="N70" s="107" t="e">
        <f>VLOOKUP(Companies_CAD[[#This Row],[Symbol]],ColStart_CAD:ColEnd_CAD,MATCH("% Dividend Yield TTM",Morningstar_Cols_CAD,EXACT_MATCH),EXACT_MATCH)/100</f>
        <v>#N/A</v>
      </c>
      <c r="O70" s="94" t="e">
        <f>RatingDefault+SUM(Companies_CAD[[#This Row],[3MoPoints]:[PFVPoints]])</f>
        <v>#N/A</v>
      </c>
      <c r="P70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70" s="52" t="e">
        <f>IF(Companies_CAD[[#This Row],[3 Mo. Ret.]]&gt;Return3Mo_Grn,1,IF(Companies_CAD[[#This Row],[3 Mo. Ret.]]&lt;Return3Mo_Red,-1,0))</f>
        <v>#N/A</v>
      </c>
      <c r="R70" s="52" t="e">
        <f>IF(Companies_CAD[[#This Row],[12 Mo. Ret.]]&gt;Return12Mo_Grn,1,IF(Companies_CAD[[#This Row],[12 Mo. Ret.]]&lt;Return12Mo_Red,-1,0))</f>
        <v>#N/A</v>
      </c>
      <c r="S70" s="52" t="e">
        <f>IF(Companies_CAD[[#This Row],[PSR]]&lt;PSR_Green,1,IF(Companies_CAD[[#This Row],[PSR]]&gt;PSR_Red,-1,0))</f>
        <v>#N/A</v>
      </c>
      <c r="T70" s="52" t="e">
        <f>IF(Companies_CAD[[#This Row],[Financial Health]]&lt;"C",1,IF(Companies_CAD[[#This Row],[Financial Health]]&gt;"C",-1,0))</f>
        <v>#N/A</v>
      </c>
      <c r="U70" s="52" t="e">
        <f>IF(Companies_CAD[[#This Row],[PFV]]&lt;PFV_Green,1,IF(Companies_CAD[[#This Row],[PFV]]&gt;PFV_Red,-1,0))</f>
        <v>#N/A</v>
      </c>
    </row>
    <row r="71" spans="2:21" s="52" customFormat="1" ht="25.15" customHeight="1" x14ac:dyDescent="0.25">
      <c r="B71" s="11" t="s">
        <v>469</v>
      </c>
      <c r="C71" s="11" t="e">
        <f>VLOOKUP(Companies_CAD[[#This Row],[Symbol]],ColStart_CAD:ColEnd_CAD,MATCH("Name",Morningstar_Cols_CAD,EXACT_MATCH),EXACT_MATCH)</f>
        <v>#N/A</v>
      </c>
      <c r="D71" s="81" t="e">
        <f>VLOOKUP(Companies_CAD[[#This Row],[Symbol]],ColStart_CAD:ColEnd_CAD,MATCH("$ Current Price",Morningstar_Cols_CAD,EXACT_MATCH),EXACT_MATCH)</f>
        <v>#N/A</v>
      </c>
      <c r="E71" s="84" t="e">
        <f>VLOOKUP(Companies_CAD[[#This Row],[Symbol]],ColStart_CAD:ColEnd_CAD,MATCH("$ Change",Morningstar_Cols_CAD,EXACT_MATCH),EXACT_MATCH)</f>
        <v>#N/A</v>
      </c>
      <c r="F71" s="82" t="e">
        <f>IF(Companies_CAD[[#This Row],[$ Change]]&lt;&gt;0,Companies_CAD[[#This Row],[$ Change]]/(Companies_CAD[[#This Row],[Last Close]]-Companies_CAD[[#This Row],[$ Change]]),0)</f>
        <v>#N/A</v>
      </c>
      <c r="G71" s="11" t="e">
        <f>VLOOKUP(Companies_CAD[[#This Row],[Symbol]],ColStart_CAD:ColEnd_CAD,MATCH("Industry Group",Morningstar_Cols_CAD,EXACT_MATCH),EXACT_MATCH)</f>
        <v>#N/A</v>
      </c>
      <c r="H71" s="114" t="e">
        <f>VLOOKUP(Companies_CAD[[#This Row],[Symbol]],ColStart_CAD:ColEnd_CAD,MATCH("mil$ Market Cap",Morningstar_Cols_CAD,EXACT_MATCH),EXACT_MATCH)</f>
        <v>#N/A</v>
      </c>
      <c r="I71" s="115" t="e">
        <f>VLOOKUP(Companies_CAD[[#This Row],[Symbol]],ColStart_CAD:ColEnd_CAD,MATCH("%  Total Return 3 Month",Morningstar_Cols_CAD,EXACT_MATCH),EXACT_MATCH)/100</f>
        <v>#N/A</v>
      </c>
      <c r="J71" s="115" t="e">
        <f>VLOOKUP(Companies_CAD[[#This Row],[Symbol]],ColStart_CAD:ColEnd_CAD,MATCH("%  Total Return 12 Month",Morningstar_Cols_CAD,EXACT_MATCH),EXACT_MATCH)/100</f>
        <v>#N/A</v>
      </c>
      <c r="K71" s="116" t="e">
        <f>VLOOKUP(Companies_CAD[[#This Row],[Symbol]],ColStart_CAD:ColEnd_CAD,MATCH("Price/ Sales",Morningstar_Cols_CAD,EXACT_MATCH),EXACT_MATCH)</f>
        <v>#N/A</v>
      </c>
      <c r="L71" s="117" t="e">
        <f>VLOOKUP(Companies_CAD[[#This Row],[Symbol]],ColStart_CAD:ColEnd_CAD,MATCH("Price/ Fair Value",Morningstar_Cols_CAD,EXACT_MATCH),EXACT_MATCH)</f>
        <v>#N/A</v>
      </c>
      <c r="M71" s="118" t="e">
        <f>VLOOKUP(Companies_CAD[[#This Row],[Symbol]],ColStart_CAD:ColEnd_CAD,MATCH("Financial  Health Grade",Morningstar_Cols_CAD,EXACT_MATCH),EXACT_MATCH)</f>
        <v>#N/A</v>
      </c>
      <c r="N71" s="107" t="e">
        <f>VLOOKUP(Companies_CAD[[#This Row],[Symbol]],ColStart_CAD:ColEnd_CAD,MATCH("% Dividend Yield TTM",Morningstar_Cols_CAD,EXACT_MATCH),EXACT_MATCH)/100</f>
        <v>#N/A</v>
      </c>
      <c r="O71" s="94" t="e">
        <f>RatingDefault+SUM(Companies_CAD[[#This Row],[3MoPoints]:[PFVPoints]])</f>
        <v>#N/A</v>
      </c>
      <c r="P71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71" s="52" t="e">
        <f>IF(Companies_CAD[[#This Row],[3 Mo. Ret.]]&gt;Return3Mo_Grn,1,IF(Companies_CAD[[#This Row],[3 Mo. Ret.]]&lt;Return3Mo_Red,-1,0))</f>
        <v>#N/A</v>
      </c>
      <c r="R71" s="52" t="e">
        <f>IF(Companies_CAD[[#This Row],[12 Mo. Ret.]]&gt;Return12Mo_Grn,1,IF(Companies_CAD[[#This Row],[12 Mo. Ret.]]&lt;Return12Mo_Red,-1,0))</f>
        <v>#N/A</v>
      </c>
      <c r="S71" s="52" t="e">
        <f>IF(Companies_CAD[[#This Row],[PSR]]&lt;PSR_Green,1,IF(Companies_CAD[[#This Row],[PSR]]&gt;PSR_Red,-1,0))</f>
        <v>#N/A</v>
      </c>
      <c r="T71" s="52" t="e">
        <f>IF(Companies_CAD[[#This Row],[Financial Health]]&lt;"C",1,IF(Companies_CAD[[#This Row],[Financial Health]]&gt;"C",-1,0))</f>
        <v>#N/A</v>
      </c>
      <c r="U71" s="52" t="e">
        <f>IF(Companies_CAD[[#This Row],[PFV]]&lt;PFV_Green,1,IF(Companies_CAD[[#This Row],[PFV]]&gt;PFV_Red,-1,0))</f>
        <v>#N/A</v>
      </c>
    </row>
    <row r="72" spans="2:21" s="52" customFormat="1" ht="25.15" customHeight="1" x14ac:dyDescent="0.25">
      <c r="B72" s="11" t="s">
        <v>524</v>
      </c>
      <c r="C72" s="11" t="e">
        <f>VLOOKUP(Companies_CAD[[#This Row],[Symbol]],ColStart_CAD:ColEnd_CAD,MATCH("Name",Morningstar_Cols_CAD,EXACT_MATCH),EXACT_MATCH)</f>
        <v>#N/A</v>
      </c>
      <c r="D72" s="81" t="e">
        <f>VLOOKUP(Companies_CAD[[#This Row],[Symbol]],ColStart_CAD:ColEnd_CAD,MATCH("$ Current Price",Morningstar_Cols_CAD,EXACT_MATCH),EXACT_MATCH)</f>
        <v>#N/A</v>
      </c>
      <c r="E72" s="84" t="e">
        <f>VLOOKUP(Companies_CAD[[#This Row],[Symbol]],ColStart_CAD:ColEnd_CAD,MATCH("$ Change",Morningstar_Cols_CAD,EXACT_MATCH),EXACT_MATCH)</f>
        <v>#N/A</v>
      </c>
      <c r="F72" s="82" t="e">
        <f>IF(Companies_CAD[[#This Row],[$ Change]]&lt;&gt;0,Companies_CAD[[#This Row],[$ Change]]/(Companies_CAD[[#This Row],[Last Close]]-Companies_CAD[[#This Row],[$ Change]]),0)</f>
        <v>#N/A</v>
      </c>
      <c r="G72" s="11" t="e">
        <f>VLOOKUP(Companies_CAD[[#This Row],[Symbol]],ColStart_CAD:ColEnd_CAD,MATCH("Industry Group",Morningstar_Cols_CAD,EXACT_MATCH),EXACT_MATCH)</f>
        <v>#N/A</v>
      </c>
      <c r="H72" s="114" t="e">
        <f>VLOOKUP(Companies_CAD[[#This Row],[Symbol]],ColStart_CAD:ColEnd_CAD,MATCH("mil$ Market Cap",Morningstar_Cols_CAD,EXACT_MATCH),EXACT_MATCH)</f>
        <v>#N/A</v>
      </c>
      <c r="I72" s="115" t="e">
        <f>VLOOKUP(Companies_CAD[[#This Row],[Symbol]],ColStart_CAD:ColEnd_CAD,MATCH("%  Total Return 3 Month",Morningstar_Cols_CAD,EXACT_MATCH),EXACT_MATCH)/100</f>
        <v>#N/A</v>
      </c>
      <c r="J72" s="115" t="e">
        <f>VLOOKUP(Companies_CAD[[#This Row],[Symbol]],ColStart_CAD:ColEnd_CAD,MATCH("%  Total Return 12 Month",Morningstar_Cols_CAD,EXACT_MATCH),EXACT_MATCH)/100</f>
        <v>#N/A</v>
      </c>
      <c r="K72" s="116" t="e">
        <f>VLOOKUP(Companies_CAD[[#This Row],[Symbol]],ColStart_CAD:ColEnd_CAD,MATCH("Price/ Sales",Morningstar_Cols_CAD,EXACT_MATCH),EXACT_MATCH)</f>
        <v>#N/A</v>
      </c>
      <c r="L72" s="117" t="e">
        <f>VLOOKUP(Companies_CAD[[#This Row],[Symbol]],ColStart_CAD:ColEnd_CAD,MATCH("Price/ Fair Value",Morningstar_Cols_CAD,EXACT_MATCH),EXACT_MATCH)</f>
        <v>#N/A</v>
      </c>
      <c r="M72" s="118" t="e">
        <f>VLOOKUP(Companies_CAD[[#This Row],[Symbol]],ColStart_CAD:ColEnd_CAD,MATCH("Financial  Health Grade",Morningstar_Cols_CAD,EXACT_MATCH),EXACT_MATCH)</f>
        <v>#N/A</v>
      </c>
      <c r="N72" s="107" t="e">
        <f>VLOOKUP(Companies_CAD[[#This Row],[Symbol]],ColStart_CAD:ColEnd_CAD,MATCH("% Dividend Yield TTM",Morningstar_Cols_CAD,EXACT_MATCH),EXACT_MATCH)/100</f>
        <v>#N/A</v>
      </c>
      <c r="O72" s="94" t="e">
        <f>RatingDefault+SUM(Companies_CAD[[#This Row],[3MoPoints]:[PFVPoints]])</f>
        <v>#N/A</v>
      </c>
      <c r="P72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72" s="52" t="e">
        <f>IF(Companies_CAD[[#This Row],[3 Mo. Ret.]]&gt;Return3Mo_Grn,1,IF(Companies_CAD[[#This Row],[3 Mo. Ret.]]&lt;Return3Mo_Red,-1,0))</f>
        <v>#N/A</v>
      </c>
      <c r="R72" s="52" t="e">
        <f>IF(Companies_CAD[[#This Row],[12 Mo. Ret.]]&gt;Return12Mo_Grn,1,IF(Companies_CAD[[#This Row],[12 Mo. Ret.]]&lt;Return12Mo_Red,-1,0))</f>
        <v>#N/A</v>
      </c>
      <c r="S72" s="52" t="e">
        <f>IF(Companies_CAD[[#This Row],[PSR]]&lt;PSR_Green,1,IF(Companies_CAD[[#This Row],[PSR]]&gt;PSR_Red,-1,0))</f>
        <v>#N/A</v>
      </c>
      <c r="T72" s="52" t="e">
        <f>IF(Companies_CAD[[#This Row],[Financial Health]]&lt;"C",1,IF(Companies_CAD[[#This Row],[Financial Health]]&gt;"C",-1,0))</f>
        <v>#N/A</v>
      </c>
      <c r="U72" s="52" t="e">
        <f>IF(Companies_CAD[[#This Row],[PFV]]&lt;PFV_Green,1,IF(Companies_CAD[[#This Row],[PFV]]&gt;PFV_Red,-1,0))</f>
        <v>#N/A</v>
      </c>
    </row>
    <row r="73" spans="2:21" s="52" customFormat="1" ht="25.15" customHeight="1" x14ac:dyDescent="0.25">
      <c r="B73" s="11" t="s">
        <v>535</v>
      </c>
      <c r="C73" s="11" t="e">
        <f>VLOOKUP(Companies_CAD[[#This Row],[Symbol]],ColStart_CAD:ColEnd_CAD,MATCH("Name",Morningstar_Cols_CAD,EXACT_MATCH),EXACT_MATCH)</f>
        <v>#N/A</v>
      </c>
      <c r="D73" s="81" t="e">
        <f>VLOOKUP(Companies_CAD[[#This Row],[Symbol]],ColStart_CAD:ColEnd_CAD,MATCH("$ Current Price",Morningstar_Cols_CAD,EXACT_MATCH),EXACT_MATCH)</f>
        <v>#N/A</v>
      </c>
      <c r="E73" s="84" t="e">
        <f>VLOOKUP(Companies_CAD[[#This Row],[Symbol]],ColStart_CAD:ColEnd_CAD,MATCH("$ Change",Morningstar_Cols_CAD,EXACT_MATCH),EXACT_MATCH)</f>
        <v>#N/A</v>
      </c>
      <c r="F73" s="82" t="e">
        <f>IF(Companies_CAD[[#This Row],[$ Change]]&lt;&gt;0,Companies_CAD[[#This Row],[$ Change]]/(Companies_CAD[[#This Row],[Last Close]]-Companies_CAD[[#This Row],[$ Change]]),0)</f>
        <v>#N/A</v>
      </c>
      <c r="G73" s="11" t="e">
        <f>VLOOKUP(Companies_CAD[[#This Row],[Symbol]],ColStart_CAD:ColEnd_CAD,MATCH("Industry Group",Morningstar_Cols_CAD,EXACT_MATCH),EXACT_MATCH)</f>
        <v>#N/A</v>
      </c>
      <c r="H73" s="114" t="e">
        <f>VLOOKUP(Companies_CAD[[#This Row],[Symbol]],ColStart_CAD:ColEnd_CAD,MATCH("mil$ Market Cap",Morningstar_Cols_CAD,EXACT_MATCH),EXACT_MATCH)</f>
        <v>#N/A</v>
      </c>
      <c r="I73" s="115" t="e">
        <f>VLOOKUP(Companies_CAD[[#This Row],[Symbol]],ColStart_CAD:ColEnd_CAD,MATCH("%  Total Return 3 Month",Morningstar_Cols_CAD,EXACT_MATCH),EXACT_MATCH)/100</f>
        <v>#N/A</v>
      </c>
      <c r="J73" s="115" t="e">
        <f>VLOOKUP(Companies_CAD[[#This Row],[Symbol]],ColStart_CAD:ColEnd_CAD,MATCH("%  Total Return 12 Month",Morningstar_Cols_CAD,EXACT_MATCH),EXACT_MATCH)/100</f>
        <v>#N/A</v>
      </c>
      <c r="K73" s="116" t="e">
        <f>VLOOKUP(Companies_CAD[[#This Row],[Symbol]],ColStart_CAD:ColEnd_CAD,MATCH("Price/ Sales",Morningstar_Cols_CAD,EXACT_MATCH),EXACT_MATCH)</f>
        <v>#N/A</v>
      </c>
      <c r="L73" s="117" t="e">
        <f>VLOOKUP(Companies_CAD[[#This Row],[Symbol]],ColStart_CAD:ColEnd_CAD,MATCH("Price/ Fair Value",Morningstar_Cols_CAD,EXACT_MATCH),EXACT_MATCH)</f>
        <v>#N/A</v>
      </c>
      <c r="M73" s="118" t="e">
        <f>VLOOKUP(Companies_CAD[[#This Row],[Symbol]],ColStart_CAD:ColEnd_CAD,MATCH("Financial  Health Grade",Morningstar_Cols_CAD,EXACT_MATCH),EXACT_MATCH)</f>
        <v>#N/A</v>
      </c>
      <c r="N73" s="107" t="e">
        <f>VLOOKUP(Companies_CAD[[#This Row],[Symbol]],ColStart_CAD:ColEnd_CAD,MATCH("% Dividend Yield TTM",Morningstar_Cols_CAD,EXACT_MATCH),EXACT_MATCH)/100</f>
        <v>#N/A</v>
      </c>
      <c r="O73" s="94" t="e">
        <f>RatingDefault+SUM(Companies_CAD[[#This Row],[3MoPoints]:[PFVPoints]])</f>
        <v>#N/A</v>
      </c>
      <c r="P73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73" s="52" t="e">
        <f>IF(Companies_CAD[[#This Row],[3 Mo. Ret.]]&gt;Return3Mo_Grn,1,IF(Companies_CAD[[#This Row],[3 Mo. Ret.]]&lt;Return3Mo_Red,-1,0))</f>
        <v>#N/A</v>
      </c>
      <c r="R73" s="52" t="e">
        <f>IF(Companies_CAD[[#This Row],[12 Mo. Ret.]]&gt;Return12Mo_Grn,1,IF(Companies_CAD[[#This Row],[12 Mo. Ret.]]&lt;Return12Mo_Red,-1,0))</f>
        <v>#N/A</v>
      </c>
      <c r="S73" s="52" t="e">
        <f>IF(Companies_CAD[[#This Row],[PSR]]&lt;PSR_Green,1,IF(Companies_CAD[[#This Row],[PSR]]&gt;PSR_Red,-1,0))</f>
        <v>#N/A</v>
      </c>
      <c r="T73" s="52" t="e">
        <f>IF(Companies_CAD[[#This Row],[Financial Health]]&lt;"C",1,IF(Companies_CAD[[#This Row],[Financial Health]]&gt;"C",-1,0))</f>
        <v>#N/A</v>
      </c>
      <c r="U73" s="52" t="e">
        <f>IF(Companies_CAD[[#This Row],[PFV]]&lt;PFV_Green,1,IF(Companies_CAD[[#This Row],[PFV]]&gt;PFV_Red,-1,0))</f>
        <v>#N/A</v>
      </c>
    </row>
    <row r="74" spans="2:21" s="52" customFormat="1" ht="25.15" customHeight="1" x14ac:dyDescent="0.25">
      <c r="B74" s="11" t="s">
        <v>538</v>
      </c>
      <c r="C74" s="11" t="e">
        <f>VLOOKUP(Companies_CAD[[#This Row],[Symbol]],ColStart_CAD:ColEnd_CAD,MATCH("Name",Morningstar_Cols_CAD,EXACT_MATCH),EXACT_MATCH)</f>
        <v>#N/A</v>
      </c>
      <c r="D74" s="81" t="e">
        <f>VLOOKUP(Companies_CAD[[#This Row],[Symbol]],ColStart_CAD:ColEnd_CAD,MATCH("$ Current Price",Morningstar_Cols_CAD,EXACT_MATCH),EXACT_MATCH)</f>
        <v>#N/A</v>
      </c>
      <c r="E74" s="84" t="e">
        <f>VLOOKUP(Companies_CAD[[#This Row],[Symbol]],ColStart_CAD:ColEnd_CAD,MATCH("$ Change",Morningstar_Cols_CAD,EXACT_MATCH),EXACT_MATCH)</f>
        <v>#N/A</v>
      </c>
      <c r="F74" s="82" t="e">
        <f>IF(Companies_CAD[[#This Row],[$ Change]]&lt;&gt;0,Companies_CAD[[#This Row],[$ Change]]/(Companies_CAD[[#This Row],[Last Close]]-Companies_CAD[[#This Row],[$ Change]]),0)</f>
        <v>#N/A</v>
      </c>
      <c r="G74" s="11" t="e">
        <f>VLOOKUP(Companies_CAD[[#This Row],[Symbol]],ColStart_CAD:ColEnd_CAD,MATCH("Industry Group",Morningstar_Cols_CAD,EXACT_MATCH),EXACT_MATCH)</f>
        <v>#N/A</v>
      </c>
      <c r="H74" s="114" t="e">
        <f>VLOOKUP(Companies_CAD[[#This Row],[Symbol]],ColStart_CAD:ColEnd_CAD,MATCH("mil$ Market Cap",Morningstar_Cols_CAD,EXACT_MATCH),EXACT_MATCH)</f>
        <v>#N/A</v>
      </c>
      <c r="I74" s="115" t="e">
        <f>VLOOKUP(Companies_CAD[[#This Row],[Symbol]],ColStart_CAD:ColEnd_CAD,MATCH("%  Total Return 3 Month",Morningstar_Cols_CAD,EXACT_MATCH),EXACT_MATCH)/100</f>
        <v>#N/A</v>
      </c>
      <c r="J74" s="115" t="e">
        <f>VLOOKUP(Companies_CAD[[#This Row],[Symbol]],ColStart_CAD:ColEnd_CAD,MATCH("%  Total Return 12 Month",Morningstar_Cols_CAD,EXACT_MATCH),EXACT_MATCH)/100</f>
        <v>#N/A</v>
      </c>
      <c r="K74" s="116" t="e">
        <f>VLOOKUP(Companies_CAD[[#This Row],[Symbol]],ColStart_CAD:ColEnd_CAD,MATCH("Price/ Sales",Morningstar_Cols_CAD,EXACT_MATCH),EXACT_MATCH)</f>
        <v>#N/A</v>
      </c>
      <c r="L74" s="117" t="e">
        <f>VLOOKUP(Companies_CAD[[#This Row],[Symbol]],ColStart_CAD:ColEnd_CAD,MATCH("Price/ Fair Value",Morningstar_Cols_CAD,EXACT_MATCH),EXACT_MATCH)</f>
        <v>#N/A</v>
      </c>
      <c r="M74" s="118" t="e">
        <f>VLOOKUP(Companies_CAD[[#This Row],[Symbol]],ColStart_CAD:ColEnd_CAD,MATCH("Financial  Health Grade",Morningstar_Cols_CAD,EXACT_MATCH),EXACT_MATCH)</f>
        <v>#N/A</v>
      </c>
      <c r="N74" s="107" t="e">
        <f>VLOOKUP(Companies_CAD[[#This Row],[Symbol]],ColStart_CAD:ColEnd_CAD,MATCH("% Dividend Yield TTM",Morningstar_Cols_CAD,EXACT_MATCH),EXACT_MATCH)/100</f>
        <v>#N/A</v>
      </c>
      <c r="O74" s="94" t="e">
        <f>RatingDefault+SUM(Companies_CAD[[#This Row],[3MoPoints]:[PFVPoints]])</f>
        <v>#N/A</v>
      </c>
      <c r="P74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74" s="52" t="e">
        <f>IF(Companies_CAD[[#This Row],[3 Mo. Ret.]]&gt;Return3Mo_Grn,1,IF(Companies_CAD[[#This Row],[3 Mo. Ret.]]&lt;Return3Mo_Red,-1,0))</f>
        <v>#N/A</v>
      </c>
      <c r="R74" s="52" t="e">
        <f>IF(Companies_CAD[[#This Row],[12 Mo. Ret.]]&gt;Return12Mo_Grn,1,IF(Companies_CAD[[#This Row],[12 Mo. Ret.]]&lt;Return12Mo_Red,-1,0))</f>
        <v>#N/A</v>
      </c>
      <c r="S74" s="52" t="e">
        <f>IF(Companies_CAD[[#This Row],[PSR]]&lt;PSR_Green,1,IF(Companies_CAD[[#This Row],[PSR]]&gt;PSR_Red,-1,0))</f>
        <v>#N/A</v>
      </c>
      <c r="T74" s="52" t="e">
        <f>IF(Companies_CAD[[#This Row],[Financial Health]]&lt;"C",1,IF(Companies_CAD[[#This Row],[Financial Health]]&gt;"C",-1,0))</f>
        <v>#N/A</v>
      </c>
      <c r="U74" s="52" t="e">
        <f>IF(Companies_CAD[[#This Row],[PFV]]&lt;PFV_Green,1,IF(Companies_CAD[[#This Row],[PFV]]&gt;PFV_Red,-1,0))</f>
        <v>#N/A</v>
      </c>
    </row>
    <row r="75" spans="2:21" s="52" customFormat="1" ht="25.15" customHeight="1" x14ac:dyDescent="0.25">
      <c r="B75" s="11" t="s">
        <v>470</v>
      </c>
      <c r="C75" s="11" t="e">
        <f>VLOOKUP(Companies_CAD[[#This Row],[Symbol]],ColStart_CAD:ColEnd_CAD,MATCH("Name",Morningstar_Cols_CAD,EXACT_MATCH),EXACT_MATCH)</f>
        <v>#N/A</v>
      </c>
      <c r="D75" s="81" t="e">
        <f>VLOOKUP(Companies_CAD[[#This Row],[Symbol]],ColStart_CAD:ColEnd_CAD,MATCH("$ Current Price",Morningstar_Cols_CAD,EXACT_MATCH),EXACT_MATCH)</f>
        <v>#N/A</v>
      </c>
      <c r="E75" s="84" t="e">
        <f>VLOOKUP(Companies_CAD[[#This Row],[Symbol]],ColStart_CAD:ColEnd_CAD,MATCH("$ Change",Morningstar_Cols_CAD,EXACT_MATCH),EXACT_MATCH)</f>
        <v>#N/A</v>
      </c>
      <c r="F75" s="82" t="e">
        <f>IF(Companies_CAD[[#This Row],[$ Change]]&lt;&gt;0,Companies_CAD[[#This Row],[$ Change]]/(Companies_CAD[[#This Row],[Last Close]]-Companies_CAD[[#This Row],[$ Change]]),0)</f>
        <v>#N/A</v>
      </c>
      <c r="G75" s="11" t="e">
        <f>VLOOKUP(Companies_CAD[[#This Row],[Symbol]],ColStart_CAD:ColEnd_CAD,MATCH("Industry Group",Morningstar_Cols_CAD,EXACT_MATCH),EXACT_MATCH)</f>
        <v>#N/A</v>
      </c>
      <c r="H75" s="114" t="e">
        <f>VLOOKUP(Companies_CAD[[#This Row],[Symbol]],ColStart_CAD:ColEnd_CAD,MATCH("mil$ Market Cap",Morningstar_Cols_CAD,EXACT_MATCH),EXACT_MATCH)</f>
        <v>#N/A</v>
      </c>
      <c r="I75" s="115" t="e">
        <f>VLOOKUP(Companies_CAD[[#This Row],[Symbol]],ColStart_CAD:ColEnd_CAD,MATCH("%  Total Return 3 Month",Morningstar_Cols_CAD,EXACT_MATCH),EXACT_MATCH)/100</f>
        <v>#N/A</v>
      </c>
      <c r="J75" s="115" t="e">
        <f>VLOOKUP(Companies_CAD[[#This Row],[Symbol]],ColStart_CAD:ColEnd_CAD,MATCH("%  Total Return 12 Month",Morningstar_Cols_CAD,EXACT_MATCH),EXACT_MATCH)/100</f>
        <v>#N/A</v>
      </c>
      <c r="K75" s="116" t="e">
        <f>VLOOKUP(Companies_CAD[[#This Row],[Symbol]],ColStart_CAD:ColEnd_CAD,MATCH("Price/ Sales",Morningstar_Cols_CAD,EXACT_MATCH),EXACT_MATCH)</f>
        <v>#N/A</v>
      </c>
      <c r="L75" s="117" t="e">
        <f>VLOOKUP(Companies_CAD[[#This Row],[Symbol]],ColStart_CAD:ColEnd_CAD,MATCH("Price/ Fair Value",Morningstar_Cols_CAD,EXACT_MATCH),EXACT_MATCH)</f>
        <v>#N/A</v>
      </c>
      <c r="M75" s="118" t="e">
        <f>VLOOKUP(Companies_CAD[[#This Row],[Symbol]],ColStart_CAD:ColEnd_CAD,MATCH("Financial  Health Grade",Morningstar_Cols_CAD,EXACT_MATCH),EXACT_MATCH)</f>
        <v>#N/A</v>
      </c>
      <c r="N75" s="107" t="e">
        <f>VLOOKUP(Companies_CAD[[#This Row],[Symbol]],ColStart_CAD:ColEnd_CAD,MATCH("% Dividend Yield TTM",Morningstar_Cols_CAD,EXACT_MATCH),EXACT_MATCH)/100</f>
        <v>#N/A</v>
      </c>
      <c r="O75" s="94" t="e">
        <f>RatingDefault+SUM(Companies_CAD[[#This Row],[3MoPoints]:[PFVPoints]])</f>
        <v>#N/A</v>
      </c>
      <c r="P75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75" s="52" t="e">
        <f>IF(Companies_CAD[[#This Row],[3 Mo. Ret.]]&gt;Return3Mo_Grn,1,IF(Companies_CAD[[#This Row],[3 Mo. Ret.]]&lt;Return3Mo_Red,-1,0))</f>
        <v>#N/A</v>
      </c>
      <c r="R75" s="52" t="e">
        <f>IF(Companies_CAD[[#This Row],[12 Mo. Ret.]]&gt;Return12Mo_Grn,1,IF(Companies_CAD[[#This Row],[12 Mo. Ret.]]&lt;Return12Mo_Red,-1,0))</f>
        <v>#N/A</v>
      </c>
      <c r="S75" s="52" t="e">
        <f>IF(Companies_CAD[[#This Row],[PSR]]&lt;PSR_Green,1,IF(Companies_CAD[[#This Row],[PSR]]&gt;PSR_Red,-1,0))</f>
        <v>#N/A</v>
      </c>
      <c r="T75" s="52" t="e">
        <f>IF(Companies_CAD[[#This Row],[Financial Health]]&lt;"C",1,IF(Companies_CAD[[#This Row],[Financial Health]]&gt;"C",-1,0))</f>
        <v>#N/A</v>
      </c>
      <c r="U75" s="52" t="e">
        <f>IF(Companies_CAD[[#This Row],[PFV]]&lt;PFV_Green,1,IF(Companies_CAD[[#This Row],[PFV]]&gt;PFV_Red,-1,0))</f>
        <v>#N/A</v>
      </c>
    </row>
    <row r="76" spans="2:21" s="52" customFormat="1" ht="25.15" customHeight="1" x14ac:dyDescent="0.25">
      <c r="B76" s="11" t="s">
        <v>534</v>
      </c>
      <c r="C76" s="11" t="e">
        <f>VLOOKUP(Companies_CAD[[#This Row],[Symbol]],ColStart_CAD:ColEnd_CAD,MATCH("Name",Morningstar_Cols_CAD,EXACT_MATCH),EXACT_MATCH)</f>
        <v>#N/A</v>
      </c>
      <c r="D76" s="81" t="e">
        <f>VLOOKUP(Companies_CAD[[#This Row],[Symbol]],ColStart_CAD:ColEnd_CAD,MATCH("$ Current Price",Morningstar_Cols_CAD,EXACT_MATCH),EXACT_MATCH)</f>
        <v>#N/A</v>
      </c>
      <c r="E76" s="84" t="e">
        <f>VLOOKUP(Companies_CAD[[#This Row],[Symbol]],ColStart_CAD:ColEnd_CAD,MATCH("$ Change",Morningstar_Cols_CAD,EXACT_MATCH),EXACT_MATCH)</f>
        <v>#N/A</v>
      </c>
      <c r="F76" s="82" t="e">
        <f>IF(Companies_CAD[[#This Row],[$ Change]]&lt;&gt;0,Companies_CAD[[#This Row],[$ Change]]/(Companies_CAD[[#This Row],[Last Close]]-Companies_CAD[[#This Row],[$ Change]]),0)</f>
        <v>#N/A</v>
      </c>
      <c r="G76" s="11" t="e">
        <f>VLOOKUP(Companies_CAD[[#This Row],[Symbol]],ColStart_CAD:ColEnd_CAD,MATCH("Industry Group",Morningstar_Cols_CAD,EXACT_MATCH),EXACT_MATCH)</f>
        <v>#N/A</v>
      </c>
      <c r="H76" s="114" t="e">
        <f>VLOOKUP(Companies_CAD[[#This Row],[Symbol]],ColStart_CAD:ColEnd_CAD,MATCH("mil$ Market Cap",Morningstar_Cols_CAD,EXACT_MATCH),EXACT_MATCH)</f>
        <v>#N/A</v>
      </c>
      <c r="I76" s="115" t="e">
        <f>VLOOKUP(Companies_CAD[[#This Row],[Symbol]],ColStart_CAD:ColEnd_CAD,MATCH("%  Total Return 3 Month",Morningstar_Cols_CAD,EXACT_MATCH),EXACT_MATCH)/100</f>
        <v>#N/A</v>
      </c>
      <c r="J76" s="115" t="e">
        <f>VLOOKUP(Companies_CAD[[#This Row],[Symbol]],ColStart_CAD:ColEnd_CAD,MATCH("%  Total Return 12 Month",Morningstar_Cols_CAD,EXACT_MATCH),EXACT_MATCH)/100</f>
        <v>#N/A</v>
      </c>
      <c r="K76" s="116" t="e">
        <f>VLOOKUP(Companies_CAD[[#This Row],[Symbol]],ColStart_CAD:ColEnd_CAD,MATCH("Price/ Sales",Morningstar_Cols_CAD,EXACT_MATCH),EXACT_MATCH)</f>
        <v>#N/A</v>
      </c>
      <c r="L76" s="117" t="e">
        <f>VLOOKUP(Companies_CAD[[#This Row],[Symbol]],ColStart_CAD:ColEnd_CAD,MATCH("Price/ Fair Value",Morningstar_Cols_CAD,EXACT_MATCH),EXACT_MATCH)</f>
        <v>#N/A</v>
      </c>
      <c r="M76" s="118" t="e">
        <f>VLOOKUP(Companies_CAD[[#This Row],[Symbol]],ColStart_CAD:ColEnd_CAD,MATCH("Financial  Health Grade",Morningstar_Cols_CAD,EXACT_MATCH),EXACT_MATCH)</f>
        <v>#N/A</v>
      </c>
      <c r="N76" s="107" t="e">
        <f>VLOOKUP(Companies_CAD[[#This Row],[Symbol]],ColStart_CAD:ColEnd_CAD,MATCH("% Dividend Yield TTM",Morningstar_Cols_CAD,EXACT_MATCH),EXACT_MATCH)/100</f>
        <v>#N/A</v>
      </c>
      <c r="O76" s="94" t="e">
        <f>RatingDefault+SUM(Companies_CAD[[#This Row],[3MoPoints]:[PFVPoints]])</f>
        <v>#N/A</v>
      </c>
      <c r="P76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76" s="52" t="e">
        <f>IF(Companies_CAD[[#This Row],[3 Mo. Ret.]]&gt;Return3Mo_Grn,1,IF(Companies_CAD[[#This Row],[3 Mo. Ret.]]&lt;Return3Mo_Red,-1,0))</f>
        <v>#N/A</v>
      </c>
      <c r="R76" s="52" t="e">
        <f>IF(Companies_CAD[[#This Row],[12 Mo. Ret.]]&gt;Return12Mo_Grn,1,IF(Companies_CAD[[#This Row],[12 Mo. Ret.]]&lt;Return12Mo_Red,-1,0))</f>
        <v>#N/A</v>
      </c>
      <c r="S76" s="52" t="e">
        <f>IF(Companies_CAD[[#This Row],[PSR]]&lt;PSR_Green,1,IF(Companies_CAD[[#This Row],[PSR]]&gt;PSR_Red,-1,0))</f>
        <v>#N/A</v>
      </c>
      <c r="T76" s="52" t="e">
        <f>IF(Companies_CAD[[#This Row],[Financial Health]]&lt;"C",1,IF(Companies_CAD[[#This Row],[Financial Health]]&gt;"C",-1,0))</f>
        <v>#N/A</v>
      </c>
      <c r="U76" s="52" t="e">
        <f>IF(Companies_CAD[[#This Row],[PFV]]&lt;PFV_Green,1,IF(Companies_CAD[[#This Row],[PFV]]&gt;PFV_Red,-1,0))</f>
        <v>#N/A</v>
      </c>
    </row>
    <row r="77" spans="2:21" s="52" customFormat="1" ht="25.15" customHeight="1" x14ac:dyDescent="0.25">
      <c r="B77" s="11" t="s">
        <v>471</v>
      </c>
      <c r="C77" s="11" t="e">
        <f>VLOOKUP(Companies_CAD[[#This Row],[Symbol]],ColStart_CAD:ColEnd_CAD,MATCH("Name",Morningstar_Cols_CAD,EXACT_MATCH),EXACT_MATCH)</f>
        <v>#N/A</v>
      </c>
      <c r="D77" s="81" t="e">
        <f>VLOOKUP(Companies_CAD[[#This Row],[Symbol]],ColStart_CAD:ColEnd_CAD,MATCH("$ Current Price",Morningstar_Cols_CAD,EXACT_MATCH),EXACT_MATCH)</f>
        <v>#N/A</v>
      </c>
      <c r="E77" s="84" t="e">
        <f>VLOOKUP(Companies_CAD[[#This Row],[Symbol]],ColStart_CAD:ColEnd_CAD,MATCH("$ Change",Morningstar_Cols_CAD,EXACT_MATCH),EXACT_MATCH)</f>
        <v>#N/A</v>
      </c>
      <c r="F77" s="82" t="e">
        <f>IF(Companies_CAD[[#This Row],[$ Change]]&lt;&gt;0,Companies_CAD[[#This Row],[$ Change]]/(Companies_CAD[[#This Row],[Last Close]]-Companies_CAD[[#This Row],[$ Change]]),0)</f>
        <v>#N/A</v>
      </c>
      <c r="G77" s="11" t="e">
        <f>VLOOKUP(Companies_CAD[[#This Row],[Symbol]],ColStart_CAD:ColEnd_CAD,MATCH("Industry Group",Morningstar_Cols_CAD,EXACT_MATCH),EXACT_MATCH)</f>
        <v>#N/A</v>
      </c>
      <c r="H77" s="114" t="e">
        <f>VLOOKUP(Companies_CAD[[#This Row],[Symbol]],ColStart_CAD:ColEnd_CAD,MATCH("mil$ Market Cap",Morningstar_Cols_CAD,EXACT_MATCH),EXACT_MATCH)</f>
        <v>#N/A</v>
      </c>
      <c r="I77" s="115" t="e">
        <f>VLOOKUP(Companies_CAD[[#This Row],[Symbol]],ColStart_CAD:ColEnd_CAD,MATCH("%  Total Return 3 Month",Morningstar_Cols_CAD,EXACT_MATCH),EXACT_MATCH)/100</f>
        <v>#N/A</v>
      </c>
      <c r="J77" s="115" t="e">
        <f>VLOOKUP(Companies_CAD[[#This Row],[Symbol]],ColStart_CAD:ColEnd_CAD,MATCH("%  Total Return 12 Month",Morningstar_Cols_CAD,EXACT_MATCH),EXACT_MATCH)/100</f>
        <v>#N/A</v>
      </c>
      <c r="K77" s="116" t="e">
        <f>VLOOKUP(Companies_CAD[[#This Row],[Symbol]],ColStart_CAD:ColEnd_CAD,MATCH("Price/ Sales",Morningstar_Cols_CAD,EXACT_MATCH),EXACT_MATCH)</f>
        <v>#N/A</v>
      </c>
      <c r="L77" s="117" t="e">
        <f>VLOOKUP(Companies_CAD[[#This Row],[Symbol]],ColStart_CAD:ColEnd_CAD,MATCH("Price/ Fair Value",Morningstar_Cols_CAD,EXACT_MATCH),EXACT_MATCH)</f>
        <v>#N/A</v>
      </c>
      <c r="M77" s="118" t="e">
        <f>VLOOKUP(Companies_CAD[[#This Row],[Symbol]],ColStart_CAD:ColEnd_CAD,MATCH("Financial  Health Grade",Morningstar_Cols_CAD,EXACT_MATCH),EXACT_MATCH)</f>
        <v>#N/A</v>
      </c>
      <c r="N77" s="107" t="e">
        <f>VLOOKUP(Companies_CAD[[#This Row],[Symbol]],ColStart_CAD:ColEnd_CAD,MATCH("% Dividend Yield TTM",Morningstar_Cols_CAD,EXACT_MATCH),EXACT_MATCH)/100</f>
        <v>#N/A</v>
      </c>
      <c r="O77" s="94" t="e">
        <f>RatingDefault+SUM(Companies_CAD[[#This Row],[3MoPoints]:[PFVPoints]])</f>
        <v>#N/A</v>
      </c>
      <c r="P77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77" s="52" t="e">
        <f>IF(Companies_CAD[[#This Row],[3 Mo. Ret.]]&gt;Return3Mo_Grn,1,IF(Companies_CAD[[#This Row],[3 Mo. Ret.]]&lt;Return3Mo_Red,-1,0))</f>
        <v>#N/A</v>
      </c>
      <c r="R77" s="52" t="e">
        <f>IF(Companies_CAD[[#This Row],[12 Mo. Ret.]]&gt;Return12Mo_Grn,1,IF(Companies_CAD[[#This Row],[12 Mo. Ret.]]&lt;Return12Mo_Red,-1,0))</f>
        <v>#N/A</v>
      </c>
      <c r="S77" s="52" t="e">
        <f>IF(Companies_CAD[[#This Row],[PSR]]&lt;PSR_Green,1,IF(Companies_CAD[[#This Row],[PSR]]&gt;PSR_Red,-1,0))</f>
        <v>#N/A</v>
      </c>
      <c r="T77" s="52" t="e">
        <f>IF(Companies_CAD[[#This Row],[Financial Health]]&lt;"C",1,IF(Companies_CAD[[#This Row],[Financial Health]]&gt;"C",-1,0))</f>
        <v>#N/A</v>
      </c>
      <c r="U77" s="52" t="e">
        <f>IF(Companies_CAD[[#This Row],[PFV]]&lt;PFV_Green,1,IF(Companies_CAD[[#This Row],[PFV]]&gt;PFV_Red,-1,0))</f>
        <v>#N/A</v>
      </c>
    </row>
    <row r="78" spans="2:21" s="52" customFormat="1" ht="25.15" customHeight="1" x14ac:dyDescent="0.25">
      <c r="B78" s="11" t="s">
        <v>539</v>
      </c>
      <c r="C78" s="11" t="e">
        <f>VLOOKUP(Companies_CAD[[#This Row],[Symbol]],ColStart_CAD:ColEnd_CAD,MATCH("Name",Morningstar_Cols_CAD,EXACT_MATCH),EXACT_MATCH)</f>
        <v>#N/A</v>
      </c>
      <c r="D78" s="81" t="e">
        <f>VLOOKUP(Companies_CAD[[#This Row],[Symbol]],ColStart_CAD:ColEnd_CAD,MATCH("$ Current Price",Morningstar_Cols_CAD,EXACT_MATCH),EXACT_MATCH)</f>
        <v>#N/A</v>
      </c>
      <c r="E78" s="84" t="e">
        <f>VLOOKUP(Companies_CAD[[#This Row],[Symbol]],ColStart_CAD:ColEnd_CAD,MATCH("$ Change",Morningstar_Cols_CAD,EXACT_MATCH),EXACT_MATCH)</f>
        <v>#N/A</v>
      </c>
      <c r="F78" s="82" t="e">
        <f>IF(Companies_CAD[[#This Row],[$ Change]]&lt;&gt;0,Companies_CAD[[#This Row],[$ Change]]/(Companies_CAD[[#This Row],[Last Close]]-Companies_CAD[[#This Row],[$ Change]]),0)</f>
        <v>#N/A</v>
      </c>
      <c r="G78" s="11" t="e">
        <f>VLOOKUP(Companies_CAD[[#This Row],[Symbol]],ColStart_CAD:ColEnd_CAD,MATCH("Industry Group",Morningstar_Cols_CAD,EXACT_MATCH),EXACT_MATCH)</f>
        <v>#N/A</v>
      </c>
      <c r="H78" s="114" t="e">
        <f>VLOOKUP(Companies_CAD[[#This Row],[Symbol]],ColStart_CAD:ColEnd_CAD,MATCH("mil$ Market Cap",Morningstar_Cols_CAD,EXACT_MATCH),EXACT_MATCH)</f>
        <v>#N/A</v>
      </c>
      <c r="I78" s="115" t="e">
        <f>VLOOKUP(Companies_CAD[[#This Row],[Symbol]],ColStart_CAD:ColEnd_CAD,MATCH("%  Total Return 3 Month",Morningstar_Cols_CAD,EXACT_MATCH),EXACT_MATCH)/100</f>
        <v>#N/A</v>
      </c>
      <c r="J78" s="115" t="e">
        <f>VLOOKUP(Companies_CAD[[#This Row],[Symbol]],ColStart_CAD:ColEnd_CAD,MATCH("%  Total Return 12 Month",Morningstar_Cols_CAD,EXACT_MATCH),EXACT_MATCH)/100</f>
        <v>#N/A</v>
      </c>
      <c r="K78" s="116" t="e">
        <f>VLOOKUP(Companies_CAD[[#This Row],[Symbol]],ColStart_CAD:ColEnd_CAD,MATCH("Price/ Sales",Morningstar_Cols_CAD,EXACT_MATCH),EXACT_MATCH)</f>
        <v>#N/A</v>
      </c>
      <c r="L78" s="117" t="e">
        <f>VLOOKUP(Companies_CAD[[#This Row],[Symbol]],ColStart_CAD:ColEnd_CAD,MATCH("Price/ Fair Value",Morningstar_Cols_CAD,EXACT_MATCH),EXACT_MATCH)</f>
        <v>#N/A</v>
      </c>
      <c r="M78" s="118" t="e">
        <f>VLOOKUP(Companies_CAD[[#This Row],[Symbol]],ColStart_CAD:ColEnd_CAD,MATCH("Financial  Health Grade",Morningstar_Cols_CAD,EXACT_MATCH),EXACT_MATCH)</f>
        <v>#N/A</v>
      </c>
      <c r="N78" s="107" t="e">
        <f>VLOOKUP(Companies_CAD[[#This Row],[Symbol]],ColStart_CAD:ColEnd_CAD,MATCH("% Dividend Yield TTM",Morningstar_Cols_CAD,EXACT_MATCH),EXACT_MATCH)/100</f>
        <v>#N/A</v>
      </c>
      <c r="O78" s="94" t="e">
        <f>RatingDefault+SUM(Companies_CAD[[#This Row],[3MoPoints]:[PFVPoints]])</f>
        <v>#N/A</v>
      </c>
      <c r="P78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78" s="52" t="e">
        <f>IF(Companies_CAD[[#This Row],[3 Mo. Ret.]]&gt;Return3Mo_Grn,1,IF(Companies_CAD[[#This Row],[3 Mo. Ret.]]&lt;Return3Mo_Red,-1,0))</f>
        <v>#N/A</v>
      </c>
      <c r="R78" s="52" t="e">
        <f>IF(Companies_CAD[[#This Row],[12 Mo. Ret.]]&gt;Return12Mo_Grn,1,IF(Companies_CAD[[#This Row],[12 Mo. Ret.]]&lt;Return12Mo_Red,-1,0))</f>
        <v>#N/A</v>
      </c>
      <c r="S78" s="52" t="e">
        <f>IF(Companies_CAD[[#This Row],[PSR]]&lt;PSR_Green,1,IF(Companies_CAD[[#This Row],[PSR]]&gt;PSR_Red,-1,0))</f>
        <v>#N/A</v>
      </c>
      <c r="T78" s="52" t="e">
        <f>IF(Companies_CAD[[#This Row],[Financial Health]]&lt;"C",1,IF(Companies_CAD[[#This Row],[Financial Health]]&gt;"C",-1,0))</f>
        <v>#N/A</v>
      </c>
      <c r="U78" s="52" t="e">
        <f>IF(Companies_CAD[[#This Row],[PFV]]&lt;PFV_Green,1,IF(Companies_CAD[[#This Row],[PFV]]&gt;PFV_Red,-1,0))</f>
        <v>#N/A</v>
      </c>
    </row>
    <row r="79" spans="2:21" s="52" customFormat="1" ht="25.15" customHeight="1" x14ac:dyDescent="0.25">
      <c r="B79" s="11" t="s">
        <v>533</v>
      </c>
      <c r="C79" s="11" t="e">
        <f>VLOOKUP(Companies_CAD[[#This Row],[Symbol]],ColStart_CAD:ColEnd_CAD,MATCH("Name",Morningstar_Cols_CAD,EXACT_MATCH),EXACT_MATCH)</f>
        <v>#N/A</v>
      </c>
      <c r="D79" s="81" t="e">
        <f>VLOOKUP(Companies_CAD[[#This Row],[Symbol]],ColStart_CAD:ColEnd_CAD,MATCH("$ Current Price",Morningstar_Cols_CAD,EXACT_MATCH),EXACT_MATCH)</f>
        <v>#N/A</v>
      </c>
      <c r="E79" s="84" t="e">
        <f>VLOOKUP(Companies_CAD[[#This Row],[Symbol]],ColStart_CAD:ColEnd_CAD,MATCH("$ Change",Morningstar_Cols_CAD,EXACT_MATCH),EXACT_MATCH)</f>
        <v>#N/A</v>
      </c>
      <c r="F79" s="82" t="e">
        <f>IF(Companies_CAD[[#This Row],[$ Change]]&lt;&gt;0,Companies_CAD[[#This Row],[$ Change]]/(Companies_CAD[[#This Row],[Last Close]]-Companies_CAD[[#This Row],[$ Change]]),0)</f>
        <v>#N/A</v>
      </c>
      <c r="G79" s="11" t="e">
        <f>VLOOKUP(Companies_CAD[[#This Row],[Symbol]],ColStart_CAD:ColEnd_CAD,MATCH("Industry Group",Morningstar_Cols_CAD,EXACT_MATCH),EXACT_MATCH)</f>
        <v>#N/A</v>
      </c>
      <c r="H79" s="114" t="e">
        <f>VLOOKUP(Companies_CAD[[#This Row],[Symbol]],ColStart_CAD:ColEnd_CAD,MATCH("mil$ Market Cap",Morningstar_Cols_CAD,EXACT_MATCH),EXACT_MATCH)</f>
        <v>#N/A</v>
      </c>
      <c r="I79" s="115" t="e">
        <f>VLOOKUP(Companies_CAD[[#This Row],[Symbol]],ColStart_CAD:ColEnd_CAD,MATCH("%  Total Return 3 Month",Morningstar_Cols_CAD,EXACT_MATCH),EXACT_MATCH)/100</f>
        <v>#N/A</v>
      </c>
      <c r="J79" s="115" t="e">
        <f>VLOOKUP(Companies_CAD[[#This Row],[Symbol]],ColStart_CAD:ColEnd_CAD,MATCH("%  Total Return 12 Month",Morningstar_Cols_CAD,EXACT_MATCH),EXACT_MATCH)/100</f>
        <v>#N/A</v>
      </c>
      <c r="K79" s="116" t="e">
        <f>VLOOKUP(Companies_CAD[[#This Row],[Symbol]],ColStart_CAD:ColEnd_CAD,MATCH("Price/ Sales",Morningstar_Cols_CAD,EXACT_MATCH),EXACT_MATCH)</f>
        <v>#N/A</v>
      </c>
      <c r="L79" s="117" t="e">
        <f>VLOOKUP(Companies_CAD[[#This Row],[Symbol]],ColStart_CAD:ColEnd_CAD,MATCH("Price/ Fair Value",Morningstar_Cols_CAD,EXACT_MATCH),EXACT_MATCH)</f>
        <v>#N/A</v>
      </c>
      <c r="M79" s="118" t="e">
        <f>VLOOKUP(Companies_CAD[[#This Row],[Symbol]],ColStart_CAD:ColEnd_CAD,MATCH("Financial  Health Grade",Morningstar_Cols_CAD,EXACT_MATCH),EXACT_MATCH)</f>
        <v>#N/A</v>
      </c>
      <c r="N79" s="107" t="e">
        <f>VLOOKUP(Companies_CAD[[#This Row],[Symbol]],ColStart_CAD:ColEnd_CAD,MATCH("% Dividend Yield TTM",Morningstar_Cols_CAD,EXACT_MATCH),EXACT_MATCH)/100</f>
        <v>#N/A</v>
      </c>
      <c r="O79" s="94" t="e">
        <f>RatingDefault+SUM(Companies_CAD[[#This Row],[3MoPoints]:[PFVPoints]])</f>
        <v>#N/A</v>
      </c>
      <c r="P79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79" s="52" t="e">
        <f>IF(Companies_CAD[[#This Row],[3 Mo. Ret.]]&gt;Return3Mo_Grn,1,IF(Companies_CAD[[#This Row],[3 Mo. Ret.]]&lt;Return3Mo_Red,-1,0))</f>
        <v>#N/A</v>
      </c>
      <c r="R79" s="52" t="e">
        <f>IF(Companies_CAD[[#This Row],[12 Mo. Ret.]]&gt;Return12Mo_Grn,1,IF(Companies_CAD[[#This Row],[12 Mo. Ret.]]&lt;Return12Mo_Red,-1,0))</f>
        <v>#N/A</v>
      </c>
      <c r="S79" s="52" t="e">
        <f>IF(Companies_CAD[[#This Row],[PSR]]&lt;PSR_Green,1,IF(Companies_CAD[[#This Row],[PSR]]&gt;PSR_Red,-1,0))</f>
        <v>#N/A</v>
      </c>
      <c r="T79" s="52" t="e">
        <f>IF(Companies_CAD[[#This Row],[Financial Health]]&lt;"C",1,IF(Companies_CAD[[#This Row],[Financial Health]]&gt;"C",-1,0))</f>
        <v>#N/A</v>
      </c>
      <c r="U79" s="52" t="e">
        <f>IF(Companies_CAD[[#This Row],[PFV]]&lt;PFV_Green,1,IF(Companies_CAD[[#This Row],[PFV]]&gt;PFV_Red,-1,0))</f>
        <v>#N/A</v>
      </c>
    </row>
    <row r="80" spans="2:21" s="52" customFormat="1" ht="25.15" customHeight="1" x14ac:dyDescent="0.25">
      <c r="B80" s="11" t="s">
        <v>537</v>
      </c>
      <c r="C80" s="11" t="e">
        <f>VLOOKUP(Companies_CAD[[#This Row],[Symbol]],ColStart_CAD:ColEnd_CAD,MATCH("Name",Morningstar_Cols_CAD,EXACT_MATCH),EXACT_MATCH)</f>
        <v>#N/A</v>
      </c>
      <c r="D80" s="81" t="e">
        <f>VLOOKUP(Companies_CAD[[#This Row],[Symbol]],ColStart_CAD:ColEnd_CAD,MATCH("$ Current Price",Morningstar_Cols_CAD,EXACT_MATCH),EXACT_MATCH)</f>
        <v>#N/A</v>
      </c>
      <c r="E80" s="84" t="e">
        <f>VLOOKUP(Companies_CAD[[#This Row],[Symbol]],ColStart_CAD:ColEnd_CAD,MATCH("$ Change",Morningstar_Cols_CAD,EXACT_MATCH),EXACT_MATCH)</f>
        <v>#N/A</v>
      </c>
      <c r="F80" s="82" t="e">
        <f>IF(Companies_CAD[[#This Row],[$ Change]]&lt;&gt;0,Companies_CAD[[#This Row],[$ Change]]/(Companies_CAD[[#This Row],[Last Close]]-Companies_CAD[[#This Row],[$ Change]]),0)</f>
        <v>#N/A</v>
      </c>
      <c r="G80" s="11" t="e">
        <f>VLOOKUP(Companies_CAD[[#This Row],[Symbol]],ColStart_CAD:ColEnd_CAD,MATCH("Industry Group",Morningstar_Cols_CAD,EXACT_MATCH),EXACT_MATCH)</f>
        <v>#N/A</v>
      </c>
      <c r="H80" s="114" t="e">
        <f>VLOOKUP(Companies_CAD[[#This Row],[Symbol]],ColStart_CAD:ColEnd_CAD,MATCH("mil$ Market Cap",Morningstar_Cols_CAD,EXACT_MATCH),EXACT_MATCH)</f>
        <v>#N/A</v>
      </c>
      <c r="I80" s="115" t="e">
        <f>VLOOKUP(Companies_CAD[[#This Row],[Symbol]],ColStart_CAD:ColEnd_CAD,MATCH("%  Total Return 3 Month",Morningstar_Cols_CAD,EXACT_MATCH),EXACT_MATCH)/100</f>
        <v>#N/A</v>
      </c>
      <c r="J80" s="115" t="e">
        <f>VLOOKUP(Companies_CAD[[#This Row],[Symbol]],ColStart_CAD:ColEnd_CAD,MATCH("%  Total Return 12 Month",Morningstar_Cols_CAD,EXACT_MATCH),EXACT_MATCH)/100</f>
        <v>#N/A</v>
      </c>
      <c r="K80" s="116" t="e">
        <f>VLOOKUP(Companies_CAD[[#This Row],[Symbol]],ColStart_CAD:ColEnd_CAD,MATCH("Price/ Sales",Morningstar_Cols_CAD,EXACT_MATCH),EXACT_MATCH)</f>
        <v>#N/A</v>
      </c>
      <c r="L80" s="117" t="e">
        <f>VLOOKUP(Companies_CAD[[#This Row],[Symbol]],ColStart_CAD:ColEnd_CAD,MATCH("Price/ Fair Value",Morningstar_Cols_CAD,EXACT_MATCH),EXACT_MATCH)</f>
        <v>#N/A</v>
      </c>
      <c r="M80" s="118" t="e">
        <f>VLOOKUP(Companies_CAD[[#This Row],[Symbol]],ColStart_CAD:ColEnd_CAD,MATCH("Financial  Health Grade",Morningstar_Cols_CAD,EXACT_MATCH),EXACT_MATCH)</f>
        <v>#N/A</v>
      </c>
      <c r="N80" s="107" t="e">
        <f>VLOOKUP(Companies_CAD[[#This Row],[Symbol]],ColStart_CAD:ColEnd_CAD,MATCH("% Dividend Yield TTM",Morningstar_Cols_CAD,EXACT_MATCH),EXACT_MATCH)/100</f>
        <v>#N/A</v>
      </c>
      <c r="O80" s="94" t="e">
        <f>RatingDefault+SUM(Companies_CAD[[#This Row],[3MoPoints]:[PFVPoints]])</f>
        <v>#N/A</v>
      </c>
      <c r="P80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80" s="52" t="e">
        <f>IF(Companies_CAD[[#This Row],[3 Mo. Ret.]]&gt;Return3Mo_Grn,1,IF(Companies_CAD[[#This Row],[3 Mo. Ret.]]&lt;Return3Mo_Red,-1,0))</f>
        <v>#N/A</v>
      </c>
      <c r="R80" s="52" t="e">
        <f>IF(Companies_CAD[[#This Row],[12 Mo. Ret.]]&gt;Return12Mo_Grn,1,IF(Companies_CAD[[#This Row],[12 Mo. Ret.]]&lt;Return12Mo_Red,-1,0))</f>
        <v>#N/A</v>
      </c>
      <c r="S80" s="52" t="e">
        <f>IF(Companies_CAD[[#This Row],[PSR]]&lt;PSR_Green,1,IF(Companies_CAD[[#This Row],[PSR]]&gt;PSR_Red,-1,0))</f>
        <v>#N/A</v>
      </c>
      <c r="T80" s="52" t="e">
        <f>IF(Companies_CAD[[#This Row],[Financial Health]]&lt;"C",1,IF(Companies_CAD[[#This Row],[Financial Health]]&gt;"C",-1,0))</f>
        <v>#N/A</v>
      </c>
      <c r="U80" s="52" t="e">
        <f>IF(Companies_CAD[[#This Row],[PFV]]&lt;PFV_Green,1,IF(Companies_CAD[[#This Row],[PFV]]&gt;PFV_Red,-1,0))</f>
        <v>#N/A</v>
      </c>
    </row>
    <row r="81" spans="2:21" s="52" customFormat="1" ht="25.15" customHeight="1" x14ac:dyDescent="0.25">
      <c r="B81" s="11" t="s">
        <v>541</v>
      </c>
      <c r="C81" s="11" t="e">
        <f>VLOOKUP(Companies_CAD[[#This Row],[Symbol]],ColStart_CAD:ColEnd_CAD,MATCH("Name",Morningstar_Cols_CAD,EXACT_MATCH),EXACT_MATCH)</f>
        <v>#N/A</v>
      </c>
      <c r="D81" s="81" t="e">
        <f>VLOOKUP(Companies_CAD[[#This Row],[Symbol]],ColStart_CAD:ColEnd_CAD,MATCH("$ Current Price",Morningstar_Cols_CAD,EXACT_MATCH),EXACT_MATCH)</f>
        <v>#N/A</v>
      </c>
      <c r="E81" s="84" t="e">
        <f>VLOOKUP(Companies_CAD[[#This Row],[Symbol]],ColStart_CAD:ColEnd_CAD,MATCH("$ Change",Morningstar_Cols_CAD,EXACT_MATCH),EXACT_MATCH)</f>
        <v>#N/A</v>
      </c>
      <c r="F81" s="82" t="e">
        <f>IF(Companies_CAD[[#This Row],[$ Change]]&lt;&gt;0,Companies_CAD[[#This Row],[$ Change]]/(Companies_CAD[[#This Row],[Last Close]]-Companies_CAD[[#This Row],[$ Change]]),0)</f>
        <v>#N/A</v>
      </c>
      <c r="G81" s="11" t="e">
        <f>VLOOKUP(Companies_CAD[[#This Row],[Symbol]],ColStart_CAD:ColEnd_CAD,MATCH("Industry Group",Morningstar_Cols_CAD,EXACT_MATCH),EXACT_MATCH)</f>
        <v>#N/A</v>
      </c>
      <c r="H81" s="114" t="e">
        <f>VLOOKUP(Companies_CAD[[#This Row],[Symbol]],ColStart_CAD:ColEnd_CAD,MATCH("mil$ Market Cap",Morningstar_Cols_CAD,EXACT_MATCH),EXACT_MATCH)</f>
        <v>#N/A</v>
      </c>
      <c r="I81" s="115" t="e">
        <f>VLOOKUP(Companies_CAD[[#This Row],[Symbol]],ColStart_CAD:ColEnd_CAD,MATCH("%  Total Return 3 Month",Morningstar_Cols_CAD,EXACT_MATCH),EXACT_MATCH)/100</f>
        <v>#N/A</v>
      </c>
      <c r="J81" s="115" t="e">
        <f>VLOOKUP(Companies_CAD[[#This Row],[Symbol]],ColStart_CAD:ColEnd_CAD,MATCH("%  Total Return 12 Month",Morningstar_Cols_CAD,EXACT_MATCH),EXACT_MATCH)/100</f>
        <v>#N/A</v>
      </c>
      <c r="K81" s="116" t="e">
        <f>VLOOKUP(Companies_CAD[[#This Row],[Symbol]],ColStart_CAD:ColEnd_CAD,MATCH("Price/ Sales",Morningstar_Cols_CAD,EXACT_MATCH),EXACT_MATCH)</f>
        <v>#N/A</v>
      </c>
      <c r="L81" s="117" t="e">
        <f>VLOOKUP(Companies_CAD[[#This Row],[Symbol]],ColStart_CAD:ColEnd_CAD,MATCH("Price/ Fair Value",Morningstar_Cols_CAD,EXACT_MATCH),EXACT_MATCH)</f>
        <v>#N/A</v>
      </c>
      <c r="M81" s="118" t="e">
        <f>VLOOKUP(Companies_CAD[[#This Row],[Symbol]],ColStart_CAD:ColEnd_CAD,MATCH("Financial  Health Grade",Morningstar_Cols_CAD,EXACT_MATCH),EXACT_MATCH)</f>
        <v>#N/A</v>
      </c>
      <c r="N81" s="107" t="e">
        <f>VLOOKUP(Companies_CAD[[#This Row],[Symbol]],ColStart_CAD:ColEnd_CAD,MATCH("% Dividend Yield TTM",Morningstar_Cols_CAD,EXACT_MATCH),EXACT_MATCH)/100</f>
        <v>#N/A</v>
      </c>
      <c r="O81" s="94" t="e">
        <f>RatingDefault+SUM(Companies_CAD[[#This Row],[3MoPoints]:[PFVPoints]])</f>
        <v>#N/A</v>
      </c>
      <c r="P81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81" s="52" t="e">
        <f>IF(Companies_CAD[[#This Row],[3 Mo. Ret.]]&gt;Return3Mo_Grn,1,IF(Companies_CAD[[#This Row],[3 Mo. Ret.]]&lt;Return3Mo_Red,-1,0))</f>
        <v>#N/A</v>
      </c>
      <c r="R81" s="52" t="e">
        <f>IF(Companies_CAD[[#This Row],[12 Mo. Ret.]]&gt;Return12Mo_Grn,1,IF(Companies_CAD[[#This Row],[12 Mo. Ret.]]&lt;Return12Mo_Red,-1,0))</f>
        <v>#N/A</v>
      </c>
      <c r="S81" s="52" t="e">
        <f>IF(Companies_CAD[[#This Row],[PSR]]&lt;PSR_Green,1,IF(Companies_CAD[[#This Row],[PSR]]&gt;PSR_Red,-1,0))</f>
        <v>#N/A</v>
      </c>
      <c r="T81" s="52" t="e">
        <f>IF(Companies_CAD[[#This Row],[Financial Health]]&lt;"C",1,IF(Companies_CAD[[#This Row],[Financial Health]]&gt;"C",-1,0))</f>
        <v>#N/A</v>
      </c>
      <c r="U81" s="52" t="e">
        <f>IF(Companies_CAD[[#This Row],[PFV]]&lt;PFV_Green,1,IF(Companies_CAD[[#This Row],[PFV]]&gt;PFV_Red,-1,0))</f>
        <v>#N/A</v>
      </c>
    </row>
    <row r="82" spans="2:21" s="52" customFormat="1" ht="25.15" customHeight="1" x14ac:dyDescent="0.25">
      <c r="B82" s="11" t="s">
        <v>543</v>
      </c>
      <c r="C82" s="11" t="e">
        <f>VLOOKUP(Companies_CAD[[#This Row],[Symbol]],ColStart_CAD:ColEnd_CAD,MATCH("Name",Morningstar_Cols_CAD,EXACT_MATCH),EXACT_MATCH)</f>
        <v>#N/A</v>
      </c>
      <c r="D82" s="81" t="e">
        <f>VLOOKUP(Companies_CAD[[#This Row],[Symbol]],ColStart_CAD:ColEnd_CAD,MATCH("$ Current Price",Morningstar_Cols_CAD,EXACT_MATCH),EXACT_MATCH)</f>
        <v>#N/A</v>
      </c>
      <c r="E82" s="84" t="e">
        <f>VLOOKUP(Companies_CAD[[#This Row],[Symbol]],ColStart_CAD:ColEnd_CAD,MATCH("$ Change",Morningstar_Cols_CAD,EXACT_MATCH),EXACT_MATCH)</f>
        <v>#N/A</v>
      </c>
      <c r="F82" s="82" t="e">
        <f>IF(Companies_CAD[[#This Row],[$ Change]]&lt;&gt;0,Companies_CAD[[#This Row],[$ Change]]/(Companies_CAD[[#This Row],[Last Close]]-Companies_CAD[[#This Row],[$ Change]]),0)</f>
        <v>#N/A</v>
      </c>
      <c r="G82" s="11" t="e">
        <f>VLOOKUP(Companies_CAD[[#This Row],[Symbol]],ColStart_CAD:ColEnd_CAD,MATCH("Industry Group",Morningstar_Cols_CAD,EXACT_MATCH),EXACT_MATCH)</f>
        <v>#N/A</v>
      </c>
      <c r="H82" s="114" t="e">
        <f>VLOOKUP(Companies_CAD[[#This Row],[Symbol]],ColStart_CAD:ColEnd_CAD,MATCH("mil$ Market Cap",Morningstar_Cols_CAD,EXACT_MATCH),EXACT_MATCH)</f>
        <v>#N/A</v>
      </c>
      <c r="I82" s="115" t="e">
        <f>VLOOKUP(Companies_CAD[[#This Row],[Symbol]],ColStart_CAD:ColEnd_CAD,MATCH("%  Total Return 3 Month",Morningstar_Cols_CAD,EXACT_MATCH),EXACT_MATCH)/100</f>
        <v>#N/A</v>
      </c>
      <c r="J82" s="115" t="e">
        <f>VLOOKUP(Companies_CAD[[#This Row],[Symbol]],ColStart_CAD:ColEnd_CAD,MATCH("%  Total Return 12 Month",Morningstar_Cols_CAD,EXACT_MATCH),EXACT_MATCH)/100</f>
        <v>#N/A</v>
      </c>
      <c r="K82" s="116" t="e">
        <f>VLOOKUP(Companies_CAD[[#This Row],[Symbol]],ColStart_CAD:ColEnd_CAD,MATCH("Price/ Sales",Morningstar_Cols_CAD,EXACT_MATCH),EXACT_MATCH)</f>
        <v>#N/A</v>
      </c>
      <c r="L82" s="117" t="e">
        <f>VLOOKUP(Companies_CAD[[#This Row],[Symbol]],ColStart_CAD:ColEnd_CAD,MATCH("Price/ Fair Value",Morningstar_Cols_CAD,EXACT_MATCH),EXACT_MATCH)</f>
        <v>#N/A</v>
      </c>
      <c r="M82" s="118" t="e">
        <f>VLOOKUP(Companies_CAD[[#This Row],[Symbol]],ColStart_CAD:ColEnd_CAD,MATCH("Financial  Health Grade",Morningstar_Cols_CAD,EXACT_MATCH),EXACT_MATCH)</f>
        <v>#N/A</v>
      </c>
      <c r="N82" s="107" t="e">
        <f>VLOOKUP(Companies_CAD[[#This Row],[Symbol]],ColStart_CAD:ColEnd_CAD,MATCH("% Dividend Yield TTM",Morningstar_Cols_CAD,EXACT_MATCH),EXACT_MATCH)/100</f>
        <v>#N/A</v>
      </c>
      <c r="O82" s="94" t="e">
        <f>RatingDefault+SUM(Companies_CAD[[#This Row],[3MoPoints]:[PFVPoints]])</f>
        <v>#N/A</v>
      </c>
      <c r="P82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82" s="52" t="e">
        <f>IF(Companies_CAD[[#This Row],[3 Mo. Ret.]]&gt;Return3Mo_Grn,1,IF(Companies_CAD[[#This Row],[3 Mo. Ret.]]&lt;Return3Mo_Red,-1,0))</f>
        <v>#N/A</v>
      </c>
      <c r="R82" s="52" t="e">
        <f>IF(Companies_CAD[[#This Row],[12 Mo. Ret.]]&gt;Return12Mo_Grn,1,IF(Companies_CAD[[#This Row],[12 Mo. Ret.]]&lt;Return12Mo_Red,-1,0))</f>
        <v>#N/A</v>
      </c>
      <c r="S82" s="52" t="e">
        <f>IF(Companies_CAD[[#This Row],[PSR]]&lt;PSR_Green,1,IF(Companies_CAD[[#This Row],[PSR]]&gt;PSR_Red,-1,0))</f>
        <v>#N/A</v>
      </c>
      <c r="T82" s="52" t="e">
        <f>IF(Companies_CAD[[#This Row],[Financial Health]]&lt;"C",1,IF(Companies_CAD[[#This Row],[Financial Health]]&gt;"C",-1,0))</f>
        <v>#N/A</v>
      </c>
      <c r="U82" s="52" t="e">
        <f>IF(Companies_CAD[[#This Row],[PFV]]&lt;PFV_Green,1,IF(Companies_CAD[[#This Row],[PFV]]&gt;PFV_Red,-1,0))</f>
        <v>#N/A</v>
      </c>
    </row>
    <row r="83" spans="2:21" s="52" customFormat="1" ht="25.15" customHeight="1" x14ac:dyDescent="0.25">
      <c r="B83" s="11" t="s">
        <v>540</v>
      </c>
      <c r="C83" s="11" t="e">
        <f>VLOOKUP(Companies_CAD[[#This Row],[Symbol]],ColStart_CAD:ColEnd_CAD,MATCH("Name",Morningstar_Cols_CAD,EXACT_MATCH),EXACT_MATCH)</f>
        <v>#N/A</v>
      </c>
      <c r="D83" s="81" t="e">
        <f>VLOOKUP(Companies_CAD[[#This Row],[Symbol]],ColStart_CAD:ColEnd_CAD,MATCH("$ Current Price",Morningstar_Cols_CAD,EXACT_MATCH),EXACT_MATCH)</f>
        <v>#N/A</v>
      </c>
      <c r="E83" s="84" t="e">
        <f>VLOOKUP(Companies_CAD[[#This Row],[Symbol]],ColStart_CAD:ColEnd_CAD,MATCH("$ Change",Morningstar_Cols_CAD,EXACT_MATCH),EXACT_MATCH)</f>
        <v>#N/A</v>
      </c>
      <c r="F83" s="82" t="e">
        <f>IF(Companies_CAD[[#This Row],[$ Change]]&lt;&gt;0,Companies_CAD[[#This Row],[$ Change]]/(Companies_CAD[[#This Row],[Last Close]]-Companies_CAD[[#This Row],[$ Change]]),0)</f>
        <v>#N/A</v>
      </c>
      <c r="G83" s="11" t="e">
        <f>VLOOKUP(Companies_CAD[[#This Row],[Symbol]],ColStart_CAD:ColEnd_CAD,MATCH("Industry Group",Morningstar_Cols_CAD,EXACT_MATCH),EXACT_MATCH)</f>
        <v>#N/A</v>
      </c>
      <c r="H83" s="114" t="e">
        <f>VLOOKUP(Companies_CAD[[#This Row],[Symbol]],ColStart_CAD:ColEnd_CAD,MATCH("mil$ Market Cap",Morningstar_Cols_CAD,EXACT_MATCH),EXACT_MATCH)</f>
        <v>#N/A</v>
      </c>
      <c r="I83" s="115" t="e">
        <f>VLOOKUP(Companies_CAD[[#This Row],[Symbol]],ColStart_CAD:ColEnd_CAD,MATCH("%  Total Return 3 Month",Morningstar_Cols_CAD,EXACT_MATCH),EXACT_MATCH)/100</f>
        <v>#N/A</v>
      </c>
      <c r="J83" s="115" t="e">
        <f>VLOOKUP(Companies_CAD[[#This Row],[Symbol]],ColStart_CAD:ColEnd_CAD,MATCH("%  Total Return 12 Month",Morningstar_Cols_CAD,EXACT_MATCH),EXACT_MATCH)/100</f>
        <v>#N/A</v>
      </c>
      <c r="K83" s="116" t="e">
        <f>VLOOKUP(Companies_CAD[[#This Row],[Symbol]],ColStart_CAD:ColEnd_CAD,MATCH("Price/ Sales",Morningstar_Cols_CAD,EXACT_MATCH),EXACT_MATCH)</f>
        <v>#N/A</v>
      </c>
      <c r="L83" s="117" t="e">
        <f>VLOOKUP(Companies_CAD[[#This Row],[Symbol]],ColStart_CAD:ColEnd_CAD,MATCH("Price/ Fair Value",Morningstar_Cols_CAD,EXACT_MATCH),EXACT_MATCH)</f>
        <v>#N/A</v>
      </c>
      <c r="M83" s="118" t="e">
        <f>VLOOKUP(Companies_CAD[[#This Row],[Symbol]],ColStart_CAD:ColEnd_CAD,MATCH("Financial  Health Grade",Morningstar_Cols_CAD,EXACT_MATCH),EXACT_MATCH)</f>
        <v>#N/A</v>
      </c>
      <c r="N83" s="107" t="e">
        <f>VLOOKUP(Companies_CAD[[#This Row],[Symbol]],ColStart_CAD:ColEnd_CAD,MATCH("% Dividend Yield TTM",Morningstar_Cols_CAD,EXACT_MATCH),EXACT_MATCH)/100</f>
        <v>#N/A</v>
      </c>
      <c r="O83" s="94" t="e">
        <f>RatingDefault+SUM(Companies_CAD[[#This Row],[3MoPoints]:[PFVPoints]])</f>
        <v>#N/A</v>
      </c>
      <c r="P83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83" s="52" t="e">
        <f>IF(Companies_CAD[[#This Row],[3 Mo. Ret.]]&gt;Return3Mo_Grn,1,IF(Companies_CAD[[#This Row],[3 Mo. Ret.]]&lt;Return3Mo_Red,-1,0))</f>
        <v>#N/A</v>
      </c>
      <c r="R83" s="52" t="e">
        <f>IF(Companies_CAD[[#This Row],[12 Mo. Ret.]]&gt;Return12Mo_Grn,1,IF(Companies_CAD[[#This Row],[12 Mo. Ret.]]&lt;Return12Mo_Red,-1,0))</f>
        <v>#N/A</v>
      </c>
      <c r="S83" s="52" t="e">
        <f>IF(Companies_CAD[[#This Row],[PSR]]&lt;PSR_Green,1,IF(Companies_CAD[[#This Row],[PSR]]&gt;PSR_Red,-1,0))</f>
        <v>#N/A</v>
      </c>
      <c r="T83" s="52" t="e">
        <f>IF(Companies_CAD[[#This Row],[Financial Health]]&lt;"C",1,IF(Companies_CAD[[#This Row],[Financial Health]]&gt;"C",-1,0))</f>
        <v>#N/A</v>
      </c>
      <c r="U83" s="52" t="e">
        <f>IF(Companies_CAD[[#This Row],[PFV]]&lt;PFV_Green,1,IF(Companies_CAD[[#This Row],[PFV]]&gt;PFV_Red,-1,0))</f>
        <v>#N/A</v>
      </c>
    </row>
    <row r="84" spans="2:21" s="52" customFormat="1" ht="25.15" customHeight="1" x14ac:dyDescent="0.25">
      <c r="B84" s="11" t="s">
        <v>546</v>
      </c>
      <c r="C84" s="11" t="e">
        <f>VLOOKUP(Companies_CAD[[#This Row],[Symbol]],ColStart_CAD:ColEnd_CAD,MATCH("Name",Morningstar_Cols_CAD,EXACT_MATCH),EXACT_MATCH)</f>
        <v>#N/A</v>
      </c>
      <c r="D84" s="81" t="e">
        <f>VLOOKUP(Companies_CAD[[#This Row],[Symbol]],ColStart_CAD:ColEnd_CAD,MATCH("$ Current Price",Morningstar_Cols_CAD,EXACT_MATCH),EXACT_MATCH)</f>
        <v>#N/A</v>
      </c>
      <c r="E84" s="84" t="e">
        <f>VLOOKUP(Companies_CAD[[#This Row],[Symbol]],ColStart_CAD:ColEnd_CAD,MATCH("$ Change",Morningstar_Cols_CAD,EXACT_MATCH),EXACT_MATCH)</f>
        <v>#N/A</v>
      </c>
      <c r="F84" s="82" t="e">
        <f>IF(Companies_CAD[[#This Row],[$ Change]]&lt;&gt;0,Companies_CAD[[#This Row],[$ Change]]/(Companies_CAD[[#This Row],[Last Close]]-Companies_CAD[[#This Row],[$ Change]]),0)</f>
        <v>#N/A</v>
      </c>
      <c r="G84" s="11" t="e">
        <f>VLOOKUP(Companies_CAD[[#This Row],[Symbol]],ColStart_CAD:ColEnd_CAD,MATCH("Industry Group",Morningstar_Cols_CAD,EXACT_MATCH),EXACT_MATCH)</f>
        <v>#N/A</v>
      </c>
      <c r="H84" s="114" t="e">
        <f>VLOOKUP(Companies_CAD[[#This Row],[Symbol]],ColStart_CAD:ColEnd_CAD,MATCH("mil$ Market Cap",Morningstar_Cols_CAD,EXACT_MATCH),EXACT_MATCH)</f>
        <v>#N/A</v>
      </c>
      <c r="I84" s="115" t="e">
        <f>VLOOKUP(Companies_CAD[[#This Row],[Symbol]],ColStart_CAD:ColEnd_CAD,MATCH("%  Total Return 3 Month",Morningstar_Cols_CAD,EXACT_MATCH),EXACT_MATCH)/100</f>
        <v>#N/A</v>
      </c>
      <c r="J84" s="115" t="e">
        <f>VLOOKUP(Companies_CAD[[#This Row],[Symbol]],ColStart_CAD:ColEnd_CAD,MATCH("%  Total Return 12 Month",Morningstar_Cols_CAD,EXACT_MATCH),EXACT_MATCH)/100</f>
        <v>#N/A</v>
      </c>
      <c r="K84" s="116" t="e">
        <f>VLOOKUP(Companies_CAD[[#This Row],[Symbol]],ColStart_CAD:ColEnd_CAD,MATCH("Price/ Sales",Morningstar_Cols_CAD,EXACT_MATCH),EXACT_MATCH)</f>
        <v>#N/A</v>
      </c>
      <c r="L84" s="117" t="e">
        <f>VLOOKUP(Companies_CAD[[#This Row],[Symbol]],ColStart_CAD:ColEnd_CAD,MATCH("Price/ Fair Value",Morningstar_Cols_CAD,EXACT_MATCH),EXACT_MATCH)</f>
        <v>#N/A</v>
      </c>
      <c r="M84" s="118" t="e">
        <f>VLOOKUP(Companies_CAD[[#This Row],[Symbol]],ColStart_CAD:ColEnd_CAD,MATCH("Financial  Health Grade",Morningstar_Cols_CAD,EXACT_MATCH),EXACT_MATCH)</f>
        <v>#N/A</v>
      </c>
      <c r="N84" s="107" t="e">
        <f>VLOOKUP(Companies_CAD[[#This Row],[Symbol]],ColStart_CAD:ColEnd_CAD,MATCH("% Dividend Yield TTM",Morningstar_Cols_CAD,EXACT_MATCH),EXACT_MATCH)/100</f>
        <v>#N/A</v>
      </c>
      <c r="O84" s="94" t="e">
        <f>RatingDefault+SUM(Companies_CAD[[#This Row],[3MoPoints]:[PFVPoints]])</f>
        <v>#N/A</v>
      </c>
      <c r="P84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84" s="52" t="e">
        <f>IF(Companies_CAD[[#This Row],[3 Mo. Ret.]]&gt;Return3Mo_Grn,1,IF(Companies_CAD[[#This Row],[3 Mo. Ret.]]&lt;Return3Mo_Red,-1,0))</f>
        <v>#N/A</v>
      </c>
      <c r="R84" s="52" t="e">
        <f>IF(Companies_CAD[[#This Row],[12 Mo. Ret.]]&gt;Return12Mo_Grn,1,IF(Companies_CAD[[#This Row],[12 Mo. Ret.]]&lt;Return12Mo_Red,-1,0))</f>
        <v>#N/A</v>
      </c>
      <c r="S84" s="52" t="e">
        <f>IF(Companies_CAD[[#This Row],[PSR]]&lt;PSR_Green,1,IF(Companies_CAD[[#This Row],[PSR]]&gt;PSR_Red,-1,0))</f>
        <v>#N/A</v>
      </c>
      <c r="T84" s="52" t="e">
        <f>IF(Companies_CAD[[#This Row],[Financial Health]]&lt;"C",1,IF(Companies_CAD[[#This Row],[Financial Health]]&gt;"C",-1,0))</f>
        <v>#N/A</v>
      </c>
      <c r="U84" s="52" t="e">
        <f>IF(Companies_CAD[[#This Row],[PFV]]&lt;PFV_Green,1,IF(Companies_CAD[[#This Row],[PFV]]&gt;PFV_Red,-1,0))</f>
        <v>#N/A</v>
      </c>
    </row>
    <row r="85" spans="2:21" s="52" customFormat="1" ht="25.15" customHeight="1" x14ac:dyDescent="0.25">
      <c r="B85" s="11" t="s">
        <v>545</v>
      </c>
      <c r="C85" s="11" t="e">
        <f>VLOOKUP(Companies_CAD[[#This Row],[Symbol]],ColStart_CAD:ColEnd_CAD,MATCH("Name",Morningstar_Cols_CAD,EXACT_MATCH),EXACT_MATCH)</f>
        <v>#N/A</v>
      </c>
      <c r="D85" s="81" t="e">
        <f>VLOOKUP(Companies_CAD[[#This Row],[Symbol]],ColStart_CAD:ColEnd_CAD,MATCH("$ Current Price",Morningstar_Cols_CAD,EXACT_MATCH),EXACT_MATCH)</f>
        <v>#N/A</v>
      </c>
      <c r="E85" s="84" t="e">
        <f>VLOOKUP(Companies_CAD[[#This Row],[Symbol]],ColStart_CAD:ColEnd_CAD,MATCH("$ Change",Morningstar_Cols_CAD,EXACT_MATCH),EXACT_MATCH)</f>
        <v>#N/A</v>
      </c>
      <c r="F85" s="82" t="e">
        <f>IF(Companies_CAD[[#This Row],[$ Change]]&lt;&gt;0,Companies_CAD[[#This Row],[$ Change]]/(Companies_CAD[[#This Row],[Last Close]]-Companies_CAD[[#This Row],[$ Change]]),0)</f>
        <v>#N/A</v>
      </c>
      <c r="G85" s="11" t="e">
        <f>VLOOKUP(Companies_CAD[[#This Row],[Symbol]],ColStart_CAD:ColEnd_CAD,MATCH("Industry Group",Morningstar_Cols_CAD,EXACT_MATCH),EXACT_MATCH)</f>
        <v>#N/A</v>
      </c>
      <c r="H85" s="114" t="e">
        <f>VLOOKUP(Companies_CAD[[#This Row],[Symbol]],ColStart_CAD:ColEnd_CAD,MATCH("mil$ Market Cap",Morningstar_Cols_CAD,EXACT_MATCH),EXACT_MATCH)</f>
        <v>#N/A</v>
      </c>
      <c r="I85" s="115" t="e">
        <f>VLOOKUP(Companies_CAD[[#This Row],[Symbol]],ColStart_CAD:ColEnd_CAD,MATCH("%  Total Return 3 Month",Morningstar_Cols_CAD,EXACT_MATCH),EXACT_MATCH)/100</f>
        <v>#N/A</v>
      </c>
      <c r="J85" s="115" t="e">
        <f>VLOOKUP(Companies_CAD[[#This Row],[Symbol]],ColStart_CAD:ColEnd_CAD,MATCH("%  Total Return 12 Month",Morningstar_Cols_CAD,EXACT_MATCH),EXACT_MATCH)/100</f>
        <v>#N/A</v>
      </c>
      <c r="K85" s="116" t="e">
        <f>VLOOKUP(Companies_CAD[[#This Row],[Symbol]],ColStart_CAD:ColEnd_CAD,MATCH("Price/ Sales",Morningstar_Cols_CAD,EXACT_MATCH),EXACT_MATCH)</f>
        <v>#N/A</v>
      </c>
      <c r="L85" s="117" t="e">
        <f>VLOOKUP(Companies_CAD[[#This Row],[Symbol]],ColStart_CAD:ColEnd_CAD,MATCH("Price/ Fair Value",Morningstar_Cols_CAD,EXACT_MATCH),EXACT_MATCH)</f>
        <v>#N/A</v>
      </c>
      <c r="M85" s="118" t="e">
        <f>VLOOKUP(Companies_CAD[[#This Row],[Symbol]],ColStart_CAD:ColEnd_CAD,MATCH("Financial  Health Grade",Morningstar_Cols_CAD,EXACT_MATCH),EXACT_MATCH)</f>
        <v>#N/A</v>
      </c>
      <c r="N85" s="107" t="e">
        <f>VLOOKUP(Companies_CAD[[#This Row],[Symbol]],ColStart_CAD:ColEnd_CAD,MATCH("% Dividend Yield TTM",Morningstar_Cols_CAD,EXACT_MATCH),EXACT_MATCH)/100</f>
        <v>#N/A</v>
      </c>
      <c r="O85" s="94" t="e">
        <f>RatingDefault+SUM(Companies_CAD[[#This Row],[3MoPoints]:[PFVPoints]])</f>
        <v>#N/A</v>
      </c>
      <c r="P85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85" s="52" t="e">
        <f>IF(Companies_CAD[[#This Row],[3 Mo. Ret.]]&gt;Return3Mo_Grn,1,IF(Companies_CAD[[#This Row],[3 Mo. Ret.]]&lt;Return3Mo_Red,-1,0))</f>
        <v>#N/A</v>
      </c>
      <c r="R85" s="52" t="e">
        <f>IF(Companies_CAD[[#This Row],[12 Mo. Ret.]]&gt;Return12Mo_Grn,1,IF(Companies_CAD[[#This Row],[12 Mo. Ret.]]&lt;Return12Mo_Red,-1,0))</f>
        <v>#N/A</v>
      </c>
      <c r="S85" s="52" t="e">
        <f>IF(Companies_CAD[[#This Row],[PSR]]&lt;PSR_Green,1,IF(Companies_CAD[[#This Row],[PSR]]&gt;PSR_Red,-1,0))</f>
        <v>#N/A</v>
      </c>
      <c r="T85" s="52" t="e">
        <f>IF(Companies_CAD[[#This Row],[Financial Health]]&lt;"C",1,IF(Companies_CAD[[#This Row],[Financial Health]]&gt;"C",-1,0))</f>
        <v>#N/A</v>
      </c>
      <c r="U85" s="52" t="e">
        <f>IF(Companies_CAD[[#This Row],[PFV]]&lt;PFV_Green,1,IF(Companies_CAD[[#This Row],[PFV]]&gt;PFV_Red,-1,0))</f>
        <v>#N/A</v>
      </c>
    </row>
    <row r="86" spans="2:21" s="52" customFormat="1" ht="25.15" customHeight="1" x14ac:dyDescent="0.25">
      <c r="B86" s="11" t="s">
        <v>547</v>
      </c>
      <c r="C86" s="11" t="e">
        <f>VLOOKUP(Companies_CAD[[#This Row],[Symbol]],ColStart_CAD:ColEnd_CAD,MATCH("Name",Morningstar_Cols_CAD,EXACT_MATCH),EXACT_MATCH)</f>
        <v>#N/A</v>
      </c>
      <c r="D86" s="81" t="e">
        <f>VLOOKUP(Companies_CAD[[#This Row],[Symbol]],ColStart_CAD:ColEnd_CAD,MATCH("$ Current Price",Morningstar_Cols_CAD,EXACT_MATCH),EXACT_MATCH)</f>
        <v>#N/A</v>
      </c>
      <c r="E86" s="84" t="e">
        <f>VLOOKUP(Companies_CAD[[#This Row],[Symbol]],ColStart_CAD:ColEnd_CAD,MATCH("$ Change",Morningstar_Cols_CAD,EXACT_MATCH),EXACT_MATCH)</f>
        <v>#N/A</v>
      </c>
      <c r="F86" s="82" t="e">
        <f>IF(Companies_CAD[[#This Row],[$ Change]]&lt;&gt;0,Companies_CAD[[#This Row],[$ Change]]/(Companies_CAD[[#This Row],[Last Close]]-Companies_CAD[[#This Row],[$ Change]]),0)</f>
        <v>#N/A</v>
      </c>
      <c r="G86" s="11" t="e">
        <f>VLOOKUP(Companies_CAD[[#This Row],[Symbol]],ColStart_CAD:ColEnd_CAD,MATCH("Industry Group",Morningstar_Cols_CAD,EXACT_MATCH),EXACT_MATCH)</f>
        <v>#N/A</v>
      </c>
      <c r="H86" s="114" t="e">
        <f>VLOOKUP(Companies_CAD[[#This Row],[Symbol]],ColStart_CAD:ColEnd_CAD,MATCH("mil$ Market Cap",Morningstar_Cols_CAD,EXACT_MATCH),EXACT_MATCH)</f>
        <v>#N/A</v>
      </c>
      <c r="I86" s="115" t="e">
        <f>VLOOKUP(Companies_CAD[[#This Row],[Symbol]],ColStart_CAD:ColEnd_CAD,MATCH("%  Total Return 3 Month",Morningstar_Cols_CAD,EXACT_MATCH),EXACT_MATCH)/100</f>
        <v>#N/A</v>
      </c>
      <c r="J86" s="115" t="e">
        <f>VLOOKUP(Companies_CAD[[#This Row],[Symbol]],ColStart_CAD:ColEnd_CAD,MATCH("%  Total Return 12 Month",Morningstar_Cols_CAD,EXACT_MATCH),EXACT_MATCH)/100</f>
        <v>#N/A</v>
      </c>
      <c r="K86" s="116" t="e">
        <f>VLOOKUP(Companies_CAD[[#This Row],[Symbol]],ColStart_CAD:ColEnd_CAD,MATCH("Price/ Sales",Morningstar_Cols_CAD,EXACT_MATCH),EXACT_MATCH)</f>
        <v>#N/A</v>
      </c>
      <c r="L86" s="117" t="e">
        <f>VLOOKUP(Companies_CAD[[#This Row],[Symbol]],ColStart_CAD:ColEnd_CAD,MATCH("Price/ Fair Value",Morningstar_Cols_CAD,EXACT_MATCH),EXACT_MATCH)</f>
        <v>#N/A</v>
      </c>
      <c r="M86" s="118" t="e">
        <f>VLOOKUP(Companies_CAD[[#This Row],[Symbol]],ColStart_CAD:ColEnd_CAD,MATCH("Financial  Health Grade",Morningstar_Cols_CAD,EXACT_MATCH),EXACT_MATCH)</f>
        <v>#N/A</v>
      </c>
      <c r="N86" s="107" t="e">
        <f>VLOOKUP(Companies_CAD[[#This Row],[Symbol]],ColStart_CAD:ColEnd_CAD,MATCH("% Dividend Yield TTM",Morningstar_Cols_CAD,EXACT_MATCH),EXACT_MATCH)/100</f>
        <v>#N/A</v>
      </c>
      <c r="O86" s="94" t="e">
        <f>RatingDefault+SUM(Companies_CAD[[#This Row],[3MoPoints]:[PFVPoints]])</f>
        <v>#N/A</v>
      </c>
      <c r="P86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86" s="52" t="e">
        <f>IF(Companies_CAD[[#This Row],[3 Mo. Ret.]]&gt;Return3Mo_Grn,1,IF(Companies_CAD[[#This Row],[3 Mo. Ret.]]&lt;Return3Mo_Red,-1,0))</f>
        <v>#N/A</v>
      </c>
      <c r="R86" s="52" t="e">
        <f>IF(Companies_CAD[[#This Row],[12 Mo. Ret.]]&gt;Return12Mo_Grn,1,IF(Companies_CAD[[#This Row],[12 Mo. Ret.]]&lt;Return12Mo_Red,-1,0))</f>
        <v>#N/A</v>
      </c>
      <c r="S86" s="52" t="e">
        <f>IF(Companies_CAD[[#This Row],[PSR]]&lt;PSR_Green,1,IF(Companies_CAD[[#This Row],[PSR]]&gt;PSR_Red,-1,0))</f>
        <v>#N/A</v>
      </c>
      <c r="T86" s="52" t="e">
        <f>IF(Companies_CAD[[#This Row],[Financial Health]]&lt;"C",1,IF(Companies_CAD[[#This Row],[Financial Health]]&gt;"C",-1,0))</f>
        <v>#N/A</v>
      </c>
      <c r="U86" s="52" t="e">
        <f>IF(Companies_CAD[[#This Row],[PFV]]&lt;PFV_Green,1,IF(Companies_CAD[[#This Row],[PFV]]&gt;PFV_Red,-1,0))</f>
        <v>#N/A</v>
      </c>
    </row>
    <row r="87" spans="2:21" s="52" customFormat="1" ht="25.15" customHeight="1" x14ac:dyDescent="0.25">
      <c r="B87" s="11" t="s">
        <v>542</v>
      </c>
      <c r="C87" s="11" t="e">
        <f>VLOOKUP(Companies_CAD[[#This Row],[Symbol]],ColStart_CAD:ColEnd_CAD,MATCH("Name",Morningstar_Cols_CAD,EXACT_MATCH),EXACT_MATCH)</f>
        <v>#N/A</v>
      </c>
      <c r="D87" s="81" t="e">
        <f>VLOOKUP(Companies_CAD[[#This Row],[Symbol]],ColStart_CAD:ColEnd_CAD,MATCH("$ Current Price",Morningstar_Cols_CAD,EXACT_MATCH),EXACT_MATCH)</f>
        <v>#N/A</v>
      </c>
      <c r="E87" s="84" t="e">
        <f>VLOOKUP(Companies_CAD[[#This Row],[Symbol]],ColStart_CAD:ColEnd_CAD,MATCH("$ Change",Morningstar_Cols_CAD,EXACT_MATCH),EXACT_MATCH)</f>
        <v>#N/A</v>
      </c>
      <c r="F87" s="82" t="e">
        <f>IF(Companies_CAD[[#This Row],[$ Change]]&lt;&gt;0,Companies_CAD[[#This Row],[$ Change]]/(Companies_CAD[[#This Row],[Last Close]]-Companies_CAD[[#This Row],[$ Change]]),0)</f>
        <v>#N/A</v>
      </c>
      <c r="G87" s="11" t="e">
        <f>VLOOKUP(Companies_CAD[[#This Row],[Symbol]],ColStart_CAD:ColEnd_CAD,MATCH("Industry Group",Morningstar_Cols_CAD,EXACT_MATCH),EXACT_MATCH)</f>
        <v>#N/A</v>
      </c>
      <c r="H87" s="114" t="e">
        <f>VLOOKUP(Companies_CAD[[#This Row],[Symbol]],ColStart_CAD:ColEnd_CAD,MATCH("mil$ Market Cap",Morningstar_Cols_CAD,EXACT_MATCH),EXACT_MATCH)</f>
        <v>#N/A</v>
      </c>
      <c r="I87" s="115" t="e">
        <f>VLOOKUP(Companies_CAD[[#This Row],[Symbol]],ColStart_CAD:ColEnd_CAD,MATCH("%  Total Return 3 Month",Morningstar_Cols_CAD,EXACT_MATCH),EXACT_MATCH)/100</f>
        <v>#N/A</v>
      </c>
      <c r="J87" s="115" t="e">
        <f>VLOOKUP(Companies_CAD[[#This Row],[Symbol]],ColStart_CAD:ColEnd_CAD,MATCH("%  Total Return 12 Month",Morningstar_Cols_CAD,EXACT_MATCH),EXACT_MATCH)/100</f>
        <v>#N/A</v>
      </c>
      <c r="K87" s="116" t="e">
        <f>VLOOKUP(Companies_CAD[[#This Row],[Symbol]],ColStart_CAD:ColEnd_CAD,MATCH("Price/ Sales",Morningstar_Cols_CAD,EXACT_MATCH),EXACT_MATCH)</f>
        <v>#N/A</v>
      </c>
      <c r="L87" s="117" t="e">
        <f>VLOOKUP(Companies_CAD[[#This Row],[Symbol]],ColStart_CAD:ColEnd_CAD,MATCH("Price/ Fair Value",Morningstar_Cols_CAD,EXACT_MATCH),EXACT_MATCH)</f>
        <v>#N/A</v>
      </c>
      <c r="M87" s="118" t="e">
        <f>VLOOKUP(Companies_CAD[[#This Row],[Symbol]],ColStart_CAD:ColEnd_CAD,MATCH("Financial  Health Grade",Morningstar_Cols_CAD,EXACT_MATCH),EXACT_MATCH)</f>
        <v>#N/A</v>
      </c>
      <c r="N87" s="107" t="e">
        <f>VLOOKUP(Companies_CAD[[#This Row],[Symbol]],ColStart_CAD:ColEnd_CAD,MATCH("% Dividend Yield TTM",Morningstar_Cols_CAD,EXACT_MATCH),EXACT_MATCH)/100</f>
        <v>#N/A</v>
      </c>
      <c r="O87" s="94" t="e">
        <f>RatingDefault+SUM(Companies_CAD[[#This Row],[3MoPoints]:[PFVPoints]])</f>
        <v>#N/A</v>
      </c>
      <c r="P87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87" s="52" t="e">
        <f>IF(Companies_CAD[[#This Row],[3 Mo. Ret.]]&gt;Return3Mo_Grn,1,IF(Companies_CAD[[#This Row],[3 Mo. Ret.]]&lt;Return3Mo_Red,-1,0))</f>
        <v>#N/A</v>
      </c>
      <c r="R87" s="52" t="e">
        <f>IF(Companies_CAD[[#This Row],[12 Mo. Ret.]]&gt;Return12Mo_Grn,1,IF(Companies_CAD[[#This Row],[12 Mo. Ret.]]&lt;Return12Mo_Red,-1,0))</f>
        <v>#N/A</v>
      </c>
      <c r="S87" s="52" t="e">
        <f>IF(Companies_CAD[[#This Row],[PSR]]&lt;PSR_Green,1,IF(Companies_CAD[[#This Row],[PSR]]&gt;PSR_Red,-1,0))</f>
        <v>#N/A</v>
      </c>
      <c r="T87" s="52" t="e">
        <f>IF(Companies_CAD[[#This Row],[Financial Health]]&lt;"C",1,IF(Companies_CAD[[#This Row],[Financial Health]]&gt;"C",-1,0))</f>
        <v>#N/A</v>
      </c>
      <c r="U87" s="52" t="e">
        <f>IF(Companies_CAD[[#This Row],[PFV]]&lt;PFV_Green,1,IF(Companies_CAD[[#This Row],[PFV]]&gt;PFV_Red,-1,0))</f>
        <v>#N/A</v>
      </c>
    </row>
    <row r="88" spans="2:21" s="52" customFormat="1" ht="25.15" customHeight="1" x14ac:dyDescent="0.25">
      <c r="B88" s="11" t="s">
        <v>553</v>
      </c>
      <c r="C88" s="11" t="str">
        <f>VLOOKUP(Companies_CAD[[#This Row],[Symbol]],ColStart_CAD:ColEnd_CAD,MATCH("Name",Morningstar_Cols_CAD,EXACT_MATCH),EXACT_MATCH)</f>
        <v>Prestige Consumer Healthcare Inc</v>
      </c>
      <c r="D88" s="81">
        <f>VLOOKUP(Companies_CAD[[#This Row],[Symbol]],ColStart_CAD:ColEnd_CAD,MATCH("$ Current Price",Morningstar_Cols_CAD,EXACT_MATCH),EXACT_MATCH)</f>
        <v>43.58</v>
      </c>
      <c r="E88" s="84">
        <f>VLOOKUP(Companies_CAD[[#This Row],[Symbol]],ColStart_CAD:ColEnd_CAD,MATCH("$ Change",Morningstar_Cols_CAD,EXACT_MATCH),EXACT_MATCH)</f>
        <v>-2.38</v>
      </c>
      <c r="F88" s="82">
        <f>IF(Companies_CAD[[#This Row],[$ Change]]&lt;&gt;0,Companies_CAD[[#This Row],[$ Change]]/(Companies_CAD[[#This Row],[Last Close]]-Companies_CAD[[#This Row],[$ Change]]),0)</f>
        <v>-5.1784160139251523E-2</v>
      </c>
      <c r="G88" s="11" t="e">
        <f>VLOOKUP(Companies_CAD[[#This Row],[Symbol]],ColStart_CAD:ColEnd_CAD,MATCH("Industry Group",Morningstar_Cols_CAD,EXACT_MATCH),EXACT_MATCH)</f>
        <v>#N/A</v>
      </c>
      <c r="H88" s="114" t="e">
        <f>VLOOKUP(Companies_CAD[[#This Row],[Symbol]],ColStart_CAD:ColEnd_CAD,MATCH("mil$ Market Cap",Morningstar_Cols_CAD,EXACT_MATCH),EXACT_MATCH)</f>
        <v>#N/A</v>
      </c>
      <c r="I88" s="115">
        <f>VLOOKUP(Companies_CAD[[#This Row],[Symbol]],ColStart_CAD:ColEnd_CAD,MATCH("%  Total Return 3 Month",Morningstar_Cols_CAD,EXACT_MATCH),EXACT_MATCH)/100</f>
        <v>0.19620000000000001</v>
      </c>
      <c r="J88" s="115">
        <f>VLOOKUP(Companies_CAD[[#This Row],[Symbol]],ColStart_CAD:ColEnd_CAD,MATCH("%  Total Return 12 Month",Morningstar_Cols_CAD,EXACT_MATCH),EXACT_MATCH)/100</f>
        <v>0.58860000000000001</v>
      </c>
      <c r="K88" s="116" t="str">
        <f>VLOOKUP(Companies_CAD[[#This Row],[Symbol]],ColStart_CAD:ColEnd_CAD,MATCH("Price/ Sales",Morningstar_Cols_CAD,EXACT_MATCH),EXACT_MATCH)</f>
        <v>2.3</v>
      </c>
      <c r="L88" s="117">
        <f>VLOOKUP(Companies_CAD[[#This Row],[Symbol]],ColStart_CAD:ColEnd_CAD,MATCH("Price/ Fair Value",Morningstar_Cols_CAD,EXACT_MATCH),EXACT_MATCH)</f>
        <v>1.1200000000000001</v>
      </c>
      <c r="M88" s="118" t="str">
        <f>VLOOKUP(Companies_CAD[[#This Row],[Symbol]],ColStart_CAD:ColEnd_CAD,MATCH("Financial  Health Grade",Morningstar_Cols_CAD,EXACT_MATCH),EXACT_MATCH)</f>
        <v>B</v>
      </c>
      <c r="N88" s="107">
        <f>VLOOKUP(Companies_CAD[[#This Row],[Symbol]],ColStart_CAD:ColEnd_CAD,MATCH("% Dividend Yield TTM",Morningstar_Cols_CAD,EXACT_MATCH),EXACT_MATCH)/100</f>
        <v>0</v>
      </c>
      <c r="O88" s="94">
        <f>RatingDefault+SUM(Companies_CAD[[#This Row],[3MoPoints]:[PFVPoints]])</f>
        <v>3</v>
      </c>
      <c r="P88" s="53" t="str">
        <f>IF(Companies_CAD[[#This Row],[Rating]]&gt;6,"Strong Buy",IF(Companies_CAD[[#This Row],[Rating]]=6,"Buy",IF(Companies_CAD[[#This Row],[Rating]]=5,"Monitor",IF(Companies_CAD[[#This Row],[Rating]]=4,"Prospect","Avoid"))))</f>
        <v>Avoid</v>
      </c>
      <c r="Q88" s="52">
        <f>IF(Companies_CAD[[#This Row],[3 Mo. Ret.]]&gt;Return3Mo_Grn,1,IF(Companies_CAD[[#This Row],[3 Mo. Ret.]]&lt;Return3Mo_Red,-1,0))</f>
        <v>0</v>
      </c>
      <c r="R88" s="52">
        <f>IF(Companies_CAD[[#This Row],[12 Mo. Ret.]]&gt;Return12Mo_Grn,1,IF(Companies_CAD[[#This Row],[12 Mo. Ret.]]&lt;Return12Mo_Red,-1,0))</f>
        <v>0</v>
      </c>
      <c r="S88" s="52">
        <f>IF(Companies_CAD[[#This Row],[PSR]]&lt;PSR_Green,1,IF(Companies_CAD[[#This Row],[PSR]]&gt;PSR_Red,-1,0))</f>
        <v>-1</v>
      </c>
      <c r="T88" s="52">
        <f>IF(Companies_CAD[[#This Row],[Financial Health]]&lt;"C",1,IF(Companies_CAD[[#This Row],[Financial Health]]&gt;"C",-1,0))</f>
        <v>1</v>
      </c>
      <c r="U88" s="52">
        <f>IF(Companies_CAD[[#This Row],[PFV]]&lt;PFV_Green,1,IF(Companies_CAD[[#This Row],[PFV]]&gt;PFV_Red,-1,0))</f>
        <v>0</v>
      </c>
    </row>
    <row r="89" spans="2:21" s="52" customFormat="1" ht="25.15" customHeight="1" x14ac:dyDescent="0.25">
      <c r="B89" s="11" t="s">
        <v>552</v>
      </c>
      <c r="C89" s="11" t="e">
        <f>VLOOKUP(Companies_CAD[[#This Row],[Symbol]],ColStart_CAD:ColEnd_CAD,MATCH("Name",Morningstar_Cols_CAD,EXACT_MATCH),EXACT_MATCH)</f>
        <v>#N/A</v>
      </c>
      <c r="D89" s="81" t="e">
        <f>VLOOKUP(Companies_CAD[[#This Row],[Symbol]],ColStart_CAD:ColEnd_CAD,MATCH("$ Current Price",Morningstar_Cols_CAD,EXACT_MATCH),EXACT_MATCH)</f>
        <v>#N/A</v>
      </c>
      <c r="E89" s="84" t="e">
        <f>VLOOKUP(Companies_CAD[[#This Row],[Symbol]],ColStart_CAD:ColEnd_CAD,MATCH("$ Change",Morningstar_Cols_CAD,EXACT_MATCH),EXACT_MATCH)</f>
        <v>#N/A</v>
      </c>
      <c r="F89" s="82" t="e">
        <f>IF(Companies_CAD[[#This Row],[$ Change]]&lt;&gt;0,Companies_CAD[[#This Row],[$ Change]]/(Companies_CAD[[#This Row],[Last Close]]-Companies_CAD[[#This Row],[$ Change]]),0)</f>
        <v>#N/A</v>
      </c>
      <c r="G89" s="11" t="e">
        <f>VLOOKUP(Companies_CAD[[#This Row],[Symbol]],ColStart_CAD:ColEnd_CAD,MATCH("Industry Group",Morningstar_Cols_CAD,EXACT_MATCH),EXACT_MATCH)</f>
        <v>#N/A</v>
      </c>
      <c r="H89" s="114" t="e">
        <f>VLOOKUP(Companies_CAD[[#This Row],[Symbol]],ColStart_CAD:ColEnd_CAD,MATCH("mil$ Market Cap",Morningstar_Cols_CAD,EXACT_MATCH),EXACT_MATCH)</f>
        <v>#N/A</v>
      </c>
      <c r="I89" s="115" t="e">
        <f>VLOOKUP(Companies_CAD[[#This Row],[Symbol]],ColStart_CAD:ColEnd_CAD,MATCH("%  Total Return 3 Month",Morningstar_Cols_CAD,EXACT_MATCH),EXACT_MATCH)/100</f>
        <v>#N/A</v>
      </c>
      <c r="J89" s="115" t="e">
        <f>VLOOKUP(Companies_CAD[[#This Row],[Symbol]],ColStart_CAD:ColEnd_CAD,MATCH("%  Total Return 12 Month",Morningstar_Cols_CAD,EXACT_MATCH),EXACT_MATCH)/100</f>
        <v>#N/A</v>
      </c>
      <c r="K89" s="116" t="e">
        <f>VLOOKUP(Companies_CAD[[#This Row],[Symbol]],ColStart_CAD:ColEnd_CAD,MATCH("Price/ Sales",Morningstar_Cols_CAD,EXACT_MATCH),EXACT_MATCH)</f>
        <v>#N/A</v>
      </c>
      <c r="L89" s="117" t="e">
        <f>VLOOKUP(Companies_CAD[[#This Row],[Symbol]],ColStart_CAD:ColEnd_CAD,MATCH("Price/ Fair Value",Morningstar_Cols_CAD,EXACT_MATCH),EXACT_MATCH)</f>
        <v>#N/A</v>
      </c>
      <c r="M89" s="118" t="e">
        <f>VLOOKUP(Companies_CAD[[#This Row],[Symbol]],ColStart_CAD:ColEnd_CAD,MATCH("Financial  Health Grade",Morningstar_Cols_CAD,EXACT_MATCH),EXACT_MATCH)</f>
        <v>#N/A</v>
      </c>
      <c r="N89" s="107" t="e">
        <f>VLOOKUP(Companies_CAD[[#This Row],[Symbol]],ColStart_CAD:ColEnd_CAD,MATCH("% Dividend Yield TTM",Morningstar_Cols_CAD,EXACT_MATCH),EXACT_MATCH)/100</f>
        <v>#N/A</v>
      </c>
      <c r="O89" s="94" t="e">
        <f>RatingDefault+SUM(Companies_CAD[[#This Row],[3MoPoints]:[PFVPoints]])</f>
        <v>#N/A</v>
      </c>
      <c r="P89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89" s="52" t="e">
        <f>IF(Companies_CAD[[#This Row],[3 Mo. Ret.]]&gt;Return3Mo_Grn,1,IF(Companies_CAD[[#This Row],[3 Mo. Ret.]]&lt;Return3Mo_Red,-1,0))</f>
        <v>#N/A</v>
      </c>
      <c r="R89" s="52" t="e">
        <f>IF(Companies_CAD[[#This Row],[12 Mo. Ret.]]&gt;Return12Mo_Grn,1,IF(Companies_CAD[[#This Row],[12 Mo. Ret.]]&lt;Return12Mo_Red,-1,0))</f>
        <v>#N/A</v>
      </c>
      <c r="S89" s="52" t="e">
        <f>IF(Companies_CAD[[#This Row],[PSR]]&lt;PSR_Green,1,IF(Companies_CAD[[#This Row],[PSR]]&gt;PSR_Red,-1,0))</f>
        <v>#N/A</v>
      </c>
      <c r="T89" s="52" t="e">
        <f>IF(Companies_CAD[[#This Row],[Financial Health]]&lt;"C",1,IF(Companies_CAD[[#This Row],[Financial Health]]&gt;"C",-1,0))</f>
        <v>#N/A</v>
      </c>
      <c r="U89" s="52" t="e">
        <f>IF(Companies_CAD[[#This Row],[PFV]]&lt;PFV_Green,1,IF(Companies_CAD[[#This Row],[PFV]]&gt;PFV_Red,-1,0))</f>
        <v>#N/A</v>
      </c>
    </row>
    <row r="90" spans="2:21" s="52" customFormat="1" ht="25.15" customHeight="1" x14ac:dyDescent="0.25">
      <c r="B90" s="11" t="s">
        <v>544</v>
      </c>
      <c r="C90" s="11" t="e">
        <f>VLOOKUP(Companies_CAD[[#This Row],[Symbol]],ColStart_CAD:ColEnd_CAD,MATCH("Name",Morningstar_Cols_CAD,EXACT_MATCH),EXACT_MATCH)</f>
        <v>#N/A</v>
      </c>
      <c r="D90" s="81" t="e">
        <f>VLOOKUP(Companies_CAD[[#This Row],[Symbol]],ColStart_CAD:ColEnd_CAD,MATCH("$ Current Price",Morningstar_Cols_CAD,EXACT_MATCH),EXACT_MATCH)</f>
        <v>#N/A</v>
      </c>
      <c r="E90" s="84" t="e">
        <f>VLOOKUP(Companies_CAD[[#This Row],[Symbol]],ColStart_CAD:ColEnd_CAD,MATCH("$ Change",Morningstar_Cols_CAD,EXACT_MATCH),EXACT_MATCH)</f>
        <v>#N/A</v>
      </c>
      <c r="F90" s="82" t="e">
        <f>IF(Companies_CAD[[#This Row],[$ Change]]&lt;&gt;0,Companies_CAD[[#This Row],[$ Change]]/(Companies_CAD[[#This Row],[Last Close]]-Companies_CAD[[#This Row],[$ Change]]),0)</f>
        <v>#N/A</v>
      </c>
      <c r="G90" s="11" t="e">
        <f>VLOOKUP(Companies_CAD[[#This Row],[Symbol]],ColStart_CAD:ColEnd_CAD,MATCH("Industry Group",Morningstar_Cols_CAD,EXACT_MATCH),EXACT_MATCH)</f>
        <v>#N/A</v>
      </c>
      <c r="H90" s="114" t="e">
        <f>VLOOKUP(Companies_CAD[[#This Row],[Symbol]],ColStart_CAD:ColEnd_CAD,MATCH("mil$ Market Cap",Morningstar_Cols_CAD,EXACT_MATCH),EXACT_MATCH)</f>
        <v>#N/A</v>
      </c>
      <c r="I90" s="115" t="e">
        <f>VLOOKUP(Companies_CAD[[#This Row],[Symbol]],ColStart_CAD:ColEnd_CAD,MATCH("%  Total Return 3 Month",Morningstar_Cols_CAD,EXACT_MATCH),EXACT_MATCH)/100</f>
        <v>#N/A</v>
      </c>
      <c r="J90" s="115" t="e">
        <f>VLOOKUP(Companies_CAD[[#This Row],[Symbol]],ColStart_CAD:ColEnd_CAD,MATCH("%  Total Return 12 Month",Morningstar_Cols_CAD,EXACT_MATCH),EXACT_MATCH)/100</f>
        <v>#N/A</v>
      </c>
      <c r="K90" s="116" t="e">
        <f>VLOOKUP(Companies_CAD[[#This Row],[Symbol]],ColStart_CAD:ColEnd_CAD,MATCH("Price/ Sales",Morningstar_Cols_CAD,EXACT_MATCH),EXACT_MATCH)</f>
        <v>#N/A</v>
      </c>
      <c r="L90" s="117" t="e">
        <f>VLOOKUP(Companies_CAD[[#This Row],[Symbol]],ColStart_CAD:ColEnd_CAD,MATCH("Price/ Fair Value",Morningstar_Cols_CAD,EXACT_MATCH),EXACT_MATCH)</f>
        <v>#N/A</v>
      </c>
      <c r="M90" s="118" t="e">
        <f>VLOOKUP(Companies_CAD[[#This Row],[Symbol]],ColStart_CAD:ColEnd_CAD,MATCH("Financial  Health Grade",Morningstar_Cols_CAD,EXACT_MATCH),EXACT_MATCH)</f>
        <v>#N/A</v>
      </c>
      <c r="N90" s="107" t="e">
        <f>VLOOKUP(Companies_CAD[[#This Row],[Symbol]],ColStart_CAD:ColEnd_CAD,MATCH("% Dividend Yield TTM",Morningstar_Cols_CAD,EXACT_MATCH),EXACT_MATCH)/100</f>
        <v>#N/A</v>
      </c>
      <c r="O90" s="94" t="e">
        <f>RatingDefault+SUM(Companies_CAD[[#This Row],[3MoPoints]:[PFVPoints]])</f>
        <v>#N/A</v>
      </c>
      <c r="P90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90" s="52" t="e">
        <f>IF(Companies_CAD[[#This Row],[3 Mo. Ret.]]&gt;Return3Mo_Grn,1,IF(Companies_CAD[[#This Row],[3 Mo. Ret.]]&lt;Return3Mo_Red,-1,0))</f>
        <v>#N/A</v>
      </c>
      <c r="R90" s="52" t="e">
        <f>IF(Companies_CAD[[#This Row],[12 Mo. Ret.]]&gt;Return12Mo_Grn,1,IF(Companies_CAD[[#This Row],[12 Mo. Ret.]]&lt;Return12Mo_Red,-1,0))</f>
        <v>#N/A</v>
      </c>
      <c r="S90" s="52" t="e">
        <f>IF(Companies_CAD[[#This Row],[PSR]]&lt;PSR_Green,1,IF(Companies_CAD[[#This Row],[PSR]]&gt;PSR_Red,-1,0))</f>
        <v>#N/A</v>
      </c>
      <c r="T90" s="52" t="e">
        <f>IF(Companies_CAD[[#This Row],[Financial Health]]&lt;"C",1,IF(Companies_CAD[[#This Row],[Financial Health]]&gt;"C",-1,0))</f>
        <v>#N/A</v>
      </c>
      <c r="U90" s="52" t="e">
        <f>IF(Companies_CAD[[#This Row],[PFV]]&lt;PFV_Green,1,IF(Companies_CAD[[#This Row],[PFV]]&gt;PFV_Red,-1,0))</f>
        <v>#N/A</v>
      </c>
    </row>
    <row r="91" spans="2:21" s="52" customFormat="1" ht="25.15" customHeight="1" x14ac:dyDescent="0.25">
      <c r="B91" s="11" t="s">
        <v>550</v>
      </c>
      <c r="C91" s="11" t="e">
        <f>VLOOKUP(Companies_CAD[[#This Row],[Symbol]],ColStart_CAD:ColEnd_CAD,MATCH("Name",Morningstar_Cols_CAD,EXACT_MATCH),EXACT_MATCH)</f>
        <v>#N/A</v>
      </c>
      <c r="D91" s="81" t="e">
        <f>VLOOKUP(Companies_CAD[[#This Row],[Symbol]],ColStart_CAD:ColEnd_CAD,MATCH("$ Current Price",Morningstar_Cols_CAD,EXACT_MATCH),EXACT_MATCH)</f>
        <v>#N/A</v>
      </c>
      <c r="E91" s="84" t="e">
        <f>VLOOKUP(Companies_CAD[[#This Row],[Symbol]],ColStart_CAD:ColEnd_CAD,MATCH("$ Change",Morningstar_Cols_CAD,EXACT_MATCH),EXACT_MATCH)</f>
        <v>#N/A</v>
      </c>
      <c r="F91" s="82" t="e">
        <f>IF(Companies_CAD[[#This Row],[$ Change]]&lt;&gt;0,Companies_CAD[[#This Row],[$ Change]]/(Companies_CAD[[#This Row],[Last Close]]-Companies_CAD[[#This Row],[$ Change]]),0)</f>
        <v>#N/A</v>
      </c>
      <c r="G91" s="11" t="e">
        <f>VLOOKUP(Companies_CAD[[#This Row],[Symbol]],ColStart_CAD:ColEnd_CAD,MATCH("Industry Group",Morningstar_Cols_CAD,EXACT_MATCH),EXACT_MATCH)</f>
        <v>#N/A</v>
      </c>
      <c r="H91" s="114" t="e">
        <f>VLOOKUP(Companies_CAD[[#This Row],[Symbol]],ColStart_CAD:ColEnd_CAD,MATCH("mil$ Market Cap",Morningstar_Cols_CAD,EXACT_MATCH),EXACT_MATCH)</f>
        <v>#N/A</v>
      </c>
      <c r="I91" s="115" t="e">
        <f>VLOOKUP(Companies_CAD[[#This Row],[Symbol]],ColStart_CAD:ColEnd_CAD,MATCH("%  Total Return 3 Month",Morningstar_Cols_CAD,EXACT_MATCH),EXACT_MATCH)/100</f>
        <v>#N/A</v>
      </c>
      <c r="J91" s="115" t="e">
        <f>VLOOKUP(Companies_CAD[[#This Row],[Symbol]],ColStart_CAD:ColEnd_CAD,MATCH("%  Total Return 12 Month",Morningstar_Cols_CAD,EXACT_MATCH),EXACT_MATCH)/100</f>
        <v>#N/A</v>
      </c>
      <c r="K91" s="116" t="e">
        <f>VLOOKUP(Companies_CAD[[#This Row],[Symbol]],ColStart_CAD:ColEnd_CAD,MATCH("Price/ Sales",Morningstar_Cols_CAD,EXACT_MATCH),EXACT_MATCH)</f>
        <v>#N/A</v>
      </c>
      <c r="L91" s="117" t="e">
        <f>VLOOKUP(Companies_CAD[[#This Row],[Symbol]],ColStart_CAD:ColEnd_CAD,MATCH("Price/ Fair Value",Morningstar_Cols_CAD,EXACT_MATCH),EXACT_MATCH)</f>
        <v>#N/A</v>
      </c>
      <c r="M91" s="118" t="e">
        <f>VLOOKUP(Companies_CAD[[#This Row],[Symbol]],ColStart_CAD:ColEnd_CAD,MATCH("Financial  Health Grade",Morningstar_Cols_CAD,EXACT_MATCH),EXACT_MATCH)</f>
        <v>#N/A</v>
      </c>
      <c r="N91" s="107" t="e">
        <f>VLOOKUP(Companies_CAD[[#This Row],[Symbol]],ColStart_CAD:ColEnd_CAD,MATCH("% Dividend Yield TTM",Morningstar_Cols_CAD,EXACT_MATCH),EXACT_MATCH)/100</f>
        <v>#N/A</v>
      </c>
      <c r="O91" s="94" t="e">
        <f>RatingDefault+SUM(Companies_CAD[[#This Row],[3MoPoints]:[PFVPoints]])</f>
        <v>#N/A</v>
      </c>
      <c r="P91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91" s="52" t="e">
        <f>IF(Companies_CAD[[#This Row],[3 Mo. Ret.]]&gt;Return3Mo_Grn,1,IF(Companies_CAD[[#This Row],[3 Mo. Ret.]]&lt;Return3Mo_Red,-1,0))</f>
        <v>#N/A</v>
      </c>
      <c r="R91" s="52" t="e">
        <f>IF(Companies_CAD[[#This Row],[12 Mo. Ret.]]&gt;Return12Mo_Grn,1,IF(Companies_CAD[[#This Row],[12 Mo. Ret.]]&lt;Return12Mo_Red,-1,0))</f>
        <v>#N/A</v>
      </c>
      <c r="S91" s="52" t="e">
        <f>IF(Companies_CAD[[#This Row],[PSR]]&lt;PSR_Green,1,IF(Companies_CAD[[#This Row],[PSR]]&gt;PSR_Red,-1,0))</f>
        <v>#N/A</v>
      </c>
      <c r="T91" s="52" t="e">
        <f>IF(Companies_CAD[[#This Row],[Financial Health]]&lt;"C",1,IF(Companies_CAD[[#This Row],[Financial Health]]&gt;"C",-1,0))</f>
        <v>#N/A</v>
      </c>
      <c r="U91" s="52" t="e">
        <f>IF(Companies_CAD[[#This Row],[PFV]]&lt;PFV_Green,1,IF(Companies_CAD[[#This Row],[PFV]]&gt;PFV_Red,-1,0))</f>
        <v>#N/A</v>
      </c>
    </row>
    <row r="92" spans="2:21" s="52" customFormat="1" ht="25.15" customHeight="1" x14ac:dyDescent="0.25">
      <c r="B92" s="11" t="s">
        <v>549</v>
      </c>
      <c r="C92" s="11" t="e">
        <f>VLOOKUP(Companies_CAD[[#This Row],[Symbol]],ColStart_CAD:ColEnd_CAD,MATCH("Name",Morningstar_Cols_CAD,EXACT_MATCH),EXACT_MATCH)</f>
        <v>#N/A</v>
      </c>
      <c r="D92" s="81" t="e">
        <f>VLOOKUP(Companies_CAD[[#This Row],[Symbol]],ColStart_CAD:ColEnd_CAD,MATCH("$ Current Price",Morningstar_Cols_CAD,EXACT_MATCH),EXACT_MATCH)</f>
        <v>#N/A</v>
      </c>
      <c r="E92" s="84" t="e">
        <f>VLOOKUP(Companies_CAD[[#This Row],[Symbol]],ColStart_CAD:ColEnd_CAD,MATCH("$ Change",Morningstar_Cols_CAD,EXACT_MATCH),EXACT_MATCH)</f>
        <v>#N/A</v>
      </c>
      <c r="F92" s="82" t="e">
        <f>IF(Companies_CAD[[#This Row],[$ Change]]&lt;&gt;0,Companies_CAD[[#This Row],[$ Change]]/(Companies_CAD[[#This Row],[Last Close]]-Companies_CAD[[#This Row],[$ Change]]),0)</f>
        <v>#N/A</v>
      </c>
      <c r="G92" s="11" t="e">
        <f>VLOOKUP(Companies_CAD[[#This Row],[Symbol]],ColStart_CAD:ColEnd_CAD,MATCH("Industry Group",Morningstar_Cols_CAD,EXACT_MATCH),EXACT_MATCH)</f>
        <v>#N/A</v>
      </c>
      <c r="H92" s="114" t="e">
        <f>VLOOKUP(Companies_CAD[[#This Row],[Symbol]],ColStart_CAD:ColEnd_CAD,MATCH("mil$ Market Cap",Morningstar_Cols_CAD,EXACT_MATCH),EXACT_MATCH)</f>
        <v>#N/A</v>
      </c>
      <c r="I92" s="115" t="e">
        <f>VLOOKUP(Companies_CAD[[#This Row],[Symbol]],ColStart_CAD:ColEnd_CAD,MATCH("%  Total Return 3 Month",Morningstar_Cols_CAD,EXACT_MATCH),EXACT_MATCH)/100</f>
        <v>#N/A</v>
      </c>
      <c r="J92" s="115" t="e">
        <f>VLOOKUP(Companies_CAD[[#This Row],[Symbol]],ColStart_CAD:ColEnd_CAD,MATCH("%  Total Return 12 Month",Morningstar_Cols_CAD,EXACT_MATCH),EXACT_MATCH)/100</f>
        <v>#N/A</v>
      </c>
      <c r="K92" s="116" t="e">
        <f>VLOOKUP(Companies_CAD[[#This Row],[Symbol]],ColStart_CAD:ColEnd_CAD,MATCH("Price/ Sales",Morningstar_Cols_CAD,EXACT_MATCH),EXACT_MATCH)</f>
        <v>#N/A</v>
      </c>
      <c r="L92" s="117" t="e">
        <f>VLOOKUP(Companies_CAD[[#This Row],[Symbol]],ColStart_CAD:ColEnd_CAD,MATCH("Price/ Fair Value",Morningstar_Cols_CAD,EXACT_MATCH),EXACT_MATCH)</f>
        <v>#N/A</v>
      </c>
      <c r="M92" s="118" t="e">
        <f>VLOOKUP(Companies_CAD[[#This Row],[Symbol]],ColStart_CAD:ColEnd_CAD,MATCH("Financial  Health Grade",Morningstar_Cols_CAD,EXACT_MATCH),EXACT_MATCH)</f>
        <v>#N/A</v>
      </c>
      <c r="N92" s="107" t="e">
        <f>VLOOKUP(Companies_CAD[[#This Row],[Symbol]],ColStart_CAD:ColEnd_CAD,MATCH("% Dividend Yield TTM",Morningstar_Cols_CAD,EXACT_MATCH),EXACT_MATCH)/100</f>
        <v>#N/A</v>
      </c>
      <c r="O92" s="94" t="e">
        <f>RatingDefault+SUM(Companies_CAD[[#This Row],[3MoPoints]:[PFVPoints]])</f>
        <v>#N/A</v>
      </c>
      <c r="P92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92" s="52" t="e">
        <f>IF(Companies_CAD[[#This Row],[3 Mo. Ret.]]&gt;Return3Mo_Grn,1,IF(Companies_CAD[[#This Row],[3 Mo. Ret.]]&lt;Return3Mo_Red,-1,0))</f>
        <v>#N/A</v>
      </c>
      <c r="R92" s="52" t="e">
        <f>IF(Companies_CAD[[#This Row],[12 Mo. Ret.]]&gt;Return12Mo_Grn,1,IF(Companies_CAD[[#This Row],[12 Mo. Ret.]]&lt;Return12Mo_Red,-1,0))</f>
        <v>#N/A</v>
      </c>
      <c r="S92" s="52" t="e">
        <f>IF(Companies_CAD[[#This Row],[PSR]]&lt;PSR_Green,1,IF(Companies_CAD[[#This Row],[PSR]]&gt;PSR_Red,-1,0))</f>
        <v>#N/A</v>
      </c>
      <c r="T92" s="52" t="e">
        <f>IF(Companies_CAD[[#This Row],[Financial Health]]&lt;"C",1,IF(Companies_CAD[[#This Row],[Financial Health]]&gt;"C",-1,0))</f>
        <v>#N/A</v>
      </c>
      <c r="U92" s="52" t="e">
        <f>IF(Companies_CAD[[#This Row],[PFV]]&lt;PFV_Green,1,IF(Companies_CAD[[#This Row],[PFV]]&gt;PFV_Red,-1,0))</f>
        <v>#N/A</v>
      </c>
    </row>
    <row r="93" spans="2:21" s="52" customFormat="1" ht="25.15" customHeight="1" x14ac:dyDescent="0.25">
      <c r="B93" s="11" t="s">
        <v>551</v>
      </c>
      <c r="C93" s="11" t="e">
        <f>VLOOKUP(Companies_CAD[[#This Row],[Symbol]],ColStart_CAD:ColEnd_CAD,MATCH("Name",Morningstar_Cols_CAD,EXACT_MATCH),EXACT_MATCH)</f>
        <v>#N/A</v>
      </c>
      <c r="D93" s="81" t="e">
        <f>VLOOKUP(Companies_CAD[[#This Row],[Symbol]],ColStart_CAD:ColEnd_CAD,MATCH("$ Current Price",Morningstar_Cols_CAD,EXACT_MATCH),EXACT_MATCH)</f>
        <v>#N/A</v>
      </c>
      <c r="E93" s="84" t="e">
        <f>VLOOKUP(Companies_CAD[[#This Row],[Symbol]],ColStart_CAD:ColEnd_CAD,MATCH("$ Change",Morningstar_Cols_CAD,EXACT_MATCH),EXACT_MATCH)</f>
        <v>#N/A</v>
      </c>
      <c r="F93" s="82" t="e">
        <f>IF(Companies_CAD[[#This Row],[$ Change]]&lt;&gt;0,Companies_CAD[[#This Row],[$ Change]]/(Companies_CAD[[#This Row],[Last Close]]-Companies_CAD[[#This Row],[$ Change]]),0)</f>
        <v>#N/A</v>
      </c>
      <c r="G93" s="11" t="e">
        <f>VLOOKUP(Companies_CAD[[#This Row],[Symbol]],ColStart_CAD:ColEnd_CAD,MATCH("Industry Group",Morningstar_Cols_CAD,EXACT_MATCH),EXACT_MATCH)</f>
        <v>#N/A</v>
      </c>
      <c r="H93" s="114" t="e">
        <f>VLOOKUP(Companies_CAD[[#This Row],[Symbol]],ColStart_CAD:ColEnd_CAD,MATCH("mil$ Market Cap",Morningstar_Cols_CAD,EXACT_MATCH),EXACT_MATCH)</f>
        <v>#N/A</v>
      </c>
      <c r="I93" s="115" t="e">
        <f>VLOOKUP(Companies_CAD[[#This Row],[Symbol]],ColStart_CAD:ColEnd_CAD,MATCH("%  Total Return 3 Month",Morningstar_Cols_CAD,EXACT_MATCH),EXACT_MATCH)/100</f>
        <v>#N/A</v>
      </c>
      <c r="J93" s="115" t="e">
        <f>VLOOKUP(Companies_CAD[[#This Row],[Symbol]],ColStart_CAD:ColEnd_CAD,MATCH("%  Total Return 12 Month",Morningstar_Cols_CAD,EXACT_MATCH),EXACT_MATCH)/100</f>
        <v>#N/A</v>
      </c>
      <c r="K93" s="116" t="e">
        <f>VLOOKUP(Companies_CAD[[#This Row],[Symbol]],ColStart_CAD:ColEnd_CAD,MATCH("Price/ Sales",Morningstar_Cols_CAD,EXACT_MATCH),EXACT_MATCH)</f>
        <v>#N/A</v>
      </c>
      <c r="L93" s="117" t="e">
        <f>VLOOKUP(Companies_CAD[[#This Row],[Symbol]],ColStart_CAD:ColEnd_CAD,MATCH("Price/ Fair Value",Morningstar_Cols_CAD,EXACT_MATCH),EXACT_MATCH)</f>
        <v>#N/A</v>
      </c>
      <c r="M93" s="118" t="e">
        <f>VLOOKUP(Companies_CAD[[#This Row],[Symbol]],ColStart_CAD:ColEnd_CAD,MATCH("Financial  Health Grade",Morningstar_Cols_CAD,EXACT_MATCH),EXACT_MATCH)</f>
        <v>#N/A</v>
      </c>
      <c r="N93" s="107" t="e">
        <f>VLOOKUP(Companies_CAD[[#This Row],[Symbol]],ColStart_CAD:ColEnd_CAD,MATCH("% Dividend Yield TTM",Morningstar_Cols_CAD,EXACT_MATCH),EXACT_MATCH)/100</f>
        <v>#N/A</v>
      </c>
      <c r="O93" s="94" t="e">
        <f>RatingDefault+SUM(Companies_CAD[[#This Row],[3MoPoints]:[PFVPoints]])</f>
        <v>#N/A</v>
      </c>
      <c r="P93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93" s="52" t="e">
        <f>IF(Companies_CAD[[#This Row],[3 Mo. Ret.]]&gt;Return3Mo_Grn,1,IF(Companies_CAD[[#This Row],[3 Mo. Ret.]]&lt;Return3Mo_Red,-1,0))</f>
        <v>#N/A</v>
      </c>
      <c r="R93" s="52" t="e">
        <f>IF(Companies_CAD[[#This Row],[12 Mo. Ret.]]&gt;Return12Mo_Grn,1,IF(Companies_CAD[[#This Row],[12 Mo. Ret.]]&lt;Return12Mo_Red,-1,0))</f>
        <v>#N/A</v>
      </c>
      <c r="S93" s="52" t="e">
        <f>IF(Companies_CAD[[#This Row],[PSR]]&lt;PSR_Green,1,IF(Companies_CAD[[#This Row],[PSR]]&gt;PSR_Red,-1,0))</f>
        <v>#N/A</v>
      </c>
      <c r="T93" s="52" t="e">
        <f>IF(Companies_CAD[[#This Row],[Financial Health]]&lt;"C",1,IF(Companies_CAD[[#This Row],[Financial Health]]&gt;"C",-1,0))</f>
        <v>#N/A</v>
      </c>
      <c r="U93" s="52" t="e">
        <f>IF(Companies_CAD[[#This Row],[PFV]]&lt;PFV_Green,1,IF(Companies_CAD[[#This Row],[PFV]]&gt;PFV_Red,-1,0))</f>
        <v>#N/A</v>
      </c>
    </row>
    <row r="94" spans="2:21" s="52" customFormat="1" ht="25.15" customHeight="1" x14ac:dyDescent="0.25">
      <c r="B94" s="11" t="s">
        <v>548</v>
      </c>
      <c r="C94" s="11" t="e">
        <f>VLOOKUP(Companies_CAD[[#This Row],[Symbol]],ColStart_CAD:ColEnd_CAD,MATCH("Name",Morningstar_Cols_CAD,EXACT_MATCH),EXACT_MATCH)</f>
        <v>#N/A</v>
      </c>
      <c r="D94" s="81" t="e">
        <f>VLOOKUP(Companies_CAD[[#This Row],[Symbol]],ColStart_CAD:ColEnd_CAD,MATCH("$ Current Price",Morningstar_Cols_CAD,EXACT_MATCH),EXACT_MATCH)</f>
        <v>#N/A</v>
      </c>
      <c r="E94" s="84" t="e">
        <f>VLOOKUP(Companies_CAD[[#This Row],[Symbol]],ColStart_CAD:ColEnd_CAD,MATCH("$ Change",Morningstar_Cols_CAD,EXACT_MATCH),EXACT_MATCH)</f>
        <v>#N/A</v>
      </c>
      <c r="F94" s="82" t="e">
        <f>IF(Companies_CAD[[#This Row],[$ Change]]&lt;&gt;0,Companies_CAD[[#This Row],[$ Change]]/(Companies_CAD[[#This Row],[Last Close]]-Companies_CAD[[#This Row],[$ Change]]),0)</f>
        <v>#N/A</v>
      </c>
      <c r="G94" s="11" t="e">
        <f>VLOOKUP(Companies_CAD[[#This Row],[Symbol]],ColStart_CAD:ColEnd_CAD,MATCH("Industry Group",Morningstar_Cols_CAD,EXACT_MATCH),EXACT_MATCH)</f>
        <v>#N/A</v>
      </c>
      <c r="H94" s="114" t="e">
        <f>VLOOKUP(Companies_CAD[[#This Row],[Symbol]],ColStart_CAD:ColEnd_CAD,MATCH("mil$ Market Cap",Morningstar_Cols_CAD,EXACT_MATCH),EXACT_MATCH)</f>
        <v>#N/A</v>
      </c>
      <c r="I94" s="115" t="e">
        <f>VLOOKUP(Companies_CAD[[#This Row],[Symbol]],ColStart_CAD:ColEnd_CAD,MATCH("%  Total Return 3 Month",Morningstar_Cols_CAD,EXACT_MATCH),EXACT_MATCH)/100</f>
        <v>#N/A</v>
      </c>
      <c r="J94" s="115" t="e">
        <f>VLOOKUP(Companies_CAD[[#This Row],[Symbol]],ColStart_CAD:ColEnd_CAD,MATCH("%  Total Return 12 Month",Morningstar_Cols_CAD,EXACT_MATCH),EXACT_MATCH)/100</f>
        <v>#N/A</v>
      </c>
      <c r="K94" s="116" t="e">
        <f>VLOOKUP(Companies_CAD[[#This Row],[Symbol]],ColStart_CAD:ColEnd_CAD,MATCH("Price/ Sales",Morningstar_Cols_CAD,EXACT_MATCH),EXACT_MATCH)</f>
        <v>#N/A</v>
      </c>
      <c r="L94" s="117" t="e">
        <f>VLOOKUP(Companies_CAD[[#This Row],[Symbol]],ColStart_CAD:ColEnd_CAD,MATCH("Price/ Fair Value",Morningstar_Cols_CAD,EXACT_MATCH),EXACT_MATCH)</f>
        <v>#N/A</v>
      </c>
      <c r="M94" s="118" t="e">
        <f>VLOOKUP(Companies_CAD[[#This Row],[Symbol]],ColStart_CAD:ColEnd_CAD,MATCH("Financial  Health Grade",Morningstar_Cols_CAD,EXACT_MATCH),EXACT_MATCH)</f>
        <v>#N/A</v>
      </c>
      <c r="N94" s="107" t="e">
        <f>VLOOKUP(Companies_CAD[[#This Row],[Symbol]],ColStart_CAD:ColEnd_CAD,MATCH("% Dividend Yield TTM",Morningstar_Cols_CAD,EXACT_MATCH),EXACT_MATCH)/100</f>
        <v>#N/A</v>
      </c>
      <c r="O94" s="94" t="e">
        <f>RatingDefault+SUM(Companies_CAD[[#This Row],[3MoPoints]:[PFVPoints]])</f>
        <v>#N/A</v>
      </c>
      <c r="P94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94" s="52" t="e">
        <f>IF(Companies_CAD[[#This Row],[3 Mo. Ret.]]&gt;Return3Mo_Grn,1,IF(Companies_CAD[[#This Row],[3 Mo. Ret.]]&lt;Return3Mo_Red,-1,0))</f>
        <v>#N/A</v>
      </c>
      <c r="R94" s="52" t="e">
        <f>IF(Companies_CAD[[#This Row],[12 Mo. Ret.]]&gt;Return12Mo_Grn,1,IF(Companies_CAD[[#This Row],[12 Mo. Ret.]]&lt;Return12Mo_Red,-1,0))</f>
        <v>#N/A</v>
      </c>
      <c r="S94" s="52" t="e">
        <f>IF(Companies_CAD[[#This Row],[PSR]]&lt;PSR_Green,1,IF(Companies_CAD[[#This Row],[PSR]]&gt;PSR_Red,-1,0))</f>
        <v>#N/A</v>
      </c>
      <c r="T94" s="52" t="e">
        <f>IF(Companies_CAD[[#This Row],[Financial Health]]&lt;"C",1,IF(Companies_CAD[[#This Row],[Financial Health]]&gt;"C",-1,0))</f>
        <v>#N/A</v>
      </c>
      <c r="U94" s="52" t="e">
        <f>IF(Companies_CAD[[#This Row],[PFV]]&lt;PFV_Green,1,IF(Companies_CAD[[#This Row],[PFV]]&gt;PFV_Red,-1,0))</f>
        <v>#N/A</v>
      </c>
    </row>
    <row r="95" spans="2:21" s="52" customFormat="1" ht="25.15" customHeight="1" x14ac:dyDescent="0.25">
      <c r="B95" s="11" t="s">
        <v>495</v>
      </c>
      <c r="C95" s="11" t="e">
        <f>VLOOKUP(Companies_CAD[[#This Row],[Symbol]],ColStart_CAD:ColEnd_CAD,MATCH("Name",Morningstar_Cols_CAD,EXACT_MATCH),EXACT_MATCH)</f>
        <v>#N/A</v>
      </c>
      <c r="D95" s="81" t="e">
        <f>VLOOKUP(Companies_CAD[[#This Row],[Symbol]],ColStart_CAD:ColEnd_CAD,MATCH("$ Current Price",Morningstar_Cols_CAD,EXACT_MATCH),EXACT_MATCH)</f>
        <v>#N/A</v>
      </c>
      <c r="E95" s="84" t="e">
        <f>VLOOKUP(Companies_CAD[[#This Row],[Symbol]],ColStart_CAD:ColEnd_CAD,MATCH("$ Change",Morningstar_Cols_CAD,EXACT_MATCH),EXACT_MATCH)</f>
        <v>#N/A</v>
      </c>
      <c r="F95" s="82" t="e">
        <f>IF(Companies_CAD[[#This Row],[$ Change]]&lt;&gt;0,Companies_CAD[[#This Row],[$ Change]]/(Companies_CAD[[#This Row],[Last Close]]-Companies_CAD[[#This Row],[$ Change]]),0)</f>
        <v>#N/A</v>
      </c>
      <c r="G95" s="11" t="e">
        <f>VLOOKUP(Companies_CAD[[#This Row],[Symbol]],ColStart_CAD:ColEnd_CAD,MATCH("Industry Group",Morningstar_Cols_CAD,EXACT_MATCH),EXACT_MATCH)</f>
        <v>#N/A</v>
      </c>
      <c r="H95" s="114" t="e">
        <f>VLOOKUP(Companies_CAD[[#This Row],[Symbol]],ColStart_CAD:ColEnd_CAD,MATCH("mil$ Market Cap",Morningstar_Cols_CAD,EXACT_MATCH),EXACT_MATCH)</f>
        <v>#N/A</v>
      </c>
      <c r="I95" s="115" t="e">
        <f>VLOOKUP(Companies_CAD[[#This Row],[Symbol]],ColStart_CAD:ColEnd_CAD,MATCH("%  Total Return 3 Month",Morningstar_Cols_CAD,EXACT_MATCH),EXACT_MATCH)/100</f>
        <v>#N/A</v>
      </c>
      <c r="J95" s="115" t="e">
        <f>VLOOKUP(Companies_CAD[[#This Row],[Symbol]],ColStart_CAD:ColEnd_CAD,MATCH("%  Total Return 12 Month",Morningstar_Cols_CAD,EXACT_MATCH),EXACT_MATCH)/100</f>
        <v>#N/A</v>
      </c>
      <c r="K95" s="116" t="e">
        <f>VLOOKUP(Companies_CAD[[#This Row],[Symbol]],ColStart_CAD:ColEnd_CAD,MATCH("Price/ Sales",Morningstar_Cols_CAD,EXACT_MATCH),EXACT_MATCH)</f>
        <v>#N/A</v>
      </c>
      <c r="L95" s="117" t="e">
        <f>VLOOKUP(Companies_CAD[[#This Row],[Symbol]],ColStart_CAD:ColEnd_CAD,MATCH("Price/ Fair Value",Morningstar_Cols_CAD,EXACT_MATCH),EXACT_MATCH)</f>
        <v>#N/A</v>
      </c>
      <c r="M95" s="118" t="e">
        <f>VLOOKUP(Companies_CAD[[#This Row],[Symbol]],ColStart_CAD:ColEnd_CAD,MATCH("Financial  Health Grade",Morningstar_Cols_CAD,EXACT_MATCH),EXACT_MATCH)</f>
        <v>#N/A</v>
      </c>
      <c r="N95" s="107" t="e">
        <f>VLOOKUP(Companies_CAD[[#This Row],[Symbol]],ColStart_CAD:ColEnd_CAD,MATCH("% Dividend Yield TTM",Morningstar_Cols_CAD,EXACT_MATCH),EXACT_MATCH)/100</f>
        <v>#N/A</v>
      </c>
      <c r="O95" s="94" t="e">
        <f>RatingDefault+SUM(Companies_CAD[[#This Row],[3MoPoints]:[PFVPoints]])</f>
        <v>#N/A</v>
      </c>
      <c r="P95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95" s="52" t="e">
        <f>IF(Companies_CAD[[#This Row],[3 Mo. Ret.]]&gt;Return3Mo_Grn,1,IF(Companies_CAD[[#This Row],[3 Mo. Ret.]]&lt;Return3Mo_Red,-1,0))</f>
        <v>#N/A</v>
      </c>
      <c r="R95" s="52" t="e">
        <f>IF(Companies_CAD[[#This Row],[12 Mo. Ret.]]&gt;Return12Mo_Grn,1,IF(Companies_CAD[[#This Row],[12 Mo. Ret.]]&lt;Return12Mo_Red,-1,0))</f>
        <v>#N/A</v>
      </c>
      <c r="S95" s="52" t="e">
        <f>IF(Companies_CAD[[#This Row],[PSR]]&lt;PSR_Green,1,IF(Companies_CAD[[#This Row],[PSR]]&gt;PSR_Red,-1,0))</f>
        <v>#N/A</v>
      </c>
      <c r="T95" s="52" t="e">
        <f>IF(Companies_CAD[[#This Row],[Financial Health]]&lt;"C",1,IF(Companies_CAD[[#This Row],[Financial Health]]&gt;"C",-1,0))</f>
        <v>#N/A</v>
      </c>
      <c r="U95" s="52" t="e">
        <f>IF(Companies_CAD[[#This Row],[PFV]]&lt;PFV_Green,1,IF(Companies_CAD[[#This Row],[PFV]]&gt;PFV_Red,-1,0))</f>
        <v>#N/A</v>
      </c>
    </row>
    <row r="96" spans="2:21" s="52" customFormat="1" ht="25.15" customHeight="1" x14ac:dyDescent="0.25">
      <c r="B96" s="11" t="s">
        <v>473</v>
      </c>
      <c r="C96" s="11" t="e">
        <f>VLOOKUP(Companies_CAD[[#This Row],[Symbol]],ColStart_CAD:ColEnd_CAD,MATCH("Name",Morningstar_Cols_CAD,EXACT_MATCH),EXACT_MATCH)</f>
        <v>#N/A</v>
      </c>
      <c r="D96" s="81" t="e">
        <f>VLOOKUP(Companies_CAD[[#This Row],[Symbol]],ColStart_CAD:ColEnd_CAD,MATCH("$ Current Price",Morningstar_Cols_CAD,EXACT_MATCH),EXACT_MATCH)</f>
        <v>#N/A</v>
      </c>
      <c r="E96" s="84" t="e">
        <f>VLOOKUP(Companies_CAD[[#This Row],[Symbol]],ColStart_CAD:ColEnd_CAD,MATCH("$ Change",Morningstar_Cols_CAD,EXACT_MATCH),EXACT_MATCH)</f>
        <v>#N/A</v>
      </c>
      <c r="F96" s="82" t="e">
        <f>IF(Companies_CAD[[#This Row],[$ Change]]&lt;&gt;0,Companies_CAD[[#This Row],[$ Change]]/(Companies_CAD[[#This Row],[Last Close]]-Companies_CAD[[#This Row],[$ Change]]),0)</f>
        <v>#N/A</v>
      </c>
      <c r="G96" s="11" t="e">
        <f>VLOOKUP(Companies_CAD[[#This Row],[Symbol]],ColStart_CAD:ColEnd_CAD,MATCH("Industry Group",Morningstar_Cols_CAD,EXACT_MATCH),EXACT_MATCH)</f>
        <v>#N/A</v>
      </c>
      <c r="H96" s="114" t="e">
        <f>VLOOKUP(Companies_CAD[[#This Row],[Symbol]],ColStart_CAD:ColEnd_CAD,MATCH("mil$ Market Cap",Morningstar_Cols_CAD,EXACT_MATCH),EXACT_MATCH)</f>
        <v>#N/A</v>
      </c>
      <c r="I96" s="115" t="e">
        <f>VLOOKUP(Companies_CAD[[#This Row],[Symbol]],ColStart_CAD:ColEnd_CAD,MATCH("%  Total Return 3 Month",Morningstar_Cols_CAD,EXACT_MATCH),EXACT_MATCH)/100</f>
        <v>#N/A</v>
      </c>
      <c r="J96" s="115" t="e">
        <f>VLOOKUP(Companies_CAD[[#This Row],[Symbol]],ColStart_CAD:ColEnd_CAD,MATCH("%  Total Return 12 Month",Morningstar_Cols_CAD,EXACT_MATCH),EXACT_MATCH)/100</f>
        <v>#N/A</v>
      </c>
      <c r="K96" s="116" t="e">
        <f>VLOOKUP(Companies_CAD[[#This Row],[Symbol]],ColStart_CAD:ColEnd_CAD,MATCH("Price/ Sales",Morningstar_Cols_CAD,EXACT_MATCH),EXACT_MATCH)</f>
        <v>#N/A</v>
      </c>
      <c r="L96" s="117" t="e">
        <f>VLOOKUP(Companies_CAD[[#This Row],[Symbol]],ColStart_CAD:ColEnd_CAD,MATCH("Price/ Fair Value",Morningstar_Cols_CAD,EXACT_MATCH),EXACT_MATCH)</f>
        <v>#N/A</v>
      </c>
      <c r="M96" s="118" t="e">
        <f>VLOOKUP(Companies_CAD[[#This Row],[Symbol]],ColStart_CAD:ColEnd_CAD,MATCH("Financial  Health Grade",Morningstar_Cols_CAD,EXACT_MATCH),EXACT_MATCH)</f>
        <v>#N/A</v>
      </c>
      <c r="N96" s="107" t="e">
        <f>VLOOKUP(Companies_CAD[[#This Row],[Symbol]],ColStart_CAD:ColEnd_CAD,MATCH("% Dividend Yield TTM",Morningstar_Cols_CAD,EXACT_MATCH),EXACT_MATCH)/100</f>
        <v>#N/A</v>
      </c>
      <c r="O96" s="94" t="e">
        <f>RatingDefault+SUM(Companies_CAD[[#This Row],[3MoPoints]:[PFVPoints]])</f>
        <v>#N/A</v>
      </c>
      <c r="P96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96" s="52" t="e">
        <f>IF(Companies_CAD[[#This Row],[3 Mo. Ret.]]&gt;Return3Mo_Grn,1,IF(Companies_CAD[[#This Row],[3 Mo. Ret.]]&lt;Return3Mo_Red,-1,0))</f>
        <v>#N/A</v>
      </c>
      <c r="R96" s="52" t="e">
        <f>IF(Companies_CAD[[#This Row],[12 Mo. Ret.]]&gt;Return12Mo_Grn,1,IF(Companies_CAD[[#This Row],[12 Mo. Ret.]]&lt;Return12Mo_Red,-1,0))</f>
        <v>#N/A</v>
      </c>
      <c r="S96" s="52" t="e">
        <f>IF(Companies_CAD[[#This Row],[PSR]]&lt;PSR_Green,1,IF(Companies_CAD[[#This Row],[PSR]]&gt;PSR_Red,-1,0))</f>
        <v>#N/A</v>
      </c>
      <c r="T96" s="52" t="e">
        <f>IF(Companies_CAD[[#This Row],[Financial Health]]&lt;"C",1,IF(Companies_CAD[[#This Row],[Financial Health]]&gt;"C",-1,0))</f>
        <v>#N/A</v>
      </c>
      <c r="U96" s="52" t="e">
        <f>IF(Companies_CAD[[#This Row],[PFV]]&lt;PFV_Green,1,IF(Companies_CAD[[#This Row],[PFV]]&gt;PFV_Red,-1,0))</f>
        <v>#N/A</v>
      </c>
    </row>
    <row r="97" spans="2:21" s="52" customFormat="1" ht="25.15" customHeight="1" x14ac:dyDescent="0.25">
      <c r="B97" s="11" t="s">
        <v>554</v>
      </c>
      <c r="C97" s="11" t="e">
        <f>VLOOKUP(Companies_CAD[[#This Row],[Symbol]],ColStart_CAD:ColEnd_CAD,MATCH("Name",Morningstar_Cols_CAD,EXACT_MATCH),EXACT_MATCH)</f>
        <v>#N/A</v>
      </c>
      <c r="D97" s="81" t="e">
        <f>VLOOKUP(Companies_CAD[[#This Row],[Symbol]],ColStart_CAD:ColEnd_CAD,MATCH("$ Current Price",Morningstar_Cols_CAD,EXACT_MATCH),EXACT_MATCH)</f>
        <v>#N/A</v>
      </c>
      <c r="E97" s="84" t="e">
        <f>VLOOKUP(Companies_CAD[[#This Row],[Symbol]],ColStart_CAD:ColEnd_CAD,MATCH("$ Change",Morningstar_Cols_CAD,EXACT_MATCH),EXACT_MATCH)</f>
        <v>#N/A</v>
      </c>
      <c r="F97" s="82" t="e">
        <f>IF(Companies_CAD[[#This Row],[$ Change]]&lt;&gt;0,Companies_CAD[[#This Row],[$ Change]]/(Companies_CAD[[#This Row],[Last Close]]-Companies_CAD[[#This Row],[$ Change]]),0)</f>
        <v>#N/A</v>
      </c>
      <c r="G97" s="11" t="e">
        <f>VLOOKUP(Companies_CAD[[#This Row],[Symbol]],ColStart_CAD:ColEnd_CAD,MATCH("Industry Group",Morningstar_Cols_CAD,EXACT_MATCH),EXACT_MATCH)</f>
        <v>#N/A</v>
      </c>
      <c r="H97" s="114" t="e">
        <f>VLOOKUP(Companies_CAD[[#This Row],[Symbol]],ColStart_CAD:ColEnd_CAD,MATCH("mil$ Market Cap",Morningstar_Cols_CAD,EXACT_MATCH),EXACT_MATCH)</f>
        <v>#N/A</v>
      </c>
      <c r="I97" s="115" t="e">
        <f>VLOOKUP(Companies_CAD[[#This Row],[Symbol]],ColStart_CAD:ColEnd_CAD,MATCH("%  Total Return 3 Month",Morningstar_Cols_CAD,EXACT_MATCH),EXACT_MATCH)/100</f>
        <v>#N/A</v>
      </c>
      <c r="J97" s="115" t="e">
        <f>VLOOKUP(Companies_CAD[[#This Row],[Symbol]],ColStart_CAD:ColEnd_CAD,MATCH("%  Total Return 12 Month",Morningstar_Cols_CAD,EXACT_MATCH),EXACT_MATCH)/100</f>
        <v>#N/A</v>
      </c>
      <c r="K97" s="116" t="e">
        <f>VLOOKUP(Companies_CAD[[#This Row],[Symbol]],ColStart_CAD:ColEnd_CAD,MATCH("Price/ Sales",Morningstar_Cols_CAD,EXACT_MATCH),EXACT_MATCH)</f>
        <v>#N/A</v>
      </c>
      <c r="L97" s="117" t="e">
        <f>VLOOKUP(Companies_CAD[[#This Row],[Symbol]],ColStart_CAD:ColEnd_CAD,MATCH("Price/ Fair Value",Morningstar_Cols_CAD,EXACT_MATCH),EXACT_MATCH)</f>
        <v>#N/A</v>
      </c>
      <c r="M97" s="118" t="e">
        <f>VLOOKUP(Companies_CAD[[#This Row],[Symbol]],ColStart_CAD:ColEnd_CAD,MATCH("Financial  Health Grade",Morningstar_Cols_CAD,EXACT_MATCH),EXACT_MATCH)</f>
        <v>#N/A</v>
      </c>
      <c r="N97" s="107" t="e">
        <f>VLOOKUP(Companies_CAD[[#This Row],[Symbol]],ColStart_CAD:ColEnd_CAD,MATCH("% Dividend Yield TTM",Morningstar_Cols_CAD,EXACT_MATCH),EXACT_MATCH)/100</f>
        <v>#N/A</v>
      </c>
      <c r="O97" s="94" t="e">
        <f>RatingDefault+SUM(Companies_CAD[[#This Row],[3MoPoints]:[PFVPoints]])</f>
        <v>#N/A</v>
      </c>
      <c r="P97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97" s="52" t="e">
        <f>IF(Companies_CAD[[#This Row],[3 Mo. Ret.]]&gt;Return3Mo_Grn,1,IF(Companies_CAD[[#This Row],[3 Mo. Ret.]]&lt;Return3Mo_Red,-1,0))</f>
        <v>#N/A</v>
      </c>
      <c r="R97" s="52" t="e">
        <f>IF(Companies_CAD[[#This Row],[12 Mo. Ret.]]&gt;Return12Mo_Grn,1,IF(Companies_CAD[[#This Row],[12 Mo. Ret.]]&lt;Return12Mo_Red,-1,0))</f>
        <v>#N/A</v>
      </c>
      <c r="S97" s="52" t="e">
        <f>IF(Companies_CAD[[#This Row],[PSR]]&lt;PSR_Green,1,IF(Companies_CAD[[#This Row],[PSR]]&gt;PSR_Red,-1,0))</f>
        <v>#N/A</v>
      </c>
      <c r="T97" s="52" t="e">
        <f>IF(Companies_CAD[[#This Row],[Financial Health]]&lt;"C",1,IF(Companies_CAD[[#This Row],[Financial Health]]&gt;"C",-1,0))</f>
        <v>#N/A</v>
      </c>
      <c r="U97" s="52" t="e">
        <f>IF(Companies_CAD[[#This Row],[PFV]]&lt;PFV_Green,1,IF(Companies_CAD[[#This Row],[PFV]]&gt;PFV_Red,-1,0))</f>
        <v>#N/A</v>
      </c>
    </row>
    <row r="98" spans="2:21" s="52" customFormat="1" ht="25.15" customHeight="1" x14ac:dyDescent="0.25">
      <c r="B98" s="11" t="s">
        <v>472</v>
      </c>
      <c r="C98" s="11" t="e">
        <f>VLOOKUP(Companies_CAD[[#This Row],[Symbol]],ColStart_CAD:ColEnd_CAD,MATCH("Name",Morningstar_Cols_CAD,EXACT_MATCH),EXACT_MATCH)</f>
        <v>#N/A</v>
      </c>
      <c r="D98" s="81" t="e">
        <f>VLOOKUP(Companies_CAD[[#This Row],[Symbol]],ColStart_CAD:ColEnd_CAD,MATCH("$ Current Price",Morningstar_Cols_CAD,EXACT_MATCH),EXACT_MATCH)</f>
        <v>#N/A</v>
      </c>
      <c r="E98" s="84" t="e">
        <f>VLOOKUP(Companies_CAD[[#This Row],[Symbol]],ColStart_CAD:ColEnd_CAD,MATCH("$ Change",Morningstar_Cols_CAD,EXACT_MATCH),EXACT_MATCH)</f>
        <v>#N/A</v>
      </c>
      <c r="F98" s="82" t="e">
        <f>IF(Companies_CAD[[#This Row],[$ Change]]&lt;&gt;0,Companies_CAD[[#This Row],[$ Change]]/(Companies_CAD[[#This Row],[Last Close]]-Companies_CAD[[#This Row],[$ Change]]),0)</f>
        <v>#N/A</v>
      </c>
      <c r="G98" s="11" t="e">
        <f>VLOOKUP(Companies_CAD[[#This Row],[Symbol]],ColStart_CAD:ColEnd_CAD,MATCH("Industry Group",Morningstar_Cols_CAD,EXACT_MATCH),EXACT_MATCH)</f>
        <v>#N/A</v>
      </c>
      <c r="H98" s="114" t="e">
        <f>VLOOKUP(Companies_CAD[[#This Row],[Symbol]],ColStart_CAD:ColEnd_CAD,MATCH("mil$ Market Cap",Morningstar_Cols_CAD,EXACT_MATCH),EXACT_MATCH)</f>
        <v>#N/A</v>
      </c>
      <c r="I98" s="115" t="e">
        <f>VLOOKUP(Companies_CAD[[#This Row],[Symbol]],ColStart_CAD:ColEnd_CAD,MATCH("%  Total Return 3 Month",Morningstar_Cols_CAD,EXACT_MATCH),EXACT_MATCH)/100</f>
        <v>#N/A</v>
      </c>
      <c r="J98" s="115" t="e">
        <f>VLOOKUP(Companies_CAD[[#This Row],[Symbol]],ColStart_CAD:ColEnd_CAD,MATCH("%  Total Return 12 Month",Morningstar_Cols_CAD,EXACT_MATCH),EXACT_MATCH)/100</f>
        <v>#N/A</v>
      </c>
      <c r="K98" s="116" t="e">
        <f>VLOOKUP(Companies_CAD[[#This Row],[Symbol]],ColStart_CAD:ColEnd_CAD,MATCH("Price/ Sales",Morningstar_Cols_CAD,EXACT_MATCH),EXACT_MATCH)</f>
        <v>#N/A</v>
      </c>
      <c r="L98" s="117" t="e">
        <f>VLOOKUP(Companies_CAD[[#This Row],[Symbol]],ColStart_CAD:ColEnd_CAD,MATCH("Price/ Fair Value",Morningstar_Cols_CAD,EXACT_MATCH),EXACT_MATCH)</f>
        <v>#N/A</v>
      </c>
      <c r="M98" s="118" t="e">
        <f>VLOOKUP(Companies_CAD[[#This Row],[Symbol]],ColStart_CAD:ColEnd_CAD,MATCH("Financial  Health Grade",Morningstar_Cols_CAD,EXACT_MATCH),EXACT_MATCH)</f>
        <v>#N/A</v>
      </c>
      <c r="N98" s="107" t="e">
        <f>VLOOKUP(Companies_CAD[[#This Row],[Symbol]],ColStart_CAD:ColEnd_CAD,MATCH("% Dividend Yield TTM",Morningstar_Cols_CAD,EXACT_MATCH),EXACT_MATCH)/100</f>
        <v>#N/A</v>
      </c>
      <c r="O98" s="94" t="e">
        <f>RatingDefault+SUM(Companies_CAD[[#This Row],[3MoPoints]:[PFVPoints]])</f>
        <v>#N/A</v>
      </c>
      <c r="P98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98" s="52" t="e">
        <f>IF(Companies_CAD[[#This Row],[3 Mo. Ret.]]&gt;Return3Mo_Grn,1,IF(Companies_CAD[[#This Row],[3 Mo. Ret.]]&lt;Return3Mo_Red,-1,0))</f>
        <v>#N/A</v>
      </c>
      <c r="R98" s="52" t="e">
        <f>IF(Companies_CAD[[#This Row],[12 Mo. Ret.]]&gt;Return12Mo_Grn,1,IF(Companies_CAD[[#This Row],[12 Mo. Ret.]]&lt;Return12Mo_Red,-1,0))</f>
        <v>#N/A</v>
      </c>
      <c r="S98" s="52" t="e">
        <f>IF(Companies_CAD[[#This Row],[PSR]]&lt;PSR_Green,1,IF(Companies_CAD[[#This Row],[PSR]]&gt;PSR_Red,-1,0))</f>
        <v>#N/A</v>
      </c>
      <c r="T98" s="52" t="e">
        <f>IF(Companies_CAD[[#This Row],[Financial Health]]&lt;"C",1,IF(Companies_CAD[[#This Row],[Financial Health]]&gt;"C",-1,0))</f>
        <v>#N/A</v>
      </c>
      <c r="U98" s="52" t="e">
        <f>IF(Companies_CAD[[#This Row],[PFV]]&lt;PFV_Green,1,IF(Companies_CAD[[#This Row],[PFV]]&gt;PFV_Red,-1,0))</f>
        <v>#N/A</v>
      </c>
    </row>
    <row r="99" spans="2:21" s="52" customFormat="1" ht="25.15" customHeight="1" x14ac:dyDescent="0.25">
      <c r="B99" s="11" t="s">
        <v>555</v>
      </c>
      <c r="C99" s="11" t="e">
        <f>VLOOKUP(Companies_CAD[[#This Row],[Symbol]],ColStart_CAD:ColEnd_CAD,MATCH("Name",Morningstar_Cols_CAD,EXACT_MATCH),EXACT_MATCH)</f>
        <v>#N/A</v>
      </c>
      <c r="D99" s="81" t="e">
        <f>VLOOKUP(Companies_CAD[[#This Row],[Symbol]],ColStart_CAD:ColEnd_CAD,MATCH("$ Current Price",Morningstar_Cols_CAD,EXACT_MATCH),EXACT_MATCH)</f>
        <v>#N/A</v>
      </c>
      <c r="E99" s="84" t="e">
        <f>VLOOKUP(Companies_CAD[[#This Row],[Symbol]],ColStart_CAD:ColEnd_CAD,MATCH("$ Change",Morningstar_Cols_CAD,EXACT_MATCH),EXACT_MATCH)</f>
        <v>#N/A</v>
      </c>
      <c r="F99" s="82" t="e">
        <f>IF(Companies_CAD[[#This Row],[$ Change]]&lt;&gt;0,Companies_CAD[[#This Row],[$ Change]]/(Companies_CAD[[#This Row],[Last Close]]-Companies_CAD[[#This Row],[$ Change]]),0)</f>
        <v>#N/A</v>
      </c>
      <c r="G99" s="11" t="e">
        <f>VLOOKUP(Companies_CAD[[#This Row],[Symbol]],ColStart_CAD:ColEnd_CAD,MATCH("Industry Group",Morningstar_Cols_CAD,EXACT_MATCH),EXACT_MATCH)</f>
        <v>#N/A</v>
      </c>
      <c r="H99" s="114" t="e">
        <f>VLOOKUP(Companies_CAD[[#This Row],[Symbol]],ColStart_CAD:ColEnd_CAD,MATCH("mil$ Market Cap",Morningstar_Cols_CAD,EXACT_MATCH),EXACT_MATCH)</f>
        <v>#N/A</v>
      </c>
      <c r="I99" s="115" t="e">
        <f>VLOOKUP(Companies_CAD[[#This Row],[Symbol]],ColStart_CAD:ColEnd_CAD,MATCH("%  Total Return 3 Month",Morningstar_Cols_CAD,EXACT_MATCH),EXACT_MATCH)/100</f>
        <v>#N/A</v>
      </c>
      <c r="J99" s="115" t="e">
        <f>VLOOKUP(Companies_CAD[[#This Row],[Symbol]],ColStart_CAD:ColEnd_CAD,MATCH("%  Total Return 12 Month",Morningstar_Cols_CAD,EXACT_MATCH),EXACT_MATCH)/100</f>
        <v>#N/A</v>
      </c>
      <c r="K99" s="116" t="e">
        <f>VLOOKUP(Companies_CAD[[#This Row],[Symbol]],ColStart_CAD:ColEnd_CAD,MATCH("Price/ Sales",Morningstar_Cols_CAD,EXACT_MATCH),EXACT_MATCH)</f>
        <v>#N/A</v>
      </c>
      <c r="L99" s="117" t="e">
        <f>VLOOKUP(Companies_CAD[[#This Row],[Symbol]],ColStart_CAD:ColEnd_CAD,MATCH("Price/ Fair Value",Morningstar_Cols_CAD,EXACT_MATCH),EXACT_MATCH)</f>
        <v>#N/A</v>
      </c>
      <c r="M99" s="118" t="e">
        <f>VLOOKUP(Companies_CAD[[#This Row],[Symbol]],ColStart_CAD:ColEnd_CAD,MATCH("Financial  Health Grade",Morningstar_Cols_CAD,EXACT_MATCH),EXACT_MATCH)</f>
        <v>#N/A</v>
      </c>
      <c r="N99" s="107" t="e">
        <f>VLOOKUP(Companies_CAD[[#This Row],[Symbol]],ColStart_CAD:ColEnd_CAD,MATCH("% Dividend Yield TTM",Morningstar_Cols_CAD,EXACT_MATCH),EXACT_MATCH)/100</f>
        <v>#N/A</v>
      </c>
      <c r="O99" s="94" t="e">
        <f>RatingDefault+SUM(Companies_CAD[[#This Row],[3MoPoints]:[PFVPoints]])</f>
        <v>#N/A</v>
      </c>
      <c r="P99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99" s="52" t="e">
        <f>IF(Companies_CAD[[#This Row],[3 Mo. Ret.]]&gt;Return3Mo_Grn,1,IF(Companies_CAD[[#This Row],[3 Mo. Ret.]]&lt;Return3Mo_Red,-1,0))</f>
        <v>#N/A</v>
      </c>
      <c r="R99" s="52" t="e">
        <f>IF(Companies_CAD[[#This Row],[12 Mo. Ret.]]&gt;Return12Mo_Grn,1,IF(Companies_CAD[[#This Row],[12 Mo. Ret.]]&lt;Return12Mo_Red,-1,0))</f>
        <v>#N/A</v>
      </c>
      <c r="S99" s="52" t="e">
        <f>IF(Companies_CAD[[#This Row],[PSR]]&lt;PSR_Green,1,IF(Companies_CAD[[#This Row],[PSR]]&gt;PSR_Red,-1,0))</f>
        <v>#N/A</v>
      </c>
      <c r="T99" s="52" t="e">
        <f>IF(Companies_CAD[[#This Row],[Financial Health]]&lt;"C",1,IF(Companies_CAD[[#This Row],[Financial Health]]&gt;"C",-1,0))</f>
        <v>#N/A</v>
      </c>
      <c r="U99" s="52" t="e">
        <f>IF(Companies_CAD[[#This Row],[PFV]]&lt;PFV_Green,1,IF(Companies_CAD[[#This Row],[PFV]]&gt;PFV_Red,-1,0))</f>
        <v>#N/A</v>
      </c>
    </row>
    <row r="100" spans="2:21" s="52" customFormat="1" ht="25.15" customHeight="1" x14ac:dyDescent="0.25">
      <c r="B100" s="11" t="s">
        <v>474</v>
      </c>
      <c r="C100" s="11" t="e">
        <f>VLOOKUP(Companies_CAD[[#This Row],[Symbol]],ColStart_CAD:ColEnd_CAD,MATCH("Name",Morningstar_Cols_CAD,EXACT_MATCH),EXACT_MATCH)</f>
        <v>#N/A</v>
      </c>
      <c r="D100" s="81" t="e">
        <f>VLOOKUP(Companies_CAD[[#This Row],[Symbol]],ColStart_CAD:ColEnd_CAD,MATCH("$ Current Price",Morningstar_Cols_CAD,EXACT_MATCH),EXACT_MATCH)</f>
        <v>#N/A</v>
      </c>
      <c r="E100" s="84" t="e">
        <f>VLOOKUP(Companies_CAD[[#This Row],[Symbol]],ColStart_CAD:ColEnd_CAD,MATCH("$ Change",Morningstar_Cols_CAD,EXACT_MATCH),EXACT_MATCH)</f>
        <v>#N/A</v>
      </c>
      <c r="F100" s="82" t="e">
        <f>IF(Companies_CAD[[#This Row],[$ Change]]&lt;&gt;0,Companies_CAD[[#This Row],[$ Change]]/(Companies_CAD[[#This Row],[Last Close]]-Companies_CAD[[#This Row],[$ Change]]),0)</f>
        <v>#N/A</v>
      </c>
      <c r="G100" s="11" t="e">
        <f>VLOOKUP(Companies_CAD[[#This Row],[Symbol]],ColStart_CAD:ColEnd_CAD,MATCH("Industry Group",Morningstar_Cols_CAD,EXACT_MATCH),EXACT_MATCH)</f>
        <v>#N/A</v>
      </c>
      <c r="H100" s="114" t="e">
        <f>VLOOKUP(Companies_CAD[[#This Row],[Symbol]],ColStart_CAD:ColEnd_CAD,MATCH("mil$ Market Cap",Morningstar_Cols_CAD,EXACT_MATCH),EXACT_MATCH)</f>
        <v>#N/A</v>
      </c>
      <c r="I100" s="115" t="e">
        <f>VLOOKUP(Companies_CAD[[#This Row],[Symbol]],ColStart_CAD:ColEnd_CAD,MATCH("%  Total Return 3 Month",Morningstar_Cols_CAD,EXACT_MATCH),EXACT_MATCH)/100</f>
        <v>#N/A</v>
      </c>
      <c r="J100" s="115" t="e">
        <f>VLOOKUP(Companies_CAD[[#This Row],[Symbol]],ColStart_CAD:ColEnd_CAD,MATCH("%  Total Return 12 Month",Morningstar_Cols_CAD,EXACT_MATCH),EXACT_MATCH)/100</f>
        <v>#N/A</v>
      </c>
      <c r="K100" s="116" t="e">
        <f>VLOOKUP(Companies_CAD[[#This Row],[Symbol]],ColStart_CAD:ColEnd_CAD,MATCH("Price/ Sales",Morningstar_Cols_CAD,EXACT_MATCH),EXACT_MATCH)</f>
        <v>#N/A</v>
      </c>
      <c r="L100" s="117" t="e">
        <f>VLOOKUP(Companies_CAD[[#This Row],[Symbol]],ColStart_CAD:ColEnd_CAD,MATCH("Price/ Fair Value",Morningstar_Cols_CAD,EXACT_MATCH),EXACT_MATCH)</f>
        <v>#N/A</v>
      </c>
      <c r="M100" s="118" t="e">
        <f>VLOOKUP(Companies_CAD[[#This Row],[Symbol]],ColStart_CAD:ColEnd_CAD,MATCH("Financial  Health Grade",Morningstar_Cols_CAD,EXACT_MATCH),EXACT_MATCH)</f>
        <v>#N/A</v>
      </c>
      <c r="N100" s="107" t="e">
        <f>VLOOKUP(Companies_CAD[[#This Row],[Symbol]],ColStart_CAD:ColEnd_CAD,MATCH("% Dividend Yield TTM",Morningstar_Cols_CAD,EXACT_MATCH),EXACT_MATCH)/100</f>
        <v>#N/A</v>
      </c>
      <c r="O100" s="94" t="e">
        <f>RatingDefault+SUM(Companies_CAD[[#This Row],[3MoPoints]:[PFVPoints]])</f>
        <v>#N/A</v>
      </c>
      <c r="P100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00" s="52" t="e">
        <f>IF(Companies_CAD[[#This Row],[3 Mo. Ret.]]&gt;Return3Mo_Grn,1,IF(Companies_CAD[[#This Row],[3 Mo. Ret.]]&lt;Return3Mo_Red,-1,0))</f>
        <v>#N/A</v>
      </c>
      <c r="R100" s="52" t="e">
        <f>IF(Companies_CAD[[#This Row],[12 Mo. Ret.]]&gt;Return12Mo_Grn,1,IF(Companies_CAD[[#This Row],[12 Mo. Ret.]]&lt;Return12Mo_Red,-1,0))</f>
        <v>#N/A</v>
      </c>
      <c r="S100" s="52" t="e">
        <f>IF(Companies_CAD[[#This Row],[PSR]]&lt;PSR_Green,1,IF(Companies_CAD[[#This Row],[PSR]]&gt;PSR_Red,-1,0))</f>
        <v>#N/A</v>
      </c>
      <c r="T100" s="52" t="e">
        <f>IF(Companies_CAD[[#This Row],[Financial Health]]&lt;"C",1,IF(Companies_CAD[[#This Row],[Financial Health]]&gt;"C",-1,0))</f>
        <v>#N/A</v>
      </c>
      <c r="U100" s="52" t="e">
        <f>IF(Companies_CAD[[#This Row],[PFV]]&lt;PFV_Green,1,IF(Companies_CAD[[#This Row],[PFV]]&gt;PFV_Red,-1,0))</f>
        <v>#N/A</v>
      </c>
    </row>
    <row r="101" spans="2:21" s="52" customFormat="1" ht="25.15" customHeight="1" x14ac:dyDescent="0.25">
      <c r="B101" s="11" t="s">
        <v>557</v>
      </c>
      <c r="C101" s="11" t="e">
        <f>VLOOKUP(Companies_CAD[[#This Row],[Symbol]],ColStart_CAD:ColEnd_CAD,MATCH("Name",Morningstar_Cols_CAD,EXACT_MATCH),EXACT_MATCH)</f>
        <v>#N/A</v>
      </c>
      <c r="D101" s="81" t="e">
        <f>VLOOKUP(Companies_CAD[[#This Row],[Symbol]],ColStart_CAD:ColEnd_CAD,MATCH("$ Current Price",Morningstar_Cols_CAD,EXACT_MATCH),EXACT_MATCH)</f>
        <v>#N/A</v>
      </c>
      <c r="E101" s="84" t="e">
        <f>VLOOKUP(Companies_CAD[[#This Row],[Symbol]],ColStart_CAD:ColEnd_CAD,MATCH("$ Change",Morningstar_Cols_CAD,EXACT_MATCH),EXACT_MATCH)</f>
        <v>#N/A</v>
      </c>
      <c r="F101" s="82" t="e">
        <f>IF(Companies_CAD[[#This Row],[$ Change]]&lt;&gt;0,Companies_CAD[[#This Row],[$ Change]]/(Companies_CAD[[#This Row],[Last Close]]-Companies_CAD[[#This Row],[$ Change]]),0)</f>
        <v>#N/A</v>
      </c>
      <c r="G101" s="11" t="e">
        <f>VLOOKUP(Companies_CAD[[#This Row],[Symbol]],ColStart_CAD:ColEnd_CAD,MATCH("Industry Group",Morningstar_Cols_CAD,EXACT_MATCH),EXACT_MATCH)</f>
        <v>#N/A</v>
      </c>
      <c r="H101" s="114" t="e">
        <f>VLOOKUP(Companies_CAD[[#This Row],[Symbol]],ColStart_CAD:ColEnd_CAD,MATCH("mil$ Market Cap",Morningstar_Cols_CAD,EXACT_MATCH),EXACT_MATCH)</f>
        <v>#N/A</v>
      </c>
      <c r="I101" s="115" t="e">
        <f>VLOOKUP(Companies_CAD[[#This Row],[Symbol]],ColStart_CAD:ColEnd_CAD,MATCH("%  Total Return 3 Month",Morningstar_Cols_CAD,EXACT_MATCH),EXACT_MATCH)/100</f>
        <v>#N/A</v>
      </c>
      <c r="J101" s="115" t="e">
        <f>VLOOKUP(Companies_CAD[[#This Row],[Symbol]],ColStart_CAD:ColEnd_CAD,MATCH("%  Total Return 12 Month",Morningstar_Cols_CAD,EXACT_MATCH),EXACT_MATCH)/100</f>
        <v>#N/A</v>
      </c>
      <c r="K101" s="116" t="e">
        <f>VLOOKUP(Companies_CAD[[#This Row],[Symbol]],ColStart_CAD:ColEnd_CAD,MATCH("Price/ Sales",Morningstar_Cols_CAD,EXACT_MATCH),EXACT_MATCH)</f>
        <v>#N/A</v>
      </c>
      <c r="L101" s="117" t="e">
        <f>VLOOKUP(Companies_CAD[[#This Row],[Symbol]],ColStart_CAD:ColEnd_CAD,MATCH("Price/ Fair Value",Morningstar_Cols_CAD,EXACT_MATCH),EXACT_MATCH)</f>
        <v>#N/A</v>
      </c>
      <c r="M101" s="118" t="e">
        <f>VLOOKUP(Companies_CAD[[#This Row],[Symbol]],ColStart_CAD:ColEnd_CAD,MATCH("Financial  Health Grade",Morningstar_Cols_CAD,EXACT_MATCH),EXACT_MATCH)</f>
        <v>#N/A</v>
      </c>
      <c r="N101" s="107" t="e">
        <f>VLOOKUP(Companies_CAD[[#This Row],[Symbol]],ColStart_CAD:ColEnd_CAD,MATCH("% Dividend Yield TTM",Morningstar_Cols_CAD,EXACT_MATCH),EXACT_MATCH)/100</f>
        <v>#N/A</v>
      </c>
      <c r="O101" s="94" t="e">
        <f>RatingDefault+SUM(Companies_CAD[[#This Row],[3MoPoints]:[PFVPoints]])</f>
        <v>#N/A</v>
      </c>
      <c r="P101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01" s="52" t="e">
        <f>IF(Companies_CAD[[#This Row],[3 Mo. Ret.]]&gt;Return3Mo_Grn,1,IF(Companies_CAD[[#This Row],[3 Mo. Ret.]]&lt;Return3Mo_Red,-1,0))</f>
        <v>#N/A</v>
      </c>
      <c r="R101" s="52" t="e">
        <f>IF(Companies_CAD[[#This Row],[12 Mo. Ret.]]&gt;Return12Mo_Grn,1,IF(Companies_CAD[[#This Row],[12 Mo. Ret.]]&lt;Return12Mo_Red,-1,0))</f>
        <v>#N/A</v>
      </c>
      <c r="S101" s="52" t="e">
        <f>IF(Companies_CAD[[#This Row],[PSR]]&lt;PSR_Green,1,IF(Companies_CAD[[#This Row],[PSR]]&gt;PSR_Red,-1,0))</f>
        <v>#N/A</v>
      </c>
      <c r="T101" s="52" t="e">
        <f>IF(Companies_CAD[[#This Row],[Financial Health]]&lt;"C",1,IF(Companies_CAD[[#This Row],[Financial Health]]&gt;"C",-1,0))</f>
        <v>#N/A</v>
      </c>
      <c r="U101" s="52" t="e">
        <f>IF(Companies_CAD[[#This Row],[PFV]]&lt;PFV_Green,1,IF(Companies_CAD[[#This Row],[PFV]]&gt;PFV_Red,-1,0))</f>
        <v>#N/A</v>
      </c>
    </row>
    <row r="102" spans="2:21" s="52" customFormat="1" ht="25.15" customHeight="1" x14ac:dyDescent="0.25">
      <c r="B102" s="11" t="s">
        <v>481</v>
      </c>
      <c r="C102" s="11" t="e">
        <f>VLOOKUP(Companies_CAD[[#This Row],[Symbol]],ColStart_CAD:ColEnd_CAD,MATCH("Name",Morningstar_Cols_CAD,EXACT_MATCH),EXACT_MATCH)</f>
        <v>#N/A</v>
      </c>
      <c r="D102" s="81" t="e">
        <f>VLOOKUP(Companies_CAD[[#This Row],[Symbol]],ColStart_CAD:ColEnd_CAD,MATCH("$ Current Price",Morningstar_Cols_CAD,EXACT_MATCH),EXACT_MATCH)</f>
        <v>#N/A</v>
      </c>
      <c r="E102" s="84" t="e">
        <f>VLOOKUP(Companies_CAD[[#This Row],[Symbol]],ColStart_CAD:ColEnd_CAD,MATCH("$ Change",Morningstar_Cols_CAD,EXACT_MATCH),EXACT_MATCH)</f>
        <v>#N/A</v>
      </c>
      <c r="F102" s="82" t="e">
        <f>IF(Companies_CAD[[#This Row],[$ Change]]&lt;&gt;0,Companies_CAD[[#This Row],[$ Change]]/(Companies_CAD[[#This Row],[Last Close]]-Companies_CAD[[#This Row],[$ Change]]),0)</f>
        <v>#N/A</v>
      </c>
      <c r="G102" s="11" t="e">
        <f>VLOOKUP(Companies_CAD[[#This Row],[Symbol]],ColStart_CAD:ColEnd_CAD,MATCH("Industry Group",Morningstar_Cols_CAD,EXACT_MATCH),EXACT_MATCH)</f>
        <v>#N/A</v>
      </c>
      <c r="H102" s="114" t="e">
        <f>VLOOKUP(Companies_CAD[[#This Row],[Symbol]],ColStart_CAD:ColEnd_CAD,MATCH("mil$ Market Cap",Morningstar_Cols_CAD,EXACT_MATCH),EXACT_MATCH)</f>
        <v>#N/A</v>
      </c>
      <c r="I102" s="115" t="e">
        <f>VLOOKUP(Companies_CAD[[#This Row],[Symbol]],ColStart_CAD:ColEnd_CAD,MATCH("%  Total Return 3 Month",Morningstar_Cols_CAD,EXACT_MATCH),EXACT_MATCH)/100</f>
        <v>#N/A</v>
      </c>
      <c r="J102" s="115" t="e">
        <f>VLOOKUP(Companies_CAD[[#This Row],[Symbol]],ColStart_CAD:ColEnd_CAD,MATCH("%  Total Return 12 Month",Morningstar_Cols_CAD,EXACT_MATCH),EXACT_MATCH)/100</f>
        <v>#N/A</v>
      </c>
      <c r="K102" s="116" t="e">
        <f>VLOOKUP(Companies_CAD[[#This Row],[Symbol]],ColStart_CAD:ColEnd_CAD,MATCH("Price/ Sales",Morningstar_Cols_CAD,EXACT_MATCH),EXACT_MATCH)</f>
        <v>#N/A</v>
      </c>
      <c r="L102" s="117" t="e">
        <f>VLOOKUP(Companies_CAD[[#This Row],[Symbol]],ColStart_CAD:ColEnd_CAD,MATCH("Price/ Fair Value",Morningstar_Cols_CAD,EXACT_MATCH),EXACT_MATCH)</f>
        <v>#N/A</v>
      </c>
      <c r="M102" s="118" t="e">
        <f>VLOOKUP(Companies_CAD[[#This Row],[Symbol]],ColStart_CAD:ColEnd_CAD,MATCH("Financial  Health Grade",Morningstar_Cols_CAD,EXACT_MATCH),EXACT_MATCH)</f>
        <v>#N/A</v>
      </c>
      <c r="N102" s="107" t="e">
        <f>VLOOKUP(Companies_CAD[[#This Row],[Symbol]],ColStart_CAD:ColEnd_CAD,MATCH("% Dividend Yield TTM",Morningstar_Cols_CAD,EXACT_MATCH),EXACT_MATCH)/100</f>
        <v>#N/A</v>
      </c>
      <c r="O102" s="94" t="e">
        <f>RatingDefault+SUM(Companies_CAD[[#This Row],[3MoPoints]:[PFVPoints]])</f>
        <v>#N/A</v>
      </c>
      <c r="P102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02" s="52" t="e">
        <f>IF(Companies_CAD[[#This Row],[3 Mo. Ret.]]&gt;Return3Mo_Grn,1,IF(Companies_CAD[[#This Row],[3 Mo. Ret.]]&lt;Return3Mo_Red,-1,0))</f>
        <v>#N/A</v>
      </c>
      <c r="R102" s="52" t="e">
        <f>IF(Companies_CAD[[#This Row],[12 Mo. Ret.]]&gt;Return12Mo_Grn,1,IF(Companies_CAD[[#This Row],[12 Mo. Ret.]]&lt;Return12Mo_Red,-1,0))</f>
        <v>#N/A</v>
      </c>
      <c r="S102" s="52" t="e">
        <f>IF(Companies_CAD[[#This Row],[PSR]]&lt;PSR_Green,1,IF(Companies_CAD[[#This Row],[PSR]]&gt;PSR_Red,-1,0))</f>
        <v>#N/A</v>
      </c>
      <c r="T102" s="52" t="e">
        <f>IF(Companies_CAD[[#This Row],[Financial Health]]&lt;"C",1,IF(Companies_CAD[[#This Row],[Financial Health]]&gt;"C",-1,0))</f>
        <v>#N/A</v>
      </c>
      <c r="U102" s="52" t="e">
        <f>IF(Companies_CAD[[#This Row],[PFV]]&lt;PFV_Green,1,IF(Companies_CAD[[#This Row],[PFV]]&gt;PFV_Red,-1,0))</f>
        <v>#N/A</v>
      </c>
    </row>
    <row r="103" spans="2:21" s="52" customFormat="1" ht="25.15" customHeight="1" x14ac:dyDescent="0.25">
      <c r="B103" s="11" t="s">
        <v>561</v>
      </c>
      <c r="C103" s="11" t="e">
        <f>VLOOKUP(Companies_CAD[[#This Row],[Symbol]],ColStart_CAD:ColEnd_CAD,MATCH("Name",Morningstar_Cols_CAD,EXACT_MATCH),EXACT_MATCH)</f>
        <v>#N/A</v>
      </c>
      <c r="D103" s="81" t="e">
        <f>VLOOKUP(Companies_CAD[[#This Row],[Symbol]],ColStart_CAD:ColEnd_CAD,MATCH("$ Current Price",Morningstar_Cols_CAD,EXACT_MATCH),EXACT_MATCH)</f>
        <v>#N/A</v>
      </c>
      <c r="E103" s="84" t="e">
        <f>VLOOKUP(Companies_CAD[[#This Row],[Symbol]],ColStart_CAD:ColEnd_CAD,MATCH("$ Change",Morningstar_Cols_CAD,EXACT_MATCH),EXACT_MATCH)</f>
        <v>#N/A</v>
      </c>
      <c r="F103" s="82" t="e">
        <f>IF(Companies_CAD[[#This Row],[$ Change]]&lt;&gt;0,Companies_CAD[[#This Row],[$ Change]]/(Companies_CAD[[#This Row],[Last Close]]-Companies_CAD[[#This Row],[$ Change]]),0)</f>
        <v>#N/A</v>
      </c>
      <c r="G103" s="11" t="e">
        <f>VLOOKUP(Companies_CAD[[#This Row],[Symbol]],ColStart_CAD:ColEnd_CAD,MATCH("Industry Group",Morningstar_Cols_CAD,EXACT_MATCH),EXACT_MATCH)</f>
        <v>#N/A</v>
      </c>
      <c r="H103" s="114" t="e">
        <f>VLOOKUP(Companies_CAD[[#This Row],[Symbol]],ColStart_CAD:ColEnd_CAD,MATCH("mil$ Market Cap",Morningstar_Cols_CAD,EXACT_MATCH),EXACT_MATCH)</f>
        <v>#N/A</v>
      </c>
      <c r="I103" s="115" t="e">
        <f>VLOOKUP(Companies_CAD[[#This Row],[Symbol]],ColStart_CAD:ColEnd_CAD,MATCH("%  Total Return 3 Month",Morningstar_Cols_CAD,EXACT_MATCH),EXACT_MATCH)/100</f>
        <v>#N/A</v>
      </c>
      <c r="J103" s="115" t="e">
        <f>VLOOKUP(Companies_CAD[[#This Row],[Symbol]],ColStart_CAD:ColEnd_CAD,MATCH("%  Total Return 12 Month",Morningstar_Cols_CAD,EXACT_MATCH),EXACT_MATCH)/100</f>
        <v>#N/A</v>
      </c>
      <c r="K103" s="116" t="e">
        <f>VLOOKUP(Companies_CAD[[#This Row],[Symbol]],ColStart_CAD:ColEnd_CAD,MATCH("Price/ Sales",Morningstar_Cols_CAD,EXACT_MATCH),EXACT_MATCH)</f>
        <v>#N/A</v>
      </c>
      <c r="L103" s="117" t="e">
        <f>VLOOKUP(Companies_CAD[[#This Row],[Symbol]],ColStart_CAD:ColEnd_CAD,MATCH("Price/ Fair Value",Morningstar_Cols_CAD,EXACT_MATCH),EXACT_MATCH)</f>
        <v>#N/A</v>
      </c>
      <c r="M103" s="118" t="e">
        <f>VLOOKUP(Companies_CAD[[#This Row],[Symbol]],ColStart_CAD:ColEnd_CAD,MATCH("Financial  Health Grade",Morningstar_Cols_CAD,EXACT_MATCH),EXACT_MATCH)</f>
        <v>#N/A</v>
      </c>
      <c r="N103" s="107" t="e">
        <f>VLOOKUP(Companies_CAD[[#This Row],[Symbol]],ColStart_CAD:ColEnd_CAD,MATCH("% Dividend Yield TTM",Morningstar_Cols_CAD,EXACT_MATCH),EXACT_MATCH)/100</f>
        <v>#N/A</v>
      </c>
      <c r="O103" s="94" t="e">
        <f>RatingDefault+SUM(Companies_CAD[[#This Row],[3MoPoints]:[PFVPoints]])</f>
        <v>#N/A</v>
      </c>
      <c r="P103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03" s="52" t="e">
        <f>IF(Companies_CAD[[#This Row],[3 Mo. Ret.]]&gt;Return3Mo_Grn,1,IF(Companies_CAD[[#This Row],[3 Mo. Ret.]]&lt;Return3Mo_Red,-1,0))</f>
        <v>#N/A</v>
      </c>
      <c r="R103" s="52" t="e">
        <f>IF(Companies_CAD[[#This Row],[12 Mo. Ret.]]&gt;Return12Mo_Grn,1,IF(Companies_CAD[[#This Row],[12 Mo. Ret.]]&lt;Return12Mo_Red,-1,0))</f>
        <v>#N/A</v>
      </c>
      <c r="S103" s="52" t="e">
        <f>IF(Companies_CAD[[#This Row],[PSR]]&lt;PSR_Green,1,IF(Companies_CAD[[#This Row],[PSR]]&gt;PSR_Red,-1,0))</f>
        <v>#N/A</v>
      </c>
      <c r="T103" s="52" t="e">
        <f>IF(Companies_CAD[[#This Row],[Financial Health]]&lt;"C",1,IF(Companies_CAD[[#This Row],[Financial Health]]&gt;"C",-1,0))</f>
        <v>#N/A</v>
      </c>
      <c r="U103" s="52" t="e">
        <f>IF(Companies_CAD[[#This Row],[PFV]]&lt;PFV_Green,1,IF(Companies_CAD[[#This Row],[PFV]]&gt;PFV_Red,-1,0))</f>
        <v>#N/A</v>
      </c>
    </row>
    <row r="104" spans="2:21" s="52" customFormat="1" ht="25.15" customHeight="1" x14ac:dyDescent="0.25">
      <c r="B104" s="11" t="s">
        <v>476</v>
      </c>
      <c r="C104" s="11" t="e">
        <f>VLOOKUP(Companies_CAD[[#This Row],[Symbol]],ColStart_CAD:ColEnd_CAD,MATCH("Name",Morningstar_Cols_CAD,EXACT_MATCH),EXACT_MATCH)</f>
        <v>#N/A</v>
      </c>
      <c r="D104" s="81" t="e">
        <f>VLOOKUP(Companies_CAD[[#This Row],[Symbol]],ColStart_CAD:ColEnd_CAD,MATCH("$ Current Price",Morningstar_Cols_CAD,EXACT_MATCH),EXACT_MATCH)</f>
        <v>#N/A</v>
      </c>
      <c r="E104" s="84" t="e">
        <f>VLOOKUP(Companies_CAD[[#This Row],[Symbol]],ColStart_CAD:ColEnd_CAD,MATCH("$ Change",Morningstar_Cols_CAD,EXACT_MATCH),EXACT_MATCH)</f>
        <v>#N/A</v>
      </c>
      <c r="F104" s="82" t="e">
        <f>IF(Companies_CAD[[#This Row],[$ Change]]&lt;&gt;0,Companies_CAD[[#This Row],[$ Change]]/(Companies_CAD[[#This Row],[Last Close]]-Companies_CAD[[#This Row],[$ Change]]),0)</f>
        <v>#N/A</v>
      </c>
      <c r="G104" s="11" t="e">
        <f>VLOOKUP(Companies_CAD[[#This Row],[Symbol]],ColStart_CAD:ColEnd_CAD,MATCH("Industry Group",Morningstar_Cols_CAD,EXACT_MATCH),EXACT_MATCH)</f>
        <v>#N/A</v>
      </c>
      <c r="H104" s="114" t="e">
        <f>VLOOKUP(Companies_CAD[[#This Row],[Symbol]],ColStart_CAD:ColEnd_CAD,MATCH("mil$ Market Cap",Morningstar_Cols_CAD,EXACT_MATCH),EXACT_MATCH)</f>
        <v>#N/A</v>
      </c>
      <c r="I104" s="115" t="e">
        <f>VLOOKUP(Companies_CAD[[#This Row],[Symbol]],ColStart_CAD:ColEnd_CAD,MATCH("%  Total Return 3 Month",Morningstar_Cols_CAD,EXACT_MATCH),EXACT_MATCH)/100</f>
        <v>#N/A</v>
      </c>
      <c r="J104" s="115" t="e">
        <f>VLOOKUP(Companies_CAD[[#This Row],[Symbol]],ColStart_CAD:ColEnd_CAD,MATCH("%  Total Return 12 Month",Morningstar_Cols_CAD,EXACT_MATCH),EXACT_MATCH)/100</f>
        <v>#N/A</v>
      </c>
      <c r="K104" s="116" t="e">
        <f>VLOOKUP(Companies_CAD[[#This Row],[Symbol]],ColStart_CAD:ColEnd_CAD,MATCH("Price/ Sales",Morningstar_Cols_CAD,EXACT_MATCH),EXACT_MATCH)</f>
        <v>#N/A</v>
      </c>
      <c r="L104" s="117" t="e">
        <f>VLOOKUP(Companies_CAD[[#This Row],[Symbol]],ColStart_CAD:ColEnd_CAD,MATCH("Price/ Fair Value",Morningstar_Cols_CAD,EXACT_MATCH),EXACT_MATCH)</f>
        <v>#N/A</v>
      </c>
      <c r="M104" s="118" t="e">
        <f>VLOOKUP(Companies_CAD[[#This Row],[Symbol]],ColStart_CAD:ColEnd_CAD,MATCH("Financial  Health Grade",Morningstar_Cols_CAD,EXACT_MATCH),EXACT_MATCH)</f>
        <v>#N/A</v>
      </c>
      <c r="N104" s="107" t="e">
        <f>VLOOKUP(Companies_CAD[[#This Row],[Symbol]],ColStart_CAD:ColEnd_CAD,MATCH("% Dividend Yield TTM",Morningstar_Cols_CAD,EXACT_MATCH),EXACT_MATCH)/100</f>
        <v>#N/A</v>
      </c>
      <c r="O104" s="94" t="e">
        <f>RatingDefault+SUM(Companies_CAD[[#This Row],[3MoPoints]:[PFVPoints]])</f>
        <v>#N/A</v>
      </c>
      <c r="P104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04" s="52" t="e">
        <f>IF(Companies_CAD[[#This Row],[3 Mo. Ret.]]&gt;Return3Mo_Grn,1,IF(Companies_CAD[[#This Row],[3 Mo. Ret.]]&lt;Return3Mo_Red,-1,0))</f>
        <v>#N/A</v>
      </c>
      <c r="R104" s="52" t="e">
        <f>IF(Companies_CAD[[#This Row],[12 Mo. Ret.]]&gt;Return12Mo_Grn,1,IF(Companies_CAD[[#This Row],[12 Mo. Ret.]]&lt;Return12Mo_Red,-1,0))</f>
        <v>#N/A</v>
      </c>
      <c r="S104" s="52" t="e">
        <f>IF(Companies_CAD[[#This Row],[PSR]]&lt;PSR_Green,1,IF(Companies_CAD[[#This Row],[PSR]]&gt;PSR_Red,-1,0))</f>
        <v>#N/A</v>
      </c>
      <c r="T104" s="52" t="e">
        <f>IF(Companies_CAD[[#This Row],[Financial Health]]&lt;"C",1,IF(Companies_CAD[[#This Row],[Financial Health]]&gt;"C",-1,0))</f>
        <v>#N/A</v>
      </c>
      <c r="U104" s="52" t="e">
        <f>IF(Companies_CAD[[#This Row],[PFV]]&lt;PFV_Green,1,IF(Companies_CAD[[#This Row],[PFV]]&gt;PFV_Red,-1,0))</f>
        <v>#N/A</v>
      </c>
    </row>
    <row r="105" spans="2:21" s="52" customFormat="1" ht="25.15" customHeight="1" x14ac:dyDescent="0.25">
      <c r="B105" s="11" t="s">
        <v>556</v>
      </c>
      <c r="C105" s="11" t="e">
        <f>VLOOKUP(Companies_CAD[[#This Row],[Symbol]],ColStart_CAD:ColEnd_CAD,MATCH("Name",Morningstar_Cols_CAD,EXACT_MATCH),EXACT_MATCH)</f>
        <v>#N/A</v>
      </c>
      <c r="D105" s="81" t="e">
        <f>VLOOKUP(Companies_CAD[[#This Row],[Symbol]],ColStart_CAD:ColEnd_CAD,MATCH("$ Current Price",Morningstar_Cols_CAD,EXACT_MATCH),EXACT_MATCH)</f>
        <v>#N/A</v>
      </c>
      <c r="E105" s="84" t="e">
        <f>VLOOKUP(Companies_CAD[[#This Row],[Symbol]],ColStart_CAD:ColEnd_CAD,MATCH("$ Change",Morningstar_Cols_CAD,EXACT_MATCH),EXACT_MATCH)</f>
        <v>#N/A</v>
      </c>
      <c r="F105" s="82" t="e">
        <f>IF(Companies_CAD[[#This Row],[$ Change]]&lt;&gt;0,Companies_CAD[[#This Row],[$ Change]]/(Companies_CAD[[#This Row],[Last Close]]-Companies_CAD[[#This Row],[$ Change]]),0)</f>
        <v>#N/A</v>
      </c>
      <c r="G105" s="11" t="e">
        <f>VLOOKUP(Companies_CAD[[#This Row],[Symbol]],ColStart_CAD:ColEnd_CAD,MATCH("Industry Group",Morningstar_Cols_CAD,EXACT_MATCH),EXACT_MATCH)</f>
        <v>#N/A</v>
      </c>
      <c r="H105" s="114" t="e">
        <f>VLOOKUP(Companies_CAD[[#This Row],[Symbol]],ColStart_CAD:ColEnd_CAD,MATCH("mil$ Market Cap",Morningstar_Cols_CAD,EXACT_MATCH),EXACT_MATCH)</f>
        <v>#N/A</v>
      </c>
      <c r="I105" s="115" t="e">
        <f>VLOOKUP(Companies_CAD[[#This Row],[Symbol]],ColStart_CAD:ColEnd_CAD,MATCH("%  Total Return 3 Month",Morningstar_Cols_CAD,EXACT_MATCH),EXACT_MATCH)/100</f>
        <v>#N/A</v>
      </c>
      <c r="J105" s="115" t="e">
        <f>VLOOKUP(Companies_CAD[[#This Row],[Symbol]],ColStart_CAD:ColEnd_CAD,MATCH("%  Total Return 12 Month",Morningstar_Cols_CAD,EXACT_MATCH),EXACT_MATCH)/100</f>
        <v>#N/A</v>
      </c>
      <c r="K105" s="116" t="e">
        <f>VLOOKUP(Companies_CAD[[#This Row],[Symbol]],ColStart_CAD:ColEnd_CAD,MATCH("Price/ Sales",Morningstar_Cols_CAD,EXACT_MATCH),EXACT_MATCH)</f>
        <v>#N/A</v>
      </c>
      <c r="L105" s="117" t="e">
        <f>VLOOKUP(Companies_CAD[[#This Row],[Symbol]],ColStart_CAD:ColEnd_CAD,MATCH("Price/ Fair Value",Morningstar_Cols_CAD,EXACT_MATCH),EXACT_MATCH)</f>
        <v>#N/A</v>
      </c>
      <c r="M105" s="118" t="e">
        <f>VLOOKUP(Companies_CAD[[#This Row],[Symbol]],ColStart_CAD:ColEnd_CAD,MATCH("Financial  Health Grade",Morningstar_Cols_CAD,EXACT_MATCH),EXACT_MATCH)</f>
        <v>#N/A</v>
      </c>
      <c r="N105" s="107" t="e">
        <f>VLOOKUP(Companies_CAD[[#This Row],[Symbol]],ColStart_CAD:ColEnd_CAD,MATCH("% Dividend Yield TTM",Morningstar_Cols_CAD,EXACT_MATCH),EXACT_MATCH)/100</f>
        <v>#N/A</v>
      </c>
      <c r="O105" s="94" t="e">
        <f>RatingDefault+SUM(Companies_CAD[[#This Row],[3MoPoints]:[PFVPoints]])</f>
        <v>#N/A</v>
      </c>
      <c r="P105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05" s="52" t="e">
        <f>IF(Companies_CAD[[#This Row],[3 Mo. Ret.]]&gt;Return3Mo_Grn,1,IF(Companies_CAD[[#This Row],[3 Mo. Ret.]]&lt;Return3Mo_Red,-1,0))</f>
        <v>#N/A</v>
      </c>
      <c r="R105" s="52" t="e">
        <f>IF(Companies_CAD[[#This Row],[12 Mo. Ret.]]&gt;Return12Mo_Grn,1,IF(Companies_CAD[[#This Row],[12 Mo. Ret.]]&lt;Return12Mo_Red,-1,0))</f>
        <v>#N/A</v>
      </c>
      <c r="S105" s="52" t="e">
        <f>IF(Companies_CAD[[#This Row],[PSR]]&lt;PSR_Green,1,IF(Companies_CAD[[#This Row],[PSR]]&gt;PSR_Red,-1,0))</f>
        <v>#N/A</v>
      </c>
      <c r="T105" s="52" t="e">
        <f>IF(Companies_CAD[[#This Row],[Financial Health]]&lt;"C",1,IF(Companies_CAD[[#This Row],[Financial Health]]&gt;"C",-1,0))</f>
        <v>#N/A</v>
      </c>
      <c r="U105" s="52" t="e">
        <f>IF(Companies_CAD[[#This Row],[PFV]]&lt;PFV_Green,1,IF(Companies_CAD[[#This Row],[PFV]]&gt;PFV_Red,-1,0))</f>
        <v>#N/A</v>
      </c>
    </row>
    <row r="106" spans="2:21" s="52" customFormat="1" ht="25.15" customHeight="1" x14ac:dyDescent="0.25">
      <c r="B106" s="11" t="s">
        <v>560</v>
      </c>
      <c r="C106" s="11" t="e">
        <f>VLOOKUP(Companies_CAD[[#This Row],[Symbol]],ColStart_CAD:ColEnd_CAD,MATCH("Name",Morningstar_Cols_CAD,EXACT_MATCH),EXACT_MATCH)</f>
        <v>#N/A</v>
      </c>
      <c r="D106" s="81" t="e">
        <f>VLOOKUP(Companies_CAD[[#This Row],[Symbol]],ColStart_CAD:ColEnd_CAD,MATCH("$ Current Price",Morningstar_Cols_CAD,EXACT_MATCH),EXACT_MATCH)</f>
        <v>#N/A</v>
      </c>
      <c r="E106" s="84" t="e">
        <f>VLOOKUP(Companies_CAD[[#This Row],[Symbol]],ColStart_CAD:ColEnd_CAD,MATCH("$ Change",Morningstar_Cols_CAD,EXACT_MATCH),EXACT_MATCH)</f>
        <v>#N/A</v>
      </c>
      <c r="F106" s="82" t="e">
        <f>IF(Companies_CAD[[#This Row],[$ Change]]&lt;&gt;0,Companies_CAD[[#This Row],[$ Change]]/(Companies_CAD[[#This Row],[Last Close]]-Companies_CAD[[#This Row],[$ Change]]),0)</f>
        <v>#N/A</v>
      </c>
      <c r="G106" s="11" t="e">
        <f>VLOOKUP(Companies_CAD[[#This Row],[Symbol]],ColStart_CAD:ColEnd_CAD,MATCH("Industry Group",Morningstar_Cols_CAD,EXACT_MATCH),EXACT_MATCH)</f>
        <v>#N/A</v>
      </c>
      <c r="H106" s="114" t="e">
        <f>VLOOKUP(Companies_CAD[[#This Row],[Symbol]],ColStart_CAD:ColEnd_CAD,MATCH("mil$ Market Cap",Morningstar_Cols_CAD,EXACT_MATCH),EXACT_MATCH)</f>
        <v>#N/A</v>
      </c>
      <c r="I106" s="115" t="e">
        <f>VLOOKUP(Companies_CAD[[#This Row],[Symbol]],ColStart_CAD:ColEnd_CAD,MATCH("%  Total Return 3 Month",Morningstar_Cols_CAD,EXACT_MATCH),EXACT_MATCH)/100</f>
        <v>#N/A</v>
      </c>
      <c r="J106" s="115" t="e">
        <f>VLOOKUP(Companies_CAD[[#This Row],[Symbol]],ColStart_CAD:ColEnd_CAD,MATCH("%  Total Return 12 Month",Morningstar_Cols_CAD,EXACT_MATCH),EXACT_MATCH)/100</f>
        <v>#N/A</v>
      </c>
      <c r="K106" s="116" t="e">
        <f>VLOOKUP(Companies_CAD[[#This Row],[Symbol]],ColStart_CAD:ColEnd_CAD,MATCH("Price/ Sales",Morningstar_Cols_CAD,EXACT_MATCH),EXACT_MATCH)</f>
        <v>#N/A</v>
      </c>
      <c r="L106" s="117" t="e">
        <f>VLOOKUP(Companies_CAD[[#This Row],[Symbol]],ColStart_CAD:ColEnd_CAD,MATCH("Price/ Fair Value",Morningstar_Cols_CAD,EXACT_MATCH),EXACT_MATCH)</f>
        <v>#N/A</v>
      </c>
      <c r="M106" s="118" t="e">
        <f>VLOOKUP(Companies_CAD[[#This Row],[Symbol]],ColStart_CAD:ColEnd_CAD,MATCH("Financial  Health Grade",Morningstar_Cols_CAD,EXACT_MATCH),EXACT_MATCH)</f>
        <v>#N/A</v>
      </c>
      <c r="N106" s="107" t="e">
        <f>VLOOKUP(Companies_CAD[[#This Row],[Symbol]],ColStart_CAD:ColEnd_CAD,MATCH("% Dividend Yield TTM",Morningstar_Cols_CAD,EXACT_MATCH),EXACT_MATCH)/100</f>
        <v>#N/A</v>
      </c>
      <c r="O106" s="94" t="e">
        <f>RatingDefault+SUM(Companies_CAD[[#This Row],[3MoPoints]:[PFVPoints]])</f>
        <v>#N/A</v>
      </c>
      <c r="P106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06" s="52" t="e">
        <f>IF(Companies_CAD[[#This Row],[3 Mo. Ret.]]&gt;Return3Mo_Grn,1,IF(Companies_CAD[[#This Row],[3 Mo. Ret.]]&lt;Return3Mo_Red,-1,0))</f>
        <v>#N/A</v>
      </c>
      <c r="R106" s="52" t="e">
        <f>IF(Companies_CAD[[#This Row],[12 Mo. Ret.]]&gt;Return12Mo_Grn,1,IF(Companies_CAD[[#This Row],[12 Mo. Ret.]]&lt;Return12Mo_Red,-1,0))</f>
        <v>#N/A</v>
      </c>
      <c r="S106" s="52" t="e">
        <f>IF(Companies_CAD[[#This Row],[PSR]]&lt;PSR_Green,1,IF(Companies_CAD[[#This Row],[PSR]]&gt;PSR_Red,-1,0))</f>
        <v>#N/A</v>
      </c>
      <c r="T106" s="52" t="e">
        <f>IF(Companies_CAD[[#This Row],[Financial Health]]&lt;"C",1,IF(Companies_CAD[[#This Row],[Financial Health]]&gt;"C",-1,0))</f>
        <v>#N/A</v>
      </c>
      <c r="U106" s="52" t="e">
        <f>IF(Companies_CAD[[#This Row],[PFV]]&lt;PFV_Green,1,IF(Companies_CAD[[#This Row],[PFV]]&gt;PFV_Red,-1,0))</f>
        <v>#N/A</v>
      </c>
    </row>
    <row r="107" spans="2:21" s="52" customFormat="1" ht="25.15" customHeight="1" x14ac:dyDescent="0.25">
      <c r="B107" s="11" t="s">
        <v>475</v>
      </c>
      <c r="C107" s="11" t="e">
        <f>VLOOKUP(Companies_CAD[[#This Row],[Symbol]],ColStart_CAD:ColEnd_CAD,MATCH("Name",Morningstar_Cols_CAD,EXACT_MATCH),EXACT_MATCH)</f>
        <v>#N/A</v>
      </c>
      <c r="D107" s="81" t="e">
        <f>VLOOKUP(Companies_CAD[[#This Row],[Symbol]],ColStart_CAD:ColEnd_CAD,MATCH("$ Current Price",Morningstar_Cols_CAD,EXACT_MATCH),EXACT_MATCH)</f>
        <v>#N/A</v>
      </c>
      <c r="E107" s="84" t="e">
        <f>VLOOKUP(Companies_CAD[[#This Row],[Symbol]],ColStart_CAD:ColEnd_CAD,MATCH("$ Change",Morningstar_Cols_CAD,EXACT_MATCH),EXACT_MATCH)</f>
        <v>#N/A</v>
      </c>
      <c r="F107" s="82" t="e">
        <f>IF(Companies_CAD[[#This Row],[$ Change]]&lt;&gt;0,Companies_CAD[[#This Row],[$ Change]]/(Companies_CAD[[#This Row],[Last Close]]-Companies_CAD[[#This Row],[$ Change]]),0)</f>
        <v>#N/A</v>
      </c>
      <c r="G107" s="11" t="e">
        <f>VLOOKUP(Companies_CAD[[#This Row],[Symbol]],ColStart_CAD:ColEnd_CAD,MATCH("Industry Group",Morningstar_Cols_CAD,EXACT_MATCH),EXACT_MATCH)</f>
        <v>#N/A</v>
      </c>
      <c r="H107" s="114" t="e">
        <f>VLOOKUP(Companies_CAD[[#This Row],[Symbol]],ColStart_CAD:ColEnd_CAD,MATCH("mil$ Market Cap",Morningstar_Cols_CAD,EXACT_MATCH),EXACT_MATCH)</f>
        <v>#N/A</v>
      </c>
      <c r="I107" s="115" t="e">
        <f>VLOOKUP(Companies_CAD[[#This Row],[Symbol]],ColStart_CAD:ColEnd_CAD,MATCH("%  Total Return 3 Month",Morningstar_Cols_CAD,EXACT_MATCH),EXACT_MATCH)/100</f>
        <v>#N/A</v>
      </c>
      <c r="J107" s="115" t="e">
        <f>VLOOKUP(Companies_CAD[[#This Row],[Symbol]],ColStart_CAD:ColEnd_CAD,MATCH("%  Total Return 12 Month",Morningstar_Cols_CAD,EXACT_MATCH),EXACT_MATCH)/100</f>
        <v>#N/A</v>
      </c>
      <c r="K107" s="116" t="e">
        <f>VLOOKUP(Companies_CAD[[#This Row],[Symbol]],ColStart_CAD:ColEnd_CAD,MATCH("Price/ Sales",Morningstar_Cols_CAD,EXACT_MATCH),EXACT_MATCH)</f>
        <v>#N/A</v>
      </c>
      <c r="L107" s="117" t="e">
        <f>VLOOKUP(Companies_CAD[[#This Row],[Symbol]],ColStart_CAD:ColEnd_CAD,MATCH("Price/ Fair Value",Morningstar_Cols_CAD,EXACT_MATCH),EXACT_MATCH)</f>
        <v>#N/A</v>
      </c>
      <c r="M107" s="118" t="e">
        <f>VLOOKUP(Companies_CAD[[#This Row],[Symbol]],ColStart_CAD:ColEnd_CAD,MATCH("Financial  Health Grade",Morningstar_Cols_CAD,EXACT_MATCH),EXACT_MATCH)</f>
        <v>#N/A</v>
      </c>
      <c r="N107" s="107" t="e">
        <f>VLOOKUP(Companies_CAD[[#This Row],[Symbol]],ColStart_CAD:ColEnd_CAD,MATCH("% Dividend Yield TTM",Morningstar_Cols_CAD,EXACT_MATCH),EXACT_MATCH)/100</f>
        <v>#N/A</v>
      </c>
      <c r="O107" s="94" t="e">
        <f>RatingDefault+SUM(Companies_CAD[[#This Row],[3MoPoints]:[PFVPoints]])</f>
        <v>#N/A</v>
      </c>
      <c r="P107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07" s="52" t="e">
        <f>IF(Companies_CAD[[#This Row],[3 Mo. Ret.]]&gt;Return3Mo_Grn,1,IF(Companies_CAD[[#This Row],[3 Mo. Ret.]]&lt;Return3Mo_Red,-1,0))</f>
        <v>#N/A</v>
      </c>
      <c r="R107" s="52" t="e">
        <f>IF(Companies_CAD[[#This Row],[12 Mo. Ret.]]&gt;Return12Mo_Grn,1,IF(Companies_CAD[[#This Row],[12 Mo. Ret.]]&lt;Return12Mo_Red,-1,0))</f>
        <v>#N/A</v>
      </c>
      <c r="S107" s="52" t="e">
        <f>IF(Companies_CAD[[#This Row],[PSR]]&lt;PSR_Green,1,IF(Companies_CAD[[#This Row],[PSR]]&gt;PSR_Red,-1,0))</f>
        <v>#N/A</v>
      </c>
      <c r="T107" s="52" t="e">
        <f>IF(Companies_CAD[[#This Row],[Financial Health]]&lt;"C",1,IF(Companies_CAD[[#This Row],[Financial Health]]&gt;"C",-1,0))</f>
        <v>#N/A</v>
      </c>
      <c r="U107" s="52" t="e">
        <f>IF(Companies_CAD[[#This Row],[PFV]]&lt;PFV_Green,1,IF(Companies_CAD[[#This Row],[PFV]]&gt;PFV_Red,-1,0))</f>
        <v>#N/A</v>
      </c>
    </row>
    <row r="108" spans="2:21" s="52" customFormat="1" ht="25.15" customHeight="1" x14ac:dyDescent="0.25">
      <c r="B108" s="11" t="s">
        <v>559</v>
      </c>
      <c r="C108" s="11" t="e">
        <f>VLOOKUP(Companies_CAD[[#This Row],[Symbol]],ColStart_CAD:ColEnd_CAD,MATCH("Name",Morningstar_Cols_CAD,EXACT_MATCH),EXACT_MATCH)</f>
        <v>#N/A</v>
      </c>
      <c r="D108" s="81" t="e">
        <f>VLOOKUP(Companies_CAD[[#This Row],[Symbol]],ColStart_CAD:ColEnd_CAD,MATCH("$ Current Price",Morningstar_Cols_CAD,EXACT_MATCH),EXACT_MATCH)</f>
        <v>#N/A</v>
      </c>
      <c r="E108" s="84" t="e">
        <f>VLOOKUP(Companies_CAD[[#This Row],[Symbol]],ColStart_CAD:ColEnd_CAD,MATCH("$ Change",Morningstar_Cols_CAD,EXACT_MATCH),EXACT_MATCH)</f>
        <v>#N/A</v>
      </c>
      <c r="F108" s="82" t="e">
        <f>IF(Companies_CAD[[#This Row],[$ Change]]&lt;&gt;0,Companies_CAD[[#This Row],[$ Change]]/(Companies_CAD[[#This Row],[Last Close]]-Companies_CAD[[#This Row],[$ Change]]),0)</f>
        <v>#N/A</v>
      </c>
      <c r="G108" s="11" t="e">
        <f>VLOOKUP(Companies_CAD[[#This Row],[Symbol]],ColStart_CAD:ColEnd_CAD,MATCH("Industry Group",Morningstar_Cols_CAD,EXACT_MATCH),EXACT_MATCH)</f>
        <v>#N/A</v>
      </c>
      <c r="H108" s="114" t="e">
        <f>VLOOKUP(Companies_CAD[[#This Row],[Symbol]],ColStart_CAD:ColEnd_CAD,MATCH("mil$ Market Cap",Morningstar_Cols_CAD,EXACT_MATCH),EXACT_MATCH)</f>
        <v>#N/A</v>
      </c>
      <c r="I108" s="115" t="e">
        <f>VLOOKUP(Companies_CAD[[#This Row],[Symbol]],ColStart_CAD:ColEnd_CAD,MATCH("%  Total Return 3 Month",Morningstar_Cols_CAD,EXACT_MATCH),EXACT_MATCH)/100</f>
        <v>#N/A</v>
      </c>
      <c r="J108" s="115" t="e">
        <f>VLOOKUP(Companies_CAD[[#This Row],[Symbol]],ColStart_CAD:ColEnd_CAD,MATCH("%  Total Return 12 Month",Morningstar_Cols_CAD,EXACT_MATCH),EXACT_MATCH)/100</f>
        <v>#N/A</v>
      </c>
      <c r="K108" s="116" t="e">
        <f>VLOOKUP(Companies_CAD[[#This Row],[Symbol]],ColStart_CAD:ColEnd_CAD,MATCH("Price/ Sales",Morningstar_Cols_CAD,EXACT_MATCH),EXACT_MATCH)</f>
        <v>#N/A</v>
      </c>
      <c r="L108" s="117" t="e">
        <f>VLOOKUP(Companies_CAD[[#This Row],[Symbol]],ColStart_CAD:ColEnd_CAD,MATCH("Price/ Fair Value",Morningstar_Cols_CAD,EXACT_MATCH),EXACT_MATCH)</f>
        <v>#N/A</v>
      </c>
      <c r="M108" s="118" t="e">
        <f>VLOOKUP(Companies_CAD[[#This Row],[Symbol]],ColStart_CAD:ColEnd_CAD,MATCH("Financial  Health Grade",Morningstar_Cols_CAD,EXACT_MATCH),EXACT_MATCH)</f>
        <v>#N/A</v>
      </c>
      <c r="N108" s="107" t="e">
        <f>VLOOKUP(Companies_CAD[[#This Row],[Symbol]],ColStart_CAD:ColEnd_CAD,MATCH("% Dividend Yield TTM",Morningstar_Cols_CAD,EXACT_MATCH),EXACT_MATCH)/100</f>
        <v>#N/A</v>
      </c>
      <c r="O108" s="94" t="e">
        <f>RatingDefault+SUM(Companies_CAD[[#This Row],[3MoPoints]:[PFVPoints]])</f>
        <v>#N/A</v>
      </c>
      <c r="P108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08" s="52" t="e">
        <f>IF(Companies_CAD[[#This Row],[3 Mo. Ret.]]&gt;Return3Mo_Grn,1,IF(Companies_CAD[[#This Row],[3 Mo. Ret.]]&lt;Return3Mo_Red,-1,0))</f>
        <v>#N/A</v>
      </c>
      <c r="R108" s="52" t="e">
        <f>IF(Companies_CAD[[#This Row],[12 Mo. Ret.]]&gt;Return12Mo_Grn,1,IF(Companies_CAD[[#This Row],[12 Mo. Ret.]]&lt;Return12Mo_Red,-1,0))</f>
        <v>#N/A</v>
      </c>
      <c r="S108" s="52" t="e">
        <f>IF(Companies_CAD[[#This Row],[PSR]]&lt;PSR_Green,1,IF(Companies_CAD[[#This Row],[PSR]]&gt;PSR_Red,-1,0))</f>
        <v>#N/A</v>
      </c>
      <c r="T108" s="52" t="e">
        <f>IF(Companies_CAD[[#This Row],[Financial Health]]&lt;"C",1,IF(Companies_CAD[[#This Row],[Financial Health]]&gt;"C",-1,0))</f>
        <v>#N/A</v>
      </c>
      <c r="U108" s="52" t="e">
        <f>IF(Companies_CAD[[#This Row],[PFV]]&lt;PFV_Green,1,IF(Companies_CAD[[#This Row],[PFV]]&gt;PFV_Red,-1,0))</f>
        <v>#N/A</v>
      </c>
    </row>
    <row r="109" spans="2:21" s="52" customFormat="1" ht="25.15" customHeight="1" x14ac:dyDescent="0.25">
      <c r="B109" s="11" t="s">
        <v>308</v>
      </c>
      <c r="C109" s="11" t="e">
        <f>VLOOKUP(Companies_CAD[[#This Row],[Symbol]],ColStart_CAD:ColEnd_CAD,MATCH("Name",Morningstar_Cols_CAD,EXACT_MATCH),EXACT_MATCH)</f>
        <v>#N/A</v>
      </c>
      <c r="D109" s="81" t="e">
        <f>VLOOKUP(Companies_CAD[[#This Row],[Symbol]],ColStart_CAD:ColEnd_CAD,MATCH("$ Current Price",Morningstar_Cols_CAD,EXACT_MATCH),EXACT_MATCH)</f>
        <v>#N/A</v>
      </c>
      <c r="E109" s="84" t="e">
        <f>VLOOKUP(Companies_CAD[[#This Row],[Symbol]],ColStart_CAD:ColEnd_CAD,MATCH("$ Change",Morningstar_Cols_CAD,EXACT_MATCH),EXACT_MATCH)</f>
        <v>#N/A</v>
      </c>
      <c r="F109" s="82" t="e">
        <f>IF(Companies_CAD[[#This Row],[$ Change]]&lt;&gt;0,Companies_CAD[[#This Row],[$ Change]]/(Companies_CAD[[#This Row],[Last Close]]-Companies_CAD[[#This Row],[$ Change]]),0)</f>
        <v>#N/A</v>
      </c>
      <c r="G109" s="11" t="e">
        <f>VLOOKUP(Companies_CAD[[#This Row],[Symbol]],ColStart_CAD:ColEnd_CAD,MATCH("Industry Group",Morningstar_Cols_CAD,EXACT_MATCH),EXACT_MATCH)</f>
        <v>#N/A</v>
      </c>
      <c r="H109" s="114" t="e">
        <f>VLOOKUP(Companies_CAD[[#This Row],[Symbol]],ColStart_CAD:ColEnd_CAD,MATCH("mil$ Market Cap",Morningstar_Cols_CAD,EXACT_MATCH),EXACT_MATCH)</f>
        <v>#N/A</v>
      </c>
      <c r="I109" s="115" t="e">
        <f>VLOOKUP(Companies_CAD[[#This Row],[Symbol]],ColStart_CAD:ColEnd_CAD,MATCH("%  Total Return 3 Month",Morningstar_Cols_CAD,EXACT_MATCH),EXACT_MATCH)/100</f>
        <v>#N/A</v>
      </c>
      <c r="J109" s="115" t="e">
        <f>VLOOKUP(Companies_CAD[[#This Row],[Symbol]],ColStart_CAD:ColEnd_CAD,MATCH("%  Total Return 12 Month",Morningstar_Cols_CAD,EXACT_MATCH),EXACT_MATCH)/100</f>
        <v>#N/A</v>
      </c>
      <c r="K109" s="116" t="e">
        <f>VLOOKUP(Companies_CAD[[#This Row],[Symbol]],ColStart_CAD:ColEnd_CAD,MATCH("Price/ Sales",Morningstar_Cols_CAD,EXACT_MATCH),EXACT_MATCH)</f>
        <v>#N/A</v>
      </c>
      <c r="L109" s="117" t="e">
        <f>VLOOKUP(Companies_CAD[[#This Row],[Symbol]],ColStart_CAD:ColEnd_CAD,MATCH("Price/ Fair Value",Morningstar_Cols_CAD,EXACT_MATCH),EXACT_MATCH)</f>
        <v>#N/A</v>
      </c>
      <c r="M109" s="118" t="e">
        <f>VLOOKUP(Companies_CAD[[#This Row],[Symbol]],ColStart_CAD:ColEnd_CAD,MATCH("Financial  Health Grade",Morningstar_Cols_CAD,EXACT_MATCH),EXACT_MATCH)</f>
        <v>#N/A</v>
      </c>
      <c r="N109" s="107" t="e">
        <f>VLOOKUP(Companies_CAD[[#This Row],[Symbol]],ColStart_CAD:ColEnd_CAD,MATCH("% Dividend Yield TTM",Morningstar_Cols_CAD,EXACT_MATCH),EXACT_MATCH)/100</f>
        <v>#N/A</v>
      </c>
      <c r="O109" s="94" t="e">
        <f>RatingDefault+SUM(Companies_CAD[[#This Row],[3MoPoints]:[PFVPoints]])</f>
        <v>#N/A</v>
      </c>
      <c r="P109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09" s="52" t="e">
        <f>IF(Companies_CAD[[#This Row],[3 Mo. Ret.]]&gt;Return3Mo_Grn,1,IF(Companies_CAD[[#This Row],[3 Mo. Ret.]]&lt;Return3Mo_Red,-1,0))</f>
        <v>#N/A</v>
      </c>
      <c r="R109" s="52" t="e">
        <f>IF(Companies_CAD[[#This Row],[12 Mo. Ret.]]&gt;Return12Mo_Grn,1,IF(Companies_CAD[[#This Row],[12 Mo. Ret.]]&lt;Return12Mo_Red,-1,0))</f>
        <v>#N/A</v>
      </c>
      <c r="S109" s="52" t="e">
        <f>IF(Companies_CAD[[#This Row],[PSR]]&lt;PSR_Green,1,IF(Companies_CAD[[#This Row],[PSR]]&gt;PSR_Red,-1,0))</f>
        <v>#N/A</v>
      </c>
      <c r="T109" s="52" t="e">
        <f>IF(Companies_CAD[[#This Row],[Financial Health]]&lt;"C",1,IF(Companies_CAD[[#This Row],[Financial Health]]&gt;"C",-1,0))</f>
        <v>#N/A</v>
      </c>
      <c r="U109" s="52" t="e">
        <f>IF(Companies_CAD[[#This Row],[PFV]]&lt;PFV_Green,1,IF(Companies_CAD[[#This Row],[PFV]]&gt;PFV_Red,-1,0))</f>
        <v>#N/A</v>
      </c>
    </row>
    <row r="110" spans="2:21" s="52" customFormat="1" ht="25.15" customHeight="1" x14ac:dyDescent="0.25">
      <c r="B110" s="11" t="s">
        <v>562</v>
      </c>
      <c r="C110" s="11" t="e">
        <f>VLOOKUP(Companies_CAD[[#This Row],[Symbol]],ColStart_CAD:ColEnd_CAD,MATCH("Name",Morningstar_Cols_CAD,EXACT_MATCH),EXACT_MATCH)</f>
        <v>#N/A</v>
      </c>
      <c r="D110" s="81" t="e">
        <f>VLOOKUP(Companies_CAD[[#This Row],[Symbol]],ColStart_CAD:ColEnd_CAD,MATCH("$ Current Price",Morningstar_Cols_CAD,EXACT_MATCH),EXACT_MATCH)</f>
        <v>#N/A</v>
      </c>
      <c r="E110" s="84" t="e">
        <f>VLOOKUP(Companies_CAD[[#This Row],[Symbol]],ColStart_CAD:ColEnd_CAD,MATCH("$ Change",Morningstar_Cols_CAD,EXACT_MATCH),EXACT_MATCH)</f>
        <v>#N/A</v>
      </c>
      <c r="F110" s="82" t="e">
        <f>IF(Companies_CAD[[#This Row],[$ Change]]&lt;&gt;0,Companies_CAD[[#This Row],[$ Change]]/(Companies_CAD[[#This Row],[Last Close]]-Companies_CAD[[#This Row],[$ Change]]),0)</f>
        <v>#N/A</v>
      </c>
      <c r="G110" s="11" t="e">
        <f>VLOOKUP(Companies_CAD[[#This Row],[Symbol]],ColStart_CAD:ColEnd_CAD,MATCH("Industry Group",Morningstar_Cols_CAD,EXACT_MATCH),EXACT_MATCH)</f>
        <v>#N/A</v>
      </c>
      <c r="H110" s="114" t="e">
        <f>VLOOKUP(Companies_CAD[[#This Row],[Symbol]],ColStart_CAD:ColEnd_CAD,MATCH("mil$ Market Cap",Morningstar_Cols_CAD,EXACT_MATCH),EXACT_MATCH)</f>
        <v>#N/A</v>
      </c>
      <c r="I110" s="115" t="e">
        <f>VLOOKUP(Companies_CAD[[#This Row],[Symbol]],ColStart_CAD:ColEnd_CAD,MATCH("%  Total Return 3 Month",Morningstar_Cols_CAD,EXACT_MATCH),EXACT_MATCH)/100</f>
        <v>#N/A</v>
      </c>
      <c r="J110" s="115" t="e">
        <f>VLOOKUP(Companies_CAD[[#This Row],[Symbol]],ColStart_CAD:ColEnd_CAD,MATCH("%  Total Return 12 Month",Morningstar_Cols_CAD,EXACT_MATCH),EXACT_MATCH)/100</f>
        <v>#N/A</v>
      </c>
      <c r="K110" s="116" t="e">
        <f>VLOOKUP(Companies_CAD[[#This Row],[Symbol]],ColStart_CAD:ColEnd_CAD,MATCH("Price/ Sales",Morningstar_Cols_CAD,EXACT_MATCH),EXACT_MATCH)</f>
        <v>#N/A</v>
      </c>
      <c r="L110" s="117" t="e">
        <f>VLOOKUP(Companies_CAD[[#This Row],[Symbol]],ColStart_CAD:ColEnd_CAD,MATCH("Price/ Fair Value",Morningstar_Cols_CAD,EXACT_MATCH),EXACT_MATCH)</f>
        <v>#N/A</v>
      </c>
      <c r="M110" s="118" t="e">
        <f>VLOOKUP(Companies_CAD[[#This Row],[Symbol]],ColStart_CAD:ColEnd_CAD,MATCH("Financial  Health Grade",Morningstar_Cols_CAD,EXACT_MATCH),EXACT_MATCH)</f>
        <v>#N/A</v>
      </c>
      <c r="N110" s="107" t="e">
        <f>VLOOKUP(Companies_CAD[[#This Row],[Symbol]],ColStart_CAD:ColEnd_CAD,MATCH("% Dividend Yield TTM",Morningstar_Cols_CAD,EXACT_MATCH),EXACT_MATCH)/100</f>
        <v>#N/A</v>
      </c>
      <c r="O110" s="94" t="e">
        <f>RatingDefault+SUM(Companies_CAD[[#This Row],[3MoPoints]:[PFVPoints]])</f>
        <v>#N/A</v>
      </c>
      <c r="P110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10" s="52" t="e">
        <f>IF(Companies_CAD[[#This Row],[3 Mo. Ret.]]&gt;Return3Mo_Grn,1,IF(Companies_CAD[[#This Row],[3 Mo. Ret.]]&lt;Return3Mo_Red,-1,0))</f>
        <v>#N/A</v>
      </c>
      <c r="R110" s="52" t="e">
        <f>IF(Companies_CAD[[#This Row],[12 Mo. Ret.]]&gt;Return12Mo_Grn,1,IF(Companies_CAD[[#This Row],[12 Mo. Ret.]]&lt;Return12Mo_Red,-1,0))</f>
        <v>#N/A</v>
      </c>
      <c r="S110" s="52" t="e">
        <f>IF(Companies_CAD[[#This Row],[PSR]]&lt;PSR_Green,1,IF(Companies_CAD[[#This Row],[PSR]]&gt;PSR_Red,-1,0))</f>
        <v>#N/A</v>
      </c>
      <c r="T110" s="52" t="e">
        <f>IF(Companies_CAD[[#This Row],[Financial Health]]&lt;"C",1,IF(Companies_CAD[[#This Row],[Financial Health]]&gt;"C",-1,0))</f>
        <v>#N/A</v>
      </c>
      <c r="U110" s="52" t="e">
        <f>IF(Companies_CAD[[#This Row],[PFV]]&lt;PFV_Green,1,IF(Companies_CAD[[#This Row],[PFV]]&gt;PFV_Red,-1,0))</f>
        <v>#N/A</v>
      </c>
    </row>
    <row r="111" spans="2:21" s="52" customFormat="1" ht="25.15" customHeight="1" x14ac:dyDescent="0.25">
      <c r="B111" s="11" t="s">
        <v>477</v>
      </c>
      <c r="C111" s="11" t="str">
        <f>VLOOKUP(Companies_CAD[[#This Row],[Symbol]],ColStart_CAD:ColEnd_CAD,MATCH("Name",Morningstar_Cols_CAD,EXACT_MATCH),EXACT_MATCH)</f>
        <v>AT&amp;T Inc</v>
      </c>
      <c r="D111" s="81">
        <f>VLOOKUP(Companies_CAD[[#This Row],[Symbol]],ColStart_CAD:ColEnd_CAD,MATCH("$ Current Price",Morningstar_Cols_CAD,EXACT_MATCH),EXACT_MATCH)</f>
        <v>38.340000000000003</v>
      </c>
      <c r="E111" s="84">
        <f>VLOOKUP(Companies_CAD[[#This Row],[Symbol]],ColStart_CAD:ColEnd_CAD,MATCH("$ Change",Morningstar_Cols_CAD,EXACT_MATCH),EXACT_MATCH)</f>
        <v>-0.11</v>
      </c>
      <c r="F111" s="82">
        <f>IF(Companies_CAD[[#This Row],[$ Change]]&lt;&gt;0,Companies_CAD[[#This Row],[$ Change]]/(Companies_CAD[[#This Row],[Last Close]]-Companies_CAD[[#This Row],[$ Change]]),0)</f>
        <v>-2.8608582574772431E-3</v>
      </c>
      <c r="G111" s="11" t="e">
        <f>VLOOKUP(Companies_CAD[[#This Row],[Symbol]],ColStart_CAD:ColEnd_CAD,MATCH("Industry Group",Morningstar_Cols_CAD,EXACT_MATCH),EXACT_MATCH)</f>
        <v>#N/A</v>
      </c>
      <c r="H111" s="114" t="e">
        <f>VLOOKUP(Companies_CAD[[#This Row],[Symbol]],ColStart_CAD:ColEnd_CAD,MATCH("mil$ Market Cap",Morningstar_Cols_CAD,EXACT_MATCH),EXACT_MATCH)</f>
        <v>#N/A</v>
      </c>
      <c r="I111" s="115">
        <f>VLOOKUP(Companies_CAD[[#This Row],[Symbol]],ColStart_CAD:ColEnd_CAD,MATCH("%  Total Return 3 Month",Morningstar_Cols_CAD,EXACT_MATCH),EXACT_MATCH)/100</f>
        <v>-7.4000000000000003E-3</v>
      </c>
      <c r="J111" s="115">
        <f>VLOOKUP(Companies_CAD[[#This Row],[Symbol]],ColStart_CAD:ColEnd_CAD,MATCH("%  Total Return 12 Month",Morningstar_Cols_CAD,EXACT_MATCH),EXACT_MATCH)/100</f>
        <v>0.36979999999999996</v>
      </c>
      <c r="K111" s="116" t="str">
        <f>VLOOKUP(Companies_CAD[[#This Row],[Symbol]],ColStart_CAD:ColEnd_CAD,MATCH("Price/ Sales",Morningstar_Cols_CAD,EXACT_MATCH),EXACT_MATCH)</f>
        <v>1.56</v>
      </c>
      <c r="L111" s="117">
        <f>VLOOKUP(Companies_CAD[[#This Row],[Symbol]],ColStart_CAD:ColEnd_CAD,MATCH("Price/ Fair Value",Morningstar_Cols_CAD,EXACT_MATCH),EXACT_MATCH)</f>
        <v>0.98</v>
      </c>
      <c r="M111" s="118" t="str">
        <f>VLOOKUP(Companies_CAD[[#This Row],[Symbol]],ColStart_CAD:ColEnd_CAD,MATCH("Financial  Health Grade",Morningstar_Cols_CAD,EXACT_MATCH),EXACT_MATCH)</f>
        <v>B</v>
      </c>
      <c r="N111" s="107">
        <f>VLOOKUP(Companies_CAD[[#This Row],[Symbol]],ColStart_CAD:ColEnd_CAD,MATCH("% Dividend Yield TTM",Morningstar_Cols_CAD,EXACT_MATCH),EXACT_MATCH)/100</f>
        <v>5.4199999999999998E-2</v>
      </c>
      <c r="O111" s="94">
        <f>RatingDefault+SUM(Companies_CAD[[#This Row],[3MoPoints]:[PFVPoints]])</f>
        <v>2</v>
      </c>
      <c r="P111" s="53" t="str">
        <f>IF(Companies_CAD[[#This Row],[Rating]]&gt;6,"Strong Buy",IF(Companies_CAD[[#This Row],[Rating]]=6,"Buy",IF(Companies_CAD[[#This Row],[Rating]]=5,"Monitor",IF(Companies_CAD[[#This Row],[Rating]]=4,"Prospect","Avoid"))))</f>
        <v>Avoid</v>
      </c>
      <c r="Q111" s="52">
        <f>IF(Companies_CAD[[#This Row],[3 Mo. Ret.]]&gt;Return3Mo_Grn,1,IF(Companies_CAD[[#This Row],[3 Mo. Ret.]]&lt;Return3Mo_Red,-1,0))</f>
        <v>-1</v>
      </c>
      <c r="R111" s="52">
        <f>IF(Companies_CAD[[#This Row],[12 Mo. Ret.]]&gt;Return12Mo_Grn,1,IF(Companies_CAD[[#This Row],[12 Mo. Ret.]]&lt;Return12Mo_Red,-1,0))</f>
        <v>-1</v>
      </c>
      <c r="S111" s="52">
        <f>IF(Companies_CAD[[#This Row],[PSR]]&lt;PSR_Green,1,IF(Companies_CAD[[#This Row],[PSR]]&gt;PSR_Red,-1,0))</f>
        <v>-1</v>
      </c>
      <c r="T111" s="52">
        <f>IF(Companies_CAD[[#This Row],[Financial Health]]&lt;"C",1,IF(Companies_CAD[[#This Row],[Financial Health]]&gt;"C",-1,0))</f>
        <v>1</v>
      </c>
      <c r="U111" s="52">
        <f>IF(Companies_CAD[[#This Row],[PFV]]&lt;PFV_Green,1,IF(Companies_CAD[[#This Row],[PFV]]&gt;PFV_Red,-1,0))</f>
        <v>1</v>
      </c>
    </row>
    <row r="112" spans="2:21" s="52" customFormat="1" ht="25.15" customHeight="1" x14ac:dyDescent="0.25">
      <c r="B112" s="11" t="s">
        <v>563</v>
      </c>
      <c r="C112" s="11" t="e">
        <f>VLOOKUP(Companies_CAD[[#This Row],[Symbol]],ColStart_CAD:ColEnd_CAD,MATCH("Name",Morningstar_Cols_CAD,EXACT_MATCH),EXACT_MATCH)</f>
        <v>#N/A</v>
      </c>
      <c r="D112" s="81" t="e">
        <f>VLOOKUP(Companies_CAD[[#This Row],[Symbol]],ColStart_CAD:ColEnd_CAD,MATCH("$ Current Price",Morningstar_Cols_CAD,EXACT_MATCH),EXACT_MATCH)</f>
        <v>#N/A</v>
      </c>
      <c r="E112" s="84" t="e">
        <f>VLOOKUP(Companies_CAD[[#This Row],[Symbol]],ColStart_CAD:ColEnd_CAD,MATCH("$ Change",Morningstar_Cols_CAD,EXACT_MATCH),EXACT_MATCH)</f>
        <v>#N/A</v>
      </c>
      <c r="F112" s="82" t="e">
        <f>IF(Companies_CAD[[#This Row],[$ Change]]&lt;&gt;0,Companies_CAD[[#This Row],[$ Change]]/(Companies_CAD[[#This Row],[Last Close]]-Companies_CAD[[#This Row],[$ Change]]),0)</f>
        <v>#N/A</v>
      </c>
      <c r="G112" s="11" t="e">
        <f>VLOOKUP(Companies_CAD[[#This Row],[Symbol]],ColStart_CAD:ColEnd_CAD,MATCH("Industry Group",Morningstar_Cols_CAD,EXACT_MATCH),EXACT_MATCH)</f>
        <v>#N/A</v>
      </c>
      <c r="H112" s="114" t="e">
        <f>VLOOKUP(Companies_CAD[[#This Row],[Symbol]],ColStart_CAD:ColEnd_CAD,MATCH("mil$ Market Cap",Morningstar_Cols_CAD,EXACT_MATCH),EXACT_MATCH)</f>
        <v>#N/A</v>
      </c>
      <c r="I112" s="115" t="e">
        <f>VLOOKUP(Companies_CAD[[#This Row],[Symbol]],ColStart_CAD:ColEnd_CAD,MATCH("%  Total Return 3 Month",Morningstar_Cols_CAD,EXACT_MATCH),EXACT_MATCH)/100</f>
        <v>#N/A</v>
      </c>
      <c r="J112" s="115" t="e">
        <f>VLOOKUP(Companies_CAD[[#This Row],[Symbol]],ColStart_CAD:ColEnd_CAD,MATCH("%  Total Return 12 Month",Morningstar_Cols_CAD,EXACT_MATCH),EXACT_MATCH)/100</f>
        <v>#N/A</v>
      </c>
      <c r="K112" s="116" t="e">
        <f>VLOOKUP(Companies_CAD[[#This Row],[Symbol]],ColStart_CAD:ColEnd_CAD,MATCH("Price/ Sales",Morningstar_Cols_CAD,EXACT_MATCH),EXACT_MATCH)</f>
        <v>#N/A</v>
      </c>
      <c r="L112" s="117" t="e">
        <f>VLOOKUP(Companies_CAD[[#This Row],[Symbol]],ColStart_CAD:ColEnd_CAD,MATCH("Price/ Fair Value",Morningstar_Cols_CAD,EXACT_MATCH),EXACT_MATCH)</f>
        <v>#N/A</v>
      </c>
      <c r="M112" s="118" t="e">
        <f>VLOOKUP(Companies_CAD[[#This Row],[Symbol]],ColStart_CAD:ColEnd_CAD,MATCH("Financial  Health Grade",Morningstar_Cols_CAD,EXACT_MATCH),EXACT_MATCH)</f>
        <v>#N/A</v>
      </c>
      <c r="N112" s="107" t="e">
        <f>VLOOKUP(Companies_CAD[[#This Row],[Symbol]],ColStart_CAD:ColEnd_CAD,MATCH("% Dividend Yield TTM",Morningstar_Cols_CAD,EXACT_MATCH),EXACT_MATCH)/100</f>
        <v>#N/A</v>
      </c>
      <c r="O112" s="94" t="e">
        <f>RatingDefault+SUM(Companies_CAD[[#This Row],[3MoPoints]:[PFVPoints]])</f>
        <v>#N/A</v>
      </c>
      <c r="P112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12" s="52" t="e">
        <f>IF(Companies_CAD[[#This Row],[3 Mo. Ret.]]&gt;Return3Mo_Grn,1,IF(Companies_CAD[[#This Row],[3 Mo. Ret.]]&lt;Return3Mo_Red,-1,0))</f>
        <v>#N/A</v>
      </c>
      <c r="R112" s="52" t="e">
        <f>IF(Companies_CAD[[#This Row],[12 Mo. Ret.]]&gt;Return12Mo_Grn,1,IF(Companies_CAD[[#This Row],[12 Mo. Ret.]]&lt;Return12Mo_Red,-1,0))</f>
        <v>#N/A</v>
      </c>
      <c r="S112" s="52" t="e">
        <f>IF(Companies_CAD[[#This Row],[PSR]]&lt;PSR_Green,1,IF(Companies_CAD[[#This Row],[PSR]]&gt;PSR_Red,-1,0))</f>
        <v>#N/A</v>
      </c>
      <c r="T112" s="52" t="e">
        <f>IF(Companies_CAD[[#This Row],[Financial Health]]&lt;"C",1,IF(Companies_CAD[[#This Row],[Financial Health]]&gt;"C",-1,0))</f>
        <v>#N/A</v>
      </c>
      <c r="U112" s="52" t="e">
        <f>IF(Companies_CAD[[#This Row],[PFV]]&lt;PFV_Green,1,IF(Companies_CAD[[#This Row],[PFV]]&gt;PFV_Red,-1,0))</f>
        <v>#N/A</v>
      </c>
    </row>
    <row r="113" spans="2:21" s="52" customFormat="1" ht="25.15" customHeight="1" x14ac:dyDescent="0.25">
      <c r="B113" s="11" t="s">
        <v>570</v>
      </c>
      <c r="C113" s="11" t="e">
        <f>VLOOKUP(Companies_CAD[[#This Row],[Symbol]],ColStart_CAD:ColEnd_CAD,MATCH("Name",Morningstar_Cols_CAD,EXACT_MATCH),EXACT_MATCH)</f>
        <v>#N/A</v>
      </c>
      <c r="D113" s="81" t="e">
        <f>VLOOKUP(Companies_CAD[[#This Row],[Symbol]],ColStart_CAD:ColEnd_CAD,MATCH("$ Current Price",Morningstar_Cols_CAD,EXACT_MATCH),EXACT_MATCH)</f>
        <v>#N/A</v>
      </c>
      <c r="E113" s="84" t="e">
        <f>VLOOKUP(Companies_CAD[[#This Row],[Symbol]],ColStart_CAD:ColEnd_CAD,MATCH("$ Change",Morningstar_Cols_CAD,EXACT_MATCH),EXACT_MATCH)</f>
        <v>#N/A</v>
      </c>
      <c r="F113" s="82" t="e">
        <f>IF(Companies_CAD[[#This Row],[$ Change]]&lt;&gt;0,Companies_CAD[[#This Row],[$ Change]]/(Companies_CAD[[#This Row],[Last Close]]-Companies_CAD[[#This Row],[$ Change]]),0)</f>
        <v>#N/A</v>
      </c>
      <c r="G113" s="11" t="e">
        <f>VLOOKUP(Companies_CAD[[#This Row],[Symbol]],ColStart_CAD:ColEnd_CAD,MATCH("Industry Group",Morningstar_Cols_CAD,EXACT_MATCH),EXACT_MATCH)</f>
        <v>#N/A</v>
      </c>
      <c r="H113" s="114" t="e">
        <f>VLOOKUP(Companies_CAD[[#This Row],[Symbol]],ColStart_CAD:ColEnd_CAD,MATCH("mil$ Market Cap",Morningstar_Cols_CAD,EXACT_MATCH),EXACT_MATCH)</f>
        <v>#N/A</v>
      </c>
      <c r="I113" s="115" t="e">
        <f>VLOOKUP(Companies_CAD[[#This Row],[Symbol]],ColStart_CAD:ColEnd_CAD,MATCH("%  Total Return 3 Month",Morningstar_Cols_CAD,EXACT_MATCH),EXACT_MATCH)/100</f>
        <v>#N/A</v>
      </c>
      <c r="J113" s="115" t="e">
        <f>VLOOKUP(Companies_CAD[[#This Row],[Symbol]],ColStart_CAD:ColEnd_CAD,MATCH("%  Total Return 12 Month",Morningstar_Cols_CAD,EXACT_MATCH),EXACT_MATCH)/100</f>
        <v>#N/A</v>
      </c>
      <c r="K113" s="116" t="e">
        <f>VLOOKUP(Companies_CAD[[#This Row],[Symbol]],ColStart_CAD:ColEnd_CAD,MATCH("Price/ Sales",Morningstar_Cols_CAD,EXACT_MATCH),EXACT_MATCH)</f>
        <v>#N/A</v>
      </c>
      <c r="L113" s="117" t="e">
        <f>VLOOKUP(Companies_CAD[[#This Row],[Symbol]],ColStart_CAD:ColEnd_CAD,MATCH("Price/ Fair Value",Morningstar_Cols_CAD,EXACT_MATCH),EXACT_MATCH)</f>
        <v>#N/A</v>
      </c>
      <c r="M113" s="118" t="e">
        <f>VLOOKUP(Companies_CAD[[#This Row],[Symbol]],ColStart_CAD:ColEnd_CAD,MATCH("Financial  Health Grade",Morningstar_Cols_CAD,EXACT_MATCH),EXACT_MATCH)</f>
        <v>#N/A</v>
      </c>
      <c r="N113" s="107" t="e">
        <f>VLOOKUP(Companies_CAD[[#This Row],[Symbol]],ColStart_CAD:ColEnd_CAD,MATCH("% Dividend Yield TTM",Morningstar_Cols_CAD,EXACT_MATCH),EXACT_MATCH)/100</f>
        <v>#N/A</v>
      </c>
      <c r="O113" s="94" t="e">
        <f>RatingDefault+SUM(Companies_CAD[[#This Row],[3MoPoints]:[PFVPoints]])</f>
        <v>#N/A</v>
      </c>
      <c r="P113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13" s="52" t="e">
        <f>IF(Companies_CAD[[#This Row],[3 Mo. Ret.]]&gt;Return3Mo_Grn,1,IF(Companies_CAD[[#This Row],[3 Mo. Ret.]]&lt;Return3Mo_Red,-1,0))</f>
        <v>#N/A</v>
      </c>
      <c r="R113" s="52" t="e">
        <f>IF(Companies_CAD[[#This Row],[12 Mo. Ret.]]&gt;Return12Mo_Grn,1,IF(Companies_CAD[[#This Row],[12 Mo. Ret.]]&lt;Return12Mo_Red,-1,0))</f>
        <v>#N/A</v>
      </c>
      <c r="S113" s="52" t="e">
        <f>IF(Companies_CAD[[#This Row],[PSR]]&lt;PSR_Green,1,IF(Companies_CAD[[#This Row],[PSR]]&gt;PSR_Red,-1,0))</f>
        <v>#N/A</v>
      </c>
      <c r="T113" s="52" t="e">
        <f>IF(Companies_CAD[[#This Row],[Financial Health]]&lt;"C",1,IF(Companies_CAD[[#This Row],[Financial Health]]&gt;"C",-1,0))</f>
        <v>#N/A</v>
      </c>
      <c r="U113" s="52" t="e">
        <f>IF(Companies_CAD[[#This Row],[PFV]]&lt;PFV_Green,1,IF(Companies_CAD[[#This Row],[PFV]]&gt;PFV_Red,-1,0))</f>
        <v>#N/A</v>
      </c>
    </row>
    <row r="114" spans="2:21" s="52" customFormat="1" ht="25.15" customHeight="1" x14ac:dyDescent="0.25">
      <c r="B114" s="11" t="s">
        <v>302</v>
      </c>
      <c r="C114" s="11" t="e">
        <f>VLOOKUP(Companies_CAD[[#This Row],[Symbol]],ColStart_CAD:ColEnd_CAD,MATCH("Name",Morningstar_Cols_CAD,EXACT_MATCH),EXACT_MATCH)</f>
        <v>#N/A</v>
      </c>
      <c r="D114" s="81" t="e">
        <f>VLOOKUP(Companies_CAD[[#This Row],[Symbol]],ColStart_CAD:ColEnd_CAD,MATCH("$ Current Price",Morningstar_Cols_CAD,EXACT_MATCH),EXACT_MATCH)</f>
        <v>#N/A</v>
      </c>
      <c r="E114" s="84" t="e">
        <f>VLOOKUP(Companies_CAD[[#This Row],[Symbol]],ColStart_CAD:ColEnd_CAD,MATCH("$ Change",Morningstar_Cols_CAD,EXACT_MATCH),EXACT_MATCH)</f>
        <v>#N/A</v>
      </c>
      <c r="F114" s="82" t="e">
        <f>IF(Companies_CAD[[#This Row],[$ Change]]&lt;&gt;0,Companies_CAD[[#This Row],[$ Change]]/(Companies_CAD[[#This Row],[Last Close]]-Companies_CAD[[#This Row],[$ Change]]),0)</f>
        <v>#N/A</v>
      </c>
      <c r="G114" s="11" t="e">
        <f>VLOOKUP(Companies_CAD[[#This Row],[Symbol]],ColStart_CAD:ColEnd_CAD,MATCH("Industry Group",Morningstar_Cols_CAD,EXACT_MATCH),EXACT_MATCH)</f>
        <v>#N/A</v>
      </c>
      <c r="H114" s="114" t="e">
        <f>VLOOKUP(Companies_CAD[[#This Row],[Symbol]],ColStart_CAD:ColEnd_CAD,MATCH("mil$ Market Cap",Morningstar_Cols_CAD,EXACT_MATCH),EXACT_MATCH)</f>
        <v>#N/A</v>
      </c>
      <c r="I114" s="115" t="e">
        <f>VLOOKUP(Companies_CAD[[#This Row],[Symbol]],ColStart_CAD:ColEnd_CAD,MATCH("%  Total Return 3 Month",Morningstar_Cols_CAD,EXACT_MATCH),EXACT_MATCH)/100</f>
        <v>#N/A</v>
      </c>
      <c r="J114" s="115" t="e">
        <f>VLOOKUP(Companies_CAD[[#This Row],[Symbol]],ColStart_CAD:ColEnd_CAD,MATCH("%  Total Return 12 Month",Morningstar_Cols_CAD,EXACT_MATCH),EXACT_MATCH)/100</f>
        <v>#N/A</v>
      </c>
      <c r="K114" s="116" t="e">
        <f>VLOOKUP(Companies_CAD[[#This Row],[Symbol]],ColStart_CAD:ColEnd_CAD,MATCH("Price/ Sales",Morningstar_Cols_CAD,EXACT_MATCH),EXACT_MATCH)</f>
        <v>#N/A</v>
      </c>
      <c r="L114" s="117" t="e">
        <f>VLOOKUP(Companies_CAD[[#This Row],[Symbol]],ColStart_CAD:ColEnd_CAD,MATCH("Price/ Fair Value",Morningstar_Cols_CAD,EXACT_MATCH),EXACT_MATCH)</f>
        <v>#N/A</v>
      </c>
      <c r="M114" s="118" t="e">
        <f>VLOOKUP(Companies_CAD[[#This Row],[Symbol]],ColStart_CAD:ColEnd_CAD,MATCH("Financial  Health Grade",Morningstar_Cols_CAD,EXACT_MATCH),EXACT_MATCH)</f>
        <v>#N/A</v>
      </c>
      <c r="N114" s="107" t="e">
        <f>VLOOKUP(Companies_CAD[[#This Row],[Symbol]],ColStart_CAD:ColEnd_CAD,MATCH("% Dividend Yield TTM",Morningstar_Cols_CAD,EXACT_MATCH),EXACT_MATCH)/100</f>
        <v>#N/A</v>
      </c>
      <c r="O114" s="94" t="e">
        <f>RatingDefault+SUM(Companies_CAD[[#This Row],[3MoPoints]:[PFVPoints]])</f>
        <v>#N/A</v>
      </c>
      <c r="P114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14" s="52" t="e">
        <f>IF(Companies_CAD[[#This Row],[3 Mo. Ret.]]&gt;Return3Mo_Grn,1,IF(Companies_CAD[[#This Row],[3 Mo. Ret.]]&lt;Return3Mo_Red,-1,0))</f>
        <v>#N/A</v>
      </c>
      <c r="R114" s="52" t="e">
        <f>IF(Companies_CAD[[#This Row],[12 Mo. Ret.]]&gt;Return12Mo_Grn,1,IF(Companies_CAD[[#This Row],[12 Mo. Ret.]]&lt;Return12Mo_Red,-1,0))</f>
        <v>#N/A</v>
      </c>
      <c r="S114" s="52" t="e">
        <f>IF(Companies_CAD[[#This Row],[PSR]]&lt;PSR_Green,1,IF(Companies_CAD[[#This Row],[PSR]]&gt;PSR_Red,-1,0))</f>
        <v>#N/A</v>
      </c>
      <c r="T114" s="52" t="e">
        <f>IF(Companies_CAD[[#This Row],[Financial Health]]&lt;"C",1,IF(Companies_CAD[[#This Row],[Financial Health]]&gt;"C",-1,0))</f>
        <v>#N/A</v>
      </c>
      <c r="U114" s="52" t="e">
        <f>IF(Companies_CAD[[#This Row],[PFV]]&lt;PFV_Green,1,IF(Companies_CAD[[#This Row],[PFV]]&gt;PFV_Red,-1,0))</f>
        <v>#N/A</v>
      </c>
    </row>
    <row r="115" spans="2:21" s="52" customFormat="1" ht="25.15" customHeight="1" x14ac:dyDescent="0.25">
      <c r="B115" s="11" t="s">
        <v>567</v>
      </c>
      <c r="C115" s="11" t="e">
        <f>VLOOKUP(Companies_CAD[[#This Row],[Symbol]],ColStart_CAD:ColEnd_CAD,MATCH("Name",Morningstar_Cols_CAD,EXACT_MATCH),EXACT_MATCH)</f>
        <v>#N/A</v>
      </c>
      <c r="D115" s="81" t="e">
        <f>VLOOKUP(Companies_CAD[[#This Row],[Symbol]],ColStart_CAD:ColEnd_CAD,MATCH("$ Current Price",Morningstar_Cols_CAD,EXACT_MATCH),EXACT_MATCH)</f>
        <v>#N/A</v>
      </c>
      <c r="E115" s="84" t="e">
        <f>VLOOKUP(Companies_CAD[[#This Row],[Symbol]],ColStart_CAD:ColEnd_CAD,MATCH("$ Change",Morningstar_Cols_CAD,EXACT_MATCH),EXACT_MATCH)</f>
        <v>#N/A</v>
      </c>
      <c r="F115" s="82" t="e">
        <f>IF(Companies_CAD[[#This Row],[$ Change]]&lt;&gt;0,Companies_CAD[[#This Row],[$ Change]]/(Companies_CAD[[#This Row],[Last Close]]-Companies_CAD[[#This Row],[$ Change]]),0)</f>
        <v>#N/A</v>
      </c>
      <c r="G115" s="11" t="e">
        <f>VLOOKUP(Companies_CAD[[#This Row],[Symbol]],ColStart_CAD:ColEnd_CAD,MATCH("Industry Group",Morningstar_Cols_CAD,EXACT_MATCH),EXACT_MATCH)</f>
        <v>#N/A</v>
      </c>
      <c r="H115" s="114" t="e">
        <f>VLOOKUP(Companies_CAD[[#This Row],[Symbol]],ColStart_CAD:ColEnd_CAD,MATCH("mil$ Market Cap",Morningstar_Cols_CAD,EXACT_MATCH),EXACT_MATCH)</f>
        <v>#N/A</v>
      </c>
      <c r="I115" s="115" t="e">
        <f>VLOOKUP(Companies_CAD[[#This Row],[Symbol]],ColStart_CAD:ColEnd_CAD,MATCH("%  Total Return 3 Month",Morningstar_Cols_CAD,EXACT_MATCH),EXACT_MATCH)/100</f>
        <v>#N/A</v>
      </c>
      <c r="J115" s="115" t="e">
        <f>VLOOKUP(Companies_CAD[[#This Row],[Symbol]],ColStart_CAD:ColEnd_CAD,MATCH("%  Total Return 12 Month",Morningstar_Cols_CAD,EXACT_MATCH),EXACT_MATCH)/100</f>
        <v>#N/A</v>
      </c>
      <c r="K115" s="116" t="e">
        <f>VLOOKUP(Companies_CAD[[#This Row],[Symbol]],ColStart_CAD:ColEnd_CAD,MATCH("Price/ Sales",Morningstar_Cols_CAD,EXACT_MATCH),EXACT_MATCH)</f>
        <v>#N/A</v>
      </c>
      <c r="L115" s="117" t="e">
        <f>VLOOKUP(Companies_CAD[[#This Row],[Symbol]],ColStart_CAD:ColEnd_CAD,MATCH("Price/ Fair Value",Morningstar_Cols_CAD,EXACT_MATCH),EXACT_MATCH)</f>
        <v>#N/A</v>
      </c>
      <c r="M115" s="118" t="e">
        <f>VLOOKUP(Companies_CAD[[#This Row],[Symbol]],ColStart_CAD:ColEnd_CAD,MATCH("Financial  Health Grade",Morningstar_Cols_CAD,EXACT_MATCH),EXACT_MATCH)</f>
        <v>#N/A</v>
      </c>
      <c r="N115" s="107" t="e">
        <f>VLOOKUP(Companies_CAD[[#This Row],[Symbol]],ColStart_CAD:ColEnd_CAD,MATCH("% Dividend Yield TTM",Morningstar_Cols_CAD,EXACT_MATCH),EXACT_MATCH)/100</f>
        <v>#N/A</v>
      </c>
      <c r="O115" s="94" t="e">
        <f>RatingDefault+SUM(Companies_CAD[[#This Row],[3MoPoints]:[PFVPoints]])</f>
        <v>#N/A</v>
      </c>
      <c r="P115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15" s="52" t="e">
        <f>IF(Companies_CAD[[#This Row],[3 Mo. Ret.]]&gt;Return3Mo_Grn,1,IF(Companies_CAD[[#This Row],[3 Mo. Ret.]]&lt;Return3Mo_Red,-1,0))</f>
        <v>#N/A</v>
      </c>
      <c r="R115" s="52" t="e">
        <f>IF(Companies_CAD[[#This Row],[12 Mo. Ret.]]&gt;Return12Mo_Grn,1,IF(Companies_CAD[[#This Row],[12 Mo. Ret.]]&lt;Return12Mo_Red,-1,0))</f>
        <v>#N/A</v>
      </c>
      <c r="S115" s="52" t="e">
        <f>IF(Companies_CAD[[#This Row],[PSR]]&lt;PSR_Green,1,IF(Companies_CAD[[#This Row],[PSR]]&gt;PSR_Red,-1,0))</f>
        <v>#N/A</v>
      </c>
      <c r="T115" s="52" t="e">
        <f>IF(Companies_CAD[[#This Row],[Financial Health]]&lt;"C",1,IF(Companies_CAD[[#This Row],[Financial Health]]&gt;"C",-1,0))</f>
        <v>#N/A</v>
      </c>
      <c r="U115" s="52" t="e">
        <f>IF(Companies_CAD[[#This Row],[PFV]]&lt;PFV_Green,1,IF(Companies_CAD[[#This Row],[PFV]]&gt;PFV_Red,-1,0))</f>
        <v>#N/A</v>
      </c>
    </row>
    <row r="116" spans="2:21" s="52" customFormat="1" ht="25.15" customHeight="1" x14ac:dyDescent="0.25">
      <c r="B116" s="11" t="s">
        <v>565</v>
      </c>
      <c r="C116" s="11" t="e">
        <f>VLOOKUP(Companies_CAD[[#This Row],[Symbol]],ColStart_CAD:ColEnd_CAD,MATCH("Name",Morningstar_Cols_CAD,EXACT_MATCH),EXACT_MATCH)</f>
        <v>#N/A</v>
      </c>
      <c r="D116" s="81" t="e">
        <f>VLOOKUP(Companies_CAD[[#This Row],[Symbol]],ColStart_CAD:ColEnd_CAD,MATCH("$ Current Price",Morningstar_Cols_CAD,EXACT_MATCH),EXACT_MATCH)</f>
        <v>#N/A</v>
      </c>
      <c r="E116" s="84" t="e">
        <f>VLOOKUP(Companies_CAD[[#This Row],[Symbol]],ColStart_CAD:ColEnd_CAD,MATCH("$ Change",Morningstar_Cols_CAD,EXACT_MATCH),EXACT_MATCH)</f>
        <v>#N/A</v>
      </c>
      <c r="F116" s="82" t="e">
        <f>IF(Companies_CAD[[#This Row],[$ Change]]&lt;&gt;0,Companies_CAD[[#This Row],[$ Change]]/(Companies_CAD[[#This Row],[Last Close]]-Companies_CAD[[#This Row],[$ Change]]),0)</f>
        <v>#N/A</v>
      </c>
      <c r="G116" s="11" t="e">
        <f>VLOOKUP(Companies_CAD[[#This Row],[Symbol]],ColStart_CAD:ColEnd_CAD,MATCH("Industry Group",Morningstar_Cols_CAD,EXACT_MATCH),EXACT_MATCH)</f>
        <v>#N/A</v>
      </c>
      <c r="H116" s="114" t="e">
        <f>VLOOKUP(Companies_CAD[[#This Row],[Symbol]],ColStart_CAD:ColEnd_CAD,MATCH("mil$ Market Cap",Morningstar_Cols_CAD,EXACT_MATCH),EXACT_MATCH)</f>
        <v>#N/A</v>
      </c>
      <c r="I116" s="115" t="e">
        <f>VLOOKUP(Companies_CAD[[#This Row],[Symbol]],ColStart_CAD:ColEnd_CAD,MATCH("%  Total Return 3 Month",Morningstar_Cols_CAD,EXACT_MATCH),EXACT_MATCH)/100</f>
        <v>#N/A</v>
      </c>
      <c r="J116" s="115" t="e">
        <f>VLOOKUP(Companies_CAD[[#This Row],[Symbol]],ColStart_CAD:ColEnd_CAD,MATCH("%  Total Return 12 Month",Morningstar_Cols_CAD,EXACT_MATCH),EXACT_MATCH)/100</f>
        <v>#N/A</v>
      </c>
      <c r="K116" s="116" t="e">
        <f>VLOOKUP(Companies_CAD[[#This Row],[Symbol]],ColStart_CAD:ColEnd_CAD,MATCH("Price/ Sales",Morningstar_Cols_CAD,EXACT_MATCH),EXACT_MATCH)</f>
        <v>#N/A</v>
      </c>
      <c r="L116" s="117" t="e">
        <f>VLOOKUP(Companies_CAD[[#This Row],[Symbol]],ColStart_CAD:ColEnd_CAD,MATCH("Price/ Fair Value",Morningstar_Cols_CAD,EXACT_MATCH),EXACT_MATCH)</f>
        <v>#N/A</v>
      </c>
      <c r="M116" s="118" t="e">
        <f>VLOOKUP(Companies_CAD[[#This Row],[Symbol]],ColStart_CAD:ColEnd_CAD,MATCH("Financial  Health Grade",Morningstar_Cols_CAD,EXACT_MATCH),EXACT_MATCH)</f>
        <v>#N/A</v>
      </c>
      <c r="N116" s="107" t="e">
        <f>VLOOKUP(Companies_CAD[[#This Row],[Symbol]],ColStart_CAD:ColEnd_CAD,MATCH("% Dividend Yield TTM",Morningstar_Cols_CAD,EXACT_MATCH),EXACT_MATCH)/100</f>
        <v>#N/A</v>
      </c>
      <c r="O116" s="94" t="e">
        <f>RatingDefault+SUM(Companies_CAD[[#This Row],[3MoPoints]:[PFVPoints]])</f>
        <v>#N/A</v>
      </c>
      <c r="P116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16" s="52" t="e">
        <f>IF(Companies_CAD[[#This Row],[3 Mo. Ret.]]&gt;Return3Mo_Grn,1,IF(Companies_CAD[[#This Row],[3 Mo. Ret.]]&lt;Return3Mo_Red,-1,0))</f>
        <v>#N/A</v>
      </c>
      <c r="R116" s="52" t="e">
        <f>IF(Companies_CAD[[#This Row],[12 Mo. Ret.]]&gt;Return12Mo_Grn,1,IF(Companies_CAD[[#This Row],[12 Mo. Ret.]]&lt;Return12Mo_Red,-1,0))</f>
        <v>#N/A</v>
      </c>
      <c r="S116" s="52" t="e">
        <f>IF(Companies_CAD[[#This Row],[PSR]]&lt;PSR_Green,1,IF(Companies_CAD[[#This Row],[PSR]]&gt;PSR_Red,-1,0))</f>
        <v>#N/A</v>
      </c>
      <c r="T116" s="52" t="e">
        <f>IF(Companies_CAD[[#This Row],[Financial Health]]&lt;"C",1,IF(Companies_CAD[[#This Row],[Financial Health]]&gt;"C",-1,0))</f>
        <v>#N/A</v>
      </c>
      <c r="U116" s="52" t="e">
        <f>IF(Companies_CAD[[#This Row],[PFV]]&lt;PFV_Green,1,IF(Companies_CAD[[#This Row],[PFV]]&gt;PFV_Red,-1,0))</f>
        <v>#N/A</v>
      </c>
    </row>
    <row r="117" spans="2:21" s="52" customFormat="1" ht="25.15" customHeight="1" x14ac:dyDescent="0.25">
      <c r="B117" s="11" t="s">
        <v>566</v>
      </c>
      <c r="C117" s="11" t="e">
        <f>VLOOKUP(Companies_CAD[[#This Row],[Symbol]],ColStart_CAD:ColEnd_CAD,MATCH("Name",Morningstar_Cols_CAD,EXACT_MATCH),EXACT_MATCH)</f>
        <v>#N/A</v>
      </c>
      <c r="D117" s="81" t="e">
        <f>VLOOKUP(Companies_CAD[[#This Row],[Symbol]],ColStart_CAD:ColEnd_CAD,MATCH("$ Current Price",Morningstar_Cols_CAD,EXACT_MATCH),EXACT_MATCH)</f>
        <v>#N/A</v>
      </c>
      <c r="E117" s="84" t="e">
        <f>VLOOKUP(Companies_CAD[[#This Row],[Symbol]],ColStart_CAD:ColEnd_CAD,MATCH("$ Change",Morningstar_Cols_CAD,EXACT_MATCH),EXACT_MATCH)</f>
        <v>#N/A</v>
      </c>
      <c r="F117" s="82" t="e">
        <f>IF(Companies_CAD[[#This Row],[$ Change]]&lt;&gt;0,Companies_CAD[[#This Row],[$ Change]]/(Companies_CAD[[#This Row],[Last Close]]-Companies_CAD[[#This Row],[$ Change]]),0)</f>
        <v>#N/A</v>
      </c>
      <c r="G117" s="11" t="e">
        <f>VLOOKUP(Companies_CAD[[#This Row],[Symbol]],ColStart_CAD:ColEnd_CAD,MATCH("Industry Group",Morningstar_Cols_CAD,EXACT_MATCH),EXACT_MATCH)</f>
        <v>#N/A</v>
      </c>
      <c r="H117" s="114" t="e">
        <f>VLOOKUP(Companies_CAD[[#This Row],[Symbol]],ColStart_CAD:ColEnd_CAD,MATCH("mil$ Market Cap",Morningstar_Cols_CAD,EXACT_MATCH),EXACT_MATCH)</f>
        <v>#N/A</v>
      </c>
      <c r="I117" s="115" t="e">
        <f>VLOOKUP(Companies_CAD[[#This Row],[Symbol]],ColStart_CAD:ColEnd_CAD,MATCH("%  Total Return 3 Month",Morningstar_Cols_CAD,EXACT_MATCH),EXACT_MATCH)/100</f>
        <v>#N/A</v>
      </c>
      <c r="J117" s="115" t="e">
        <f>VLOOKUP(Companies_CAD[[#This Row],[Symbol]],ColStart_CAD:ColEnd_CAD,MATCH("%  Total Return 12 Month",Morningstar_Cols_CAD,EXACT_MATCH),EXACT_MATCH)/100</f>
        <v>#N/A</v>
      </c>
      <c r="K117" s="116" t="e">
        <f>VLOOKUP(Companies_CAD[[#This Row],[Symbol]],ColStart_CAD:ColEnd_CAD,MATCH("Price/ Sales",Morningstar_Cols_CAD,EXACT_MATCH),EXACT_MATCH)</f>
        <v>#N/A</v>
      </c>
      <c r="L117" s="117" t="e">
        <f>VLOOKUP(Companies_CAD[[#This Row],[Symbol]],ColStart_CAD:ColEnd_CAD,MATCH("Price/ Fair Value",Morningstar_Cols_CAD,EXACT_MATCH),EXACT_MATCH)</f>
        <v>#N/A</v>
      </c>
      <c r="M117" s="118" t="e">
        <f>VLOOKUP(Companies_CAD[[#This Row],[Symbol]],ColStart_CAD:ColEnd_CAD,MATCH("Financial  Health Grade",Morningstar_Cols_CAD,EXACT_MATCH),EXACT_MATCH)</f>
        <v>#N/A</v>
      </c>
      <c r="N117" s="107" t="e">
        <f>VLOOKUP(Companies_CAD[[#This Row],[Symbol]],ColStart_CAD:ColEnd_CAD,MATCH("% Dividend Yield TTM",Morningstar_Cols_CAD,EXACT_MATCH),EXACT_MATCH)/100</f>
        <v>#N/A</v>
      </c>
      <c r="O117" s="94" t="e">
        <f>RatingDefault+SUM(Companies_CAD[[#This Row],[3MoPoints]:[PFVPoints]])</f>
        <v>#N/A</v>
      </c>
      <c r="P117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17" s="52" t="e">
        <f>IF(Companies_CAD[[#This Row],[3 Mo. Ret.]]&gt;Return3Mo_Grn,1,IF(Companies_CAD[[#This Row],[3 Mo. Ret.]]&lt;Return3Mo_Red,-1,0))</f>
        <v>#N/A</v>
      </c>
      <c r="R117" s="52" t="e">
        <f>IF(Companies_CAD[[#This Row],[12 Mo. Ret.]]&gt;Return12Mo_Grn,1,IF(Companies_CAD[[#This Row],[12 Mo. Ret.]]&lt;Return12Mo_Red,-1,0))</f>
        <v>#N/A</v>
      </c>
      <c r="S117" s="52" t="e">
        <f>IF(Companies_CAD[[#This Row],[PSR]]&lt;PSR_Green,1,IF(Companies_CAD[[#This Row],[PSR]]&gt;PSR_Red,-1,0))</f>
        <v>#N/A</v>
      </c>
      <c r="T117" s="52" t="e">
        <f>IF(Companies_CAD[[#This Row],[Financial Health]]&lt;"C",1,IF(Companies_CAD[[#This Row],[Financial Health]]&gt;"C",-1,0))</f>
        <v>#N/A</v>
      </c>
      <c r="U117" s="52" t="e">
        <f>IF(Companies_CAD[[#This Row],[PFV]]&lt;PFV_Green,1,IF(Companies_CAD[[#This Row],[PFV]]&gt;PFV_Red,-1,0))</f>
        <v>#N/A</v>
      </c>
    </row>
    <row r="118" spans="2:21" s="52" customFormat="1" ht="25.15" customHeight="1" x14ac:dyDescent="0.25">
      <c r="B118" s="11" t="s">
        <v>568</v>
      </c>
      <c r="C118" s="11" t="e">
        <f>VLOOKUP(Companies_CAD[[#This Row],[Symbol]],ColStart_CAD:ColEnd_CAD,MATCH("Name",Morningstar_Cols_CAD,EXACT_MATCH),EXACT_MATCH)</f>
        <v>#N/A</v>
      </c>
      <c r="D118" s="81" t="e">
        <f>VLOOKUP(Companies_CAD[[#This Row],[Symbol]],ColStart_CAD:ColEnd_CAD,MATCH("$ Current Price",Morningstar_Cols_CAD,EXACT_MATCH),EXACT_MATCH)</f>
        <v>#N/A</v>
      </c>
      <c r="E118" s="84" t="e">
        <f>VLOOKUP(Companies_CAD[[#This Row],[Symbol]],ColStart_CAD:ColEnd_CAD,MATCH("$ Change",Morningstar_Cols_CAD,EXACT_MATCH),EXACT_MATCH)</f>
        <v>#N/A</v>
      </c>
      <c r="F118" s="82" t="e">
        <f>IF(Companies_CAD[[#This Row],[$ Change]]&lt;&gt;0,Companies_CAD[[#This Row],[$ Change]]/(Companies_CAD[[#This Row],[Last Close]]-Companies_CAD[[#This Row],[$ Change]]),0)</f>
        <v>#N/A</v>
      </c>
      <c r="G118" s="11" t="e">
        <f>VLOOKUP(Companies_CAD[[#This Row],[Symbol]],ColStart_CAD:ColEnd_CAD,MATCH("Industry Group",Morningstar_Cols_CAD,EXACT_MATCH),EXACT_MATCH)</f>
        <v>#N/A</v>
      </c>
      <c r="H118" s="114" t="e">
        <f>VLOOKUP(Companies_CAD[[#This Row],[Symbol]],ColStart_CAD:ColEnd_CAD,MATCH("mil$ Market Cap",Morningstar_Cols_CAD,EXACT_MATCH),EXACT_MATCH)</f>
        <v>#N/A</v>
      </c>
      <c r="I118" s="115" t="e">
        <f>VLOOKUP(Companies_CAD[[#This Row],[Symbol]],ColStart_CAD:ColEnd_CAD,MATCH("%  Total Return 3 Month",Morningstar_Cols_CAD,EXACT_MATCH),EXACT_MATCH)/100</f>
        <v>#N/A</v>
      </c>
      <c r="J118" s="115" t="e">
        <f>VLOOKUP(Companies_CAD[[#This Row],[Symbol]],ColStart_CAD:ColEnd_CAD,MATCH("%  Total Return 12 Month",Morningstar_Cols_CAD,EXACT_MATCH),EXACT_MATCH)/100</f>
        <v>#N/A</v>
      </c>
      <c r="K118" s="116" t="e">
        <f>VLOOKUP(Companies_CAD[[#This Row],[Symbol]],ColStart_CAD:ColEnd_CAD,MATCH("Price/ Sales",Morningstar_Cols_CAD,EXACT_MATCH),EXACT_MATCH)</f>
        <v>#N/A</v>
      </c>
      <c r="L118" s="117" t="e">
        <f>VLOOKUP(Companies_CAD[[#This Row],[Symbol]],ColStart_CAD:ColEnd_CAD,MATCH("Price/ Fair Value",Morningstar_Cols_CAD,EXACT_MATCH),EXACT_MATCH)</f>
        <v>#N/A</v>
      </c>
      <c r="M118" s="118" t="e">
        <f>VLOOKUP(Companies_CAD[[#This Row],[Symbol]],ColStart_CAD:ColEnd_CAD,MATCH("Financial  Health Grade",Morningstar_Cols_CAD,EXACT_MATCH),EXACT_MATCH)</f>
        <v>#N/A</v>
      </c>
      <c r="N118" s="107" t="e">
        <f>VLOOKUP(Companies_CAD[[#This Row],[Symbol]],ColStart_CAD:ColEnd_CAD,MATCH("% Dividend Yield TTM",Morningstar_Cols_CAD,EXACT_MATCH),EXACT_MATCH)/100</f>
        <v>#N/A</v>
      </c>
      <c r="O118" s="94" t="e">
        <f>RatingDefault+SUM(Companies_CAD[[#This Row],[3MoPoints]:[PFVPoints]])</f>
        <v>#N/A</v>
      </c>
      <c r="P118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18" s="52" t="e">
        <f>IF(Companies_CAD[[#This Row],[3 Mo. Ret.]]&gt;Return3Mo_Grn,1,IF(Companies_CAD[[#This Row],[3 Mo. Ret.]]&lt;Return3Mo_Red,-1,0))</f>
        <v>#N/A</v>
      </c>
      <c r="R118" s="52" t="e">
        <f>IF(Companies_CAD[[#This Row],[12 Mo. Ret.]]&gt;Return12Mo_Grn,1,IF(Companies_CAD[[#This Row],[12 Mo. Ret.]]&lt;Return12Mo_Red,-1,0))</f>
        <v>#N/A</v>
      </c>
      <c r="S118" s="52" t="e">
        <f>IF(Companies_CAD[[#This Row],[PSR]]&lt;PSR_Green,1,IF(Companies_CAD[[#This Row],[PSR]]&gt;PSR_Red,-1,0))</f>
        <v>#N/A</v>
      </c>
      <c r="T118" s="52" t="e">
        <f>IF(Companies_CAD[[#This Row],[Financial Health]]&lt;"C",1,IF(Companies_CAD[[#This Row],[Financial Health]]&gt;"C",-1,0))</f>
        <v>#N/A</v>
      </c>
      <c r="U118" s="52" t="e">
        <f>IF(Companies_CAD[[#This Row],[PFV]]&lt;PFV_Green,1,IF(Companies_CAD[[#This Row],[PFV]]&gt;PFV_Red,-1,0))</f>
        <v>#N/A</v>
      </c>
    </row>
    <row r="119" spans="2:21" s="52" customFormat="1" ht="25.15" customHeight="1" x14ac:dyDescent="0.25">
      <c r="B119" s="11" t="s">
        <v>558</v>
      </c>
      <c r="C119" s="11" t="e">
        <f>VLOOKUP(Companies_CAD[[#This Row],[Symbol]],ColStart_CAD:ColEnd_CAD,MATCH("Name",Morningstar_Cols_CAD,EXACT_MATCH),EXACT_MATCH)</f>
        <v>#N/A</v>
      </c>
      <c r="D119" s="81" t="e">
        <f>VLOOKUP(Companies_CAD[[#This Row],[Symbol]],ColStart_CAD:ColEnd_CAD,MATCH("$ Current Price",Morningstar_Cols_CAD,EXACT_MATCH),EXACT_MATCH)</f>
        <v>#N/A</v>
      </c>
      <c r="E119" s="84" t="e">
        <f>VLOOKUP(Companies_CAD[[#This Row],[Symbol]],ColStart_CAD:ColEnd_CAD,MATCH("$ Change",Morningstar_Cols_CAD,EXACT_MATCH),EXACT_MATCH)</f>
        <v>#N/A</v>
      </c>
      <c r="F119" s="82" t="e">
        <f>IF(Companies_CAD[[#This Row],[$ Change]]&lt;&gt;0,Companies_CAD[[#This Row],[$ Change]]/(Companies_CAD[[#This Row],[Last Close]]-Companies_CAD[[#This Row],[$ Change]]),0)</f>
        <v>#N/A</v>
      </c>
      <c r="G119" s="11" t="e">
        <f>VLOOKUP(Companies_CAD[[#This Row],[Symbol]],ColStart_CAD:ColEnd_CAD,MATCH("Industry Group",Morningstar_Cols_CAD,EXACT_MATCH),EXACT_MATCH)</f>
        <v>#N/A</v>
      </c>
      <c r="H119" s="114" t="e">
        <f>VLOOKUP(Companies_CAD[[#This Row],[Symbol]],ColStart_CAD:ColEnd_CAD,MATCH("mil$ Market Cap",Morningstar_Cols_CAD,EXACT_MATCH),EXACT_MATCH)</f>
        <v>#N/A</v>
      </c>
      <c r="I119" s="115" t="e">
        <f>VLOOKUP(Companies_CAD[[#This Row],[Symbol]],ColStart_CAD:ColEnd_CAD,MATCH("%  Total Return 3 Month",Morningstar_Cols_CAD,EXACT_MATCH),EXACT_MATCH)/100</f>
        <v>#N/A</v>
      </c>
      <c r="J119" s="115" t="e">
        <f>VLOOKUP(Companies_CAD[[#This Row],[Symbol]],ColStart_CAD:ColEnd_CAD,MATCH("%  Total Return 12 Month",Morningstar_Cols_CAD,EXACT_MATCH),EXACT_MATCH)/100</f>
        <v>#N/A</v>
      </c>
      <c r="K119" s="116" t="e">
        <f>VLOOKUP(Companies_CAD[[#This Row],[Symbol]],ColStart_CAD:ColEnd_CAD,MATCH("Price/ Sales",Morningstar_Cols_CAD,EXACT_MATCH),EXACT_MATCH)</f>
        <v>#N/A</v>
      </c>
      <c r="L119" s="117" t="e">
        <f>VLOOKUP(Companies_CAD[[#This Row],[Symbol]],ColStart_CAD:ColEnd_CAD,MATCH("Price/ Fair Value",Morningstar_Cols_CAD,EXACT_MATCH),EXACT_MATCH)</f>
        <v>#N/A</v>
      </c>
      <c r="M119" s="118" t="e">
        <f>VLOOKUP(Companies_CAD[[#This Row],[Symbol]],ColStart_CAD:ColEnd_CAD,MATCH("Financial  Health Grade",Morningstar_Cols_CAD,EXACT_MATCH),EXACT_MATCH)</f>
        <v>#N/A</v>
      </c>
      <c r="N119" s="107" t="e">
        <f>VLOOKUP(Companies_CAD[[#This Row],[Symbol]],ColStart_CAD:ColEnd_CAD,MATCH("% Dividend Yield TTM",Morningstar_Cols_CAD,EXACT_MATCH),EXACT_MATCH)/100</f>
        <v>#N/A</v>
      </c>
      <c r="O119" s="94" t="e">
        <f>RatingDefault+SUM(Companies_CAD[[#This Row],[3MoPoints]:[PFVPoints]])</f>
        <v>#N/A</v>
      </c>
      <c r="P119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19" s="52" t="e">
        <f>IF(Companies_CAD[[#This Row],[3 Mo. Ret.]]&gt;Return3Mo_Grn,1,IF(Companies_CAD[[#This Row],[3 Mo. Ret.]]&lt;Return3Mo_Red,-1,0))</f>
        <v>#N/A</v>
      </c>
      <c r="R119" s="52" t="e">
        <f>IF(Companies_CAD[[#This Row],[12 Mo. Ret.]]&gt;Return12Mo_Grn,1,IF(Companies_CAD[[#This Row],[12 Mo. Ret.]]&lt;Return12Mo_Red,-1,0))</f>
        <v>#N/A</v>
      </c>
      <c r="S119" s="52" t="e">
        <f>IF(Companies_CAD[[#This Row],[PSR]]&lt;PSR_Green,1,IF(Companies_CAD[[#This Row],[PSR]]&gt;PSR_Red,-1,0))</f>
        <v>#N/A</v>
      </c>
      <c r="T119" s="52" t="e">
        <f>IF(Companies_CAD[[#This Row],[Financial Health]]&lt;"C",1,IF(Companies_CAD[[#This Row],[Financial Health]]&gt;"C",-1,0))</f>
        <v>#N/A</v>
      </c>
      <c r="U119" s="52" t="e">
        <f>IF(Companies_CAD[[#This Row],[PFV]]&lt;PFV_Green,1,IF(Companies_CAD[[#This Row],[PFV]]&gt;PFV_Red,-1,0))</f>
        <v>#N/A</v>
      </c>
    </row>
    <row r="120" spans="2:21" s="52" customFormat="1" ht="25.15" customHeight="1" x14ac:dyDescent="0.25">
      <c r="B120" s="11" t="s">
        <v>478</v>
      </c>
      <c r="C120" s="11" t="e">
        <f>VLOOKUP(Companies_CAD[[#This Row],[Symbol]],ColStart_CAD:ColEnd_CAD,MATCH("Name",Morningstar_Cols_CAD,EXACT_MATCH),EXACT_MATCH)</f>
        <v>#N/A</v>
      </c>
      <c r="D120" s="81" t="e">
        <f>VLOOKUP(Companies_CAD[[#This Row],[Symbol]],ColStart_CAD:ColEnd_CAD,MATCH("$ Current Price",Morningstar_Cols_CAD,EXACT_MATCH),EXACT_MATCH)</f>
        <v>#N/A</v>
      </c>
      <c r="E120" s="84" t="e">
        <f>VLOOKUP(Companies_CAD[[#This Row],[Symbol]],ColStart_CAD:ColEnd_CAD,MATCH("$ Change",Morningstar_Cols_CAD,EXACT_MATCH),EXACT_MATCH)</f>
        <v>#N/A</v>
      </c>
      <c r="F120" s="82" t="e">
        <f>IF(Companies_CAD[[#This Row],[$ Change]]&lt;&gt;0,Companies_CAD[[#This Row],[$ Change]]/(Companies_CAD[[#This Row],[Last Close]]-Companies_CAD[[#This Row],[$ Change]]),0)</f>
        <v>#N/A</v>
      </c>
      <c r="G120" s="11" t="e">
        <f>VLOOKUP(Companies_CAD[[#This Row],[Symbol]],ColStart_CAD:ColEnd_CAD,MATCH("Industry Group",Morningstar_Cols_CAD,EXACT_MATCH),EXACT_MATCH)</f>
        <v>#N/A</v>
      </c>
      <c r="H120" s="114" t="e">
        <f>VLOOKUP(Companies_CAD[[#This Row],[Symbol]],ColStart_CAD:ColEnd_CAD,MATCH("mil$ Market Cap",Morningstar_Cols_CAD,EXACT_MATCH),EXACT_MATCH)</f>
        <v>#N/A</v>
      </c>
      <c r="I120" s="115" t="e">
        <f>VLOOKUP(Companies_CAD[[#This Row],[Symbol]],ColStart_CAD:ColEnd_CAD,MATCH("%  Total Return 3 Month",Morningstar_Cols_CAD,EXACT_MATCH),EXACT_MATCH)/100</f>
        <v>#N/A</v>
      </c>
      <c r="J120" s="115" t="e">
        <f>VLOOKUP(Companies_CAD[[#This Row],[Symbol]],ColStart_CAD:ColEnd_CAD,MATCH("%  Total Return 12 Month",Morningstar_Cols_CAD,EXACT_MATCH),EXACT_MATCH)/100</f>
        <v>#N/A</v>
      </c>
      <c r="K120" s="116" t="e">
        <f>VLOOKUP(Companies_CAD[[#This Row],[Symbol]],ColStart_CAD:ColEnd_CAD,MATCH("Price/ Sales",Morningstar_Cols_CAD,EXACT_MATCH),EXACT_MATCH)</f>
        <v>#N/A</v>
      </c>
      <c r="L120" s="117" t="e">
        <f>VLOOKUP(Companies_CAD[[#This Row],[Symbol]],ColStart_CAD:ColEnd_CAD,MATCH("Price/ Fair Value",Morningstar_Cols_CAD,EXACT_MATCH),EXACT_MATCH)</f>
        <v>#N/A</v>
      </c>
      <c r="M120" s="118" t="e">
        <f>VLOOKUP(Companies_CAD[[#This Row],[Symbol]],ColStart_CAD:ColEnd_CAD,MATCH("Financial  Health Grade",Morningstar_Cols_CAD,EXACT_MATCH),EXACT_MATCH)</f>
        <v>#N/A</v>
      </c>
      <c r="N120" s="107" t="e">
        <f>VLOOKUP(Companies_CAD[[#This Row],[Symbol]],ColStart_CAD:ColEnd_CAD,MATCH("% Dividend Yield TTM",Morningstar_Cols_CAD,EXACT_MATCH),EXACT_MATCH)/100</f>
        <v>#N/A</v>
      </c>
      <c r="O120" s="94" t="e">
        <f>RatingDefault+SUM(Companies_CAD[[#This Row],[3MoPoints]:[PFVPoints]])</f>
        <v>#N/A</v>
      </c>
      <c r="P120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20" s="52" t="e">
        <f>IF(Companies_CAD[[#This Row],[3 Mo. Ret.]]&gt;Return3Mo_Grn,1,IF(Companies_CAD[[#This Row],[3 Mo. Ret.]]&lt;Return3Mo_Red,-1,0))</f>
        <v>#N/A</v>
      </c>
      <c r="R120" s="52" t="e">
        <f>IF(Companies_CAD[[#This Row],[12 Mo. Ret.]]&gt;Return12Mo_Grn,1,IF(Companies_CAD[[#This Row],[12 Mo. Ret.]]&lt;Return12Mo_Red,-1,0))</f>
        <v>#N/A</v>
      </c>
      <c r="S120" s="52" t="e">
        <f>IF(Companies_CAD[[#This Row],[PSR]]&lt;PSR_Green,1,IF(Companies_CAD[[#This Row],[PSR]]&gt;PSR_Red,-1,0))</f>
        <v>#N/A</v>
      </c>
      <c r="T120" s="52" t="e">
        <f>IF(Companies_CAD[[#This Row],[Financial Health]]&lt;"C",1,IF(Companies_CAD[[#This Row],[Financial Health]]&gt;"C",-1,0))</f>
        <v>#N/A</v>
      </c>
      <c r="U120" s="52" t="e">
        <f>IF(Companies_CAD[[#This Row],[PFV]]&lt;PFV_Green,1,IF(Companies_CAD[[#This Row],[PFV]]&gt;PFV_Red,-1,0))</f>
        <v>#N/A</v>
      </c>
    </row>
    <row r="121" spans="2:21" s="52" customFormat="1" ht="25.15" customHeight="1" x14ac:dyDescent="0.25">
      <c r="B121" s="11" t="s">
        <v>569</v>
      </c>
      <c r="C121" s="11" t="e">
        <f>VLOOKUP(Companies_CAD[[#This Row],[Symbol]],ColStart_CAD:ColEnd_CAD,MATCH("Name",Morningstar_Cols_CAD,EXACT_MATCH),EXACT_MATCH)</f>
        <v>#N/A</v>
      </c>
      <c r="D121" s="81" t="e">
        <f>VLOOKUP(Companies_CAD[[#This Row],[Symbol]],ColStart_CAD:ColEnd_CAD,MATCH("$ Current Price",Morningstar_Cols_CAD,EXACT_MATCH),EXACT_MATCH)</f>
        <v>#N/A</v>
      </c>
      <c r="E121" s="84" t="e">
        <f>VLOOKUP(Companies_CAD[[#This Row],[Symbol]],ColStart_CAD:ColEnd_CAD,MATCH("$ Change",Morningstar_Cols_CAD,EXACT_MATCH),EXACT_MATCH)</f>
        <v>#N/A</v>
      </c>
      <c r="F121" s="82" t="e">
        <f>IF(Companies_CAD[[#This Row],[$ Change]]&lt;&gt;0,Companies_CAD[[#This Row],[$ Change]]/(Companies_CAD[[#This Row],[Last Close]]-Companies_CAD[[#This Row],[$ Change]]),0)</f>
        <v>#N/A</v>
      </c>
      <c r="G121" s="11" t="e">
        <f>VLOOKUP(Companies_CAD[[#This Row],[Symbol]],ColStart_CAD:ColEnd_CAD,MATCH("Industry Group",Morningstar_Cols_CAD,EXACT_MATCH),EXACT_MATCH)</f>
        <v>#N/A</v>
      </c>
      <c r="H121" s="114" t="e">
        <f>VLOOKUP(Companies_CAD[[#This Row],[Symbol]],ColStart_CAD:ColEnd_CAD,MATCH("mil$ Market Cap",Morningstar_Cols_CAD,EXACT_MATCH),EXACT_MATCH)</f>
        <v>#N/A</v>
      </c>
      <c r="I121" s="115" t="e">
        <f>VLOOKUP(Companies_CAD[[#This Row],[Symbol]],ColStart_CAD:ColEnd_CAD,MATCH("%  Total Return 3 Month",Morningstar_Cols_CAD,EXACT_MATCH),EXACT_MATCH)/100</f>
        <v>#N/A</v>
      </c>
      <c r="J121" s="115" t="e">
        <f>VLOOKUP(Companies_CAD[[#This Row],[Symbol]],ColStart_CAD:ColEnd_CAD,MATCH("%  Total Return 12 Month",Morningstar_Cols_CAD,EXACT_MATCH),EXACT_MATCH)/100</f>
        <v>#N/A</v>
      </c>
      <c r="K121" s="116" t="e">
        <f>VLOOKUP(Companies_CAD[[#This Row],[Symbol]],ColStart_CAD:ColEnd_CAD,MATCH("Price/ Sales",Morningstar_Cols_CAD,EXACT_MATCH),EXACT_MATCH)</f>
        <v>#N/A</v>
      </c>
      <c r="L121" s="117" t="e">
        <f>VLOOKUP(Companies_CAD[[#This Row],[Symbol]],ColStart_CAD:ColEnd_CAD,MATCH("Price/ Fair Value",Morningstar_Cols_CAD,EXACT_MATCH),EXACT_MATCH)</f>
        <v>#N/A</v>
      </c>
      <c r="M121" s="118" t="e">
        <f>VLOOKUP(Companies_CAD[[#This Row],[Symbol]],ColStart_CAD:ColEnd_CAD,MATCH("Financial  Health Grade",Morningstar_Cols_CAD,EXACT_MATCH),EXACT_MATCH)</f>
        <v>#N/A</v>
      </c>
      <c r="N121" s="107" t="e">
        <f>VLOOKUP(Companies_CAD[[#This Row],[Symbol]],ColStart_CAD:ColEnd_CAD,MATCH("% Dividend Yield TTM",Morningstar_Cols_CAD,EXACT_MATCH),EXACT_MATCH)/100</f>
        <v>#N/A</v>
      </c>
      <c r="O121" s="94" t="e">
        <f>RatingDefault+SUM(Companies_CAD[[#This Row],[3MoPoints]:[PFVPoints]])</f>
        <v>#N/A</v>
      </c>
      <c r="P121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21" s="52" t="e">
        <f>IF(Companies_CAD[[#This Row],[3 Mo. Ret.]]&gt;Return3Mo_Grn,1,IF(Companies_CAD[[#This Row],[3 Mo. Ret.]]&lt;Return3Mo_Red,-1,0))</f>
        <v>#N/A</v>
      </c>
      <c r="R121" s="52" t="e">
        <f>IF(Companies_CAD[[#This Row],[12 Mo. Ret.]]&gt;Return12Mo_Grn,1,IF(Companies_CAD[[#This Row],[12 Mo. Ret.]]&lt;Return12Mo_Red,-1,0))</f>
        <v>#N/A</v>
      </c>
      <c r="S121" s="52" t="e">
        <f>IF(Companies_CAD[[#This Row],[PSR]]&lt;PSR_Green,1,IF(Companies_CAD[[#This Row],[PSR]]&gt;PSR_Red,-1,0))</f>
        <v>#N/A</v>
      </c>
      <c r="T121" s="52" t="e">
        <f>IF(Companies_CAD[[#This Row],[Financial Health]]&lt;"C",1,IF(Companies_CAD[[#This Row],[Financial Health]]&gt;"C",-1,0))</f>
        <v>#N/A</v>
      </c>
      <c r="U121" s="52" t="e">
        <f>IF(Companies_CAD[[#This Row],[PFV]]&lt;PFV_Green,1,IF(Companies_CAD[[#This Row],[PFV]]&gt;PFV_Red,-1,0))</f>
        <v>#N/A</v>
      </c>
    </row>
    <row r="122" spans="2:21" s="52" customFormat="1" ht="25.15" customHeight="1" x14ac:dyDescent="0.25">
      <c r="B122" s="11" t="s">
        <v>571</v>
      </c>
      <c r="C122" s="11" t="e">
        <f>VLOOKUP(Companies_CAD[[#This Row],[Symbol]],ColStart_CAD:ColEnd_CAD,MATCH("Name",Morningstar_Cols_CAD,EXACT_MATCH),EXACT_MATCH)</f>
        <v>#N/A</v>
      </c>
      <c r="D122" s="81" t="e">
        <f>VLOOKUP(Companies_CAD[[#This Row],[Symbol]],ColStart_CAD:ColEnd_CAD,MATCH("$ Current Price",Morningstar_Cols_CAD,EXACT_MATCH),EXACT_MATCH)</f>
        <v>#N/A</v>
      </c>
      <c r="E122" s="84" t="e">
        <f>VLOOKUP(Companies_CAD[[#This Row],[Symbol]],ColStart_CAD:ColEnd_CAD,MATCH("$ Change",Morningstar_Cols_CAD,EXACT_MATCH),EXACT_MATCH)</f>
        <v>#N/A</v>
      </c>
      <c r="F122" s="82" t="e">
        <f>IF(Companies_CAD[[#This Row],[$ Change]]&lt;&gt;0,Companies_CAD[[#This Row],[$ Change]]/(Companies_CAD[[#This Row],[Last Close]]-Companies_CAD[[#This Row],[$ Change]]),0)</f>
        <v>#N/A</v>
      </c>
      <c r="G122" s="11" t="e">
        <f>VLOOKUP(Companies_CAD[[#This Row],[Symbol]],ColStart_CAD:ColEnd_CAD,MATCH("Industry Group",Morningstar_Cols_CAD,EXACT_MATCH),EXACT_MATCH)</f>
        <v>#N/A</v>
      </c>
      <c r="H122" s="114" t="e">
        <f>VLOOKUP(Companies_CAD[[#This Row],[Symbol]],ColStart_CAD:ColEnd_CAD,MATCH("mil$ Market Cap",Morningstar_Cols_CAD,EXACT_MATCH),EXACT_MATCH)</f>
        <v>#N/A</v>
      </c>
      <c r="I122" s="115" t="e">
        <f>VLOOKUP(Companies_CAD[[#This Row],[Symbol]],ColStart_CAD:ColEnd_CAD,MATCH("%  Total Return 3 Month",Morningstar_Cols_CAD,EXACT_MATCH),EXACT_MATCH)/100</f>
        <v>#N/A</v>
      </c>
      <c r="J122" s="115" t="e">
        <f>VLOOKUP(Companies_CAD[[#This Row],[Symbol]],ColStart_CAD:ColEnd_CAD,MATCH("%  Total Return 12 Month",Morningstar_Cols_CAD,EXACT_MATCH),EXACT_MATCH)/100</f>
        <v>#N/A</v>
      </c>
      <c r="K122" s="116" t="e">
        <f>VLOOKUP(Companies_CAD[[#This Row],[Symbol]],ColStart_CAD:ColEnd_CAD,MATCH("Price/ Sales",Morningstar_Cols_CAD,EXACT_MATCH),EXACT_MATCH)</f>
        <v>#N/A</v>
      </c>
      <c r="L122" s="117" t="e">
        <f>VLOOKUP(Companies_CAD[[#This Row],[Symbol]],ColStart_CAD:ColEnd_CAD,MATCH("Price/ Fair Value",Morningstar_Cols_CAD,EXACT_MATCH),EXACT_MATCH)</f>
        <v>#N/A</v>
      </c>
      <c r="M122" s="118" t="e">
        <f>VLOOKUP(Companies_CAD[[#This Row],[Symbol]],ColStart_CAD:ColEnd_CAD,MATCH("Financial  Health Grade",Morningstar_Cols_CAD,EXACT_MATCH),EXACT_MATCH)</f>
        <v>#N/A</v>
      </c>
      <c r="N122" s="107" t="e">
        <f>VLOOKUP(Companies_CAD[[#This Row],[Symbol]],ColStart_CAD:ColEnd_CAD,MATCH("% Dividend Yield TTM",Morningstar_Cols_CAD,EXACT_MATCH),EXACT_MATCH)/100</f>
        <v>#N/A</v>
      </c>
      <c r="O122" s="94" t="e">
        <f>RatingDefault+SUM(Companies_CAD[[#This Row],[3MoPoints]:[PFVPoints]])</f>
        <v>#N/A</v>
      </c>
      <c r="P122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22" s="52" t="e">
        <f>IF(Companies_CAD[[#This Row],[3 Mo. Ret.]]&gt;Return3Mo_Grn,1,IF(Companies_CAD[[#This Row],[3 Mo. Ret.]]&lt;Return3Mo_Red,-1,0))</f>
        <v>#N/A</v>
      </c>
      <c r="R122" s="52" t="e">
        <f>IF(Companies_CAD[[#This Row],[12 Mo. Ret.]]&gt;Return12Mo_Grn,1,IF(Companies_CAD[[#This Row],[12 Mo. Ret.]]&lt;Return12Mo_Red,-1,0))</f>
        <v>#N/A</v>
      </c>
      <c r="S122" s="52" t="e">
        <f>IF(Companies_CAD[[#This Row],[PSR]]&lt;PSR_Green,1,IF(Companies_CAD[[#This Row],[PSR]]&gt;PSR_Red,-1,0))</f>
        <v>#N/A</v>
      </c>
      <c r="T122" s="52" t="e">
        <f>IF(Companies_CAD[[#This Row],[Financial Health]]&lt;"C",1,IF(Companies_CAD[[#This Row],[Financial Health]]&gt;"C",-1,0))</f>
        <v>#N/A</v>
      </c>
      <c r="U122" s="52" t="e">
        <f>IF(Companies_CAD[[#This Row],[PFV]]&lt;PFV_Green,1,IF(Companies_CAD[[#This Row],[PFV]]&gt;PFV_Red,-1,0))</f>
        <v>#N/A</v>
      </c>
    </row>
    <row r="123" spans="2:21" s="52" customFormat="1" ht="25.15" customHeight="1" x14ac:dyDescent="0.25">
      <c r="B123" s="11" t="s">
        <v>564</v>
      </c>
      <c r="C123" s="11" t="e">
        <f>VLOOKUP(Companies_CAD[[#This Row],[Symbol]],ColStart_CAD:ColEnd_CAD,MATCH("Name",Morningstar_Cols_CAD,EXACT_MATCH),EXACT_MATCH)</f>
        <v>#N/A</v>
      </c>
      <c r="D123" s="81" t="e">
        <f>VLOOKUP(Companies_CAD[[#This Row],[Symbol]],ColStart_CAD:ColEnd_CAD,MATCH("$ Current Price",Morningstar_Cols_CAD,EXACT_MATCH),EXACT_MATCH)</f>
        <v>#N/A</v>
      </c>
      <c r="E123" s="84" t="e">
        <f>VLOOKUP(Companies_CAD[[#This Row],[Symbol]],ColStart_CAD:ColEnd_CAD,MATCH("$ Change",Morningstar_Cols_CAD,EXACT_MATCH),EXACT_MATCH)</f>
        <v>#N/A</v>
      </c>
      <c r="F123" s="82" t="e">
        <f>IF(Companies_CAD[[#This Row],[$ Change]]&lt;&gt;0,Companies_CAD[[#This Row],[$ Change]]/(Companies_CAD[[#This Row],[Last Close]]-Companies_CAD[[#This Row],[$ Change]]),0)</f>
        <v>#N/A</v>
      </c>
      <c r="G123" s="11" t="e">
        <f>VLOOKUP(Companies_CAD[[#This Row],[Symbol]],ColStart_CAD:ColEnd_CAD,MATCH("Industry Group",Morningstar_Cols_CAD,EXACT_MATCH),EXACT_MATCH)</f>
        <v>#N/A</v>
      </c>
      <c r="H123" s="114" t="e">
        <f>VLOOKUP(Companies_CAD[[#This Row],[Symbol]],ColStart_CAD:ColEnd_CAD,MATCH("mil$ Market Cap",Morningstar_Cols_CAD,EXACT_MATCH),EXACT_MATCH)</f>
        <v>#N/A</v>
      </c>
      <c r="I123" s="115" t="e">
        <f>VLOOKUP(Companies_CAD[[#This Row],[Symbol]],ColStart_CAD:ColEnd_CAD,MATCH("%  Total Return 3 Month",Morningstar_Cols_CAD,EXACT_MATCH),EXACT_MATCH)/100</f>
        <v>#N/A</v>
      </c>
      <c r="J123" s="115" t="e">
        <f>VLOOKUP(Companies_CAD[[#This Row],[Symbol]],ColStart_CAD:ColEnd_CAD,MATCH("%  Total Return 12 Month",Morningstar_Cols_CAD,EXACT_MATCH),EXACT_MATCH)/100</f>
        <v>#N/A</v>
      </c>
      <c r="K123" s="116" t="e">
        <f>VLOOKUP(Companies_CAD[[#This Row],[Symbol]],ColStart_CAD:ColEnd_CAD,MATCH("Price/ Sales",Morningstar_Cols_CAD,EXACT_MATCH),EXACT_MATCH)</f>
        <v>#N/A</v>
      </c>
      <c r="L123" s="117" t="e">
        <f>VLOOKUP(Companies_CAD[[#This Row],[Symbol]],ColStart_CAD:ColEnd_CAD,MATCH("Price/ Fair Value",Morningstar_Cols_CAD,EXACT_MATCH),EXACT_MATCH)</f>
        <v>#N/A</v>
      </c>
      <c r="M123" s="118" t="e">
        <f>VLOOKUP(Companies_CAD[[#This Row],[Symbol]],ColStart_CAD:ColEnd_CAD,MATCH("Financial  Health Grade",Morningstar_Cols_CAD,EXACT_MATCH),EXACT_MATCH)</f>
        <v>#N/A</v>
      </c>
      <c r="N123" s="107" t="e">
        <f>VLOOKUP(Companies_CAD[[#This Row],[Symbol]],ColStart_CAD:ColEnd_CAD,MATCH("% Dividend Yield TTM",Morningstar_Cols_CAD,EXACT_MATCH),EXACT_MATCH)/100</f>
        <v>#N/A</v>
      </c>
      <c r="O123" s="94" t="e">
        <f>RatingDefault+SUM(Companies_CAD[[#This Row],[3MoPoints]:[PFVPoints]])</f>
        <v>#N/A</v>
      </c>
      <c r="P123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23" s="52" t="e">
        <f>IF(Companies_CAD[[#This Row],[3 Mo. Ret.]]&gt;Return3Mo_Grn,1,IF(Companies_CAD[[#This Row],[3 Mo. Ret.]]&lt;Return3Mo_Red,-1,0))</f>
        <v>#N/A</v>
      </c>
      <c r="R123" s="52" t="e">
        <f>IF(Companies_CAD[[#This Row],[12 Mo. Ret.]]&gt;Return12Mo_Grn,1,IF(Companies_CAD[[#This Row],[12 Mo. Ret.]]&lt;Return12Mo_Red,-1,0))</f>
        <v>#N/A</v>
      </c>
      <c r="S123" s="52" t="e">
        <f>IF(Companies_CAD[[#This Row],[PSR]]&lt;PSR_Green,1,IF(Companies_CAD[[#This Row],[PSR]]&gt;PSR_Red,-1,0))</f>
        <v>#N/A</v>
      </c>
      <c r="T123" s="52" t="e">
        <f>IF(Companies_CAD[[#This Row],[Financial Health]]&lt;"C",1,IF(Companies_CAD[[#This Row],[Financial Health]]&gt;"C",-1,0))</f>
        <v>#N/A</v>
      </c>
      <c r="U123" s="52" t="e">
        <f>IF(Companies_CAD[[#This Row],[PFV]]&lt;PFV_Green,1,IF(Companies_CAD[[#This Row],[PFV]]&gt;PFV_Red,-1,0))</f>
        <v>#N/A</v>
      </c>
    </row>
    <row r="124" spans="2:21" s="52" customFormat="1" ht="25.15" customHeight="1" x14ac:dyDescent="0.25">
      <c r="B124" s="11" t="s">
        <v>964</v>
      </c>
      <c r="C124" s="11" t="e">
        <f>VLOOKUP(Companies_CAD[[#This Row],[Symbol]],ColStart_CAD:ColEnd_CAD,MATCH("Name",Morningstar_Cols_CAD,EXACT_MATCH),EXACT_MATCH)</f>
        <v>#N/A</v>
      </c>
      <c r="D124" s="81" t="e">
        <f>VLOOKUP(Companies_CAD[[#This Row],[Symbol]],ColStart_CAD:ColEnd_CAD,MATCH("$ Current Price",Morningstar_Cols_CAD,EXACT_MATCH),EXACT_MATCH)</f>
        <v>#N/A</v>
      </c>
      <c r="E124" s="84" t="e">
        <f>VLOOKUP(Companies_CAD[[#This Row],[Symbol]],ColStart_CAD:ColEnd_CAD,MATCH("$ Change",Morningstar_Cols_CAD,EXACT_MATCH),EXACT_MATCH)</f>
        <v>#N/A</v>
      </c>
      <c r="F124" s="82" t="e">
        <f>IF(Companies_CAD[[#This Row],[$ Change]]&lt;&gt;0,Companies_CAD[[#This Row],[$ Change]]/(Companies_CAD[[#This Row],[Last Close]]-Companies_CAD[[#This Row],[$ Change]]),0)</f>
        <v>#N/A</v>
      </c>
      <c r="G124" s="11" t="e">
        <f>VLOOKUP(Companies_CAD[[#This Row],[Symbol]],ColStart_CAD:ColEnd_CAD,MATCH("Industry Group",Morningstar_Cols_CAD,EXACT_MATCH),EXACT_MATCH)</f>
        <v>#N/A</v>
      </c>
      <c r="H124" s="114" t="e">
        <f>VLOOKUP(Companies_CAD[[#This Row],[Symbol]],ColStart_CAD:ColEnd_CAD,MATCH("mil$ Market Cap",Morningstar_Cols_CAD,EXACT_MATCH),EXACT_MATCH)</f>
        <v>#N/A</v>
      </c>
      <c r="I124" s="115" t="e">
        <f>VLOOKUP(Companies_CAD[[#This Row],[Symbol]],Morningstar!B7:I30,MATCH("%  Total Return 3 Month",Morningstar_Cols,0))/100</f>
        <v>#N/A</v>
      </c>
      <c r="J124" s="115" t="e">
        <f>VLOOKUP(Companies_CAD[[#This Row],[Symbol]],Morningstar!B7:I30,MATCH("%  Total Return 12 Month",Morningstar_Cols,0))/100</f>
        <v>#N/A</v>
      </c>
      <c r="K124" s="116" t="e">
        <f>VLOOKUP(Companies_CAD[[#This Row],[Symbol]],ColStart_CAD:ColEnd_CAD,MATCH("Price/ Sales",Morningstar_Cols_CAD,EXACT_MATCH),EXACT_MATCH)</f>
        <v>#N/A</v>
      </c>
      <c r="L124" s="117" t="e">
        <f>VLOOKUP(Companies_CAD[[#This Row],[Symbol]],ColStart_CAD:ColEnd_CAD,MATCH("Price/ Fair Value",Morningstar_Cols_CAD,EXACT_MATCH),EXACT_MATCH)</f>
        <v>#N/A</v>
      </c>
      <c r="M124" s="118" t="e">
        <f>VLOOKUP(Companies_CAD[[#This Row],[Symbol]],ColStart_CAD:ColEnd_CAD,MATCH("Financial  Health Grade",Morningstar_Cols_CAD,EXACT_MATCH),EXACT_MATCH)</f>
        <v>#N/A</v>
      </c>
      <c r="N124" s="107" t="e">
        <f>VLOOKUP(Companies_CAD[[#This Row],[Symbol]],ColStart_CAD:ColEnd_CAD,MATCH("% Dividend Yield TTM",Morningstar_Cols_CAD,EXACT_MATCH),EXACT_MATCH)/100</f>
        <v>#N/A</v>
      </c>
      <c r="O124" s="94" t="e">
        <f>RatingDefault+SUM(Companies_CAD[[#This Row],[3MoPoints]:[PFVPoints]])</f>
        <v>#N/A</v>
      </c>
      <c r="P124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24" s="52" t="e">
        <f>IF(Companies_CAD[[#This Row],[3 Mo. Ret.]]&gt;Return3Mo_Grn,1,IF(Companies_CAD[[#This Row],[3 Mo. Ret.]]&lt;Return3Mo_Red,-1,0))</f>
        <v>#N/A</v>
      </c>
      <c r="R124" s="52" t="e">
        <f>IF(Companies_CAD[[#This Row],[12 Mo. Ret.]]&gt;Return12Mo_Grn,1,IF(Companies_CAD[[#This Row],[12 Mo. Ret.]]&lt;Return12Mo_Red,-1,0))</f>
        <v>#N/A</v>
      </c>
      <c r="S124" s="52" t="e">
        <f>IF(Companies_CAD[[#This Row],[PSR]]&lt;PSR_Green,1,IF(Companies_CAD[[#This Row],[PSR]]&gt;PSR_Red,-1,0))</f>
        <v>#N/A</v>
      </c>
      <c r="T124" s="52" t="e">
        <f>IF(Companies_CAD[[#This Row],[Financial Health]]&lt;"C",1,IF(Companies_CAD[[#This Row],[Financial Health]]&gt;"C",-1,0))</f>
        <v>#N/A</v>
      </c>
      <c r="U124" s="52" t="e">
        <f>IF(Companies_CAD[[#This Row],[PFV]]&lt;PFV_Green,1,IF(Companies_CAD[[#This Row],[PFV]]&gt;PFV_Red,-1,0))</f>
        <v>#N/A</v>
      </c>
    </row>
    <row r="125" spans="2:21" s="52" customFormat="1" ht="25.15" customHeight="1" x14ac:dyDescent="0.25">
      <c r="B125" s="11" t="s">
        <v>572</v>
      </c>
      <c r="C125" s="11" t="e">
        <f>VLOOKUP(Companies_CAD[[#This Row],[Symbol]],ColStart_CAD:ColEnd_CAD,MATCH("Name",Morningstar_Cols_CAD,EXACT_MATCH),EXACT_MATCH)</f>
        <v>#N/A</v>
      </c>
      <c r="D125" s="81" t="e">
        <f>VLOOKUP(Companies_CAD[[#This Row],[Symbol]],ColStart_CAD:ColEnd_CAD,MATCH("$ Current Price",Morningstar_Cols_CAD,EXACT_MATCH),EXACT_MATCH)</f>
        <v>#N/A</v>
      </c>
      <c r="E125" s="84" t="e">
        <f>VLOOKUP(Companies_CAD[[#This Row],[Symbol]],ColStart_CAD:ColEnd_CAD,MATCH("$ Change",Morningstar_Cols_CAD,EXACT_MATCH),EXACT_MATCH)</f>
        <v>#N/A</v>
      </c>
      <c r="F125" s="82" t="e">
        <f>IF(Companies_CAD[[#This Row],[$ Change]]&lt;&gt;0,Companies_CAD[[#This Row],[$ Change]]/(Companies_CAD[[#This Row],[Last Close]]-Companies_CAD[[#This Row],[$ Change]]),0)</f>
        <v>#N/A</v>
      </c>
      <c r="G125" s="11" t="e">
        <f>VLOOKUP(Companies_CAD[[#This Row],[Symbol]],ColStart_CAD:ColEnd_CAD,MATCH("Industry Group",Morningstar_Cols_CAD,EXACT_MATCH),EXACT_MATCH)</f>
        <v>#N/A</v>
      </c>
      <c r="H125" s="114" t="e">
        <f>VLOOKUP(Companies_CAD[[#This Row],[Symbol]],ColStart_CAD:ColEnd_CAD,MATCH("mil$ Market Cap",Morningstar_Cols_CAD,EXACT_MATCH),EXACT_MATCH)</f>
        <v>#N/A</v>
      </c>
      <c r="I125" s="115" t="e">
        <f>VLOOKUP(Companies_CAD[[#This Row],[Symbol]],ColStart_CAD:ColEnd_CAD,MATCH("%  Total Return 3 Month",Morningstar_Cols_CAD,EXACT_MATCH),EXACT_MATCH)/100</f>
        <v>#N/A</v>
      </c>
      <c r="J125" s="115" t="e">
        <f>VLOOKUP(Companies_CAD[[#This Row],[Symbol]],ColStart_CAD:ColEnd_CAD,MATCH("%  Total Return 12 Month",Morningstar_Cols_CAD,EXACT_MATCH),EXACT_MATCH)/100</f>
        <v>#N/A</v>
      </c>
      <c r="K125" s="116" t="e">
        <f>VLOOKUP(Companies_CAD[[#This Row],[Symbol]],ColStart_CAD:ColEnd_CAD,MATCH("Price/ Sales",Morningstar_Cols_CAD,EXACT_MATCH),EXACT_MATCH)</f>
        <v>#N/A</v>
      </c>
      <c r="L125" s="117" t="e">
        <f>VLOOKUP(Companies_CAD[[#This Row],[Symbol]],ColStart_CAD:ColEnd_CAD,MATCH("Price/ Fair Value",Morningstar_Cols_CAD,EXACT_MATCH),EXACT_MATCH)</f>
        <v>#N/A</v>
      </c>
      <c r="M125" s="118" t="e">
        <f>VLOOKUP(Companies_CAD[[#This Row],[Symbol]],ColStart_CAD:ColEnd_CAD,MATCH("Financial  Health Grade",Morningstar_Cols_CAD,EXACT_MATCH),EXACT_MATCH)</f>
        <v>#N/A</v>
      </c>
      <c r="N125" s="107" t="e">
        <f>VLOOKUP(Companies_CAD[[#This Row],[Symbol]],ColStart_CAD:ColEnd_CAD,MATCH("% Dividend Yield TTM",Morningstar_Cols_CAD,EXACT_MATCH),EXACT_MATCH)/100</f>
        <v>#N/A</v>
      </c>
      <c r="O125" s="94" t="e">
        <f>RatingDefault+SUM(Companies_CAD[[#This Row],[3MoPoints]:[PFVPoints]])</f>
        <v>#N/A</v>
      </c>
      <c r="P125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25" s="52" t="e">
        <f>IF(Companies_CAD[[#This Row],[3 Mo. Ret.]]&gt;Return3Mo_Grn,1,IF(Companies_CAD[[#This Row],[3 Mo. Ret.]]&lt;Return3Mo_Red,-1,0))</f>
        <v>#N/A</v>
      </c>
      <c r="R125" s="52" t="e">
        <f>IF(Companies_CAD[[#This Row],[12 Mo. Ret.]]&gt;Return12Mo_Grn,1,IF(Companies_CAD[[#This Row],[12 Mo. Ret.]]&lt;Return12Mo_Red,-1,0))</f>
        <v>#N/A</v>
      </c>
      <c r="S125" s="52" t="e">
        <f>IF(Companies_CAD[[#This Row],[PSR]]&lt;PSR_Green,1,IF(Companies_CAD[[#This Row],[PSR]]&gt;PSR_Red,-1,0))</f>
        <v>#N/A</v>
      </c>
      <c r="T125" s="52" t="e">
        <f>IF(Companies_CAD[[#This Row],[Financial Health]]&lt;"C",1,IF(Companies_CAD[[#This Row],[Financial Health]]&gt;"C",-1,0))</f>
        <v>#N/A</v>
      </c>
      <c r="U125" s="52" t="e">
        <f>IF(Companies_CAD[[#This Row],[PFV]]&lt;PFV_Green,1,IF(Companies_CAD[[#This Row],[PFV]]&gt;PFV_Red,-1,0))</f>
        <v>#N/A</v>
      </c>
    </row>
    <row r="126" spans="2:21" s="52" customFormat="1" ht="25.15" customHeight="1" x14ac:dyDescent="0.25">
      <c r="B126" s="11" t="s">
        <v>573</v>
      </c>
      <c r="C126" s="11" t="e">
        <f>VLOOKUP(Companies_CAD[[#This Row],[Symbol]],ColStart_CAD:ColEnd_CAD,MATCH("Name",Morningstar_Cols_CAD,EXACT_MATCH),EXACT_MATCH)</f>
        <v>#N/A</v>
      </c>
      <c r="D126" s="81" t="e">
        <f>VLOOKUP(Companies_CAD[[#This Row],[Symbol]],ColStart_CAD:ColEnd_CAD,MATCH("$ Current Price",Morningstar_Cols_CAD,EXACT_MATCH),EXACT_MATCH)</f>
        <v>#N/A</v>
      </c>
      <c r="E126" s="84" t="e">
        <f>VLOOKUP(Companies_CAD[[#This Row],[Symbol]],ColStart_CAD:ColEnd_CAD,MATCH("$ Change",Morningstar_Cols_CAD,EXACT_MATCH),EXACT_MATCH)</f>
        <v>#N/A</v>
      </c>
      <c r="F126" s="82" t="e">
        <f>IF(Companies_CAD[[#This Row],[$ Change]]&lt;&gt;0,Companies_CAD[[#This Row],[$ Change]]/(Companies_CAD[[#This Row],[Last Close]]-Companies_CAD[[#This Row],[$ Change]]),0)</f>
        <v>#N/A</v>
      </c>
      <c r="G126" s="11" t="e">
        <f>VLOOKUP(Companies_CAD[[#This Row],[Symbol]],ColStart_CAD:ColEnd_CAD,MATCH("Industry Group",Morningstar_Cols_CAD,EXACT_MATCH),EXACT_MATCH)</f>
        <v>#N/A</v>
      </c>
      <c r="H126" s="114" t="e">
        <f>VLOOKUP(Companies_CAD[[#This Row],[Symbol]],ColStart_CAD:ColEnd_CAD,MATCH("mil$ Market Cap",Morningstar_Cols_CAD,EXACT_MATCH),EXACT_MATCH)</f>
        <v>#N/A</v>
      </c>
      <c r="I126" s="115" t="e">
        <f>VLOOKUP(Companies_CAD[[#This Row],[Symbol]],ColStart_CAD:ColEnd_CAD,MATCH("%  Total Return 3 Month",Morningstar_Cols_CAD,EXACT_MATCH),EXACT_MATCH)/100</f>
        <v>#N/A</v>
      </c>
      <c r="J126" s="115" t="e">
        <f>VLOOKUP(Companies_CAD[[#This Row],[Symbol]],ColStart_CAD:ColEnd_CAD,MATCH("%  Total Return 12 Month",Morningstar_Cols_CAD,EXACT_MATCH),EXACT_MATCH)/100</f>
        <v>#N/A</v>
      </c>
      <c r="K126" s="116" t="e">
        <f>VLOOKUP(Companies_CAD[[#This Row],[Symbol]],ColStart_CAD:ColEnd_CAD,MATCH("Price/ Sales",Morningstar_Cols_CAD,EXACT_MATCH),EXACT_MATCH)</f>
        <v>#N/A</v>
      </c>
      <c r="L126" s="117" t="e">
        <f>VLOOKUP(Companies_CAD[[#This Row],[Symbol]],ColStart_CAD:ColEnd_CAD,MATCH("Price/ Fair Value",Morningstar_Cols_CAD,EXACT_MATCH),EXACT_MATCH)</f>
        <v>#N/A</v>
      </c>
      <c r="M126" s="118" t="e">
        <f>VLOOKUP(Companies_CAD[[#This Row],[Symbol]],ColStart_CAD:ColEnd_CAD,MATCH("Financial  Health Grade",Morningstar_Cols_CAD,EXACT_MATCH),EXACT_MATCH)</f>
        <v>#N/A</v>
      </c>
      <c r="N126" s="107" t="e">
        <f>VLOOKUP(Companies_CAD[[#This Row],[Symbol]],ColStart_CAD:ColEnd_CAD,MATCH("% Dividend Yield TTM",Morningstar_Cols_CAD,EXACT_MATCH),EXACT_MATCH)/100</f>
        <v>#N/A</v>
      </c>
      <c r="O126" s="94" t="e">
        <f>RatingDefault+SUM(Companies_CAD[[#This Row],[3MoPoints]:[PFVPoints]])</f>
        <v>#N/A</v>
      </c>
      <c r="P126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26" s="52" t="e">
        <f>IF(Companies_CAD[[#This Row],[3 Mo. Ret.]]&gt;Return3Mo_Grn,1,IF(Companies_CAD[[#This Row],[3 Mo. Ret.]]&lt;Return3Mo_Red,-1,0))</f>
        <v>#N/A</v>
      </c>
      <c r="R126" s="52" t="e">
        <f>IF(Companies_CAD[[#This Row],[12 Mo. Ret.]]&gt;Return12Mo_Grn,1,IF(Companies_CAD[[#This Row],[12 Mo. Ret.]]&lt;Return12Mo_Red,-1,0))</f>
        <v>#N/A</v>
      </c>
      <c r="S126" s="52" t="e">
        <f>IF(Companies_CAD[[#This Row],[PSR]]&lt;PSR_Green,1,IF(Companies_CAD[[#This Row],[PSR]]&gt;PSR_Red,-1,0))</f>
        <v>#N/A</v>
      </c>
      <c r="T126" s="52" t="e">
        <f>IF(Companies_CAD[[#This Row],[Financial Health]]&lt;"C",1,IF(Companies_CAD[[#This Row],[Financial Health]]&gt;"C",-1,0))</f>
        <v>#N/A</v>
      </c>
      <c r="U126" s="52" t="e">
        <f>IF(Companies_CAD[[#This Row],[PFV]]&lt;PFV_Green,1,IF(Companies_CAD[[#This Row],[PFV]]&gt;PFV_Red,-1,0))</f>
        <v>#N/A</v>
      </c>
    </row>
    <row r="127" spans="2:21" s="52" customFormat="1" ht="25.15" customHeight="1" x14ac:dyDescent="0.25">
      <c r="B127" s="11" t="s">
        <v>574</v>
      </c>
      <c r="C127" s="11" t="e">
        <f>VLOOKUP(Companies_CAD[[#This Row],[Symbol]],ColStart_CAD:ColEnd_CAD,MATCH("Name",Morningstar_Cols_CAD,EXACT_MATCH),EXACT_MATCH)</f>
        <v>#N/A</v>
      </c>
      <c r="D127" s="81" t="e">
        <f>VLOOKUP(Companies_CAD[[#This Row],[Symbol]],ColStart_CAD:ColEnd_CAD,MATCH("$ Current Price",Morningstar_Cols_CAD,EXACT_MATCH),EXACT_MATCH)</f>
        <v>#N/A</v>
      </c>
      <c r="E127" s="84" t="e">
        <f>VLOOKUP(Companies_CAD[[#This Row],[Symbol]],ColStart_CAD:ColEnd_CAD,MATCH("$ Change",Morningstar_Cols_CAD,EXACT_MATCH),EXACT_MATCH)</f>
        <v>#N/A</v>
      </c>
      <c r="F127" s="82" t="e">
        <f>IF(Companies_CAD[[#This Row],[$ Change]]&lt;&gt;0,Companies_CAD[[#This Row],[$ Change]]/(Companies_CAD[[#This Row],[Last Close]]-Companies_CAD[[#This Row],[$ Change]]),0)</f>
        <v>#N/A</v>
      </c>
      <c r="G127" s="11" t="e">
        <f>VLOOKUP(Companies_CAD[[#This Row],[Symbol]],ColStart_CAD:ColEnd_CAD,MATCH("Industry Group",Morningstar_Cols_CAD,EXACT_MATCH),EXACT_MATCH)</f>
        <v>#N/A</v>
      </c>
      <c r="H127" s="114" t="e">
        <f>VLOOKUP(Companies_CAD[[#This Row],[Symbol]],ColStart_CAD:ColEnd_CAD,MATCH("mil$ Market Cap",Morningstar_Cols_CAD,EXACT_MATCH),EXACT_MATCH)</f>
        <v>#N/A</v>
      </c>
      <c r="I127" s="115" t="e">
        <f>VLOOKUP(Companies_CAD[[#This Row],[Symbol]],ColStart_CAD:ColEnd_CAD,MATCH("%  Total Return 3 Month",Morningstar_Cols_CAD,EXACT_MATCH),EXACT_MATCH)/100</f>
        <v>#N/A</v>
      </c>
      <c r="J127" s="115" t="e">
        <f>VLOOKUP(Companies_CAD[[#This Row],[Symbol]],ColStart_CAD:ColEnd_CAD,MATCH("%  Total Return 12 Month",Morningstar_Cols_CAD,EXACT_MATCH),EXACT_MATCH)/100</f>
        <v>#N/A</v>
      </c>
      <c r="K127" s="116" t="e">
        <f>VLOOKUP(Companies_CAD[[#This Row],[Symbol]],ColStart_CAD:ColEnd_CAD,MATCH("Price/ Sales",Morningstar_Cols_CAD,EXACT_MATCH),EXACT_MATCH)</f>
        <v>#N/A</v>
      </c>
      <c r="L127" s="117" t="e">
        <f>VLOOKUP(Companies_CAD[[#This Row],[Symbol]],ColStart_CAD:ColEnd_CAD,MATCH("Price/ Fair Value",Morningstar_Cols_CAD,EXACT_MATCH),EXACT_MATCH)</f>
        <v>#N/A</v>
      </c>
      <c r="M127" s="118" t="e">
        <f>VLOOKUP(Companies_CAD[[#This Row],[Symbol]],ColStart_CAD:ColEnd_CAD,MATCH("Financial  Health Grade",Morningstar_Cols_CAD,EXACT_MATCH),EXACT_MATCH)</f>
        <v>#N/A</v>
      </c>
      <c r="N127" s="107" t="e">
        <f>VLOOKUP(Companies_CAD[[#This Row],[Symbol]],ColStart_CAD:ColEnd_CAD,MATCH("% Dividend Yield TTM",Morningstar_Cols_CAD,EXACT_MATCH),EXACT_MATCH)/100</f>
        <v>#N/A</v>
      </c>
      <c r="O127" s="94" t="e">
        <f>RatingDefault+SUM(Companies_CAD[[#This Row],[3MoPoints]:[PFVPoints]])</f>
        <v>#N/A</v>
      </c>
      <c r="P127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27" s="52" t="e">
        <f>IF(Companies_CAD[[#This Row],[3 Mo. Ret.]]&gt;Return3Mo_Grn,1,IF(Companies_CAD[[#This Row],[3 Mo. Ret.]]&lt;Return3Mo_Red,-1,0))</f>
        <v>#N/A</v>
      </c>
      <c r="R127" s="52" t="e">
        <f>IF(Companies_CAD[[#This Row],[12 Mo. Ret.]]&gt;Return12Mo_Grn,1,IF(Companies_CAD[[#This Row],[12 Mo. Ret.]]&lt;Return12Mo_Red,-1,0))</f>
        <v>#N/A</v>
      </c>
      <c r="S127" s="52" t="e">
        <f>IF(Companies_CAD[[#This Row],[PSR]]&lt;PSR_Green,1,IF(Companies_CAD[[#This Row],[PSR]]&gt;PSR_Red,-1,0))</f>
        <v>#N/A</v>
      </c>
      <c r="T127" s="52" t="e">
        <f>IF(Companies_CAD[[#This Row],[Financial Health]]&lt;"C",1,IF(Companies_CAD[[#This Row],[Financial Health]]&gt;"C",-1,0))</f>
        <v>#N/A</v>
      </c>
      <c r="U127" s="52" t="e">
        <f>IF(Companies_CAD[[#This Row],[PFV]]&lt;PFV_Green,1,IF(Companies_CAD[[#This Row],[PFV]]&gt;PFV_Red,-1,0))</f>
        <v>#N/A</v>
      </c>
    </row>
    <row r="128" spans="2:21" s="52" customFormat="1" ht="25.15" customHeight="1" x14ac:dyDescent="0.25">
      <c r="B128" s="11" t="s">
        <v>575</v>
      </c>
      <c r="C128" s="11" t="e">
        <f>VLOOKUP(Companies_CAD[[#This Row],[Symbol]],ColStart_CAD:ColEnd_CAD,MATCH("Name",Morningstar_Cols_CAD,EXACT_MATCH),EXACT_MATCH)</f>
        <v>#N/A</v>
      </c>
      <c r="D128" s="81" t="e">
        <f>VLOOKUP(Companies_CAD[[#This Row],[Symbol]],ColStart_CAD:ColEnd_CAD,MATCH("$ Current Price",Morningstar_Cols_CAD,EXACT_MATCH),EXACT_MATCH)</f>
        <v>#N/A</v>
      </c>
      <c r="E128" s="84" t="e">
        <f>VLOOKUP(Companies_CAD[[#This Row],[Symbol]],ColStart_CAD:ColEnd_CAD,MATCH("$ Change",Morningstar_Cols_CAD,EXACT_MATCH),EXACT_MATCH)</f>
        <v>#N/A</v>
      </c>
      <c r="F128" s="82" t="e">
        <f>IF(Companies_CAD[[#This Row],[$ Change]]&lt;&gt;0,Companies_CAD[[#This Row],[$ Change]]/(Companies_CAD[[#This Row],[Last Close]]-Companies_CAD[[#This Row],[$ Change]]),0)</f>
        <v>#N/A</v>
      </c>
      <c r="G128" s="11" t="e">
        <f>VLOOKUP(Companies_CAD[[#This Row],[Symbol]],ColStart_CAD:ColEnd_CAD,MATCH("Industry Group",Morningstar_Cols_CAD,EXACT_MATCH),EXACT_MATCH)</f>
        <v>#N/A</v>
      </c>
      <c r="H128" s="114" t="e">
        <f>VLOOKUP(Companies_CAD[[#This Row],[Symbol]],ColStart_CAD:ColEnd_CAD,MATCH("mil$ Market Cap",Morningstar_Cols_CAD,EXACT_MATCH),EXACT_MATCH)</f>
        <v>#N/A</v>
      </c>
      <c r="I128" s="115" t="e">
        <f>VLOOKUP(Companies_CAD[[#This Row],[Symbol]],ColStart_CAD:ColEnd_CAD,MATCH("%  Total Return 3 Month",Morningstar_Cols_CAD,EXACT_MATCH),EXACT_MATCH)/100</f>
        <v>#N/A</v>
      </c>
      <c r="J128" s="115" t="e">
        <f>VLOOKUP(Companies_CAD[[#This Row],[Symbol]],ColStart_CAD:ColEnd_CAD,MATCH("%  Total Return 12 Month",Morningstar_Cols_CAD,EXACT_MATCH),EXACT_MATCH)/100</f>
        <v>#N/A</v>
      </c>
      <c r="K128" s="116" t="e">
        <f>VLOOKUP(Companies_CAD[[#This Row],[Symbol]],ColStart_CAD:ColEnd_CAD,MATCH("Price/ Sales",Morningstar_Cols_CAD,EXACT_MATCH),EXACT_MATCH)</f>
        <v>#N/A</v>
      </c>
      <c r="L128" s="117" t="e">
        <f>VLOOKUP(Companies_CAD[[#This Row],[Symbol]],ColStart_CAD:ColEnd_CAD,MATCH("Price/ Fair Value",Morningstar_Cols_CAD,EXACT_MATCH),EXACT_MATCH)</f>
        <v>#N/A</v>
      </c>
      <c r="M128" s="118" t="e">
        <f>VLOOKUP(Companies_CAD[[#This Row],[Symbol]],ColStart_CAD:ColEnd_CAD,MATCH("Financial  Health Grade",Morningstar_Cols_CAD,EXACT_MATCH),EXACT_MATCH)</f>
        <v>#N/A</v>
      </c>
      <c r="N128" s="107" t="e">
        <f>VLOOKUP(Companies_CAD[[#This Row],[Symbol]],ColStart_CAD:ColEnd_CAD,MATCH("% Dividend Yield TTM",Morningstar_Cols_CAD,EXACT_MATCH),EXACT_MATCH)/100</f>
        <v>#N/A</v>
      </c>
      <c r="O128" s="94" t="e">
        <f>RatingDefault+SUM(Companies_CAD[[#This Row],[3MoPoints]:[PFVPoints]])</f>
        <v>#N/A</v>
      </c>
      <c r="P128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28" s="52" t="e">
        <f>IF(Companies_CAD[[#This Row],[3 Mo. Ret.]]&gt;Return3Mo_Grn,1,IF(Companies_CAD[[#This Row],[3 Mo. Ret.]]&lt;Return3Mo_Red,-1,0))</f>
        <v>#N/A</v>
      </c>
      <c r="R128" s="52" t="e">
        <f>IF(Companies_CAD[[#This Row],[12 Mo. Ret.]]&gt;Return12Mo_Grn,1,IF(Companies_CAD[[#This Row],[12 Mo. Ret.]]&lt;Return12Mo_Red,-1,0))</f>
        <v>#N/A</v>
      </c>
      <c r="S128" s="52" t="e">
        <f>IF(Companies_CAD[[#This Row],[PSR]]&lt;PSR_Green,1,IF(Companies_CAD[[#This Row],[PSR]]&gt;PSR_Red,-1,0))</f>
        <v>#N/A</v>
      </c>
      <c r="T128" s="52" t="e">
        <f>IF(Companies_CAD[[#This Row],[Financial Health]]&lt;"C",1,IF(Companies_CAD[[#This Row],[Financial Health]]&gt;"C",-1,0))</f>
        <v>#N/A</v>
      </c>
      <c r="U128" s="52" t="e">
        <f>IF(Companies_CAD[[#This Row],[PFV]]&lt;PFV_Green,1,IF(Companies_CAD[[#This Row],[PFV]]&gt;PFV_Red,-1,0))</f>
        <v>#N/A</v>
      </c>
    </row>
    <row r="129" spans="2:21" s="52" customFormat="1" ht="25.15" customHeight="1" x14ac:dyDescent="0.25">
      <c r="B129" s="11" t="s">
        <v>900</v>
      </c>
      <c r="C129" s="11" t="e">
        <f>VLOOKUP(Companies_CAD[[#This Row],[Symbol]],ColStart_CAD:ColEnd_CAD,MATCH("Name",Morningstar_Cols_CAD,EXACT_MATCH),EXACT_MATCH)</f>
        <v>#N/A</v>
      </c>
      <c r="D129" s="81" t="e">
        <f>VLOOKUP(Companies_CAD[[#This Row],[Symbol]],ColStart_CAD:ColEnd_CAD,MATCH("$ Current Price",Morningstar_Cols_CAD,EXACT_MATCH),EXACT_MATCH)</f>
        <v>#N/A</v>
      </c>
      <c r="E129" s="84" t="e">
        <f>VLOOKUP(Companies_CAD[[#This Row],[Symbol]],ColStart_CAD:ColEnd_CAD,MATCH("$ Change",Morningstar_Cols_CAD,EXACT_MATCH),EXACT_MATCH)</f>
        <v>#N/A</v>
      </c>
      <c r="F129" s="82" t="e">
        <f>IF(Companies_CAD[[#This Row],[$ Change]]&lt;&gt;0,Companies_CAD[[#This Row],[$ Change]]/(Companies_CAD[[#This Row],[Last Close]]-Companies_CAD[[#This Row],[$ Change]]),0)</f>
        <v>#N/A</v>
      </c>
      <c r="G129" s="11" t="e">
        <f>VLOOKUP(Companies_CAD[[#This Row],[Symbol]],ColStart_CAD:ColEnd_CAD,MATCH("Industry Group",Morningstar_Cols_CAD,EXACT_MATCH),EXACT_MATCH)</f>
        <v>#N/A</v>
      </c>
      <c r="H129" s="114" t="e">
        <f>VLOOKUP(Companies_CAD[[#This Row],[Symbol]],ColStart_CAD:ColEnd_CAD,MATCH("mil$ Market Cap",Morningstar_Cols_CAD,EXACT_MATCH),EXACT_MATCH)</f>
        <v>#N/A</v>
      </c>
      <c r="I129" s="115" t="e">
        <f>VLOOKUP(Companies_CAD[[#This Row],[Symbol]],Morningstar!B8:I31,MATCH("%  Total Return 3 Month",Morningstar_Cols,0))/100</f>
        <v>#N/A</v>
      </c>
      <c r="J129" s="115" t="e">
        <f>VLOOKUP(Companies_CAD[[#This Row],[Symbol]],Morningstar!B8:I31,MATCH("%  Total Return 12 Month",Morningstar_Cols,0))/100</f>
        <v>#N/A</v>
      </c>
      <c r="K129" s="116" t="e">
        <f>VLOOKUP(Companies_CAD[[#This Row],[Symbol]],ColStart_CAD:ColEnd_CAD,MATCH("Price/ Sales",Morningstar_Cols_CAD,EXACT_MATCH),EXACT_MATCH)</f>
        <v>#N/A</v>
      </c>
      <c r="L129" s="117" t="e">
        <f>VLOOKUP(Companies_CAD[[#This Row],[Symbol]],ColStart_CAD:ColEnd_CAD,MATCH("Price/ Fair Value",Morningstar_Cols_CAD,EXACT_MATCH),EXACT_MATCH)</f>
        <v>#N/A</v>
      </c>
      <c r="M129" s="118" t="e">
        <f>VLOOKUP(Companies_CAD[[#This Row],[Symbol]],ColStart_CAD:ColEnd_CAD,MATCH("Financial  Health Grade",Morningstar_Cols_CAD,EXACT_MATCH),EXACT_MATCH)</f>
        <v>#N/A</v>
      </c>
      <c r="N129" s="107" t="e">
        <f>VLOOKUP(Companies_CAD[[#This Row],[Symbol]],ColStart_CAD:ColEnd_CAD,MATCH("% Dividend Yield TTM",Morningstar_Cols_CAD,EXACT_MATCH),EXACT_MATCH)/100</f>
        <v>#N/A</v>
      </c>
      <c r="O129" s="94" t="e">
        <f>RatingDefault+SUM(Companies_CAD[[#This Row],[3MoPoints]:[PFVPoints]])</f>
        <v>#N/A</v>
      </c>
      <c r="P129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29" s="52" t="e">
        <f>IF(Companies_CAD[[#This Row],[3 Mo. Ret.]]&gt;Return3Mo_Grn,1,IF(Companies_CAD[[#This Row],[3 Mo. Ret.]]&lt;Return3Mo_Red,-1,0))</f>
        <v>#N/A</v>
      </c>
      <c r="R129" s="52" t="e">
        <f>IF(Companies_CAD[[#This Row],[12 Mo. Ret.]]&gt;Return12Mo_Grn,1,IF(Companies_CAD[[#This Row],[12 Mo. Ret.]]&lt;Return12Mo_Red,-1,0))</f>
        <v>#N/A</v>
      </c>
      <c r="S129" s="52" t="e">
        <f>IF(Companies_CAD[[#This Row],[PSR]]&lt;PSR_Green,1,IF(Companies_CAD[[#This Row],[PSR]]&gt;PSR_Red,-1,0))</f>
        <v>#N/A</v>
      </c>
      <c r="T129" s="52" t="e">
        <f>IF(Companies_CAD[[#This Row],[Financial Health]]&lt;"C",1,IF(Companies_CAD[[#This Row],[Financial Health]]&gt;"C",-1,0))</f>
        <v>#N/A</v>
      </c>
      <c r="U129" s="52" t="e">
        <f>IF(Companies_CAD[[#This Row],[PFV]]&lt;PFV_Green,1,IF(Companies_CAD[[#This Row],[PFV]]&gt;PFV_Red,-1,0))</f>
        <v>#N/A</v>
      </c>
    </row>
    <row r="130" spans="2:21" s="53" customFormat="1" ht="25.15" customHeight="1" x14ac:dyDescent="0.25">
      <c r="B130" s="41" t="s">
        <v>64</v>
      </c>
      <c r="C130" s="41">
        <f>SUBTOTAL(103,Companies_CAD[Name])</f>
        <v>125</v>
      </c>
      <c r="D130" s="71"/>
      <c r="E130" s="71"/>
      <c r="F130" s="71"/>
      <c r="G130" s="41"/>
      <c r="H130" s="41"/>
      <c r="I130" s="74"/>
      <c r="J130" s="74"/>
      <c r="K130" s="97"/>
      <c r="L130" s="68"/>
      <c r="M130" s="68"/>
      <c r="N130" s="68"/>
      <c r="O130" s="68"/>
      <c r="P130" s="41"/>
      <c r="U130" s="53" t="e">
        <f>SUBTOTAL(109,Companies_CAD[PFVPoints])</f>
        <v>#N/A</v>
      </c>
    </row>
    <row r="131" spans="2:21" s="53" customFormat="1" ht="25.15" customHeight="1" x14ac:dyDescent="0.25">
      <c r="D131" s="120"/>
      <c r="E131" s="120"/>
      <c r="F131" s="120"/>
      <c r="I131" s="121"/>
      <c r="J131" s="121"/>
      <c r="K131" s="122"/>
    </row>
    <row r="132" spans="2:21" s="53" customFormat="1" ht="25.15" customHeight="1" x14ac:dyDescent="0.25">
      <c r="D132" s="120"/>
      <c r="E132" s="120"/>
      <c r="F132" s="120"/>
      <c r="I132" s="121"/>
      <c r="J132" s="121"/>
      <c r="K132" s="122"/>
    </row>
    <row r="133" spans="2:21" s="53" customFormat="1" ht="25.15" customHeight="1" x14ac:dyDescent="0.25">
      <c r="D133" s="120"/>
      <c r="E133" s="120"/>
      <c r="F133" s="120"/>
      <c r="I133" s="121"/>
      <c r="J133" s="121"/>
      <c r="K133" s="122"/>
    </row>
    <row r="134" spans="2:21" s="53" customFormat="1" ht="25.15" customHeight="1" x14ac:dyDescent="0.25">
      <c r="D134" s="120"/>
      <c r="E134" s="120"/>
      <c r="F134" s="120"/>
      <c r="I134" s="121"/>
      <c r="J134" s="121"/>
      <c r="K134" s="122"/>
    </row>
    <row r="135" spans="2:21" s="53" customFormat="1" ht="25.15" customHeight="1" x14ac:dyDescent="0.25">
      <c r="D135" s="120"/>
      <c r="E135" s="120"/>
      <c r="F135" s="120"/>
      <c r="I135" s="121"/>
      <c r="J135" s="121"/>
      <c r="K135" s="122"/>
    </row>
    <row r="136" spans="2:21" s="53" customFormat="1" ht="25.15" customHeight="1" x14ac:dyDescent="0.25">
      <c r="D136" s="120"/>
      <c r="E136" s="120"/>
      <c r="F136" s="120"/>
      <c r="I136" s="121"/>
      <c r="J136" s="121"/>
      <c r="K136" s="122"/>
    </row>
    <row r="137" spans="2:21" s="53" customFormat="1" ht="25.15" customHeight="1" x14ac:dyDescent="0.25">
      <c r="D137" s="120"/>
      <c r="E137" s="120"/>
      <c r="F137" s="120"/>
      <c r="I137" s="121"/>
      <c r="J137" s="121"/>
      <c r="K137" s="122"/>
    </row>
    <row r="138" spans="2:21" s="53" customFormat="1" ht="25.15" customHeight="1" x14ac:dyDescent="0.25">
      <c r="D138" s="120"/>
      <c r="E138" s="120"/>
      <c r="F138" s="120"/>
      <c r="I138" s="121"/>
      <c r="J138" s="121"/>
      <c r="K138" s="122"/>
    </row>
    <row r="139" spans="2:21" s="53" customFormat="1" ht="25.15" customHeight="1" x14ac:dyDescent="0.25">
      <c r="D139" s="120"/>
      <c r="E139" s="120"/>
      <c r="F139" s="120"/>
      <c r="I139" s="121"/>
      <c r="J139" s="121"/>
      <c r="K139" s="122"/>
    </row>
    <row r="140" spans="2:21" s="53" customFormat="1" ht="25.15" customHeight="1" x14ac:dyDescent="0.25">
      <c r="D140" s="120"/>
      <c r="E140" s="120"/>
      <c r="F140" s="120"/>
      <c r="I140" s="121"/>
      <c r="J140" s="121"/>
      <c r="K140" s="122"/>
    </row>
    <row r="141" spans="2:21" s="53" customFormat="1" ht="25.15" customHeight="1" x14ac:dyDescent="0.25">
      <c r="D141" s="120"/>
      <c r="E141" s="120"/>
      <c r="F141" s="120"/>
      <c r="I141" s="121"/>
      <c r="J141" s="121"/>
      <c r="K141" s="122"/>
    </row>
    <row r="142" spans="2:21" s="53" customFormat="1" ht="25.15" customHeight="1" x14ac:dyDescent="0.25">
      <c r="D142" s="120"/>
      <c r="E142" s="120"/>
      <c r="F142" s="120"/>
      <c r="I142" s="121"/>
      <c r="J142" s="121"/>
      <c r="K142" s="122"/>
    </row>
    <row r="143" spans="2:21" s="53" customFormat="1" ht="25.15" customHeight="1" x14ac:dyDescent="0.25">
      <c r="D143" s="120"/>
      <c r="E143" s="120"/>
      <c r="F143" s="120"/>
      <c r="I143" s="121"/>
      <c r="J143" s="121"/>
      <c r="K143" s="122"/>
    </row>
    <row r="144" spans="2:21" s="53" customFormat="1" ht="25.15" customHeight="1" x14ac:dyDescent="0.25">
      <c r="D144" s="120"/>
      <c r="E144" s="120"/>
      <c r="F144" s="120"/>
      <c r="I144" s="121"/>
      <c r="J144" s="121"/>
      <c r="K144" s="122"/>
    </row>
    <row r="145" spans="4:11" s="53" customFormat="1" ht="25.15" customHeight="1" x14ac:dyDescent="0.25">
      <c r="D145" s="120"/>
      <c r="E145" s="120"/>
      <c r="F145" s="120"/>
      <c r="I145" s="121"/>
      <c r="J145" s="121"/>
      <c r="K145" s="122"/>
    </row>
    <row r="146" spans="4:11" s="53" customFormat="1" ht="25.15" customHeight="1" x14ac:dyDescent="0.25">
      <c r="D146" s="120"/>
      <c r="E146" s="120"/>
      <c r="F146" s="120"/>
      <c r="I146" s="121"/>
      <c r="J146" s="121"/>
      <c r="K146" s="122"/>
    </row>
    <row r="147" spans="4:11" s="53" customFormat="1" ht="25.15" customHeight="1" x14ac:dyDescent="0.25">
      <c r="D147" s="120"/>
      <c r="E147" s="120"/>
      <c r="F147" s="120"/>
      <c r="I147" s="121"/>
      <c r="J147" s="121"/>
      <c r="K147" s="122"/>
    </row>
    <row r="148" spans="4:11" s="53" customFormat="1" ht="25.15" customHeight="1" x14ac:dyDescent="0.25">
      <c r="D148" s="120"/>
      <c r="E148" s="120"/>
      <c r="F148" s="120"/>
      <c r="I148" s="121"/>
      <c r="J148" s="121"/>
      <c r="K148" s="122"/>
    </row>
    <row r="149" spans="4:11" s="53" customFormat="1" ht="25.15" customHeight="1" x14ac:dyDescent="0.25">
      <c r="D149" s="120"/>
      <c r="E149" s="120"/>
      <c r="F149" s="120"/>
      <c r="I149" s="121"/>
      <c r="J149" s="121"/>
      <c r="K149" s="122"/>
    </row>
    <row r="150" spans="4:11" s="53" customFormat="1" ht="25.15" customHeight="1" x14ac:dyDescent="0.25">
      <c r="D150" s="120"/>
      <c r="E150" s="120"/>
      <c r="F150" s="120"/>
      <c r="I150" s="121"/>
      <c r="J150" s="121"/>
      <c r="K150" s="122"/>
    </row>
    <row r="151" spans="4:11" s="53" customFormat="1" ht="25.15" customHeight="1" x14ac:dyDescent="0.25">
      <c r="D151" s="120"/>
      <c r="E151" s="120"/>
      <c r="F151" s="120"/>
      <c r="I151" s="121"/>
      <c r="J151" s="121"/>
      <c r="K151" s="122"/>
    </row>
    <row r="152" spans="4:11" s="53" customFormat="1" ht="25.15" customHeight="1" x14ac:dyDescent="0.25">
      <c r="D152" s="120"/>
      <c r="E152" s="120"/>
      <c r="F152" s="120"/>
      <c r="I152" s="121"/>
      <c r="J152" s="121"/>
      <c r="K152" s="122"/>
    </row>
    <row r="153" spans="4:11" s="53" customFormat="1" ht="25.15" customHeight="1" x14ac:dyDescent="0.25">
      <c r="D153" s="120"/>
      <c r="E153" s="120"/>
      <c r="F153" s="120"/>
      <c r="I153" s="121"/>
      <c r="J153" s="121"/>
      <c r="K153" s="122"/>
    </row>
    <row r="154" spans="4:11" s="53" customFormat="1" ht="25.15" customHeight="1" x14ac:dyDescent="0.25">
      <c r="D154" s="120"/>
      <c r="E154" s="120"/>
      <c r="F154" s="120"/>
      <c r="I154" s="121"/>
      <c r="J154" s="121"/>
      <c r="K154" s="122"/>
    </row>
    <row r="155" spans="4:11" s="53" customFormat="1" ht="25.15" customHeight="1" x14ac:dyDescent="0.25">
      <c r="D155" s="120"/>
      <c r="E155" s="120"/>
      <c r="F155" s="120"/>
      <c r="I155" s="121"/>
      <c r="J155" s="121"/>
      <c r="K155" s="122"/>
    </row>
    <row r="156" spans="4:11" s="53" customFormat="1" ht="25.15" customHeight="1" x14ac:dyDescent="0.25">
      <c r="D156" s="120"/>
      <c r="E156" s="120"/>
      <c r="F156" s="120"/>
      <c r="I156" s="121"/>
      <c r="J156" s="121"/>
      <c r="K156" s="122"/>
    </row>
    <row r="157" spans="4:11" s="53" customFormat="1" ht="25.15" customHeight="1" x14ac:dyDescent="0.25">
      <c r="D157" s="120"/>
      <c r="E157" s="120"/>
      <c r="F157" s="120"/>
      <c r="I157" s="121"/>
      <c r="J157" s="121"/>
      <c r="K157" s="122"/>
    </row>
    <row r="158" spans="4:11" s="53" customFormat="1" ht="25.15" customHeight="1" x14ac:dyDescent="0.25">
      <c r="D158" s="120"/>
      <c r="E158" s="120"/>
      <c r="F158" s="120"/>
      <c r="I158" s="121"/>
      <c r="J158" s="121"/>
      <c r="K158" s="122"/>
    </row>
    <row r="159" spans="4:11" s="53" customFormat="1" ht="25.15" customHeight="1" x14ac:dyDescent="0.25">
      <c r="D159" s="120"/>
      <c r="E159" s="120"/>
      <c r="F159" s="120"/>
      <c r="I159" s="121"/>
      <c r="J159" s="121"/>
      <c r="K159" s="122"/>
    </row>
    <row r="160" spans="4:11" s="53" customFormat="1" ht="25.15" customHeight="1" x14ac:dyDescent="0.25">
      <c r="D160" s="120"/>
      <c r="E160" s="120"/>
      <c r="F160" s="120"/>
      <c r="I160" s="121"/>
      <c r="J160" s="121"/>
      <c r="K160" s="122"/>
    </row>
    <row r="161" spans="4:11" s="53" customFormat="1" ht="25.15" customHeight="1" x14ac:dyDescent="0.25">
      <c r="D161" s="120"/>
      <c r="E161" s="120"/>
      <c r="F161" s="120"/>
      <c r="I161" s="121"/>
      <c r="J161" s="121"/>
      <c r="K161" s="122"/>
    </row>
    <row r="162" spans="4:11" s="53" customFormat="1" ht="25.15" customHeight="1" x14ac:dyDescent="0.25">
      <c r="D162" s="120"/>
      <c r="E162" s="120"/>
      <c r="F162" s="120"/>
      <c r="I162" s="121"/>
      <c r="J162" s="121"/>
      <c r="K162" s="122"/>
    </row>
    <row r="163" spans="4:11" s="53" customFormat="1" ht="25.15" customHeight="1" x14ac:dyDescent="0.25">
      <c r="D163" s="120"/>
      <c r="E163" s="120"/>
      <c r="F163" s="120"/>
      <c r="I163" s="121"/>
      <c r="J163" s="121"/>
      <c r="K163" s="122"/>
    </row>
    <row r="164" spans="4:11" s="53" customFormat="1" ht="25.15" customHeight="1" x14ac:dyDescent="0.25">
      <c r="D164" s="120"/>
      <c r="E164" s="120"/>
      <c r="F164" s="120"/>
      <c r="I164" s="121"/>
      <c r="J164" s="121"/>
      <c r="K164" s="122"/>
    </row>
    <row r="165" spans="4:11" s="53" customFormat="1" ht="25.15" customHeight="1" x14ac:dyDescent="0.25">
      <c r="D165" s="120"/>
      <c r="E165" s="120"/>
      <c r="F165" s="120"/>
      <c r="I165" s="121"/>
      <c r="J165" s="121"/>
      <c r="K165" s="122"/>
    </row>
    <row r="166" spans="4:11" s="53" customFormat="1" ht="25.15" customHeight="1" x14ac:dyDescent="0.25">
      <c r="D166" s="120"/>
      <c r="E166" s="120"/>
      <c r="F166" s="120"/>
      <c r="I166" s="121"/>
      <c r="J166" s="121"/>
      <c r="K166" s="122"/>
    </row>
    <row r="167" spans="4:11" s="53" customFormat="1" ht="25.15" customHeight="1" x14ac:dyDescent="0.25">
      <c r="D167" s="120"/>
      <c r="E167" s="120"/>
      <c r="F167" s="120"/>
      <c r="I167" s="121"/>
      <c r="J167" s="121"/>
      <c r="K167" s="122"/>
    </row>
    <row r="168" spans="4:11" s="53" customFormat="1" ht="25.15" customHeight="1" x14ac:dyDescent="0.25">
      <c r="D168" s="120"/>
      <c r="E168" s="120"/>
      <c r="F168" s="120"/>
      <c r="I168" s="121"/>
      <c r="J168" s="121"/>
      <c r="K168" s="122"/>
    </row>
    <row r="169" spans="4:11" s="53" customFormat="1" ht="25.15" customHeight="1" x14ac:dyDescent="0.25">
      <c r="D169" s="120"/>
      <c r="E169" s="120"/>
      <c r="F169" s="120"/>
      <c r="I169" s="121"/>
      <c r="J169" s="121"/>
      <c r="K169" s="122"/>
    </row>
    <row r="170" spans="4:11" s="53" customFormat="1" ht="25.15" customHeight="1" x14ac:dyDescent="0.25">
      <c r="D170" s="120"/>
      <c r="E170" s="120"/>
      <c r="F170" s="120"/>
      <c r="I170" s="121"/>
      <c r="J170" s="121"/>
      <c r="K170" s="122"/>
    </row>
    <row r="171" spans="4:11" s="53" customFormat="1" ht="25.15" customHeight="1" x14ac:dyDescent="0.25">
      <c r="D171" s="120"/>
      <c r="E171" s="120"/>
      <c r="F171" s="120"/>
      <c r="I171" s="121"/>
      <c r="J171" s="121"/>
      <c r="K171" s="122"/>
    </row>
    <row r="172" spans="4:11" s="53" customFormat="1" ht="25.15" customHeight="1" x14ac:dyDescent="0.25">
      <c r="D172" s="120"/>
      <c r="E172" s="120"/>
      <c r="F172" s="120"/>
      <c r="I172" s="121"/>
      <c r="J172" s="121"/>
      <c r="K172" s="122"/>
    </row>
    <row r="173" spans="4:11" s="53" customFormat="1" ht="25.15" customHeight="1" x14ac:dyDescent="0.25">
      <c r="D173" s="120"/>
      <c r="E173" s="120"/>
      <c r="F173" s="120"/>
      <c r="I173" s="121"/>
      <c r="J173" s="121"/>
      <c r="K173" s="122"/>
    </row>
    <row r="174" spans="4:11" s="53" customFormat="1" ht="25.15" customHeight="1" x14ac:dyDescent="0.25">
      <c r="D174" s="120"/>
      <c r="E174" s="120"/>
      <c r="F174" s="120"/>
      <c r="I174" s="121"/>
      <c r="J174" s="121"/>
      <c r="K174" s="122"/>
    </row>
    <row r="175" spans="4:11" s="53" customFormat="1" ht="25.15" customHeight="1" x14ac:dyDescent="0.25">
      <c r="D175" s="120"/>
      <c r="E175" s="120"/>
      <c r="F175" s="120"/>
      <c r="I175" s="121"/>
      <c r="J175" s="121"/>
      <c r="K175" s="122"/>
    </row>
    <row r="176" spans="4:11" s="53" customFormat="1" ht="25.15" customHeight="1" x14ac:dyDescent="0.25">
      <c r="D176" s="120"/>
      <c r="E176" s="120"/>
      <c r="F176" s="120"/>
      <c r="I176" s="121"/>
      <c r="J176" s="121"/>
      <c r="K176" s="122"/>
    </row>
    <row r="177" spans="4:11" s="53" customFormat="1" ht="25.15" customHeight="1" x14ac:dyDescent="0.25">
      <c r="D177" s="120"/>
      <c r="E177" s="120"/>
      <c r="F177" s="120"/>
      <c r="I177" s="121"/>
      <c r="J177" s="121"/>
      <c r="K177" s="122"/>
    </row>
    <row r="178" spans="4:11" s="53" customFormat="1" ht="25.15" customHeight="1" x14ac:dyDescent="0.25">
      <c r="D178" s="120"/>
      <c r="E178" s="120"/>
      <c r="F178" s="120"/>
      <c r="I178" s="121"/>
      <c r="J178" s="121"/>
      <c r="K178" s="122"/>
    </row>
    <row r="179" spans="4:11" s="53" customFormat="1" ht="25.15" customHeight="1" x14ac:dyDescent="0.25">
      <c r="D179" s="120"/>
      <c r="E179" s="120"/>
      <c r="F179" s="120"/>
      <c r="I179" s="121"/>
      <c r="J179" s="121"/>
      <c r="K179" s="122"/>
    </row>
    <row r="180" spans="4:11" s="53" customFormat="1" ht="25.15" customHeight="1" x14ac:dyDescent="0.25">
      <c r="D180" s="120"/>
      <c r="E180" s="120"/>
      <c r="F180" s="120"/>
      <c r="I180" s="121"/>
      <c r="J180" s="121"/>
      <c r="K180" s="122"/>
    </row>
    <row r="181" spans="4:11" s="53" customFormat="1" ht="25.15" customHeight="1" x14ac:dyDescent="0.25">
      <c r="D181" s="120"/>
      <c r="E181" s="120"/>
      <c r="F181" s="120"/>
      <c r="I181" s="121"/>
      <c r="J181" s="121"/>
      <c r="K181" s="122"/>
    </row>
    <row r="182" spans="4:11" s="53" customFormat="1" ht="25.15" customHeight="1" x14ac:dyDescent="0.25">
      <c r="D182" s="120"/>
      <c r="E182" s="120"/>
      <c r="F182" s="120"/>
      <c r="I182" s="121"/>
      <c r="J182" s="121"/>
      <c r="K182" s="122"/>
    </row>
    <row r="183" spans="4:11" s="53" customFormat="1" ht="25.15" customHeight="1" x14ac:dyDescent="0.25">
      <c r="D183" s="120"/>
      <c r="E183" s="120"/>
      <c r="F183" s="120"/>
      <c r="I183" s="121"/>
      <c r="J183" s="121"/>
      <c r="K183" s="122"/>
    </row>
    <row r="184" spans="4:11" s="53" customFormat="1" ht="25.15" customHeight="1" x14ac:dyDescent="0.25">
      <c r="D184" s="120"/>
      <c r="E184" s="120"/>
      <c r="F184" s="120"/>
      <c r="I184" s="121"/>
      <c r="J184" s="121"/>
      <c r="K184" s="122"/>
    </row>
    <row r="185" spans="4:11" s="53" customFormat="1" ht="25.15" customHeight="1" x14ac:dyDescent="0.25">
      <c r="D185" s="120"/>
      <c r="E185" s="120"/>
      <c r="F185" s="120"/>
      <c r="I185" s="121"/>
      <c r="J185" s="121"/>
      <c r="K185" s="122"/>
    </row>
    <row r="186" spans="4:11" s="53" customFormat="1" ht="25.15" customHeight="1" x14ac:dyDescent="0.25">
      <c r="D186" s="120"/>
      <c r="E186" s="120"/>
      <c r="F186" s="120"/>
      <c r="I186" s="121"/>
      <c r="J186" s="121"/>
      <c r="K186" s="122"/>
    </row>
    <row r="187" spans="4:11" s="53" customFormat="1" ht="25.15" customHeight="1" x14ac:dyDescent="0.25">
      <c r="D187" s="120"/>
      <c r="E187" s="120"/>
      <c r="F187" s="120"/>
      <c r="I187" s="121"/>
      <c r="J187" s="121"/>
      <c r="K187" s="122"/>
    </row>
    <row r="188" spans="4:11" s="53" customFormat="1" ht="25.15" customHeight="1" x14ac:dyDescent="0.25">
      <c r="D188" s="120"/>
      <c r="E188" s="120"/>
      <c r="F188" s="120"/>
      <c r="I188" s="121"/>
      <c r="J188" s="121"/>
      <c r="K188" s="122"/>
    </row>
    <row r="189" spans="4:11" s="53" customFormat="1" ht="25.15" customHeight="1" x14ac:dyDescent="0.25">
      <c r="D189" s="120"/>
      <c r="E189" s="120"/>
      <c r="F189" s="120"/>
      <c r="I189" s="121"/>
      <c r="J189" s="121"/>
      <c r="K189" s="122"/>
    </row>
    <row r="190" spans="4:11" s="53" customFormat="1" ht="25.15" customHeight="1" x14ac:dyDescent="0.25">
      <c r="D190" s="120"/>
      <c r="E190" s="120"/>
      <c r="F190" s="120"/>
      <c r="I190" s="121"/>
      <c r="J190" s="121"/>
      <c r="K190" s="122"/>
    </row>
    <row r="191" spans="4:11" s="53" customFormat="1" ht="25.15" customHeight="1" x14ac:dyDescent="0.25">
      <c r="D191" s="120"/>
      <c r="E191" s="120"/>
      <c r="F191" s="120"/>
      <c r="I191" s="121"/>
      <c r="J191" s="121"/>
      <c r="K191" s="122"/>
    </row>
    <row r="192" spans="4:11" s="53" customFormat="1" ht="25.15" customHeight="1" x14ac:dyDescent="0.25">
      <c r="D192" s="120"/>
      <c r="E192" s="120"/>
      <c r="F192" s="120"/>
      <c r="I192" s="121"/>
      <c r="J192" s="121"/>
      <c r="K192" s="122"/>
    </row>
    <row r="193" spans="4:11" s="53" customFormat="1" ht="25.15" customHeight="1" x14ac:dyDescent="0.25">
      <c r="D193" s="120"/>
      <c r="E193" s="120"/>
      <c r="F193" s="120"/>
      <c r="I193" s="121"/>
      <c r="J193" s="121"/>
      <c r="K193" s="122"/>
    </row>
    <row r="194" spans="4:11" s="53" customFormat="1" ht="25.15" customHeight="1" x14ac:dyDescent="0.25">
      <c r="D194" s="120"/>
      <c r="E194" s="120"/>
      <c r="F194" s="120"/>
      <c r="I194" s="121"/>
      <c r="J194" s="121"/>
      <c r="K194" s="122"/>
    </row>
    <row r="195" spans="4:11" s="53" customFormat="1" ht="25.15" customHeight="1" x14ac:dyDescent="0.25">
      <c r="D195" s="120"/>
      <c r="E195" s="120"/>
      <c r="F195" s="120"/>
      <c r="I195" s="121"/>
      <c r="J195" s="121"/>
      <c r="K195" s="122"/>
    </row>
    <row r="196" spans="4:11" s="53" customFormat="1" ht="25.15" customHeight="1" x14ac:dyDescent="0.25">
      <c r="D196" s="120"/>
      <c r="E196" s="120"/>
      <c r="F196" s="120"/>
      <c r="I196" s="121"/>
      <c r="J196" s="121"/>
      <c r="K196" s="122"/>
    </row>
    <row r="197" spans="4:11" s="53" customFormat="1" ht="25.15" customHeight="1" x14ac:dyDescent="0.25">
      <c r="D197" s="120"/>
      <c r="E197" s="120"/>
      <c r="F197" s="120"/>
      <c r="I197" s="121"/>
      <c r="J197" s="121"/>
      <c r="K197" s="122"/>
    </row>
    <row r="198" spans="4:11" s="53" customFormat="1" ht="25.15" customHeight="1" x14ac:dyDescent="0.25">
      <c r="D198" s="120"/>
      <c r="E198" s="120"/>
      <c r="F198" s="120"/>
      <c r="I198" s="121"/>
      <c r="J198" s="121"/>
      <c r="K198" s="122"/>
    </row>
    <row r="199" spans="4:11" s="53" customFormat="1" ht="25.15" customHeight="1" x14ac:dyDescent="0.25">
      <c r="D199" s="120"/>
      <c r="E199" s="120"/>
      <c r="F199" s="120"/>
      <c r="I199" s="121"/>
      <c r="J199" s="121"/>
      <c r="K199" s="122"/>
    </row>
    <row r="200" spans="4:11" s="53" customFormat="1" ht="25.15" customHeight="1" x14ac:dyDescent="0.25">
      <c r="D200" s="120"/>
      <c r="E200" s="120"/>
      <c r="F200" s="120"/>
      <c r="I200" s="121"/>
      <c r="J200" s="121"/>
      <c r="K200" s="122"/>
    </row>
    <row r="201" spans="4:11" s="53" customFormat="1" ht="25.15" customHeight="1" x14ac:dyDescent="0.25">
      <c r="D201" s="120"/>
      <c r="E201" s="120"/>
      <c r="F201" s="120"/>
      <c r="I201" s="121"/>
      <c r="J201" s="121"/>
      <c r="K201" s="122"/>
    </row>
    <row r="202" spans="4:11" s="53" customFormat="1" ht="25.15" customHeight="1" x14ac:dyDescent="0.25">
      <c r="D202" s="120"/>
      <c r="E202" s="120"/>
      <c r="F202" s="120"/>
      <c r="I202" s="121"/>
      <c r="J202" s="121"/>
      <c r="K202" s="122"/>
    </row>
    <row r="203" spans="4:11" s="53" customFormat="1" ht="25.15" customHeight="1" x14ac:dyDescent="0.25">
      <c r="D203" s="120"/>
      <c r="E203" s="120"/>
      <c r="F203" s="120"/>
      <c r="I203" s="121"/>
      <c r="J203" s="121"/>
      <c r="K203" s="122"/>
    </row>
    <row r="204" spans="4:11" s="53" customFormat="1" ht="25.15" customHeight="1" x14ac:dyDescent="0.25">
      <c r="D204" s="120"/>
      <c r="E204" s="120"/>
      <c r="F204" s="120"/>
      <c r="I204" s="121"/>
      <c r="J204" s="121"/>
      <c r="K204" s="122"/>
    </row>
    <row r="205" spans="4:11" s="53" customFormat="1" ht="25.15" customHeight="1" x14ac:dyDescent="0.25">
      <c r="D205" s="120"/>
      <c r="E205" s="120"/>
      <c r="F205" s="120"/>
      <c r="I205" s="121"/>
      <c r="J205" s="121"/>
      <c r="K205" s="122"/>
    </row>
    <row r="206" spans="4:11" s="53" customFormat="1" ht="25.15" customHeight="1" x14ac:dyDescent="0.25">
      <c r="D206" s="120"/>
      <c r="E206" s="120"/>
      <c r="F206" s="120"/>
      <c r="I206" s="121"/>
      <c r="J206" s="121"/>
      <c r="K206" s="122"/>
    </row>
    <row r="207" spans="4:11" s="53" customFormat="1" ht="25.15" customHeight="1" x14ac:dyDescent="0.25">
      <c r="D207" s="120"/>
      <c r="E207" s="120"/>
      <c r="F207" s="120"/>
      <c r="I207" s="121"/>
      <c r="J207" s="121"/>
      <c r="K207" s="122"/>
    </row>
    <row r="208" spans="4:11" s="53" customFormat="1" ht="25.15" customHeight="1" x14ac:dyDescent="0.25">
      <c r="D208" s="120"/>
      <c r="E208" s="120"/>
      <c r="F208" s="120"/>
      <c r="I208" s="121"/>
      <c r="J208" s="121"/>
      <c r="K208" s="122"/>
    </row>
    <row r="209" spans="4:11" s="53" customFormat="1" ht="25.15" customHeight="1" x14ac:dyDescent="0.25">
      <c r="D209" s="120"/>
      <c r="E209" s="120"/>
      <c r="F209" s="120"/>
      <c r="I209" s="121"/>
      <c r="J209" s="121"/>
      <c r="K209" s="122"/>
    </row>
    <row r="210" spans="4:11" s="53" customFormat="1" ht="25.15" customHeight="1" x14ac:dyDescent="0.25">
      <c r="D210" s="120"/>
      <c r="E210" s="120"/>
      <c r="F210" s="120"/>
      <c r="I210" s="121"/>
      <c r="J210" s="121"/>
      <c r="K210" s="122"/>
    </row>
    <row r="211" spans="4:11" s="53" customFormat="1" ht="25.15" customHeight="1" x14ac:dyDescent="0.25">
      <c r="D211" s="120"/>
      <c r="E211" s="120"/>
      <c r="F211" s="120"/>
      <c r="I211" s="121"/>
      <c r="J211" s="121"/>
      <c r="K211" s="122"/>
    </row>
    <row r="212" spans="4:11" s="53" customFormat="1" ht="25.15" customHeight="1" x14ac:dyDescent="0.25">
      <c r="D212" s="120"/>
      <c r="E212" s="120"/>
      <c r="F212" s="120"/>
      <c r="I212" s="121"/>
      <c r="J212" s="121"/>
      <c r="K212" s="122"/>
    </row>
    <row r="213" spans="4:11" s="53" customFormat="1" ht="25.15" customHeight="1" x14ac:dyDescent="0.25">
      <c r="D213" s="120"/>
      <c r="E213" s="120"/>
      <c r="F213" s="120"/>
      <c r="I213" s="121"/>
      <c r="J213" s="121"/>
      <c r="K213" s="122"/>
    </row>
    <row r="214" spans="4:11" s="53" customFormat="1" ht="25.15" customHeight="1" x14ac:dyDescent="0.25">
      <c r="D214" s="120"/>
      <c r="E214" s="120"/>
      <c r="F214" s="120"/>
      <c r="I214" s="121"/>
      <c r="J214" s="121"/>
      <c r="K214" s="122"/>
    </row>
    <row r="215" spans="4:11" s="53" customFormat="1" ht="25.15" customHeight="1" x14ac:dyDescent="0.25">
      <c r="D215" s="120"/>
      <c r="E215" s="120"/>
      <c r="F215" s="120"/>
      <c r="I215" s="121"/>
      <c r="J215" s="121"/>
      <c r="K215" s="122"/>
    </row>
    <row r="216" spans="4:11" s="53" customFormat="1" ht="25.15" customHeight="1" x14ac:dyDescent="0.25">
      <c r="D216" s="120"/>
      <c r="E216" s="120"/>
      <c r="F216" s="120"/>
      <c r="I216" s="121"/>
      <c r="J216" s="121"/>
      <c r="K216" s="122"/>
    </row>
    <row r="217" spans="4:11" s="53" customFormat="1" ht="25.15" customHeight="1" x14ac:dyDescent="0.25">
      <c r="D217" s="120"/>
      <c r="E217" s="120"/>
      <c r="F217" s="120"/>
      <c r="I217" s="121"/>
      <c r="J217" s="121"/>
      <c r="K217" s="122"/>
    </row>
    <row r="218" spans="4:11" s="53" customFormat="1" ht="25.15" customHeight="1" x14ac:dyDescent="0.25">
      <c r="D218" s="120"/>
      <c r="E218" s="120"/>
      <c r="F218" s="120"/>
      <c r="I218" s="121"/>
      <c r="J218" s="121"/>
      <c r="K218" s="122"/>
    </row>
    <row r="219" spans="4:11" s="53" customFormat="1" ht="25.15" customHeight="1" x14ac:dyDescent="0.25">
      <c r="D219" s="120"/>
      <c r="E219" s="120"/>
      <c r="F219" s="120"/>
      <c r="I219" s="121"/>
      <c r="J219" s="121"/>
      <c r="K219" s="122"/>
    </row>
    <row r="220" spans="4:11" s="53" customFormat="1" ht="25.15" customHeight="1" x14ac:dyDescent="0.25">
      <c r="D220" s="120"/>
      <c r="E220" s="120"/>
      <c r="F220" s="120"/>
      <c r="I220" s="121"/>
      <c r="J220" s="121"/>
      <c r="K220" s="122"/>
    </row>
    <row r="221" spans="4:11" s="53" customFormat="1" ht="25.15" customHeight="1" x14ac:dyDescent="0.25">
      <c r="D221" s="120"/>
      <c r="E221" s="120"/>
      <c r="F221" s="120"/>
      <c r="I221" s="121"/>
      <c r="J221" s="121"/>
      <c r="K221" s="122"/>
    </row>
    <row r="222" spans="4:11" s="53" customFormat="1" ht="25.15" customHeight="1" x14ac:dyDescent="0.25">
      <c r="D222" s="120"/>
      <c r="E222" s="120"/>
      <c r="F222" s="120"/>
      <c r="I222" s="121"/>
      <c r="J222" s="121"/>
      <c r="K222" s="122"/>
    </row>
    <row r="223" spans="4:11" s="53" customFormat="1" ht="25.15" customHeight="1" x14ac:dyDescent="0.25">
      <c r="D223" s="120"/>
      <c r="E223" s="120"/>
      <c r="F223" s="120"/>
      <c r="I223" s="121"/>
      <c r="J223" s="121"/>
      <c r="K223" s="122"/>
    </row>
    <row r="224" spans="4:11" s="53" customFormat="1" ht="25.15" customHeight="1" x14ac:dyDescent="0.25">
      <c r="D224" s="120"/>
      <c r="E224" s="120"/>
      <c r="F224" s="120"/>
      <c r="I224" s="121"/>
      <c r="J224" s="121"/>
      <c r="K224" s="122"/>
    </row>
    <row r="225" spans="4:11" s="53" customFormat="1" ht="25.15" customHeight="1" x14ac:dyDescent="0.25">
      <c r="D225" s="120"/>
      <c r="E225" s="120"/>
      <c r="F225" s="120"/>
      <c r="I225" s="121"/>
      <c r="J225" s="121"/>
      <c r="K225" s="122"/>
    </row>
    <row r="226" spans="4:11" s="53" customFormat="1" ht="25.15" customHeight="1" x14ac:dyDescent="0.25">
      <c r="D226" s="120"/>
      <c r="E226" s="120"/>
      <c r="F226" s="120"/>
      <c r="I226" s="121"/>
      <c r="J226" s="121"/>
      <c r="K226" s="122"/>
    </row>
    <row r="227" spans="4:11" s="53" customFormat="1" ht="25.15" customHeight="1" x14ac:dyDescent="0.25">
      <c r="D227" s="120"/>
      <c r="E227" s="120"/>
      <c r="F227" s="120"/>
      <c r="I227" s="121"/>
      <c r="J227" s="121"/>
      <c r="K227" s="122"/>
    </row>
    <row r="228" spans="4:11" s="53" customFormat="1" ht="25.15" customHeight="1" x14ac:dyDescent="0.25">
      <c r="D228" s="120"/>
      <c r="E228" s="120"/>
      <c r="F228" s="120"/>
      <c r="I228" s="121"/>
      <c r="J228" s="121"/>
      <c r="K228" s="122"/>
    </row>
    <row r="229" spans="4:11" s="53" customFormat="1" ht="25.15" customHeight="1" x14ac:dyDescent="0.25">
      <c r="D229" s="120"/>
      <c r="E229" s="120"/>
      <c r="F229" s="120"/>
      <c r="I229" s="121"/>
      <c r="J229" s="121"/>
      <c r="K229" s="122"/>
    </row>
    <row r="230" spans="4:11" s="53" customFormat="1" ht="25.15" customHeight="1" x14ac:dyDescent="0.25">
      <c r="D230" s="120"/>
      <c r="E230" s="120"/>
      <c r="F230" s="120"/>
      <c r="I230" s="121"/>
      <c r="J230" s="121"/>
      <c r="K230" s="122"/>
    </row>
    <row r="231" spans="4:11" s="53" customFormat="1" ht="25.15" customHeight="1" x14ac:dyDescent="0.25">
      <c r="D231" s="120"/>
      <c r="E231" s="120"/>
      <c r="F231" s="120"/>
      <c r="I231" s="121"/>
      <c r="J231" s="121"/>
      <c r="K231" s="122"/>
    </row>
    <row r="232" spans="4:11" s="53" customFormat="1" ht="25.15" customHeight="1" x14ac:dyDescent="0.25">
      <c r="D232" s="120"/>
      <c r="E232" s="120"/>
      <c r="F232" s="120"/>
      <c r="I232" s="121"/>
      <c r="J232" s="121"/>
      <c r="K232" s="122"/>
    </row>
    <row r="233" spans="4:11" s="53" customFormat="1" ht="25.15" customHeight="1" x14ac:dyDescent="0.25">
      <c r="D233" s="120"/>
      <c r="E233" s="120"/>
      <c r="F233" s="120"/>
      <c r="I233" s="121"/>
      <c r="J233" s="121"/>
      <c r="K233" s="122"/>
    </row>
    <row r="234" spans="4:11" s="53" customFormat="1" ht="25.15" customHeight="1" x14ac:dyDescent="0.25">
      <c r="D234" s="120"/>
      <c r="E234" s="120"/>
      <c r="F234" s="120"/>
      <c r="I234" s="121"/>
      <c r="J234" s="121"/>
      <c r="K234" s="122"/>
    </row>
    <row r="235" spans="4:11" s="53" customFormat="1" ht="25.15" customHeight="1" x14ac:dyDescent="0.25">
      <c r="D235" s="120"/>
      <c r="E235" s="120"/>
      <c r="F235" s="120"/>
      <c r="I235" s="121"/>
      <c r="J235" s="121"/>
      <c r="K235" s="122"/>
    </row>
    <row r="236" spans="4:11" s="53" customFormat="1" ht="25.15" customHeight="1" x14ac:dyDescent="0.25">
      <c r="D236" s="120"/>
      <c r="E236" s="120"/>
      <c r="F236" s="120"/>
      <c r="I236" s="121"/>
      <c r="J236" s="121"/>
      <c r="K236" s="122"/>
    </row>
    <row r="237" spans="4:11" s="53" customFormat="1" ht="25.15" customHeight="1" x14ac:dyDescent="0.25">
      <c r="D237" s="120"/>
      <c r="E237" s="120"/>
      <c r="F237" s="120"/>
      <c r="I237" s="121"/>
      <c r="J237" s="121"/>
      <c r="K237" s="122"/>
    </row>
    <row r="238" spans="4:11" s="53" customFormat="1" ht="25.15" customHeight="1" x14ac:dyDescent="0.25">
      <c r="D238" s="120"/>
      <c r="E238" s="120"/>
      <c r="F238" s="120"/>
      <c r="I238" s="121"/>
      <c r="J238" s="121"/>
      <c r="K238" s="122"/>
    </row>
    <row r="239" spans="4:11" s="53" customFormat="1" ht="25.15" customHeight="1" x14ac:dyDescent="0.25">
      <c r="D239" s="120"/>
      <c r="E239" s="120"/>
      <c r="F239" s="120"/>
      <c r="I239" s="121"/>
      <c r="J239" s="121"/>
      <c r="K239" s="122"/>
    </row>
    <row r="240" spans="4:11" s="53" customFormat="1" ht="25.15" customHeight="1" x14ac:dyDescent="0.25">
      <c r="D240" s="120"/>
      <c r="E240" s="120"/>
      <c r="F240" s="120"/>
      <c r="I240" s="121"/>
      <c r="J240" s="121"/>
      <c r="K240" s="122"/>
    </row>
    <row r="241" spans="4:11" s="53" customFormat="1" ht="25.15" customHeight="1" x14ac:dyDescent="0.25">
      <c r="D241" s="120"/>
      <c r="E241" s="120"/>
      <c r="F241" s="120"/>
      <c r="I241" s="121"/>
      <c r="J241" s="121"/>
      <c r="K241" s="122"/>
    </row>
    <row r="242" spans="4:11" s="53" customFormat="1" ht="25.15" customHeight="1" x14ac:dyDescent="0.25">
      <c r="D242" s="120"/>
      <c r="E242" s="120"/>
      <c r="F242" s="120"/>
      <c r="I242" s="121"/>
      <c r="J242" s="121"/>
      <c r="K242" s="122"/>
    </row>
    <row r="243" spans="4:11" s="53" customFormat="1" ht="25.15" customHeight="1" x14ac:dyDescent="0.25">
      <c r="D243" s="120"/>
      <c r="E243" s="120"/>
      <c r="F243" s="120"/>
      <c r="I243" s="121"/>
      <c r="J243" s="121"/>
      <c r="K243" s="122"/>
    </row>
    <row r="244" spans="4:11" s="53" customFormat="1" ht="25.15" customHeight="1" x14ac:dyDescent="0.25">
      <c r="D244" s="120"/>
      <c r="E244" s="120"/>
      <c r="F244" s="120"/>
      <c r="I244" s="121"/>
      <c r="J244" s="121"/>
      <c r="K244" s="122"/>
    </row>
    <row r="245" spans="4:11" s="53" customFormat="1" ht="25.15" customHeight="1" x14ac:dyDescent="0.25">
      <c r="D245" s="120"/>
      <c r="E245" s="120"/>
      <c r="F245" s="120"/>
      <c r="I245" s="121"/>
      <c r="J245" s="121"/>
      <c r="K245" s="122"/>
    </row>
    <row r="246" spans="4:11" s="53" customFormat="1" ht="25.15" customHeight="1" x14ac:dyDescent="0.25">
      <c r="D246" s="120"/>
      <c r="E246" s="120"/>
      <c r="F246" s="120"/>
      <c r="I246" s="121"/>
      <c r="J246" s="121"/>
      <c r="K246" s="122"/>
    </row>
    <row r="247" spans="4:11" s="53" customFormat="1" ht="25.15" customHeight="1" x14ac:dyDescent="0.25">
      <c r="D247" s="120"/>
      <c r="E247" s="120"/>
      <c r="F247" s="120"/>
      <c r="I247" s="121"/>
      <c r="J247" s="121"/>
      <c r="K247" s="122"/>
    </row>
    <row r="248" spans="4:11" s="53" customFormat="1" ht="25.15" customHeight="1" x14ac:dyDescent="0.25">
      <c r="D248" s="120"/>
      <c r="E248" s="120"/>
      <c r="F248" s="120"/>
      <c r="I248" s="121"/>
      <c r="J248" s="121"/>
      <c r="K248" s="122"/>
    </row>
    <row r="249" spans="4:11" s="53" customFormat="1" ht="25.15" customHeight="1" x14ac:dyDescent="0.25">
      <c r="D249" s="120"/>
      <c r="E249" s="120"/>
      <c r="F249" s="120"/>
      <c r="I249" s="121"/>
      <c r="J249" s="121"/>
      <c r="K249" s="122"/>
    </row>
    <row r="250" spans="4:11" s="53" customFormat="1" ht="25.15" customHeight="1" x14ac:dyDescent="0.25">
      <c r="D250" s="120"/>
      <c r="E250" s="120"/>
      <c r="F250" s="120"/>
      <c r="I250" s="121"/>
      <c r="J250" s="121"/>
      <c r="K250" s="122"/>
    </row>
    <row r="251" spans="4:11" s="53" customFormat="1" ht="25.15" customHeight="1" x14ac:dyDescent="0.25">
      <c r="D251" s="120"/>
      <c r="E251" s="120"/>
      <c r="F251" s="120"/>
      <c r="I251" s="121"/>
      <c r="J251" s="121"/>
      <c r="K251" s="122"/>
    </row>
    <row r="252" spans="4:11" s="53" customFormat="1" ht="25.15" customHeight="1" x14ac:dyDescent="0.25">
      <c r="D252" s="120"/>
      <c r="E252" s="120"/>
      <c r="F252" s="120"/>
      <c r="I252" s="121"/>
      <c r="J252" s="121"/>
      <c r="K252" s="122"/>
    </row>
    <row r="253" spans="4:11" s="53" customFormat="1" ht="25.15" customHeight="1" x14ac:dyDescent="0.25">
      <c r="D253" s="120"/>
      <c r="E253" s="120"/>
      <c r="F253" s="120"/>
      <c r="I253" s="121"/>
      <c r="J253" s="121"/>
      <c r="K253" s="122"/>
    </row>
    <row r="254" spans="4:11" s="53" customFormat="1" ht="25.15" customHeight="1" x14ac:dyDescent="0.25">
      <c r="D254" s="120"/>
      <c r="E254" s="120"/>
      <c r="F254" s="120"/>
      <c r="I254" s="121"/>
      <c r="J254" s="121"/>
      <c r="K254" s="122"/>
    </row>
    <row r="255" spans="4:11" s="53" customFormat="1" ht="25.15" customHeight="1" x14ac:dyDescent="0.25">
      <c r="D255" s="120"/>
      <c r="E255" s="120"/>
      <c r="F255" s="120"/>
      <c r="I255" s="121"/>
      <c r="J255" s="121"/>
      <c r="K255" s="122"/>
    </row>
    <row r="256" spans="4:11" s="53" customFormat="1" ht="25.15" customHeight="1" x14ac:dyDescent="0.25">
      <c r="D256" s="120"/>
      <c r="E256" s="120"/>
      <c r="F256" s="120"/>
      <c r="I256" s="121"/>
      <c r="J256" s="121"/>
      <c r="K256" s="122"/>
    </row>
    <row r="257" spans="4:11" s="53" customFormat="1" ht="25.15" customHeight="1" x14ac:dyDescent="0.25">
      <c r="D257" s="120"/>
      <c r="E257" s="120"/>
      <c r="F257" s="120"/>
      <c r="I257" s="121"/>
      <c r="J257" s="121"/>
      <c r="K257" s="122"/>
    </row>
    <row r="258" spans="4:11" s="53" customFormat="1" ht="25.15" customHeight="1" x14ac:dyDescent="0.25">
      <c r="D258" s="120"/>
      <c r="E258" s="120"/>
      <c r="F258" s="120"/>
      <c r="I258" s="121"/>
      <c r="J258" s="121"/>
      <c r="K258" s="122"/>
    </row>
    <row r="259" spans="4:11" s="53" customFormat="1" ht="25.15" customHeight="1" x14ac:dyDescent="0.25">
      <c r="D259" s="120"/>
      <c r="E259" s="120"/>
      <c r="F259" s="120"/>
      <c r="I259" s="121"/>
      <c r="J259" s="121"/>
      <c r="K259" s="122"/>
    </row>
    <row r="260" spans="4:11" s="53" customFormat="1" ht="25.15" customHeight="1" x14ac:dyDescent="0.25">
      <c r="D260" s="120"/>
      <c r="E260" s="120"/>
      <c r="F260" s="120"/>
      <c r="I260" s="121"/>
      <c r="J260" s="121"/>
      <c r="K260" s="122"/>
    </row>
    <row r="261" spans="4:11" s="53" customFormat="1" ht="25.15" customHeight="1" x14ac:dyDescent="0.25">
      <c r="D261" s="120"/>
      <c r="E261" s="120"/>
      <c r="F261" s="120"/>
      <c r="I261" s="121"/>
      <c r="J261" s="121"/>
      <c r="K261" s="122"/>
    </row>
    <row r="262" spans="4:11" s="53" customFormat="1" ht="25.15" customHeight="1" x14ac:dyDescent="0.25">
      <c r="D262" s="120"/>
      <c r="E262" s="120"/>
      <c r="F262" s="120"/>
      <c r="I262" s="121"/>
      <c r="J262" s="121"/>
      <c r="K262" s="122"/>
    </row>
    <row r="263" spans="4:11" s="53" customFormat="1" ht="25.15" customHeight="1" x14ac:dyDescent="0.25">
      <c r="D263" s="120"/>
      <c r="E263" s="120"/>
      <c r="F263" s="120"/>
      <c r="I263" s="121"/>
      <c r="J263" s="121"/>
      <c r="K263" s="122"/>
    </row>
    <row r="264" spans="4:11" s="53" customFormat="1" ht="25.15" customHeight="1" x14ac:dyDescent="0.25">
      <c r="D264" s="120"/>
      <c r="E264" s="120"/>
      <c r="F264" s="120"/>
      <c r="I264" s="121"/>
      <c r="J264" s="121"/>
      <c r="K264" s="122"/>
    </row>
    <row r="265" spans="4:11" s="53" customFormat="1" ht="25.15" customHeight="1" x14ac:dyDescent="0.25">
      <c r="D265" s="120"/>
      <c r="E265" s="120"/>
      <c r="F265" s="120"/>
      <c r="I265" s="121"/>
      <c r="J265" s="121"/>
      <c r="K265" s="122"/>
    </row>
    <row r="266" spans="4:11" s="53" customFormat="1" ht="25.15" customHeight="1" x14ac:dyDescent="0.25">
      <c r="D266" s="120"/>
      <c r="E266" s="120"/>
      <c r="F266" s="120"/>
      <c r="I266" s="121"/>
      <c r="J266" s="121"/>
      <c r="K266" s="122"/>
    </row>
    <row r="267" spans="4:11" s="53" customFormat="1" ht="25.15" customHeight="1" x14ac:dyDescent="0.25">
      <c r="D267" s="120"/>
      <c r="E267" s="120"/>
      <c r="F267" s="120"/>
      <c r="I267" s="121"/>
      <c r="J267" s="121"/>
      <c r="K267" s="122"/>
    </row>
    <row r="268" spans="4:11" s="53" customFormat="1" ht="25.15" customHeight="1" x14ac:dyDescent="0.25">
      <c r="D268" s="120"/>
      <c r="E268" s="120"/>
      <c r="F268" s="120"/>
      <c r="I268" s="121"/>
      <c r="J268" s="121"/>
      <c r="K268" s="122"/>
    </row>
    <row r="269" spans="4:11" s="53" customFormat="1" ht="25.15" customHeight="1" x14ac:dyDescent="0.25">
      <c r="D269" s="120"/>
      <c r="E269" s="120"/>
      <c r="F269" s="120"/>
      <c r="I269" s="121"/>
      <c r="J269" s="121"/>
      <c r="K269" s="122"/>
    </row>
    <row r="270" spans="4:11" s="53" customFormat="1" ht="25.15" customHeight="1" x14ac:dyDescent="0.25">
      <c r="D270" s="120"/>
      <c r="E270" s="120"/>
      <c r="F270" s="120"/>
      <c r="I270" s="121"/>
      <c r="J270" s="121"/>
      <c r="K270" s="122"/>
    </row>
    <row r="271" spans="4:11" s="53" customFormat="1" ht="25.15" customHeight="1" x14ac:dyDescent="0.25">
      <c r="D271" s="120"/>
      <c r="E271" s="120"/>
      <c r="F271" s="120"/>
      <c r="I271" s="121"/>
      <c r="J271" s="121"/>
      <c r="K271" s="122"/>
    </row>
    <row r="272" spans="4:11" s="53" customFormat="1" ht="25.15" customHeight="1" x14ac:dyDescent="0.25">
      <c r="D272" s="120"/>
      <c r="E272" s="120"/>
      <c r="F272" s="120"/>
      <c r="I272" s="121"/>
      <c r="J272" s="121"/>
      <c r="K272" s="122"/>
    </row>
    <row r="273" spans="4:11" s="53" customFormat="1" ht="25.15" customHeight="1" x14ac:dyDescent="0.25">
      <c r="D273" s="120"/>
      <c r="E273" s="120"/>
      <c r="F273" s="120"/>
      <c r="I273" s="121"/>
      <c r="J273" s="121"/>
      <c r="K273" s="122"/>
    </row>
    <row r="274" spans="4:11" s="53" customFormat="1" ht="25.15" customHeight="1" x14ac:dyDescent="0.25">
      <c r="D274" s="120"/>
      <c r="E274" s="120"/>
      <c r="F274" s="120"/>
      <c r="I274" s="121"/>
      <c r="J274" s="121"/>
      <c r="K274" s="122"/>
    </row>
    <row r="275" spans="4:11" s="53" customFormat="1" ht="25.15" customHeight="1" x14ac:dyDescent="0.25">
      <c r="D275" s="120"/>
      <c r="E275" s="120"/>
      <c r="F275" s="120"/>
      <c r="I275" s="121"/>
      <c r="J275" s="121"/>
      <c r="K275" s="122"/>
    </row>
    <row r="276" spans="4:11" s="53" customFormat="1" ht="25.15" customHeight="1" x14ac:dyDescent="0.25">
      <c r="D276" s="120"/>
      <c r="E276" s="120"/>
      <c r="F276" s="120"/>
      <c r="I276" s="121"/>
      <c r="J276" s="121"/>
      <c r="K276" s="122"/>
    </row>
    <row r="277" spans="4:11" s="53" customFormat="1" ht="25.15" customHeight="1" x14ac:dyDescent="0.25">
      <c r="D277" s="120"/>
      <c r="E277" s="120"/>
      <c r="F277" s="120"/>
      <c r="I277" s="121"/>
      <c r="J277" s="121"/>
      <c r="K277" s="122"/>
    </row>
    <row r="278" spans="4:11" s="53" customFormat="1" ht="25.15" customHeight="1" x14ac:dyDescent="0.25">
      <c r="D278" s="120"/>
      <c r="E278" s="120"/>
      <c r="F278" s="120"/>
      <c r="I278" s="121"/>
      <c r="J278" s="121"/>
      <c r="K278" s="122"/>
    </row>
    <row r="279" spans="4:11" s="53" customFormat="1" ht="25.15" customHeight="1" x14ac:dyDescent="0.25">
      <c r="D279" s="120"/>
      <c r="E279" s="120"/>
      <c r="F279" s="120"/>
      <c r="I279" s="121"/>
      <c r="J279" s="121"/>
      <c r="K279" s="122"/>
    </row>
    <row r="280" spans="4:11" s="53" customFormat="1" ht="25.15" customHeight="1" x14ac:dyDescent="0.25">
      <c r="D280" s="120"/>
      <c r="E280" s="120"/>
      <c r="F280" s="120"/>
      <c r="I280" s="121"/>
      <c r="J280" s="121"/>
      <c r="K280" s="122"/>
    </row>
    <row r="281" spans="4:11" s="53" customFormat="1" ht="25.15" customHeight="1" x14ac:dyDescent="0.25">
      <c r="D281" s="120"/>
      <c r="E281" s="120"/>
      <c r="F281" s="120"/>
      <c r="I281" s="121"/>
      <c r="J281" s="121"/>
      <c r="K281" s="122"/>
    </row>
    <row r="282" spans="4:11" s="53" customFormat="1" ht="25.15" customHeight="1" x14ac:dyDescent="0.25">
      <c r="D282" s="120"/>
      <c r="E282" s="120"/>
      <c r="F282" s="120"/>
      <c r="I282" s="121"/>
      <c r="J282" s="121"/>
      <c r="K282" s="122"/>
    </row>
    <row r="283" spans="4:11" s="53" customFormat="1" ht="25.15" customHeight="1" x14ac:dyDescent="0.25">
      <c r="D283" s="120"/>
      <c r="E283" s="120"/>
      <c r="F283" s="120"/>
      <c r="I283" s="121"/>
      <c r="J283" s="121"/>
      <c r="K283" s="122"/>
    </row>
    <row r="284" spans="4:11" s="53" customFormat="1" ht="25.15" customHeight="1" x14ac:dyDescent="0.25">
      <c r="D284" s="120"/>
      <c r="E284" s="120"/>
      <c r="F284" s="120"/>
      <c r="I284" s="121"/>
      <c r="J284" s="121"/>
      <c r="K284" s="122"/>
    </row>
    <row r="285" spans="4:11" s="53" customFormat="1" ht="25.15" customHeight="1" x14ac:dyDescent="0.25">
      <c r="D285" s="120"/>
      <c r="E285" s="120"/>
      <c r="F285" s="120"/>
      <c r="I285" s="121"/>
      <c r="J285" s="121"/>
      <c r="K285" s="122"/>
    </row>
    <row r="286" spans="4:11" s="53" customFormat="1" ht="25.15" customHeight="1" x14ac:dyDescent="0.25">
      <c r="D286" s="120"/>
      <c r="E286" s="120"/>
      <c r="F286" s="120"/>
      <c r="I286" s="121"/>
      <c r="J286" s="121"/>
      <c r="K286" s="122"/>
    </row>
    <row r="287" spans="4:11" s="53" customFormat="1" ht="25.15" customHeight="1" x14ac:dyDescent="0.25">
      <c r="D287" s="120"/>
      <c r="E287" s="120"/>
      <c r="F287" s="120"/>
      <c r="I287" s="121"/>
      <c r="J287" s="121"/>
      <c r="K287" s="122"/>
    </row>
    <row r="288" spans="4:11" s="53" customFormat="1" ht="25.15" customHeight="1" x14ac:dyDescent="0.25">
      <c r="D288" s="120"/>
      <c r="E288" s="120"/>
      <c r="F288" s="120"/>
      <c r="I288" s="121"/>
      <c r="J288" s="121"/>
      <c r="K288" s="122"/>
    </row>
    <row r="289" spans="4:11" s="53" customFormat="1" ht="25.15" customHeight="1" x14ac:dyDescent="0.25">
      <c r="D289" s="120"/>
      <c r="E289" s="120"/>
      <c r="F289" s="120"/>
      <c r="I289" s="121"/>
      <c r="J289" s="121"/>
      <c r="K289" s="122"/>
    </row>
    <row r="290" spans="4:11" s="53" customFormat="1" ht="25.15" customHeight="1" x14ac:dyDescent="0.25">
      <c r="D290" s="120"/>
      <c r="E290" s="120"/>
      <c r="F290" s="120"/>
      <c r="I290" s="121"/>
      <c r="J290" s="121"/>
      <c r="K290" s="122"/>
    </row>
    <row r="291" spans="4:11" s="53" customFormat="1" ht="25.15" customHeight="1" x14ac:dyDescent="0.25">
      <c r="D291" s="120"/>
      <c r="E291" s="120"/>
      <c r="F291" s="120"/>
      <c r="I291" s="121"/>
      <c r="J291" s="121"/>
      <c r="K291" s="122"/>
    </row>
    <row r="292" spans="4:11" s="53" customFormat="1" ht="25.15" customHeight="1" x14ac:dyDescent="0.25">
      <c r="D292" s="120"/>
      <c r="E292" s="120"/>
      <c r="F292" s="120"/>
      <c r="I292" s="121"/>
      <c r="J292" s="121"/>
      <c r="K292" s="122"/>
    </row>
    <row r="293" spans="4:11" s="53" customFormat="1" ht="25.15" customHeight="1" x14ac:dyDescent="0.25">
      <c r="D293" s="120"/>
      <c r="E293" s="120"/>
      <c r="F293" s="120"/>
      <c r="I293" s="121"/>
      <c r="J293" s="121"/>
      <c r="K293" s="122"/>
    </row>
    <row r="294" spans="4:11" s="53" customFormat="1" ht="25.15" customHeight="1" x14ac:dyDescent="0.25">
      <c r="D294" s="120"/>
      <c r="E294" s="120"/>
      <c r="F294" s="120"/>
      <c r="I294" s="121"/>
      <c r="J294" s="121"/>
      <c r="K294" s="122"/>
    </row>
    <row r="295" spans="4:11" s="53" customFormat="1" ht="25.15" customHeight="1" x14ac:dyDescent="0.25">
      <c r="D295" s="120"/>
      <c r="E295" s="120"/>
      <c r="F295" s="120"/>
      <c r="I295" s="121"/>
      <c r="J295" s="121"/>
      <c r="K295" s="122"/>
    </row>
    <row r="296" spans="4:11" s="53" customFormat="1" ht="25.15" customHeight="1" x14ac:dyDescent="0.25">
      <c r="D296" s="120"/>
      <c r="E296" s="120"/>
      <c r="F296" s="120"/>
      <c r="I296" s="121"/>
      <c r="J296" s="121"/>
      <c r="K296" s="122"/>
    </row>
    <row r="297" spans="4:11" s="53" customFormat="1" ht="25.15" customHeight="1" x14ac:dyDescent="0.25">
      <c r="D297" s="120"/>
      <c r="E297" s="120"/>
      <c r="F297" s="120"/>
      <c r="I297" s="121"/>
      <c r="J297" s="121"/>
      <c r="K297" s="122"/>
    </row>
    <row r="298" spans="4:11" s="53" customFormat="1" ht="25.15" customHeight="1" x14ac:dyDescent="0.25">
      <c r="D298" s="120"/>
      <c r="E298" s="120"/>
      <c r="F298" s="120"/>
      <c r="I298" s="121"/>
      <c r="J298" s="121"/>
      <c r="K298" s="122"/>
    </row>
    <row r="299" spans="4:11" s="53" customFormat="1" ht="25.15" customHeight="1" x14ac:dyDescent="0.25">
      <c r="D299" s="120"/>
      <c r="E299" s="120"/>
      <c r="F299" s="120"/>
      <c r="I299" s="121"/>
      <c r="J299" s="121"/>
      <c r="K299" s="122"/>
    </row>
    <row r="300" spans="4:11" s="53" customFormat="1" ht="25.15" customHeight="1" x14ac:dyDescent="0.25">
      <c r="D300" s="120"/>
      <c r="E300" s="120"/>
      <c r="F300" s="120"/>
      <c r="I300" s="121"/>
      <c r="J300" s="121"/>
      <c r="K300" s="122"/>
    </row>
    <row r="301" spans="4:11" s="53" customFormat="1" ht="25.15" customHeight="1" x14ac:dyDescent="0.25">
      <c r="D301" s="120"/>
      <c r="E301" s="120"/>
      <c r="F301" s="120"/>
      <c r="I301" s="121"/>
      <c r="J301" s="121"/>
      <c r="K301" s="122"/>
    </row>
    <row r="302" spans="4:11" s="53" customFormat="1" ht="25.15" customHeight="1" x14ac:dyDescent="0.25">
      <c r="D302" s="120"/>
      <c r="E302" s="120"/>
      <c r="F302" s="120"/>
      <c r="I302" s="121"/>
      <c r="J302" s="121"/>
      <c r="K302" s="122"/>
    </row>
    <row r="303" spans="4:11" s="53" customFormat="1" ht="25.15" customHeight="1" x14ac:dyDescent="0.25">
      <c r="D303" s="120"/>
      <c r="E303" s="120"/>
      <c r="F303" s="120"/>
      <c r="I303" s="121"/>
      <c r="J303" s="121"/>
      <c r="K303" s="122"/>
    </row>
    <row r="304" spans="4:11" s="53" customFormat="1" ht="25.15" customHeight="1" x14ac:dyDescent="0.25">
      <c r="D304" s="120"/>
      <c r="E304" s="120"/>
      <c r="F304" s="120"/>
      <c r="I304" s="121"/>
      <c r="J304" s="121"/>
      <c r="K304" s="122"/>
    </row>
    <row r="305" spans="4:11" s="53" customFormat="1" ht="25.15" customHeight="1" x14ac:dyDescent="0.25">
      <c r="D305" s="120"/>
      <c r="E305" s="120"/>
      <c r="F305" s="120"/>
      <c r="I305" s="121"/>
      <c r="J305" s="121"/>
      <c r="K305" s="122"/>
    </row>
    <row r="306" spans="4:11" s="53" customFormat="1" ht="25.15" customHeight="1" x14ac:dyDescent="0.25">
      <c r="D306" s="120"/>
      <c r="E306" s="120"/>
      <c r="F306" s="120"/>
      <c r="I306" s="121"/>
      <c r="J306" s="121"/>
      <c r="K306" s="122"/>
    </row>
    <row r="307" spans="4:11" s="53" customFormat="1" ht="25.15" customHeight="1" x14ac:dyDescent="0.25">
      <c r="D307" s="120"/>
      <c r="E307" s="120"/>
      <c r="F307" s="120"/>
      <c r="I307" s="121"/>
      <c r="J307" s="121"/>
      <c r="K307" s="122"/>
    </row>
    <row r="308" spans="4:11" s="53" customFormat="1" ht="25.15" customHeight="1" x14ac:dyDescent="0.25">
      <c r="D308" s="120"/>
      <c r="E308" s="120"/>
      <c r="F308" s="120"/>
      <c r="I308" s="121"/>
      <c r="J308" s="121"/>
      <c r="K308" s="122"/>
    </row>
    <row r="309" spans="4:11" s="53" customFormat="1" ht="25.15" customHeight="1" x14ac:dyDescent="0.25">
      <c r="D309" s="120"/>
      <c r="E309" s="120"/>
      <c r="F309" s="120"/>
      <c r="I309" s="121"/>
      <c r="J309" s="121"/>
      <c r="K309" s="122"/>
    </row>
    <row r="310" spans="4:11" s="53" customFormat="1" ht="25.15" customHeight="1" x14ac:dyDescent="0.25">
      <c r="D310" s="120"/>
      <c r="E310" s="120"/>
      <c r="F310" s="120"/>
      <c r="I310" s="121"/>
      <c r="J310" s="121"/>
      <c r="K310" s="122"/>
    </row>
    <row r="311" spans="4:11" s="53" customFormat="1" ht="25.15" customHeight="1" x14ac:dyDescent="0.25">
      <c r="D311" s="120"/>
      <c r="E311" s="120"/>
      <c r="F311" s="120"/>
      <c r="I311" s="121"/>
      <c r="J311" s="121"/>
      <c r="K311" s="122"/>
    </row>
    <row r="312" spans="4:11" s="53" customFormat="1" ht="25.15" customHeight="1" x14ac:dyDescent="0.25">
      <c r="D312" s="120"/>
      <c r="E312" s="120"/>
      <c r="F312" s="120"/>
      <c r="I312" s="121"/>
      <c r="J312" s="121"/>
      <c r="K312" s="122"/>
    </row>
    <row r="313" spans="4:11" s="53" customFormat="1" ht="25.15" customHeight="1" x14ac:dyDescent="0.25">
      <c r="D313" s="120"/>
      <c r="E313" s="120"/>
      <c r="F313" s="120"/>
      <c r="I313" s="121"/>
      <c r="J313" s="121"/>
      <c r="K313" s="122"/>
    </row>
    <row r="314" spans="4:11" s="53" customFormat="1" ht="25.15" customHeight="1" x14ac:dyDescent="0.25">
      <c r="D314" s="120"/>
      <c r="E314" s="120"/>
      <c r="F314" s="120"/>
      <c r="I314" s="121"/>
      <c r="J314" s="121"/>
      <c r="K314" s="122"/>
    </row>
    <row r="315" spans="4:11" s="53" customFormat="1" ht="25.15" customHeight="1" x14ac:dyDescent="0.25">
      <c r="D315" s="120"/>
      <c r="E315" s="120"/>
      <c r="F315" s="120"/>
      <c r="I315" s="121"/>
      <c r="J315" s="121"/>
      <c r="K315" s="122"/>
    </row>
    <row r="316" spans="4:11" s="53" customFormat="1" ht="25.15" customHeight="1" x14ac:dyDescent="0.25">
      <c r="D316" s="120"/>
      <c r="E316" s="120"/>
      <c r="F316" s="120"/>
      <c r="I316" s="121"/>
      <c r="J316" s="121"/>
      <c r="K316" s="122"/>
    </row>
    <row r="317" spans="4:11" s="53" customFormat="1" ht="25.15" customHeight="1" x14ac:dyDescent="0.25">
      <c r="D317" s="120"/>
      <c r="E317" s="120"/>
      <c r="F317" s="120"/>
      <c r="I317" s="121"/>
      <c r="J317" s="121"/>
      <c r="K317" s="122"/>
    </row>
    <row r="318" spans="4:11" s="53" customFormat="1" ht="25.15" customHeight="1" x14ac:dyDescent="0.25">
      <c r="D318" s="120"/>
      <c r="E318" s="120"/>
      <c r="F318" s="120"/>
      <c r="I318" s="121"/>
      <c r="J318" s="121"/>
      <c r="K318" s="122"/>
    </row>
    <row r="319" spans="4:11" s="53" customFormat="1" ht="25.15" customHeight="1" x14ac:dyDescent="0.25">
      <c r="D319" s="120"/>
      <c r="E319" s="120"/>
      <c r="F319" s="120"/>
      <c r="I319" s="121"/>
      <c r="J319" s="121"/>
      <c r="K319" s="122"/>
    </row>
    <row r="320" spans="4:11" s="53" customFormat="1" ht="25.15" customHeight="1" x14ac:dyDescent="0.25">
      <c r="D320" s="120"/>
      <c r="E320" s="120"/>
      <c r="F320" s="120"/>
      <c r="I320" s="121"/>
      <c r="J320" s="121"/>
      <c r="K320" s="122"/>
    </row>
    <row r="321" spans="4:11" s="53" customFormat="1" ht="25.15" customHeight="1" x14ac:dyDescent="0.25">
      <c r="D321" s="120"/>
      <c r="E321" s="120"/>
      <c r="F321" s="120"/>
      <c r="I321" s="121"/>
      <c r="J321" s="121"/>
      <c r="K321" s="122"/>
    </row>
    <row r="322" spans="4:11" s="53" customFormat="1" ht="25.15" customHeight="1" x14ac:dyDescent="0.25">
      <c r="D322" s="120"/>
      <c r="E322" s="120"/>
      <c r="F322" s="120"/>
      <c r="I322" s="121"/>
      <c r="J322" s="121"/>
      <c r="K322" s="122"/>
    </row>
    <row r="323" spans="4:11" s="53" customFormat="1" ht="25.15" customHeight="1" x14ac:dyDescent="0.25">
      <c r="D323" s="120"/>
      <c r="E323" s="120"/>
      <c r="F323" s="120"/>
      <c r="I323" s="121"/>
      <c r="J323" s="121"/>
      <c r="K323" s="122"/>
    </row>
    <row r="324" spans="4:11" s="53" customFormat="1" ht="25.15" customHeight="1" x14ac:dyDescent="0.25">
      <c r="D324" s="120"/>
      <c r="E324" s="120"/>
      <c r="F324" s="120"/>
      <c r="I324" s="121"/>
      <c r="J324" s="121"/>
      <c r="K324" s="122"/>
    </row>
    <row r="325" spans="4:11" s="53" customFormat="1" ht="25.15" customHeight="1" x14ac:dyDescent="0.25">
      <c r="D325" s="120"/>
      <c r="E325" s="120"/>
      <c r="F325" s="120"/>
      <c r="I325" s="121"/>
      <c r="J325" s="121"/>
      <c r="K325" s="122"/>
    </row>
    <row r="326" spans="4:11" s="53" customFormat="1" ht="25.15" customHeight="1" x14ac:dyDescent="0.25">
      <c r="D326" s="120"/>
      <c r="E326" s="120"/>
      <c r="F326" s="120"/>
      <c r="I326" s="121"/>
      <c r="J326" s="121"/>
      <c r="K326" s="122"/>
    </row>
    <row r="327" spans="4:11" s="53" customFormat="1" ht="25.15" customHeight="1" x14ac:dyDescent="0.25">
      <c r="D327" s="120"/>
      <c r="E327" s="120"/>
      <c r="F327" s="120"/>
      <c r="I327" s="121"/>
      <c r="J327" s="121"/>
      <c r="K327" s="122"/>
    </row>
    <row r="328" spans="4:11" s="53" customFormat="1" ht="25.15" customHeight="1" x14ac:dyDescent="0.25">
      <c r="D328" s="120"/>
      <c r="E328" s="120"/>
      <c r="F328" s="120"/>
      <c r="I328" s="121"/>
      <c r="J328" s="121"/>
      <c r="K328" s="122"/>
    </row>
    <row r="329" spans="4:11" s="53" customFormat="1" ht="25.15" customHeight="1" x14ac:dyDescent="0.25">
      <c r="D329" s="120"/>
      <c r="E329" s="120"/>
      <c r="F329" s="120"/>
      <c r="I329" s="121"/>
      <c r="J329" s="121"/>
      <c r="K329" s="122"/>
    </row>
    <row r="330" spans="4:11" s="53" customFormat="1" ht="25.15" customHeight="1" x14ac:dyDescent="0.25">
      <c r="D330" s="120"/>
      <c r="E330" s="120"/>
      <c r="F330" s="120"/>
      <c r="I330" s="121"/>
      <c r="J330" s="121"/>
      <c r="K330" s="122"/>
    </row>
    <row r="331" spans="4:11" s="53" customFormat="1" ht="25.15" customHeight="1" x14ac:dyDescent="0.25">
      <c r="D331" s="120"/>
      <c r="E331" s="120"/>
      <c r="F331" s="120"/>
      <c r="I331" s="121"/>
      <c r="J331" s="121"/>
      <c r="K331" s="122"/>
    </row>
    <row r="332" spans="4:11" s="53" customFormat="1" ht="25.15" customHeight="1" x14ac:dyDescent="0.25">
      <c r="D332" s="120"/>
      <c r="E332" s="120"/>
      <c r="F332" s="120"/>
      <c r="I332" s="121"/>
      <c r="J332" s="121"/>
      <c r="K332" s="122"/>
    </row>
    <row r="333" spans="4:11" s="53" customFormat="1" ht="25.15" customHeight="1" x14ac:dyDescent="0.25">
      <c r="D333" s="120"/>
      <c r="E333" s="120"/>
      <c r="F333" s="120"/>
      <c r="I333" s="121"/>
      <c r="J333" s="121"/>
      <c r="K333" s="122"/>
    </row>
    <row r="334" spans="4:11" s="53" customFormat="1" ht="25.15" customHeight="1" x14ac:dyDescent="0.25">
      <c r="D334" s="120"/>
      <c r="E334" s="120"/>
      <c r="F334" s="120"/>
      <c r="I334" s="121"/>
      <c r="J334" s="121"/>
      <c r="K334" s="122"/>
    </row>
    <row r="335" spans="4:11" s="53" customFormat="1" ht="25.15" customHeight="1" x14ac:dyDescent="0.25">
      <c r="D335" s="120"/>
      <c r="E335" s="120"/>
      <c r="F335" s="120"/>
      <c r="I335" s="121"/>
      <c r="J335" s="121"/>
      <c r="K335" s="122"/>
    </row>
    <row r="336" spans="4:11" s="53" customFormat="1" ht="25.15" customHeight="1" x14ac:dyDescent="0.25">
      <c r="D336" s="120"/>
      <c r="E336" s="120"/>
      <c r="F336" s="120"/>
      <c r="I336" s="121"/>
      <c r="J336" s="121"/>
      <c r="K336" s="122"/>
    </row>
    <row r="337" spans="4:11" s="53" customFormat="1" ht="25.15" customHeight="1" x14ac:dyDescent="0.25">
      <c r="D337" s="120"/>
      <c r="E337" s="120"/>
      <c r="F337" s="120"/>
      <c r="I337" s="121"/>
      <c r="J337" s="121"/>
      <c r="K337" s="122"/>
    </row>
    <row r="338" spans="4:11" s="53" customFormat="1" ht="25.15" customHeight="1" x14ac:dyDescent="0.25">
      <c r="D338" s="120"/>
      <c r="E338" s="120"/>
      <c r="F338" s="120"/>
      <c r="I338" s="121"/>
      <c r="J338" s="121"/>
      <c r="K338" s="122"/>
    </row>
    <row r="339" spans="4:11" s="53" customFormat="1" ht="25.15" customHeight="1" x14ac:dyDescent="0.25">
      <c r="D339" s="120"/>
      <c r="E339" s="120"/>
      <c r="F339" s="120"/>
      <c r="I339" s="121"/>
      <c r="J339" s="121"/>
      <c r="K339" s="122"/>
    </row>
    <row r="340" spans="4:11" s="53" customFormat="1" ht="25.15" customHeight="1" x14ac:dyDescent="0.25">
      <c r="D340" s="120"/>
      <c r="E340" s="120"/>
      <c r="F340" s="120"/>
      <c r="I340" s="121"/>
      <c r="J340" s="121"/>
      <c r="K340" s="122"/>
    </row>
    <row r="341" spans="4:11" s="53" customFormat="1" ht="25.15" customHeight="1" x14ac:dyDescent="0.25">
      <c r="D341" s="120"/>
      <c r="E341" s="120"/>
      <c r="F341" s="120"/>
      <c r="I341" s="121"/>
      <c r="J341" s="121"/>
      <c r="K341" s="122"/>
    </row>
    <row r="342" spans="4:11" s="53" customFormat="1" ht="25.15" customHeight="1" x14ac:dyDescent="0.25">
      <c r="D342" s="120"/>
      <c r="E342" s="120"/>
      <c r="F342" s="120"/>
      <c r="I342" s="121"/>
      <c r="J342" s="121"/>
      <c r="K342" s="122"/>
    </row>
    <row r="343" spans="4:11" s="53" customFormat="1" ht="25.15" customHeight="1" x14ac:dyDescent="0.25">
      <c r="D343" s="120"/>
      <c r="E343" s="120"/>
      <c r="F343" s="120"/>
      <c r="I343" s="121"/>
      <c r="J343" s="121"/>
      <c r="K343" s="122"/>
    </row>
    <row r="344" spans="4:11" s="53" customFormat="1" ht="25.15" customHeight="1" x14ac:dyDescent="0.25">
      <c r="D344" s="120"/>
      <c r="E344" s="120"/>
      <c r="F344" s="120"/>
      <c r="I344" s="121"/>
      <c r="J344" s="121"/>
      <c r="K344" s="122"/>
    </row>
    <row r="345" spans="4:11" s="53" customFormat="1" ht="25.15" customHeight="1" x14ac:dyDescent="0.25">
      <c r="D345" s="120"/>
      <c r="E345" s="120"/>
      <c r="F345" s="120"/>
      <c r="I345" s="121"/>
      <c r="J345" s="121"/>
      <c r="K345" s="122"/>
    </row>
    <row r="346" spans="4:11" s="53" customFormat="1" ht="25.15" customHeight="1" x14ac:dyDescent="0.25">
      <c r="D346" s="120"/>
      <c r="E346" s="120"/>
      <c r="F346" s="120"/>
      <c r="I346" s="121"/>
      <c r="J346" s="121"/>
      <c r="K346" s="122"/>
    </row>
    <row r="347" spans="4:11" s="53" customFormat="1" ht="25.15" customHeight="1" x14ac:dyDescent="0.25">
      <c r="D347" s="120"/>
      <c r="E347" s="120"/>
      <c r="F347" s="120"/>
      <c r="I347" s="121"/>
      <c r="J347" s="121"/>
      <c r="K347" s="122"/>
    </row>
    <row r="348" spans="4:11" s="53" customFormat="1" ht="25.15" customHeight="1" x14ac:dyDescent="0.25">
      <c r="D348" s="120"/>
      <c r="E348" s="120"/>
      <c r="F348" s="120"/>
      <c r="I348" s="121"/>
      <c r="J348" s="121"/>
      <c r="K348" s="122"/>
    </row>
    <row r="349" spans="4:11" s="53" customFormat="1" ht="25.15" customHeight="1" x14ac:dyDescent="0.25">
      <c r="D349" s="120"/>
      <c r="E349" s="120"/>
      <c r="F349" s="120"/>
      <c r="I349" s="121"/>
      <c r="J349" s="121"/>
      <c r="K349" s="122"/>
    </row>
    <row r="350" spans="4:11" s="53" customFormat="1" ht="25.15" customHeight="1" x14ac:dyDescent="0.25">
      <c r="D350" s="120"/>
      <c r="E350" s="120"/>
      <c r="F350" s="120"/>
      <c r="I350" s="121"/>
      <c r="J350" s="121"/>
      <c r="K350" s="122"/>
    </row>
    <row r="351" spans="4:11" s="53" customFormat="1" ht="25.15" customHeight="1" x14ac:dyDescent="0.25">
      <c r="D351" s="120"/>
      <c r="E351" s="120"/>
      <c r="F351" s="120"/>
      <c r="I351" s="121"/>
      <c r="J351" s="121"/>
      <c r="K351" s="122"/>
    </row>
    <row r="352" spans="4:11" s="53" customFormat="1" ht="25.15" customHeight="1" x14ac:dyDescent="0.25">
      <c r="D352" s="120"/>
      <c r="E352" s="120"/>
      <c r="F352" s="120"/>
      <c r="I352" s="121"/>
      <c r="J352" s="121"/>
      <c r="K352" s="122"/>
    </row>
    <row r="353" spans="4:11" s="53" customFormat="1" ht="25.15" customHeight="1" x14ac:dyDescent="0.25">
      <c r="D353" s="120"/>
      <c r="E353" s="120"/>
      <c r="F353" s="120"/>
      <c r="I353" s="121"/>
      <c r="J353" s="121"/>
      <c r="K353" s="122"/>
    </row>
    <row r="354" spans="4:11" s="53" customFormat="1" ht="25.15" customHeight="1" x14ac:dyDescent="0.25">
      <c r="D354" s="120"/>
      <c r="E354" s="120"/>
      <c r="F354" s="120"/>
      <c r="I354" s="121"/>
      <c r="J354" s="121"/>
      <c r="K354" s="122"/>
    </row>
    <row r="355" spans="4:11" s="53" customFormat="1" ht="25.15" customHeight="1" x14ac:dyDescent="0.25">
      <c r="D355" s="120"/>
      <c r="E355" s="120"/>
      <c r="F355" s="120"/>
      <c r="I355" s="121"/>
      <c r="J355" s="121"/>
      <c r="K355" s="122"/>
    </row>
    <row r="356" spans="4:11" s="53" customFormat="1" ht="25.15" customHeight="1" x14ac:dyDescent="0.25">
      <c r="D356" s="120"/>
      <c r="E356" s="120"/>
      <c r="F356" s="120"/>
      <c r="I356" s="121"/>
      <c r="J356" s="121"/>
      <c r="K356" s="122"/>
    </row>
    <row r="357" spans="4:11" s="53" customFormat="1" ht="25.15" customHeight="1" x14ac:dyDescent="0.25">
      <c r="D357" s="120"/>
      <c r="E357" s="120"/>
      <c r="F357" s="120"/>
      <c r="I357" s="121"/>
      <c r="J357" s="121"/>
      <c r="K357" s="122"/>
    </row>
    <row r="358" spans="4:11" s="53" customFormat="1" ht="25.15" customHeight="1" x14ac:dyDescent="0.25">
      <c r="D358" s="120"/>
      <c r="E358" s="120"/>
      <c r="F358" s="120"/>
      <c r="I358" s="121"/>
      <c r="J358" s="121"/>
      <c r="K358" s="122"/>
    </row>
    <row r="359" spans="4:11" s="53" customFormat="1" ht="25.15" customHeight="1" x14ac:dyDescent="0.25">
      <c r="D359" s="120"/>
      <c r="E359" s="120"/>
      <c r="F359" s="120"/>
      <c r="I359" s="121"/>
      <c r="J359" s="121"/>
      <c r="K359" s="122"/>
    </row>
    <row r="360" spans="4:11" s="53" customFormat="1" ht="25.15" customHeight="1" x14ac:dyDescent="0.25">
      <c r="D360" s="120"/>
      <c r="E360" s="120"/>
      <c r="F360" s="120"/>
      <c r="I360" s="121"/>
      <c r="J360" s="121"/>
      <c r="K360" s="122"/>
    </row>
    <row r="361" spans="4:11" s="53" customFormat="1" ht="25.15" customHeight="1" x14ac:dyDescent="0.25">
      <c r="D361" s="120"/>
      <c r="E361" s="120"/>
      <c r="F361" s="120"/>
      <c r="I361" s="121"/>
      <c r="J361" s="121"/>
      <c r="K361" s="122"/>
    </row>
    <row r="362" spans="4:11" s="53" customFormat="1" ht="25.15" customHeight="1" x14ac:dyDescent="0.25">
      <c r="D362" s="120"/>
      <c r="E362" s="120"/>
      <c r="F362" s="120"/>
      <c r="I362" s="121"/>
      <c r="J362" s="121"/>
      <c r="K362" s="122"/>
    </row>
    <row r="363" spans="4:11" s="53" customFormat="1" ht="25.15" customHeight="1" x14ac:dyDescent="0.25">
      <c r="D363" s="120"/>
      <c r="E363" s="120"/>
      <c r="F363" s="120"/>
      <c r="I363" s="121"/>
      <c r="J363" s="121"/>
      <c r="K363" s="122"/>
    </row>
    <row r="364" spans="4:11" s="53" customFormat="1" ht="25.15" customHeight="1" x14ac:dyDescent="0.25">
      <c r="D364" s="120"/>
      <c r="E364" s="120"/>
      <c r="F364" s="120"/>
      <c r="I364" s="121"/>
      <c r="J364" s="121"/>
      <c r="K364" s="122"/>
    </row>
    <row r="365" spans="4:11" s="53" customFormat="1" ht="25.15" customHeight="1" x14ac:dyDescent="0.25">
      <c r="D365" s="120"/>
      <c r="E365" s="120"/>
      <c r="F365" s="120"/>
      <c r="I365" s="121"/>
      <c r="J365" s="121"/>
      <c r="K365" s="122"/>
    </row>
    <row r="366" spans="4:11" s="53" customFormat="1" ht="25.15" customHeight="1" x14ac:dyDescent="0.25">
      <c r="D366" s="120"/>
      <c r="E366" s="120"/>
      <c r="F366" s="120"/>
      <c r="I366" s="121"/>
      <c r="J366" s="121"/>
      <c r="K366" s="122"/>
    </row>
    <row r="367" spans="4:11" s="53" customFormat="1" ht="25.15" customHeight="1" x14ac:dyDescent="0.25">
      <c r="D367" s="120"/>
      <c r="E367" s="120"/>
      <c r="F367" s="120"/>
      <c r="I367" s="121"/>
      <c r="J367" s="121"/>
      <c r="K367" s="122"/>
    </row>
    <row r="368" spans="4:11" s="53" customFormat="1" ht="25.15" customHeight="1" x14ac:dyDescent="0.25">
      <c r="D368" s="120"/>
      <c r="E368" s="120"/>
      <c r="F368" s="120"/>
      <c r="I368" s="121"/>
      <c r="J368" s="121"/>
      <c r="K368" s="122"/>
    </row>
    <row r="369" spans="4:11" s="53" customFormat="1" ht="25.15" customHeight="1" x14ac:dyDescent="0.25">
      <c r="D369" s="120"/>
      <c r="E369" s="120"/>
      <c r="F369" s="120"/>
      <c r="I369" s="121"/>
      <c r="J369" s="121"/>
      <c r="K369" s="122"/>
    </row>
    <row r="370" spans="4:11" s="53" customFormat="1" ht="25.15" customHeight="1" x14ac:dyDescent="0.25">
      <c r="D370" s="120"/>
      <c r="E370" s="120"/>
      <c r="F370" s="120"/>
      <c r="I370" s="121"/>
      <c r="J370" s="121"/>
      <c r="K370" s="122"/>
    </row>
    <row r="371" spans="4:11" s="53" customFormat="1" ht="25.15" customHeight="1" x14ac:dyDescent="0.25">
      <c r="D371" s="120"/>
      <c r="E371" s="120"/>
      <c r="F371" s="120"/>
      <c r="I371" s="121"/>
      <c r="J371" s="121"/>
      <c r="K371" s="122"/>
    </row>
    <row r="372" spans="4:11" s="53" customFormat="1" ht="25.15" customHeight="1" x14ac:dyDescent="0.25">
      <c r="D372" s="120"/>
      <c r="E372" s="120"/>
      <c r="F372" s="120"/>
      <c r="I372" s="121"/>
      <c r="J372" s="121"/>
      <c r="K372" s="122"/>
    </row>
    <row r="373" spans="4:11" s="53" customFormat="1" ht="25.15" customHeight="1" x14ac:dyDescent="0.25">
      <c r="D373" s="120"/>
      <c r="E373" s="120"/>
      <c r="F373" s="120"/>
      <c r="I373" s="121"/>
      <c r="J373" s="121"/>
      <c r="K373" s="122"/>
    </row>
    <row r="374" spans="4:11" s="53" customFormat="1" ht="25.15" customHeight="1" x14ac:dyDescent="0.25">
      <c r="D374" s="120"/>
      <c r="E374" s="120"/>
      <c r="F374" s="120"/>
      <c r="I374" s="121"/>
      <c r="J374" s="121"/>
      <c r="K374" s="122"/>
    </row>
    <row r="375" spans="4:11" s="53" customFormat="1" ht="25.15" customHeight="1" x14ac:dyDescent="0.25">
      <c r="D375" s="120"/>
      <c r="E375" s="120"/>
      <c r="F375" s="120"/>
      <c r="I375" s="121"/>
      <c r="J375" s="121"/>
      <c r="K375" s="122"/>
    </row>
    <row r="376" spans="4:11" s="53" customFormat="1" ht="25.15" customHeight="1" x14ac:dyDescent="0.25">
      <c r="D376" s="120"/>
      <c r="E376" s="120"/>
      <c r="F376" s="120"/>
      <c r="I376" s="121"/>
      <c r="J376" s="121"/>
      <c r="K376" s="122"/>
    </row>
    <row r="377" spans="4:11" s="53" customFormat="1" ht="25.15" customHeight="1" x14ac:dyDescent="0.25">
      <c r="D377" s="120"/>
      <c r="E377" s="120"/>
      <c r="F377" s="120"/>
      <c r="I377" s="121"/>
      <c r="J377" s="121"/>
      <c r="K377" s="122"/>
    </row>
    <row r="378" spans="4:11" s="53" customFormat="1" ht="25.15" customHeight="1" x14ac:dyDescent="0.25">
      <c r="D378" s="120"/>
      <c r="E378" s="120"/>
      <c r="F378" s="120"/>
      <c r="I378" s="121"/>
      <c r="J378" s="121"/>
      <c r="K378" s="122"/>
    </row>
    <row r="379" spans="4:11" s="53" customFormat="1" ht="25.15" customHeight="1" x14ac:dyDescent="0.25">
      <c r="D379" s="120"/>
      <c r="E379" s="120"/>
      <c r="F379" s="120"/>
      <c r="I379" s="121"/>
      <c r="J379" s="121"/>
      <c r="K379" s="122"/>
    </row>
    <row r="380" spans="4:11" s="53" customFormat="1" ht="25.15" customHeight="1" x14ac:dyDescent="0.25">
      <c r="D380" s="120"/>
      <c r="E380" s="120"/>
      <c r="F380" s="120"/>
      <c r="I380" s="121"/>
      <c r="J380" s="121"/>
      <c r="K380" s="122"/>
    </row>
    <row r="381" spans="4:11" s="53" customFormat="1" ht="25.15" customHeight="1" x14ac:dyDescent="0.25">
      <c r="D381" s="120"/>
      <c r="E381" s="120"/>
      <c r="F381" s="120"/>
      <c r="I381" s="121"/>
      <c r="J381" s="121"/>
      <c r="K381" s="122"/>
    </row>
    <row r="382" spans="4:11" s="53" customFormat="1" ht="25.15" customHeight="1" x14ac:dyDescent="0.25">
      <c r="D382" s="120"/>
      <c r="E382" s="120"/>
      <c r="F382" s="120"/>
      <c r="I382" s="121"/>
      <c r="J382" s="121"/>
      <c r="K382" s="122"/>
    </row>
    <row r="383" spans="4:11" s="53" customFormat="1" ht="25.15" customHeight="1" x14ac:dyDescent="0.25">
      <c r="D383" s="120"/>
      <c r="E383" s="120"/>
      <c r="F383" s="120"/>
      <c r="I383" s="121"/>
      <c r="J383" s="121"/>
      <c r="K383" s="122"/>
    </row>
    <row r="384" spans="4:11" s="53" customFormat="1" ht="25.15" customHeight="1" x14ac:dyDescent="0.25">
      <c r="D384" s="120"/>
      <c r="E384" s="120"/>
      <c r="F384" s="120"/>
      <c r="I384" s="121"/>
      <c r="J384" s="121"/>
      <c r="K384" s="122"/>
    </row>
    <row r="385" spans="4:11" s="53" customFormat="1" ht="25.15" customHeight="1" x14ac:dyDescent="0.25">
      <c r="D385" s="120"/>
      <c r="E385" s="120"/>
      <c r="F385" s="120"/>
      <c r="I385" s="121"/>
      <c r="J385" s="121"/>
      <c r="K385" s="122"/>
    </row>
    <row r="386" spans="4:11" s="53" customFormat="1" ht="25.15" customHeight="1" x14ac:dyDescent="0.25">
      <c r="D386" s="120"/>
      <c r="E386" s="120"/>
      <c r="F386" s="120"/>
      <c r="I386" s="121"/>
      <c r="J386" s="121"/>
      <c r="K386" s="122"/>
    </row>
    <row r="387" spans="4:11" s="53" customFormat="1" ht="25.15" customHeight="1" x14ac:dyDescent="0.25">
      <c r="D387" s="120"/>
      <c r="E387" s="120"/>
      <c r="F387" s="120"/>
      <c r="I387" s="121"/>
      <c r="J387" s="121"/>
      <c r="K387" s="122"/>
    </row>
    <row r="388" spans="4:11" s="53" customFormat="1" ht="25.15" customHeight="1" x14ac:dyDescent="0.25">
      <c r="D388" s="120"/>
      <c r="E388" s="120"/>
      <c r="F388" s="120"/>
      <c r="I388" s="121"/>
      <c r="J388" s="121"/>
      <c r="K388" s="122"/>
    </row>
    <row r="389" spans="4:11" s="53" customFormat="1" ht="25.15" customHeight="1" x14ac:dyDescent="0.25">
      <c r="D389" s="120"/>
      <c r="E389" s="120"/>
      <c r="F389" s="120"/>
      <c r="I389" s="121"/>
      <c r="J389" s="121"/>
      <c r="K389" s="122"/>
    </row>
    <row r="390" spans="4:11" s="53" customFormat="1" ht="25.15" customHeight="1" x14ac:dyDescent="0.25">
      <c r="D390" s="120"/>
      <c r="E390" s="120"/>
      <c r="F390" s="120"/>
      <c r="I390" s="121"/>
      <c r="J390" s="121"/>
      <c r="K390" s="122"/>
    </row>
    <row r="391" spans="4:11" s="53" customFormat="1" ht="25.15" customHeight="1" x14ac:dyDescent="0.25">
      <c r="D391" s="120"/>
      <c r="E391" s="120"/>
      <c r="F391" s="120"/>
      <c r="I391" s="121"/>
      <c r="J391" s="121"/>
      <c r="K391" s="122"/>
    </row>
    <row r="392" spans="4:11" s="53" customFormat="1" ht="25.15" customHeight="1" x14ac:dyDescent="0.25">
      <c r="D392" s="120"/>
      <c r="E392" s="120"/>
      <c r="F392" s="120"/>
      <c r="I392" s="121"/>
      <c r="J392" s="121"/>
      <c r="K392" s="122"/>
    </row>
    <row r="393" spans="4:11" s="53" customFormat="1" ht="25.15" customHeight="1" x14ac:dyDescent="0.25">
      <c r="D393" s="120"/>
      <c r="E393" s="120"/>
      <c r="F393" s="120"/>
      <c r="I393" s="121"/>
      <c r="J393" s="121"/>
      <c r="K393" s="122"/>
    </row>
    <row r="394" spans="4:11" s="53" customFormat="1" ht="25.15" customHeight="1" x14ac:dyDescent="0.25">
      <c r="D394" s="120"/>
      <c r="E394" s="120"/>
      <c r="F394" s="120"/>
      <c r="I394" s="121"/>
      <c r="J394" s="121"/>
      <c r="K394" s="122"/>
    </row>
    <row r="395" spans="4:11" s="53" customFormat="1" ht="25.15" customHeight="1" x14ac:dyDescent="0.25">
      <c r="D395" s="120"/>
      <c r="E395" s="120"/>
      <c r="F395" s="120"/>
      <c r="I395" s="121"/>
      <c r="J395" s="121"/>
      <c r="K395" s="122"/>
    </row>
    <row r="396" spans="4:11" s="53" customFormat="1" ht="25.15" customHeight="1" x14ac:dyDescent="0.25">
      <c r="D396" s="120"/>
      <c r="E396" s="120"/>
      <c r="F396" s="120"/>
      <c r="I396" s="121"/>
      <c r="J396" s="121"/>
      <c r="K396" s="122"/>
    </row>
    <row r="397" spans="4:11" s="53" customFormat="1" ht="25.15" customHeight="1" x14ac:dyDescent="0.25">
      <c r="D397" s="120"/>
      <c r="E397" s="120"/>
      <c r="F397" s="120"/>
      <c r="I397" s="121"/>
      <c r="J397" s="121"/>
      <c r="K397" s="122"/>
    </row>
    <row r="398" spans="4:11" s="53" customFormat="1" ht="25.15" customHeight="1" x14ac:dyDescent="0.25">
      <c r="D398" s="120"/>
      <c r="E398" s="120"/>
      <c r="F398" s="120"/>
      <c r="I398" s="121"/>
      <c r="J398" s="121"/>
      <c r="K398" s="122"/>
    </row>
    <row r="399" spans="4:11" s="53" customFormat="1" ht="25.15" customHeight="1" x14ac:dyDescent="0.25">
      <c r="D399" s="120"/>
      <c r="E399" s="120"/>
      <c r="F399" s="120"/>
      <c r="I399" s="121"/>
      <c r="J399" s="121"/>
      <c r="K399" s="122"/>
    </row>
    <row r="400" spans="4:11" s="53" customFormat="1" ht="25.15" customHeight="1" x14ac:dyDescent="0.25">
      <c r="D400" s="120"/>
      <c r="E400" s="120"/>
      <c r="F400" s="120"/>
      <c r="I400" s="121"/>
      <c r="J400" s="121"/>
      <c r="K400" s="122"/>
    </row>
    <row r="401" spans="4:11" s="53" customFormat="1" ht="25.15" customHeight="1" x14ac:dyDescent="0.25">
      <c r="D401" s="120"/>
      <c r="E401" s="120"/>
      <c r="F401" s="120"/>
      <c r="I401" s="121"/>
      <c r="J401" s="121"/>
      <c r="K401" s="122"/>
    </row>
    <row r="402" spans="4:11" s="53" customFormat="1" ht="25.15" customHeight="1" x14ac:dyDescent="0.25">
      <c r="D402" s="120"/>
      <c r="E402" s="120"/>
      <c r="F402" s="120"/>
      <c r="I402" s="121"/>
      <c r="J402" s="121"/>
      <c r="K402" s="122"/>
    </row>
    <row r="403" spans="4:11" s="53" customFormat="1" ht="25.15" customHeight="1" x14ac:dyDescent="0.25">
      <c r="D403" s="120"/>
      <c r="E403" s="120"/>
      <c r="F403" s="120"/>
      <c r="I403" s="121"/>
      <c r="J403" s="121"/>
      <c r="K403" s="122"/>
    </row>
    <row r="404" spans="4:11" s="53" customFormat="1" ht="25.15" customHeight="1" x14ac:dyDescent="0.25">
      <c r="D404" s="120"/>
      <c r="E404" s="120"/>
      <c r="F404" s="120"/>
      <c r="I404" s="121"/>
      <c r="J404" s="121"/>
      <c r="K404" s="122"/>
    </row>
    <row r="405" spans="4:11" s="53" customFormat="1" ht="25.15" customHeight="1" x14ac:dyDescent="0.25">
      <c r="D405" s="120"/>
      <c r="E405" s="120"/>
      <c r="F405" s="120"/>
      <c r="I405" s="121"/>
      <c r="J405" s="121"/>
      <c r="K405" s="122"/>
    </row>
    <row r="406" spans="4:11" s="53" customFormat="1" ht="25.15" customHeight="1" x14ac:dyDescent="0.25">
      <c r="D406" s="120"/>
      <c r="E406" s="120"/>
      <c r="F406" s="120"/>
      <c r="I406" s="121"/>
      <c r="J406" s="121"/>
      <c r="K406" s="122"/>
    </row>
    <row r="407" spans="4:11" s="53" customFormat="1" ht="25.15" customHeight="1" x14ac:dyDescent="0.25">
      <c r="D407" s="120"/>
      <c r="E407" s="120"/>
      <c r="F407" s="120"/>
      <c r="I407" s="121"/>
      <c r="J407" s="121"/>
      <c r="K407" s="122"/>
    </row>
    <row r="408" spans="4:11" s="53" customFormat="1" ht="25.15" customHeight="1" x14ac:dyDescent="0.25">
      <c r="D408" s="120"/>
      <c r="E408" s="120"/>
      <c r="F408" s="120"/>
      <c r="I408" s="121"/>
      <c r="J408" s="121"/>
      <c r="K408" s="122"/>
    </row>
    <row r="409" spans="4:11" s="53" customFormat="1" ht="25.15" customHeight="1" x14ac:dyDescent="0.25">
      <c r="D409" s="120"/>
      <c r="E409" s="120"/>
      <c r="F409" s="120"/>
      <c r="I409" s="121"/>
      <c r="J409" s="121"/>
      <c r="K409" s="122"/>
    </row>
    <row r="410" spans="4:11" s="53" customFormat="1" ht="25.15" customHeight="1" x14ac:dyDescent="0.25">
      <c r="D410" s="120"/>
      <c r="E410" s="120"/>
      <c r="F410" s="120"/>
      <c r="I410" s="121"/>
      <c r="J410" s="121"/>
      <c r="K410" s="122"/>
    </row>
    <row r="411" spans="4:11" s="53" customFormat="1" ht="25.15" customHeight="1" x14ac:dyDescent="0.25">
      <c r="D411" s="120"/>
      <c r="E411" s="120"/>
      <c r="F411" s="120"/>
      <c r="I411" s="121"/>
      <c r="J411" s="121"/>
      <c r="K411" s="122"/>
    </row>
    <row r="412" spans="4:11" s="53" customFormat="1" ht="25.15" customHeight="1" x14ac:dyDescent="0.25">
      <c r="D412" s="120"/>
      <c r="E412" s="120"/>
      <c r="F412" s="120"/>
      <c r="I412" s="121"/>
      <c r="J412" s="121"/>
      <c r="K412" s="122"/>
    </row>
    <row r="413" spans="4:11" s="53" customFormat="1" ht="25.15" customHeight="1" x14ac:dyDescent="0.25">
      <c r="D413" s="120"/>
      <c r="E413" s="120"/>
      <c r="F413" s="120"/>
      <c r="I413" s="121"/>
      <c r="J413" s="121"/>
      <c r="K413" s="122"/>
    </row>
    <row r="414" spans="4:11" s="53" customFormat="1" ht="25.15" customHeight="1" x14ac:dyDescent="0.25">
      <c r="D414" s="120"/>
      <c r="E414" s="120"/>
      <c r="F414" s="120"/>
      <c r="I414" s="121"/>
      <c r="J414" s="121"/>
      <c r="K414" s="122"/>
    </row>
    <row r="415" spans="4:11" s="53" customFormat="1" ht="25.15" customHeight="1" x14ac:dyDescent="0.25">
      <c r="D415" s="120"/>
      <c r="E415" s="120"/>
      <c r="F415" s="120"/>
      <c r="I415" s="121"/>
      <c r="J415" s="121"/>
      <c r="K415" s="122"/>
    </row>
    <row r="416" spans="4:11" s="53" customFormat="1" ht="25.15" customHeight="1" x14ac:dyDescent="0.25">
      <c r="D416" s="120"/>
      <c r="E416" s="120"/>
      <c r="F416" s="120"/>
      <c r="I416" s="121"/>
      <c r="J416" s="121"/>
      <c r="K416" s="122"/>
    </row>
    <row r="417" spans="2:21" s="53" customFormat="1" ht="25.15" customHeight="1" x14ac:dyDescent="0.25">
      <c r="D417" s="120"/>
      <c r="E417" s="120"/>
      <c r="F417" s="120"/>
      <c r="I417" s="121"/>
      <c r="J417" s="121"/>
      <c r="K417" s="122"/>
    </row>
    <row r="418" spans="2:21" s="53" customFormat="1" ht="25.15" customHeight="1" x14ac:dyDescent="0.25">
      <c r="D418" s="120"/>
      <c r="E418" s="120"/>
      <c r="F418" s="120"/>
      <c r="I418" s="121"/>
      <c r="J418" s="121"/>
      <c r="K418" s="122"/>
    </row>
    <row r="419" spans="2:21" s="53" customFormat="1" ht="25.15" customHeight="1" x14ac:dyDescent="0.25">
      <c r="D419" s="120"/>
      <c r="E419" s="120"/>
      <c r="F419" s="120"/>
      <c r="I419" s="121"/>
      <c r="J419" s="121"/>
      <c r="K419" s="122"/>
    </row>
    <row r="420" spans="2:21" s="53" customFormat="1" ht="25.15" customHeight="1" x14ac:dyDescent="0.25">
      <c r="D420" s="120"/>
      <c r="E420" s="120"/>
      <c r="F420" s="120"/>
      <c r="I420" s="121"/>
      <c r="J420" s="121"/>
      <c r="K420" s="122"/>
    </row>
    <row r="421" spans="2:21" s="53" customFormat="1" ht="25.15" customHeight="1" x14ac:dyDescent="0.25">
      <c r="D421" s="120"/>
      <c r="E421" s="120"/>
      <c r="F421" s="120"/>
      <c r="I421" s="121"/>
      <c r="J421" s="121"/>
      <c r="K421" s="122"/>
    </row>
    <row r="422" spans="2:21" s="53" customFormat="1" ht="25.15" customHeight="1" x14ac:dyDescent="0.25">
      <c r="D422" s="120"/>
      <c r="E422" s="120"/>
      <c r="F422" s="120"/>
      <c r="I422" s="121"/>
      <c r="J422" s="121"/>
      <c r="K422" s="122"/>
    </row>
    <row r="423" spans="2:21" s="53" customFormat="1" ht="25.15" customHeight="1" x14ac:dyDescent="0.25">
      <c r="D423" s="120"/>
      <c r="E423" s="120"/>
      <c r="F423" s="120"/>
      <c r="I423" s="121"/>
      <c r="J423" s="121"/>
      <c r="K423" s="122"/>
    </row>
    <row r="424" spans="2:21" s="53" customFormat="1" ht="25.15" customHeight="1" x14ac:dyDescent="0.25">
      <c r="D424" s="120"/>
      <c r="E424" s="120"/>
      <c r="F424" s="120"/>
      <c r="I424" s="121"/>
      <c r="J424" s="121"/>
      <c r="K424" s="122"/>
    </row>
    <row r="425" spans="2:21" s="53" customFormat="1" ht="25.15" customHeight="1" x14ac:dyDescent="0.25">
      <c r="D425" s="120"/>
      <c r="E425" s="120"/>
      <c r="F425" s="120"/>
      <c r="I425" s="121"/>
      <c r="J425" s="121"/>
      <c r="K425" s="122"/>
    </row>
    <row r="426" spans="2:21" s="53" customFormat="1" ht="25.15" customHeight="1" x14ac:dyDescent="0.25">
      <c r="D426" s="120"/>
      <c r="E426" s="120"/>
      <c r="F426" s="120"/>
      <c r="I426" s="121"/>
      <c r="J426" s="121"/>
      <c r="K426" s="122"/>
    </row>
    <row r="427" spans="2:21" s="53" customFormat="1" ht="25.15" customHeight="1" x14ac:dyDescent="0.25">
      <c r="D427" s="120"/>
      <c r="E427" s="120"/>
      <c r="F427" s="120"/>
      <c r="I427" s="121"/>
      <c r="J427" s="121"/>
      <c r="K427" s="122"/>
    </row>
    <row r="428" spans="2:21" s="53" customFormat="1" ht="25.15" customHeight="1" x14ac:dyDescent="0.25">
      <c r="D428" s="120"/>
      <c r="E428" s="120"/>
      <c r="F428" s="120"/>
      <c r="I428" s="121"/>
      <c r="J428" s="121"/>
      <c r="K428" s="122"/>
    </row>
    <row r="429" spans="2:21" ht="25.15" customHeight="1" x14ac:dyDescent="0.25">
      <c r="B429" s="53"/>
      <c r="C429" s="53"/>
      <c r="D429" s="120"/>
      <c r="E429" s="120"/>
      <c r="F429" s="120"/>
      <c r="G429" s="53"/>
      <c r="H429" s="53"/>
      <c r="I429" s="121"/>
      <c r="J429" s="121"/>
      <c r="K429" s="122"/>
      <c r="L429" s="53"/>
      <c r="M429" s="53"/>
      <c r="N429" s="53"/>
      <c r="O429" s="53"/>
      <c r="P429" s="53"/>
      <c r="Q429" s="53"/>
      <c r="R429" s="53"/>
      <c r="S429" s="53"/>
      <c r="T429" s="53"/>
      <c r="U429" s="53"/>
    </row>
    <row r="430" spans="2:21" ht="25.15" customHeight="1" x14ac:dyDescent="0.25"/>
    <row r="431" spans="2:21" ht="25.15" customHeight="1" x14ac:dyDescent="0.25"/>
    <row r="432" spans="2:21" ht="25.15" customHeight="1" x14ac:dyDescent="0.25"/>
    <row r="433" ht="25.15" customHeight="1" x14ac:dyDescent="0.25"/>
    <row r="434" ht="25.15" customHeight="1" x14ac:dyDescent="0.25"/>
    <row r="435" ht="25.15" customHeight="1" x14ac:dyDescent="0.25"/>
    <row r="436" ht="25.15" customHeight="1" x14ac:dyDescent="0.25"/>
    <row r="437" ht="25.15" customHeight="1" x14ac:dyDescent="0.25"/>
    <row r="438" ht="25.15" customHeight="1" x14ac:dyDescent="0.25"/>
    <row r="439" ht="25.15" customHeight="1" x14ac:dyDescent="0.25"/>
    <row r="440" ht="25.15" customHeight="1" x14ac:dyDescent="0.25"/>
    <row r="441" ht="25.15" customHeight="1" x14ac:dyDescent="0.25"/>
    <row r="442" ht="25.15" customHeight="1" x14ac:dyDescent="0.25"/>
    <row r="443" ht="25.15" customHeight="1" x14ac:dyDescent="0.25"/>
    <row r="444" ht="25.15" customHeight="1" x14ac:dyDescent="0.25"/>
    <row r="445" ht="25.15" customHeight="1" x14ac:dyDescent="0.25"/>
    <row r="446" ht="25.15" customHeight="1" x14ac:dyDescent="0.25"/>
    <row r="447" ht="25.15" customHeight="1" x14ac:dyDescent="0.25"/>
    <row r="448" ht="25.15" customHeight="1" x14ac:dyDescent="0.25"/>
    <row r="449" ht="25.15" customHeight="1" x14ac:dyDescent="0.25"/>
    <row r="450" ht="25.15" customHeight="1" x14ac:dyDescent="0.25"/>
    <row r="451" ht="25.15" customHeight="1" x14ac:dyDescent="0.25"/>
    <row r="452" ht="25.15" customHeight="1" x14ac:dyDescent="0.25"/>
    <row r="453" ht="25.15" customHeight="1" x14ac:dyDescent="0.25"/>
    <row r="454" ht="25.15" customHeight="1" x14ac:dyDescent="0.25"/>
    <row r="455" ht="25.15" customHeight="1" x14ac:dyDescent="0.25"/>
    <row r="456" ht="25.15" customHeight="1" x14ac:dyDescent="0.25"/>
    <row r="457" ht="25.15" customHeight="1" x14ac:dyDescent="0.25"/>
    <row r="458" ht="25.15" customHeight="1" x14ac:dyDescent="0.25"/>
    <row r="459" ht="25.15" customHeight="1" x14ac:dyDescent="0.25"/>
    <row r="460" ht="25.15" customHeight="1" x14ac:dyDescent="0.25"/>
    <row r="461" ht="25.15" customHeight="1" x14ac:dyDescent="0.25"/>
    <row r="462" ht="25.15" customHeight="1" x14ac:dyDescent="0.25"/>
    <row r="463" ht="25.15" customHeight="1" x14ac:dyDescent="0.25"/>
    <row r="464" ht="25.15" customHeight="1" x14ac:dyDescent="0.25"/>
    <row r="465" ht="18" customHeight="1" x14ac:dyDescent="0.25"/>
    <row r="466" ht="18" customHeight="1" x14ac:dyDescent="0.25"/>
    <row r="467" ht="18" customHeight="1" x14ac:dyDescent="0.25"/>
    <row r="468" ht="18" customHeight="1" x14ac:dyDescent="0.25"/>
    <row r="469" ht="18" customHeight="1" x14ac:dyDescent="0.25"/>
    <row r="470" ht="18" customHeight="1" x14ac:dyDescent="0.25"/>
  </sheetData>
  <conditionalFormatting sqref="L131:L379">
    <cfRule type="cellIs" dxfId="86" priority="7" operator="lessThan">
      <formula>PFV_Green</formula>
    </cfRule>
    <cfRule type="cellIs" dxfId="85" priority="8" operator="greaterThan">
      <formula>PFV_Red</formula>
    </cfRule>
  </conditionalFormatting>
  <conditionalFormatting sqref="M131:N380">
    <cfRule type="cellIs" dxfId="84" priority="1" operator="lessThan">
      <formula>"C"</formula>
    </cfRule>
    <cfRule type="cellIs" dxfId="83" priority="2" operator="greaterThan">
      <formula>"C"</formula>
    </cfRule>
  </conditionalFormatting>
  <conditionalFormatting sqref="O131:O380">
    <cfRule type="cellIs" dxfId="82" priority="5" operator="lessThan">
      <formula>3</formula>
    </cfRule>
    <cfRule type="cellIs" dxfId="81" priority="6" operator="greaterThan">
      <formula>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C00000"/>
  </sheetPr>
  <dimension ref="B1:Q1047402"/>
  <sheetViews>
    <sheetView showGridLines="0" topLeftCell="A493" zoomScaleNormal="100" workbookViewId="0">
      <selection activeCell="E504" sqref="E504"/>
    </sheetView>
  </sheetViews>
  <sheetFormatPr defaultRowHeight="14.25" x14ac:dyDescent="0.25"/>
  <cols>
    <col min="1" max="1" width="0.85546875" customWidth="1"/>
    <col min="2" max="2" width="7.85546875" style="88" customWidth="1"/>
    <col min="3" max="3" width="9.85546875" style="89" customWidth="1"/>
    <col min="4" max="4" width="13.28515625" style="89" customWidth="1"/>
    <col min="5" max="5" width="10.7109375" style="92" customWidth="1"/>
    <col min="6" max="6" width="58.85546875" style="85" customWidth="1"/>
    <col min="7" max="7" width="41.140625" style="53" customWidth="1"/>
    <col min="9" max="9" width="31.42578125" customWidth="1"/>
  </cols>
  <sheetData>
    <row r="1" spans="2:17" ht="5.0999999999999996" customHeight="1" x14ac:dyDescent="0.25"/>
    <row r="2" spans="2:17" s="1" customFormat="1" ht="24" customHeight="1" x14ac:dyDescent="0.25">
      <c r="B2" s="90" t="s">
        <v>995</v>
      </c>
      <c r="C2" s="91"/>
      <c r="D2" s="91"/>
      <c r="E2" s="93"/>
      <c r="F2" s="99"/>
      <c r="L2" s="6"/>
      <c r="M2" s="3"/>
      <c r="O2" s="7"/>
      <c r="P2" s="7"/>
      <c r="Q2" s="6"/>
    </row>
    <row r="3" spans="2:17" s="1" customFormat="1" ht="4.5" customHeight="1" x14ac:dyDescent="0.25">
      <c r="B3" s="91"/>
      <c r="C3" s="91"/>
      <c r="D3" s="91"/>
      <c r="E3" s="93"/>
      <c r="F3" s="67"/>
      <c r="L3" s="2"/>
      <c r="M3" s="3"/>
      <c r="N3" s="4"/>
      <c r="O3" s="5"/>
      <c r="P3" s="5"/>
      <c r="Q3" s="5"/>
    </row>
    <row r="4" spans="2:17" s="53" customFormat="1" ht="25.15" customHeight="1" x14ac:dyDescent="0.25">
      <c r="B4" s="52" t="s">
        <v>0</v>
      </c>
      <c r="C4" s="124" t="s">
        <v>63</v>
      </c>
      <c r="D4" s="124" t="s">
        <v>92</v>
      </c>
      <c r="E4" s="69" t="s">
        <v>427</v>
      </c>
      <c r="F4" s="85" t="s">
        <v>85</v>
      </c>
      <c r="G4" s="53" t="s">
        <v>3</v>
      </c>
    </row>
    <row r="5" spans="2:17" s="53" customFormat="1" ht="25.15" customHeight="1" x14ac:dyDescent="0.25">
      <c r="B5" s="52" t="s">
        <v>86</v>
      </c>
      <c r="C5" s="124">
        <v>43133</v>
      </c>
      <c r="D5" s="124" t="s">
        <v>389</v>
      </c>
      <c r="E5" s="69">
        <v>0.75</v>
      </c>
      <c r="F5" s="85"/>
      <c r="G5" s="55"/>
    </row>
    <row r="6" spans="2:17" s="53" customFormat="1" ht="25.15" customHeight="1" x14ac:dyDescent="0.25">
      <c r="B6" s="52" t="s">
        <v>319</v>
      </c>
      <c r="C6" s="124">
        <v>43279</v>
      </c>
      <c r="D6" s="124" t="s">
        <v>428</v>
      </c>
      <c r="E6" s="125">
        <v>-0.06</v>
      </c>
      <c r="F6" s="85"/>
      <c r="G6" s="55"/>
    </row>
    <row r="7" spans="2:17" s="53" customFormat="1" ht="25.15" customHeight="1" x14ac:dyDescent="0.25">
      <c r="B7" s="52" t="s">
        <v>263</v>
      </c>
      <c r="C7" s="124">
        <v>43280</v>
      </c>
      <c r="D7" s="124" t="s">
        <v>428</v>
      </c>
      <c r="E7" s="126">
        <v>-0.1008</v>
      </c>
      <c r="F7" s="86"/>
      <c r="G7" s="55"/>
    </row>
    <row r="8" spans="2:17" s="53" customFormat="1" ht="25.15" customHeight="1" x14ac:dyDescent="0.25">
      <c r="B8" s="52" t="s">
        <v>263</v>
      </c>
      <c r="C8" s="124">
        <v>43280</v>
      </c>
      <c r="D8" s="124" t="s">
        <v>426</v>
      </c>
      <c r="E8" s="127">
        <v>25.86</v>
      </c>
      <c r="F8" s="87"/>
      <c r="G8" s="55"/>
    </row>
    <row r="9" spans="2:17" s="53" customFormat="1" ht="25.15" customHeight="1" x14ac:dyDescent="0.25">
      <c r="B9" s="52" t="s">
        <v>313</v>
      </c>
      <c r="C9" s="124">
        <v>43280</v>
      </c>
      <c r="D9" s="124" t="s">
        <v>428</v>
      </c>
      <c r="E9" s="126">
        <v>-8.4199999999999997E-2</v>
      </c>
      <c r="F9" s="86"/>
      <c r="G9" s="55"/>
    </row>
    <row r="10" spans="2:17" s="53" customFormat="1" ht="25.15" customHeight="1" x14ac:dyDescent="0.25">
      <c r="B10" s="52" t="s">
        <v>313</v>
      </c>
      <c r="C10" s="124">
        <v>43280</v>
      </c>
      <c r="D10" s="124" t="s">
        <v>426</v>
      </c>
      <c r="E10" s="127">
        <v>26.87</v>
      </c>
      <c r="F10" s="86"/>
      <c r="G10" s="55"/>
    </row>
    <row r="11" spans="2:17" s="53" customFormat="1" ht="25.15" customHeight="1" x14ac:dyDescent="0.25">
      <c r="B11" s="52" t="s">
        <v>86</v>
      </c>
      <c r="C11" s="124">
        <v>43280</v>
      </c>
      <c r="D11" s="124" t="s">
        <v>428</v>
      </c>
      <c r="E11" s="126">
        <v>7.3300000000000004E-2</v>
      </c>
      <c r="F11" s="85"/>
      <c r="G11" s="55"/>
    </row>
    <row r="12" spans="2:17" s="53" customFormat="1" ht="25.15" customHeight="1" x14ac:dyDescent="0.25">
      <c r="B12" s="52" t="s">
        <v>86</v>
      </c>
      <c r="C12" s="124">
        <v>43280</v>
      </c>
      <c r="D12" s="124" t="s">
        <v>433</v>
      </c>
      <c r="E12" s="69"/>
      <c r="F12" s="85" t="s">
        <v>456</v>
      </c>
      <c r="G12" s="55"/>
    </row>
    <row r="13" spans="2:17" s="53" customFormat="1" ht="25.15" customHeight="1" x14ac:dyDescent="0.25">
      <c r="B13" s="52" t="s">
        <v>391</v>
      </c>
      <c r="C13" s="124">
        <v>43280</v>
      </c>
      <c r="D13" s="124" t="s">
        <v>428</v>
      </c>
      <c r="E13" s="126">
        <v>6.7799999999999999E-2</v>
      </c>
      <c r="F13" s="85"/>
      <c r="G13" s="55"/>
    </row>
    <row r="14" spans="2:17" s="53" customFormat="1" ht="25.15" customHeight="1" x14ac:dyDescent="0.25">
      <c r="B14" s="52" t="s">
        <v>39</v>
      </c>
      <c r="C14" s="124">
        <v>43280</v>
      </c>
      <c r="D14" s="124" t="s">
        <v>428</v>
      </c>
      <c r="E14" s="126">
        <v>0.12540000000000001</v>
      </c>
      <c r="F14" s="85"/>
      <c r="G14" s="55"/>
    </row>
    <row r="15" spans="2:17" s="53" customFormat="1" ht="25.15" customHeight="1" x14ac:dyDescent="0.25">
      <c r="B15" s="52" t="s">
        <v>39</v>
      </c>
      <c r="C15" s="124">
        <v>43280</v>
      </c>
      <c r="D15" s="124" t="s">
        <v>85</v>
      </c>
      <c r="E15" s="69"/>
      <c r="F15" s="85" t="s">
        <v>430</v>
      </c>
      <c r="G15" s="55" t="s">
        <v>429</v>
      </c>
    </row>
    <row r="16" spans="2:17" s="53" customFormat="1" ht="25.15" customHeight="1" x14ac:dyDescent="0.25">
      <c r="B16" s="52" t="s">
        <v>213</v>
      </c>
      <c r="C16" s="124">
        <v>43280</v>
      </c>
      <c r="D16" s="124" t="s">
        <v>428</v>
      </c>
      <c r="E16" s="126">
        <v>-9.4E-2</v>
      </c>
      <c r="F16" s="85"/>
      <c r="G16" s="55"/>
    </row>
    <row r="17" spans="2:7" s="53" customFormat="1" ht="25.15" customHeight="1" x14ac:dyDescent="0.25">
      <c r="B17" s="52" t="s">
        <v>381</v>
      </c>
      <c r="C17" s="124">
        <v>43281</v>
      </c>
      <c r="D17" s="124" t="s">
        <v>443</v>
      </c>
      <c r="E17" s="127">
        <v>7.25</v>
      </c>
      <c r="F17" s="85" t="s">
        <v>444</v>
      </c>
      <c r="G17" s="55"/>
    </row>
    <row r="18" spans="2:7" s="53" customFormat="1" ht="25.15" customHeight="1" x14ac:dyDescent="0.25">
      <c r="B18" s="52" t="s">
        <v>23</v>
      </c>
      <c r="C18" s="124">
        <v>43282</v>
      </c>
      <c r="D18" s="124" t="s">
        <v>443</v>
      </c>
      <c r="E18" s="127">
        <v>19.100000000000001</v>
      </c>
      <c r="F18" s="85" t="s">
        <v>444</v>
      </c>
      <c r="G18" s="55"/>
    </row>
    <row r="19" spans="2:7" s="53" customFormat="1" ht="25.15" customHeight="1" x14ac:dyDescent="0.25">
      <c r="B19" s="52" t="s">
        <v>319</v>
      </c>
      <c r="C19" s="124">
        <v>43282</v>
      </c>
      <c r="D19" s="124" t="s">
        <v>443</v>
      </c>
      <c r="E19" s="128">
        <v>27</v>
      </c>
      <c r="F19" s="85" t="s">
        <v>444</v>
      </c>
      <c r="G19" s="55"/>
    </row>
    <row r="20" spans="2:7" s="53" customFormat="1" ht="25.15" customHeight="1" x14ac:dyDescent="0.25">
      <c r="B20" s="52" t="s">
        <v>213</v>
      </c>
      <c r="C20" s="124">
        <v>43283</v>
      </c>
      <c r="D20" s="124" t="s">
        <v>440</v>
      </c>
      <c r="E20" s="69" t="s">
        <v>408</v>
      </c>
      <c r="F20" s="85"/>
      <c r="G20" s="55"/>
    </row>
    <row r="21" spans="2:7" s="53" customFormat="1" ht="25.15" customHeight="1" x14ac:dyDescent="0.25">
      <c r="B21" s="52" t="s">
        <v>213</v>
      </c>
      <c r="C21" s="124">
        <v>43283</v>
      </c>
      <c r="D21" s="124" t="s">
        <v>437</v>
      </c>
      <c r="E21" s="126">
        <v>-0.43380000000000002</v>
      </c>
      <c r="F21" s="85"/>
      <c r="G21" s="55"/>
    </row>
    <row r="22" spans="2:7" s="53" customFormat="1" ht="25.15" customHeight="1" x14ac:dyDescent="0.25">
      <c r="B22" s="52" t="s">
        <v>213</v>
      </c>
      <c r="C22" s="124">
        <v>43283</v>
      </c>
      <c r="D22" s="124" t="s">
        <v>389</v>
      </c>
      <c r="E22" s="69">
        <v>0.75</v>
      </c>
      <c r="F22" s="85"/>
      <c r="G22" s="55"/>
    </row>
    <row r="23" spans="2:7" s="53" customFormat="1" ht="25.15" customHeight="1" x14ac:dyDescent="0.25">
      <c r="B23" s="52" t="s">
        <v>213</v>
      </c>
      <c r="C23" s="124">
        <v>43283</v>
      </c>
      <c r="D23" s="124" t="s">
        <v>93</v>
      </c>
      <c r="E23" s="70">
        <f>17.5922*566</f>
        <v>9957.1851999999999</v>
      </c>
      <c r="F23" s="85" t="s">
        <v>435</v>
      </c>
      <c r="G23" s="55"/>
    </row>
    <row r="24" spans="2:7" s="53" customFormat="1" ht="25.15" customHeight="1" x14ac:dyDescent="0.25">
      <c r="B24" s="52" t="s">
        <v>213</v>
      </c>
      <c r="C24" s="124">
        <v>43283</v>
      </c>
      <c r="D24" s="124" t="s">
        <v>66</v>
      </c>
      <c r="E24" s="69"/>
      <c r="F24" s="85" t="s">
        <v>455</v>
      </c>
      <c r="G24" s="55"/>
    </row>
    <row r="25" spans="2:7" s="53" customFormat="1" ht="25.15" customHeight="1" x14ac:dyDescent="0.25">
      <c r="B25" s="52" t="s">
        <v>213</v>
      </c>
      <c r="C25" s="124">
        <v>43283</v>
      </c>
      <c r="D25" s="124" t="s">
        <v>403</v>
      </c>
      <c r="E25" s="69" t="s">
        <v>449</v>
      </c>
      <c r="F25" s="85" t="s">
        <v>651</v>
      </c>
      <c r="G25" s="55"/>
    </row>
    <row r="26" spans="2:7" s="53" customFormat="1" ht="25.15" customHeight="1" x14ac:dyDescent="0.25">
      <c r="B26" s="52" t="s">
        <v>45</v>
      </c>
      <c r="C26" s="124">
        <v>43283</v>
      </c>
      <c r="D26" s="124" t="s">
        <v>428</v>
      </c>
      <c r="E26" s="126">
        <v>5.8799999999999998E-2</v>
      </c>
      <c r="F26" s="85"/>
      <c r="G26" s="55"/>
    </row>
    <row r="27" spans="2:7" s="53" customFormat="1" ht="25.15" customHeight="1" x14ac:dyDescent="0.25">
      <c r="B27" s="52" t="s">
        <v>319</v>
      </c>
      <c r="C27" s="124">
        <v>43283</v>
      </c>
      <c r="D27" s="124" t="s">
        <v>403</v>
      </c>
      <c r="E27" s="69" t="s">
        <v>449</v>
      </c>
      <c r="F27" s="85" t="s">
        <v>438</v>
      </c>
      <c r="G27" s="55"/>
    </row>
    <row r="28" spans="2:7" s="53" customFormat="1" ht="25.15" customHeight="1" x14ac:dyDescent="0.25">
      <c r="B28" s="52" t="s">
        <v>870</v>
      </c>
      <c r="C28" s="124">
        <v>43435</v>
      </c>
      <c r="D28" s="124" t="s">
        <v>650</v>
      </c>
      <c r="E28" s="69">
        <v>3</v>
      </c>
      <c r="F28" s="85"/>
      <c r="G28" s="55"/>
    </row>
    <row r="29" spans="2:7" s="53" customFormat="1" ht="25.15" customHeight="1" x14ac:dyDescent="0.25">
      <c r="B29" s="52" t="s">
        <v>786</v>
      </c>
      <c r="C29" s="124">
        <v>43435</v>
      </c>
      <c r="D29" s="124" t="s">
        <v>650</v>
      </c>
      <c r="E29" s="69">
        <v>3</v>
      </c>
      <c r="F29" s="85"/>
      <c r="G29" s="55"/>
    </row>
    <row r="30" spans="2:7" s="53" customFormat="1" ht="25.15" customHeight="1" x14ac:dyDescent="0.25">
      <c r="B30" s="52" t="s">
        <v>579</v>
      </c>
      <c r="C30" s="124">
        <v>43435</v>
      </c>
      <c r="D30" s="124" t="s">
        <v>650</v>
      </c>
      <c r="E30" s="69">
        <v>2</v>
      </c>
      <c r="F30" s="85"/>
      <c r="G30" s="55"/>
    </row>
    <row r="31" spans="2:7" s="53" customFormat="1" ht="25.15" customHeight="1" x14ac:dyDescent="0.25">
      <c r="B31" s="52" t="s">
        <v>717</v>
      </c>
      <c r="C31" s="124">
        <v>43435</v>
      </c>
      <c r="D31" s="124" t="s">
        <v>650</v>
      </c>
      <c r="E31" s="69">
        <v>2</v>
      </c>
      <c r="F31" s="85"/>
      <c r="G31" s="55"/>
    </row>
    <row r="32" spans="2:7" s="53" customFormat="1" ht="25.15" customHeight="1" x14ac:dyDescent="0.25">
      <c r="B32" s="52" t="s">
        <v>13</v>
      </c>
      <c r="C32" s="124">
        <v>43435</v>
      </c>
      <c r="D32" s="124" t="s">
        <v>650</v>
      </c>
      <c r="E32" s="69">
        <v>2</v>
      </c>
      <c r="F32" s="85"/>
      <c r="G32" s="55"/>
    </row>
    <row r="33" spans="2:7" s="53" customFormat="1" ht="25.15" customHeight="1" x14ac:dyDescent="0.25">
      <c r="B33" s="52" t="s">
        <v>77</v>
      </c>
      <c r="C33" s="124">
        <v>43435</v>
      </c>
      <c r="D33" s="124" t="s">
        <v>650</v>
      </c>
      <c r="E33" s="69">
        <v>1</v>
      </c>
      <c r="F33" s="85"/>
      <c r="G33" s="55"/>
    </row>
    <row r="34" spans="2:7" s="53" customFormat="1" ht="25.15" customHeight="1" x14ac:dyDescent="0.25">
      <c r="B34" s="52" t="s">
        <v>357</v>
      </c>
      <c r="C34" s="124">
        <v>43435</v>
      </c>
      <c r="D34" s="124" t="s">
        <v>650</v>
      </c>
      <c r="E34" s="69">
        <v>1</v>
      </c>
      <c r="F34" s="85"/>
      <c r="G34" s="55"/>
    </row>
    <row r="35" spans="2:7" s="53" customFormat="1" ht="25.15" customHeight="1" x14ac:dyDescent="0.25">
      <c r="B35" s="52" t="s">
        <v>719</v>
      </c>
      <c r="C35" s="124">
        <v>43435</v>
      </c>
      <c r="D35" s="124" t="s">
        <v>650</v>
      </c>
      <c r="E35" s="69">
        <v>3</v>
      </c>
      <c r="F35" s="85"/>
      <c r="G35" s="55"/>
    </row>
    <row r="36" spans="2:7" s="53" customFormat="1" ht="25.15" customHeight="1" x14ac:dyDescent="0.25">
      <c r="B36" s="52" t="s">
        <v>869</v>
      </c>
      <c r="C36" s="124">
        <v>43435</v>
      </c>
      <c r="D36" s="124" t="s">
        <v>650</v>
      </c>
      <c r="E36" s="69">
        <v>3</v>
      </c>
      <c r="F36" s="85"/>
      <c r="G36" s="55"/>
    </row>
    <row r="37" spans="2:7" s="53" customFormat="1" ht="25.15" customHeight="1" x14ac:dyDescent="0.25">
      <c r="B37" s="52" t="s">
        <v>263</v>
      </c>
      <c r="C37" s="124">
        <v>43435</v>
      </c>
      <c r="D37" s="124" t="s">
        <v>650</v>
      </c>
      <c r="E37" s="105">
        <v>4</v>
      </c>
      <c r="F37" s="85"/>
      <c r="G37" s="55"/>
    </row>
    <row r="38" spans="2:7" s="53" customFormat="1" ht="25.15" customHeight="1" x14ac:dyDescent="0.25">
      <c r="B38" s="52" t="s">
        <v>265</v>
      </c>
      <c r="C38" s="124">
        <v>43435</v>
      </c>
      <c r="D38" s="124" t="s">
        <v>650</v>
      </c>
      <c r="E38" s="69">
        <v>1</v>
      </c>
      <c r="F38" s="85"/>
      <c r="G38" s="55"/>
    </row>
    <row r="39" spans="2:7" s="53" customFormat="1" ht="25.15" customHeight="1" x14ac:dyDescent="0.25">
      <c r="B39" s="52" t="s">
        <v>122</v>
      </c>
      <c r="C39" s="124">
        <v>43435</v>
      </c>
      <c r="D39" s="124" t="s">
        <v>650</v>
      </c>
      <c r="E39" s="69">
        <v>4</v>
      </c>
      <c r="F39" s="85"/>
      <c r="G39" s="55"/>
    </row>
    <row r="40" spans="2:7" s="53" customFormat="1" ht="25.15" customHeight="1" x14ac:dyDescent="0.25">
      <c r="B40" s="52" t="s">
        <v>655</v>
      </c>
      <c r="C40" s="124">
        <v>43435</v>
      </c>
      <c r="D40" s="124" t="s">
        <v>650</v>
      </c>
      <c r="E40" s="69">
        <v>1</v>
      </c>
      <c r="F40" s="85"/>
      <c r="G40" s="55"/>
    </row>
    <row r="41" spans="2:7" s="53" customFormat="1" ht="25.15" customHeight="1" x14ac:dyDescent="0.25">
      <c r="B41" s="52" t="s">
        <v>314</v>
      </c>
      <c r="C41" s="124">
        <v>43435</v>
      </c>
      <c r="D41" s="53" t="s">
        <v>650</v>
      </c>
      <c r="E41" s="69">
        <v>1</v>
      </c>
      <c r="F41" s="85"/>
      <c r="G41" s="55"/>
    </row>
    <row r="42" spans="2:7" s="53" customFormat="1" ht="25.15" customHeight="1" x14ac:dyDescent="0.25">
      <c r="B42" s="52" t="s">
        <v>721</v>
      </c>
      <c r="C42" s="124">
        <v>43435</v>
      </c>
      <c r="D42" s="124" t="s">
        <v>650</v>
      </c>
      <c r="E42" s="69">
        <v>3</v>
      </c>
      <c r="F42" s="85"/>
      <c r="G42" s="55"/>
    </row>
    <row r="43" spans="2:7" s="53" customFormat="1" ht="25.15" customHeight="1" x14ac:dyDescent="0.25">
      <c r="B43" s="52" t="s">
        <v>14</v>
      </c>
      <c r="C43" s="124">
        <v>43435</v>
      </c>
      <c r="D43" s="124" t="s">
        <v>650</v>
      </c>
      <c r="E43" s="69">
        <v>2</v>
      </c>
      <c r="F43" s="85"/>
      <c r="G43" s="55"/>
    </row>
    <row r="44" spans="2:7" s="53" customFormat="1" ht="25.15" customHeight="1" x14ac:dyDescent="0.25">
      <c r="B44" s="130" t="s">
        <v>905</v>
      </c>
      <c r="C44" s="124">
        <v>43435</v>
      </c>
      <c r="D44" s="124" t="s">
        <v>650</v>
      </c>
      <c r="E44" s="69">
        <v>1</v>
      </c>
      <c r="F44" s="85"/>
      <c r="G44" s="55"/>
    </row>
    <row r="45" spans="2:7" s="53" customFormat="1" ht="25.15" customHeight="1" x14ac:dyDescent="0.25">
      <c r="B45" s="52" t="s">
        <v>151</v>
      </c>
      <c r="C45" s="124">
        <v>43435</v>
      </c>
      <c r="D45" s="53" t="s">
        <v>650</v>
      </c>
      <c r="E45" s="69">
        <v>3</v>
      </c>
      <c r="F45" s="85"/>
      <c r="G45" s="55"/>
    </row>
    <row r="46" spans="2:7" s="53" customFormat="1" ht="25.15" customHeight="1" x14ac:dyDescent="0.25">
      <c r="B46" s="52" t="s">
        <v>723</v>
      </c>
      <c r="C46" s="124">
        <v>43435</v>
      </c>
      <c r="D46" s="124" t="s">
        <v>650</v>
      </c>
      <c r="E46" s="69">
        <v>3</v>
      </c>
      <c r="F46" s="85"/>
      <c r="G46" s="55"/>
    </row>
    <row r="47" spans="2:7" s="53" customFormat="1" ht="25.15" customHeight="1" x14ac:dyDescent="0.25">
      <c r="B47" s="52" t="s">
        <v>171</v>
      </c>
      <c r="C47" s="124">
        <v>43435</v>
      </c>
      <c r="D47" s="124" t="s">
        <v>650</v>
      </c>
      <c r="E47" s="69">
        <v>2</v>
      </c>
      <c r="F47" s="85"/>
      <c r="G47" s="55"/>
    </row>
    <row r="48" spans="2:7" s="53" customFormat="1" ht="25.15" customHeight="1" x14ac:dyDescent="0.25">
      <c r="B48" s="52" t="s">
        <v>87</v>
      </c>
      <c r="C48" s="124">
        <v>43435</v>
      </c>
      <c r="D48" s="124" t="s">
        <v>650</v>
      </c>
      <c r="E48" s="69">
        <v>3</v>
      </c>
      <c r="F48" s="85"/>
      <c r="G48" s="55"/>
    </row>
    <row r="49" spans="2:7" s="53" customFormat="1" ht="25.15" customHeight="1" x14ac:dyDescent="0.25">
      <c r="B49" s="52" t="s">
        <v>285</v>
      </c>
      <c r="C49" s="124">
        <v>43435</v>
      </c>
      <c r="D49" s="124" t="s">
        <v>650</v>
      </c>
      <c r="E49" s="69">
        <v>3</v>
      </c>
      <c r="F49" s="85"/>
      <c r="G49" s="55"/>
    </row>
    <row r="50" spans="2:7" s="53" customFormat="1" ht="25.15" customHeight="1" x14ac:dyDescent="0.25">
      <c r="B50" s="52" t="s">
        <v>251</v>
      </c>
      <c r="C50" s="124">
        <v>43435</v>
      </c>
      <c r="D50" s="124" t="s">
        <v>650</v>
      </c>
      <c r="E50" s="69">
        <v>1</v>
      </c>
      <c r="F50" s="85"/>
      <c r="G50" s="55"/>
    </row>
    <row r="51" spans="2:7" s="53" customFormat="1" ht="25.15" customHeight="1" x14ac:dyDescent="0.25">
      <c r="B51" s="52" t="s">
        <v>88</v>
      </c>
      <c r="C51" s="124">
        <v>43435</v>
      </c>
      <c r="D51" s="124" t="s">
        <v>650</v>
      </c>
      <c r="E51" s="69">
        <v>1</v>
      </c>
      <c r="F51" s="85"/>
      <c r="G51" s="55"/>
    </row>
    <row r="52" spans="2:7" s="53" customFormat="1" ht="25.15" customHeight="1" x14ac:dyDescent="0.25">
      <c r="B52" s="52" t="s">
        <v>711</v>
      </c>
      <c r="C52" s="124">
        <v>43435</v>
      </c>
      <c r="D52" s="124" t="s">
        <v>650</v>
      </c>
      <c r="E52" s="69">
        <v>2</v>
      </c>
      <c r="F52" s="85"/>
      <c r="G52" s="55"/>
    </row>
    <row r="53" spans="2:7" s="53" customFormat="1" ht="25.15" customHeight="1" x14ac:dyDescent="0.25">
      <c r="B53" s="52" t="s">
        <v>649</v>
      </c>
      <c r="C53" s="124">
        <v>43435</v>
      </c>
      <c r="D53" s="124" t="s">
        <v>650</v>
      </c>
      <c r="E53" s="69">
        <v>3</v>
      </c>
      <c r="F53" s="85"/>
      <c r="G53" s="55"/>
    </row>
    <row r="54" spans="2:7" s="53" customFormat="1" ht="25.15" customHeight="1" x14ac:dyDescent="0.25">
      <c r="B54" s="52" t="s">
        <v>657</v>
      </c>
      <c r="C54" s="124">
        <v>43435</v>
      </c>
      <c r="D54" s="124" t="s">
        <v>650</v>
      </c>
      <c r="E54" s="69">
        <v>2</v>
      </c>
      <c r="F54" s="85"/>
      <c r="G54" s="55"/>
    </row>
    <row r="55" spans="2:7" s="53" customFormat="1" ht="25.15" customHeight="1" x14ac:dyDescent="0.25">
      <c r="B55" s="52" t="s">
        <v>218</v>
      </c>
      <c r="C55" s="124">
        <v>43435</v>
      </c>
      <c r="D55" s="124" t="s">
        <v>650</v>
      </c>
      <c r="E55" s="69">
        <v>1</v>
      </c>
      <c r="F55" s="85"/>
      <c r="G55" s="55"/>
    </row>
    <row r="56" spans="2:7" s="53" customFormat="1" ht="25.15" customHeight="1" x14ac:dyDescent="0.25">
      <c r="B56" s="52" t="s">
        <v>202</v>
      </c>
      <c r="C56" s="124">
        <v>43435</v>
      </c>
      <c r="D56" s="124" t="s">
        <v>650</v>
      </c>
      <c r="E56" s="69">
        <v>2</v>
      </c>
      <c r="F56" s="85"/>
      <c r="G56" s="55"/>
    </row>
    <row r="57" spans="2:7" s="53" customFormat="1" ht="25.15" customHeight="1" x14ac:dyDescent="0.25">
      <c r="B57" s="52" t="s">
        <v>266</v>
      </c>
      <c r="C57" s="124">
        <v>43435</v>
      </c>
      <c r="D57" s="124" t="s">
        <v>650</v>
      </c>
      <c r="E57" s="69">
        <v>1</v>
      </c>
      <c r="F57" s="85"/>
      <c r="G57" s="55"/>
    </row>
    <row r="58" spans="2:7" s="53" customFormat="1" ht="25.15" customHeight="1" x14ac:dyDescent="0.25">
      <c r="B58" s="52" t="s">
        <v>589</v>
      </c>
      <c r="C58" s="124">
        <v>43435</v>
      </c>
      <c r="D58" s="124" t="s">
        <v>650</v>
      </c>
      <c r="E58" s="69">
        <v>5</v>
      </c>
      <c r="F58" s="85"/>
      <c r="G58" s="55"/>
    </row>
    <row r="59" spans="2:7" s="53" customFormat="1" ht="25.15" customHeight="1" x14ac:dyDescent="0.25">
      <c r="B59" s="52" t="s">
        <v>589</v>
      </c>
      <c r="C59" s="124">
        <v>43435</v>
      </c>
      <c r="D59" s="53" t="s">
        <v>11</v>
      </c>
      <c r="E59" s="69">
        <v>1.1100000000000001</v>
      </c>
      <c r="F59" s="85"/>
      <c r="G59" s="55"/>
    </row>
    <row r="60" spans="2:7" s="53" customFormat="1" ht="25.15" customHeight="1" x14ac:dyDescent="0.25">
      <c r="B60" s="52" t="s">
        <v>589</v>
      </c>
      <c r="C60" s="124">
        <v>43435</v>
      </c>
      <c r="D60" s="53" t="s">
        <v>389</v>
      </c>
      <c r="E60" s="69">
        <v>0.71</v>
      </c>
      <c r="F60" s="85"/>
      <c r="G60" s="55"/>
    </row>
    <row r="61" spans="2:7" s="53" customFormat="1" ht="25.15" customHeight="1" x14ac:dyDescent="0.25">
      <c r="B61" s="52" t="s">
        <v>589</v>
      </c>
      <c r="C61" s="124">
        <v>43435</v>
      </c>
      <c r="D61" s="53" t="s">
        <v>440</v>
      </c>
      <c r="E61" s="69" t="s">
        <v>405</v>
      </c>
      <c r="F61" s="85"/>
      <c r="G61" s="55"/>
    </row>
    <row r="62" spans="2:7" s="53" customFormat="1" ht="25.15" customHeight="1" x14ac:dyDescent="0.25">
      <c r="B62" s="52" t="s">
        <v>589</v>
      </c>
      <c r="C62" s="124">
        <v>43435</v>
      </c>
      <c r="D62" s="53" t="s">
        <v>437</v>
      </c>
      <c r="E62" s="126">
        <v>0.17699999999999999</v>
      </c>
      <c r="F62" s="85"/>
      <c r="G62" s="55"/>
    </row>
    <row r="63" spans="2:7" s="53" customFormat="1" ht="25.15" customHeight="1" x14ac:dyDescent="0.25">
      <c r="B63" s="52" t="s">
        <v>589</v>
      </c>
      <c r="C63" s="124">
        <v>43435</v>
      </c>
      <c r="D63" s="53" t="s">
        <v>653</v>
      </c>
      <c r="E63" s="69">
        <v>6</v>
      </c>
      <c r="F63" s="85"/>
      <c r="G63" s="55"/>
    </row>
    <row r="64" spans="2:7" s="53" customFormat="1" ht="25.15" customHeight="1" x14ac:dyDescent="0.25">
      <c r="B64" s="52" t="s">
        <v>589</v>
      </c>
      <c r="C64" s="124">
        <v>43435</v>
      </c>
      <c r="D64" s="53" t="s">
        <v>10</v>
      </c>
      <c r="E64" s="69">
        <v>7</v>
      </c>
      <c r="F64" s="85"/>
      <c r="G64" s="55"/>
    </row>
    <row r="65" spans="2:7" s="53" customFormat="1" ht="25.15" customHeight="1" x14ac:dyDescent="0.25">
      <c r="B65" s="52" t="s">
        <v>589</v>
      </c>
      <c r="C65" s="124">
        <v>43435</v>
      </c>
      <c r="D65" s="53" t="s">
        <v>426</v>
      </c>
      <c r="E65" s="69">
        <v>16.71</v>
      </c>
      <c r="F65" s="85"/>
      <c r="G65" s="55"/>
    </row>
    <row r="66" spans="2:7" s="53" customFormat="1" ht="25.15" customHeight="1" x14ac:dyDescent="0.25">
      <c r="B66" s="52" t="s">
        <v>263</v>
      </c>
      <c r="C66" s="124">
        <v>43435</v>
      </c>
      <c r="D66" s="124" t="s">
        <v>403</v>
      </c>
      <c r="E66" s="69" t="s">
        <v>578</v>
      </c>
      <c r="F66" s="85"/>
      <c r="G66" s="55"/>
    </row>
    <row r="67" spans="2:7" s="53" customFormat="1" ht="25.15" customHeight="1" x14ac:dyDescent="0.25">
      <c r="B67" s="52" t="s">
        <v>591</v>
      </c>
      <c r="C67" s="124">
        <v>43435</v>
      </c>
      <c r="D67" s="124" t="s">
        <v>650</v>
      </c>
      <c r="E67" s="69">
        <v>1</v>
      </c>
      <c r="F67" s="85"/>
      <c r="G67" s="55"/>
    </row>
    <row r="68" spans="2:7" s="53" customFormat="1" ht="25.15" customHeight="1" x14ac:dyDescent="0.25">
      <c r="B68" s="52" t="s">
        <v>368</v>
      </c>
      <c r="C68" s="124">
        <v>43435</v>
      </c>
      <c r="D68" s="124" t="s">
        <v>650</v>
      </c>
      <c r="E68" s="69">
        <v>1</v>
      </c>
      <c r="F68" s="85"/>
      <c r="G68" s="55"/>
    </row>
    <row r="69" spans="2:7" s="53" customFormat="1" ht="25.15" customHeight="1" x14ac:dyDescent="0.25">
      <c r="B69" s="52" t="s">
        <v>595</v>
      </c>
      <c r="C69" s="124">
        <v>43435</v>
      </c>
      <c r="D69" s="124" t="s">
        <v>650</v>
      </c>
      <c r="E69" s="69">
        <v>4</v>
      </c>
      <c r="F69" s="85"/>
      <c r="G69" s="55"/>
    </row>
    <row r="70" spans="2:7" s="53" customFormat="1" ht="25.15" customHeight="1" x14ac:dyDescent="0.25">
      <c r="B70" s="52" t="s">
        <v>33</v>
      </c>
      <c r="C70" s="124">
        <v>43435</v>
      </c>
      <c r="D70" s="124" t="s">
        <v>650</v>
      </c>
      <c r="E70" s="69">
        <v>3</v>
      </c>
      <c r="F70" s="85"/>
      <c r="G70" s="55"/>
    </row>
    <row r="71" spans="2:7" s="53" customFormat="1" ht="25.15" customHeight="1" x14ac:dyDescent="0.25">
      <c r="B71" s="52" t="s">
        <v>654</v>
      </c>
      <c r="C71" s="124">
        <v>43435</v>
      </c>
      <c r="D71" s="124" t="s">
        <v>650</v>
      </c>
      <c r="E71" s="69">
        <v>4</v>
      </c>
      <c r="F71" s="85"/>
      <c r="G71" s="55"/>
    </row>
    <row r="72" spans="2:7" s="53" customFormat="1" ht="25.15" customHeight="1" x14ac:dyDescent="0.25">
      <c r="B72" s="52" t="s">
        <v>589</v>
      </c>
      <c r="C72" s="124">
        <v>43435</v>
      </c>
      <c r="D72" s="53" t="s">
        <v>403</v>
      </c>
      <c r="E72" s="69" t="s">
        <v>578</v>
      </c>
      <c r="F72" s="85"/>
      <c r="G72" s="55"/>
    </row>
    <row r="73" spans="2:7" s="53" customFormat="1" ht="25.15" customHeight="1" x14ac:dyDescent="0.25">
      <c r="B73" s="52" t="s">
        <v>713</v>
      </c>
      <c r="C73" s="124">
        <v>43435</v>
      </c>
      <c r="D73" s="124" t="s">
        <v>650</v>
      </c>
      <c r="E73" s="69">
        <v>1</v>
      </c>
      <c r="F73" s="85"/>
      <c r="G73" s="55"/>
    </row>
    <row r="74" spans="2:7" s="53" customFormat="1" ht="25.15" customHeight="1" x14ac:dyDescent="0.25">
      <c r="B74" s="52" t="s">
        <v>441</v>
      </c>
      <c r="C74" s="124">
        <v>43435</v>
      </c>
      <c r="D74" s="124" t="s">
        <v>650</v>
      </c>
      <c r="E74" s="69">
        <v>4</v>
      </c>
      <c r="F74" s="85"/>
      <c r="G74" s="55"/>
    </row>
    <row r="75" spans="2:7" s="53" customFormat="1" ht="25.15" customHeight="1" x14ac:dyDescent="0.25">
      <c r="B75" s="52" t="s">
        <v>727</v>
      </c>
      <c r="C75" s="124">
        <v>43435</v>
      </c>
      <c r="D75" s="124" t="s">
        <v>650</v>
      </c>
      <c r="E75" s="69">
        <v>5</v>
      </c>
      <c r="F75" s="85"/>
      <c r="G75" s="55"/>
    </row>
    <row r="76" spans="2:7" s="53" customFormat="1" ht="25.15" customHeight="1" x14ac:dyDescent="0.25">
      <c r="B76" s="52" t="s">
        <v>727</v>
      </c>
      <c r="C76" s="124">
        <v>43435</v>
      </c>
      <c r="D76" s="124" t="s">
        <v>11</v>
      </c>
      <c r="E76" s="69">
        <v>0.65</v>
      </c>
      <c r="F76" s="85"/>
      <c r="G76" s="55"/>
    </row>
    <row r="77" spans="2:7" s="53" customFormat="1" ht="25.15" customHeight="1" x14ac:dyDescent="0.25">
      <c r="B77" s="52" t="s">
        <v>727</v>
      </c>
      <c r="C77" s="124">
        <v>43435</v>
      </c>
      <c r="D77" s="124" t="s">
        <v>389</v>
      </c>
      <c r="E77" s="69">
        <v>0.87</v>
      </c>
      <c r="F77" s="85"/>
      <c r="G77" s="55"/>
    </row>
    <row r="78" spans="2:7" s="53" customFormat="1" ht="25.15" customHeight="1" x14ac:dyDescent="0.25">
      <c r="B78" s="52" t="s">
        <v>727</v>
      </c>
      <c r="C78" s="124">
        <v>43435</v>
      </c>
      <c r="D78" s="124" t="s">
        <v>440</v>
      </c>
      <c r="E78" s="69" t="s">
        <v>405</v>
      </c>
      <c r="F78" s="85"/>
      <c r="G78" s="55"/>
    </row>
    <row r="79" spans="2:7" s="53" customFormat="1" ht="25.15" customHeight="1" x14ac:dyDescent="0.25">
      <c r="B79" s="52" t="s">
        <v>727</v>
      </c>
      <c r="C79" s="124">
        <v>43435</v>
      </c>
      <c r="D79" s="124" t="s">
        <v>437</v>
      </c>
      <c r="E79" s="129">
        <v>0.19789999999999999</v>
      </c>
      <c r="F79" s="85"/>
      <c r="G79" s="55"/>
    </row>
    <row r="80" spans="2:7" s="53" customFormat="1" ht="25.15" customHeight="1" x14ac:dyDescent="0.25">
      <c r="B80" s="52" t="s">
        <v>727</v>
      </c>
      <c r="C80" s="124">
        <v>43435</v>
      </c>
      <c r="D80" s="124" t="s">
        <v>653</v>
      </c>
      <c r="E80" s="129">
        <v>0</v>
      </c>
      <c r="F80" s="85"/>
      <c r="G80" s="55"/>
    </row>
    <row r="81" spans="2:7" s="53" customFormat="1" ht="25.15" customHeight="1" x14ac:dyDescent="0.25">
      <c r="B81" s="52" t="s">
        <v>727</v>
      </c>
      <c r="C81" s="124">
        <v>43435</v>
      </c>
      <c r="D81" s="124" t="s">
        <v>10</v>
      </c>
      <c r="E81" s="69">
        <v>7</v>
      </c>
      <c r="F81" s="85"/>
      <c r="G81" s="55"/>
    </row>
    <row r="82" spans="2:7" s="53" customFormat="1" ht="25.15" customHeight="1" x14ac:dyDescent="0.25">
      <c r="B82" s="52" t="s">
        <v>727</v>
      </c>
      <c r="C82" s="124">
        <v>43435</v>
      </c>
      <c r="D82" s="124" t="s">
        <v>426</v>
      </c>
      <c r="E82" s="158">
        <v>51.28</v>
      </c>
      <c r="F82" s="85"/>
      <c r="G82" s="55"/>
    </row>
    <row r="83" spans="2:7" s="53" customFormat="1" ht="25.15" customHeight="1" x14ac:dyDescent="0.25">
      <c r="B83" s="52" t="s">
        <v>866</v>
      </c>
      <c r="C83" s="124">
        <v>43435</v>
      </c>
      <c r="D83" s="124" t="s">
        <v>650</v>
      </c>
      <c r="E83" s="69">
        <v>1</v>
      </c>
      <c r="F83" s="85"/>
      <c r="G83" s="55"/>
    </row>
    <row r="84" spans="2:7" s="53" customFormat="1" ht="25.15" customHeight="1" x14ac:dyDescent="0.25">
      <c r="B84" s="52" t="s">
        <v>15</v>
      </c>
      <c r="C84" s="124">
        <v>43435</v>
      </c>
      <c r="D84" s="124" t="s">
        <v>650</v>
      </c>
      <c r="E84" s="69">
        <v>1</v>
      </c>
      <c r="F84" s="85"/>
      <c r="G84" s="55"/>
    </row>
    <row r="85" spans="2:7" s="53" customFormat="1" ht="25.15" customHeight="1" x14ac:dyDescent="0.25">
      <c r="B85" s="52" t="s">
        <v>729</v>
      </c>
      <c r="C85" s="124">
        <v>43435</v>
      </c>
      <c r="D85" s="124" t="s">
        <v>650</v>
      </c>
      <c r="E85" s="69">
        <v>2</v>
      </c>
      <c r="F85" s="85"/>
      <c r="G85" s="55"/>
    </row>
    <row r="86" spans="2:7" s="53" customFormat="1" ht="25.15" customHeight="1" x14ac:dyDescent="0.25">
      <c r="B86" s="52" t="s">
        <v>16</v>
      </c>
      <c r="C86" s="124">
        <v>43435</v>
      </c>
      <c r="D86" s="124" t="s">
        <v>650</v>
      </c>
      <c r="E86" s="69">
        <v>1</v>
      </c>
      <c r="F86" s="85"/>
      <c r="G86" s="55"/>
    </row>
    <row r="87" spans="2:7" s="53" customFormat="1" ht="25.15" customHeight="1" x14ac:dyDescent="0.25">
      <c r="B87" s="52" t="s">
        <v>210</v>
      </c>
      <c r="C87" s="124">
        <v>43435</v>
      </c>
      <c r="D87" s="124" t="s">
        <v>650</v>
      </c>
      <c r="E87" s="69">
        <v>1</v>
      </c>
      <c r="F87" s="85"/>
      <c r="G87" s="55"/>
    </row>
    <row r="88" spans="2:7" s="53" customFormat="1" ht="25.15" customHeight="1" x14ac:dyDescent="0.25">
      <c r="B88" s="52" t="s">
        <v>576</v>
      </c>
      <c r="C88" s="124">
        <v>43435</v>
      </c>
      <c r="D88" s="124" t="s">
        <v>650</v>
      </c>
      <c r="E88" s="69">
        <v>1</v>
      </c>
      <c r="F88" s="85"/>
      <c r="G88" s="55"/>
    </row>
    <row r="89" spans="2:7" s="53" customFormat="1" ht="25.15" customHeight="1" x14ac:dyDescent="0.25">
      <c r="B89" s="52" t="s">
        <v>732</v>
      </c>
      <c r="C89" s="124">
        <v>43435</v>
      </c>
      <c r="D89" s="124" t="s">
        <v>650</v>
      </c>
      <c r="E89" s="69">
        <v>5</v>
      </c>
      <c r="F89" s="85"/>
      <c r="G89" s="55"/>
    </row>
    <row r="90" spans="2:7" s="53" customFormat="1" ht="25.15" customHeight="1" x14ac:dyDescent="0.25">
      <c r="B90" s="52" t="s">
        <v>732</v>
      </c>
      <c r="C90" s="124">
        <v>43435</v>
      </c>
      <c r="D90" s="124" t="s">
        <v>11</v>
      </c>
      <c r="E90" s="69">
        <v>0.69</v>
      </c>
      <c r="F90" s="85"/>
      <c r="G90" s="55"/>
    </row>
    <row r="91" spans="2:7" s="53" customFormat="1" ht="25.15" customHeight="1" x14ac:dyDescent="0.25">
      <c r="B91" s="52" t="s">
        <v>732</v>
      </c>
      <c r="C91" s="124">
        <v>43435</v>
      </c>
      <c r="D91" s="124" t="s">
        <v>389</v>
      </c>
      <c r="E91" s="75">
        <v>0.9</v>
      </c>
      <c r="F91" s="85"/>
      <c r="G91" s="55"/>
    </row>
    <row r="92" spans="2:7" s="53" customFormat="1" ht="25.15" customHeight="1" x14ac:dyDescent="0.25">
      <c r="B92" s="52" t="s">
        <v>732</v>
      </c>
      <c r="C92" s="124">
        <v>43435</v>
      </c>
      <c r="D92" s="124" t="s">
        <v>440</v>
      </c>
      <c r="E92" s="69" t="s">
        <v>405</v>
      </c>
      <c r="F92" s="85"/>
      <c r="G92" s="55"/>
    </row>
    <row r="93" spans="2:7" s="53" customFormat="1" ht="25.15" customHeight="1" x14ac:dyDescent="0.25">
      <c r="B93" s="52" t="s">
        <v>732</v>
      </c>
      <c r="C93" s="124">
        <v>43435</v>
      </c>
      <c r="D93" s="124" t="s">
        <v>437</v>
      </c>
      <c r="E93" s="129">
        <v>0.19789999999999999</v>
      </c>
      <c r="F93" s="85"/>
      <c r="G93" s="55"/>
    </row>
    <row r="94" spans="2:7" s="53" customFormat="1" ht="25.15" customHeight="1" x14ac:dyDescent="0.25">
      <c r="B94" s="52" t="s">
        <v>732</v>
      </c>
      <c r="C94" s="124">
        <v>43435</v>
      </c>
      <c r="D94" s="124" t="s">
        <v>653</v>
      </c>
      <c r="E94" s="129">
        <v>0.11259999999999999</v>
      </c>
      <c r="F94" s="85"/>
      <c r="G94" s="55"/>
    </row>
    <row r="95" spans="2:7" s="53" customFormat="1" ht="25.15" customHeight="1" x14ac:dyDescent="0.25">
      <c r="B95" s="52" t="s">
        <v>732</v>
      </c>
      <c r="C95" s="124">
        <v>43435</v>
      </c>
      <c r="D95" s="124" t="s">
        <v>10</v>
      </c>
      <c r="E95" s="69">
        <v>7</v>
      </c>
      <c r="F95" s="85"/>
      <c r="G95" s="55"/>
    </row>
    <row r="96" spans="2:7" s="53" customFormat="1" ht="25.15" customHeight="1" x14ac:dyDescent="0.25">
      <c r="B96" s="52" t="s">
        <v>732</v>
      </c>
      <c r="C96" s="124">
        <v>43435</v>
      </c>
      <c r="D96" s="124" t="s">
        <v>426</v>
      </c>
      <c r="E96" s="158">
        <v>13.76</v>
      </c>
      <c r="F96" s="85"/>
      <c r="G96" s="55"/>
    </row>
    <row r="97" spans="2:7" s="53" customFormat="1" ht="25.15" customHeight="1" x14ac:dyDescent="0.25">
      <c r="B97" s="52" t="s">
        <v>441</v>
      </c>
      <c r="C97" s="124">
        <v>43435</v>
      </c>
      <c r="D97" s="124" t="s">
        <v>403</v>
      </c>
      <c r="E97" s="69" t="s">
        <v>578</v>
      </c>
      <c r="F97" s="85"/>
      <c r="G97" s="55"/>
    </row>
    <row r="98" spans="2:7" s="53" customFormat="1" ht="25.15" customHeight="1" x14ac:dyDescent="0.25">
      <c r="B98" s="52" t="s">
        <v>604</v>
      </c>
      <c r="C98" s="124">
        <v>43435</v>
      </c>
      <c r="D98" s="124" t="s">
        <v>650</v>
      </c>
      <c r="E98" s="69">
        <v>2</v>
      </c>
      <c r="F98" s="85"/>
      <c r="G98" s="55"/>
    </row>
    <row r="99" spans="2:7" s="53" customFormat="1" ht="25.15" customHeight="1" x14ac:dyDescent="0.25">
      <c r="B99" s="52" t="s">
        <v>734</v>
      </c>
      <c r="C99" s="124">
        <v>43435</v>
      </c>
      <c r="D99" s="124" t="s">
        <v>650</v>
      </c>
      <c r="E99" s="69">
        <v>5</v>
      </c>
      <c r="F99" s="85"/>
      <c r="G99" s="55"/>
    </row>
    <row r="100" spans="2:7" s="53" customFormat="1" ht="25.15" customHeight="1" x14ac:dyDescent="0.25">
      <c r="B100" s="52" t="s">
        <v>734</v>
      </c>
      <c r="C100" s="124">
        <v>43435</v>
      </c>
      <c r="D100" s="124" t="s">
        <v>11</v>
      </c>
      <c r="E100" s="69">
        <v>0.44</v>
      </c>
      <c r="F100" s="85"/>
      <c r="G100" s="55"/>
    </row>
    <row r="101" spans="2:7" s="53" customFormat="1" ht="25.15" customHeight="1" x14ac:dyDescent="0.25">
      <c r="B101" s="52" t="s">
        <v>734</v>
      </c>
      <c r="C101" s="124">
        <v>43435</v>
      </c>
      <c r="D101" s="124" t="s">
        <v>389</v>
      </c>
      <c r="E101" s="69">
        <v>0.81</v>
      </c>
      <c r="F101" s="85"/>
      <c r="G101" s="55"/>
    </row>
    <row r="102" spans="2:7" s="53" customFormat="1" ht="25.15" customHeight="1" x14ac:dyDescent="0.25">
      <c r="B102" s="52" t="s">
        <v>734</v>
      </c>
      <c r="C102" s="124">
        <v>43435</v>
      </c>
      <c r="D102" s="124" t="s">
        <v>440</v>
      </c>
      <c r="E102" s="69" t="s">
        <v>405</v>
      </c>
      <c r="F102" s="85"/>
      <c r="G102" s="55"/>
    </row>
    <row r="103" spans="2:7" s="53" customFormat="1" ht="25.15" customHeight="1" x14ac:dyDescent="0.25">
      <c r="B103" s="52" t="s">
        <v>734</v>
      </c>
      <c r="C103" s="124">
        <v>43435</v>
      </c>
      <c r="D103" s="124" t="s">
        <v>437</v>
      </c>
      <c r="E103" s="129">
        <v>0.25480000000000003</v>
      </c>
      <c r="F103" s="85"/>
      <c r="G103" s="55"/>
    </row>
    <row r="104" spans="2:7" s="53" customFormat="1" ht="25.15" customHeight="1" x14ac:dyDescent="0.25">
      <c r="B104" s="52" t="s">
        <v>734</v>
      </c>
      <c r="C104" s="124">
        <v>43435</v>
      </c>
      <c r="D104" s="124" t="s">
        <v>653</v>
      </c>
      <c r="E104" s="129">
        <v>4.6999999999999993E-3</v>
      </c>
      <c r="F104" s="85"/>
      <c r="G104" s="55"/>
    </row>
    <row r="105" spans="2:7" s="53" customFormat="1" ht="25.15" customHeight="1" x14ac:dyDescent="0.25">
      <c r="B105" s="52" t="s">
        <v>734</v>
      </c>
      <c r="C105" s="124">
        <v>43435</v>
      </c>
      <c r="D105" s="124" t="s">
        <v>10</v>
      </c>
      <c r="E105" s="69">
        <v>7</v>
      </c>
      <c r="F105" s="85"/>
      <c r="G105" s="55"/>
    </row>
    <row r="106" spans="2:7" s="53" customFormat="1" ht="25.15" customHeight="1" x14ac:dyDescent="0.25">
      <c r="B106" s="52" t="s">
        <v>734</v>
      </c>
      <c r="C106" s="124">
        <v>43435</v>
      </c>
      <c r="D106" s="124" t="s">
        <v>426</v>
      </c>
      <c r="E106" s="158">
        <v>212.52</v>
      </c>
      <c r="F106" s="85"/>
      <c r="G106" s="55"/>
    </row>
    <row r="107" spans="2:7" s="53" customFormat="1" ht="25.15" customHeight="1" x14ac:dyDescent="0.25">
      <c r="B107" s="52" t="s">
        <v>727</v>
      </c>
      <c r="C107" s="124">
        <v>43435</v>
      </c>
      <c r="D107" s="124" t="s">
        <v>403</v>
      </c>
      <c r="E107" s="69" t="s">
        <v>578</v>
      </c>
      <c r="F107" s="85"/>
      <c r="G107" s="55"/>
    </row>
    <row r="108" spans="2:7" s="53" customFormat="1" ht="25.15" customHeight="1" x14ac:dyDescent="0.25">
      <c r="B108" s="52" t="s">
        <v>21</v>
      </c>
      <c r="C108" s="124">
        <v>43435</v>
      </c>
      <c r="D108" s="124" t="s">
        <v>650</v>
      </c>
      <c r="E108" s="69">
        <v>1</v>
      </c>
      <c r="F108" s="85"/>
      <c r="G108" s="55"/>
    </row>
    <row r="109" spans="2:7" s="53" customFormat="1" ht="25.15" customHeight="1" x14ac:dyDescent="0.25">
      <c r="B109" s="52" t="s">
        <v>732</v>
      </c>
      <c r="C109" s="124">
        <v>43435</v>
      </c>
      <c r="D109" s="124" t="s">
        <v>403</v>
      </c>
      <c r="E109" s="69" t="s">
        <v>578</v>
      </c>
      <c r="F109" s="85"/>
      <c r="G109" s="55"/>
    </row>
    <row r="110" spans="2:7" s="53" customFormat="1" ht="25.15" customHeight="1" x14ac:dyDescent="0.25">
      <c r="B110" s="52" t="s">
        <v>735</v>
      </c>
      <c r="C110" s="124">
        <v>43435</v>
      </c>
      <c r="D110" s="124" t="s">
        <v>650</v>
      </c>
      <c r="E110" s="69">
        <v>1</v>
      </c>
      <c r="F110" s="85"/>
      <c r="G110" s="55"/>
    </row>
    <row r="111" spans="2:7" s="53" customFormat="1" ht="25.15" customHeight="1" x14ac:dyDescent="0.25">
      <c r="B111" s="52" t="s">
        <v>902</v>
      </c>
      <c r="C111" s="124">
        <v>43435</v>
      </c>
      <c r="D111" s="124" t="s">
        <v>650</v>
      </c>
      <c r="E111" s="69">
        <v>1</v>
      </c>
      <c r="F111" s="85"/>
      <c r="G111" s="55"/>
    </row>
    <row r="112" spans="2:7" s="53" customFormat="1" ht="25.15" customHeight="1" x14ac:dyDescent="0.25">
      <c r="B112" s="52" t="s">
        <v>875</v>
      </c>
      <c r="C112" s="124">
        <v>43435</v>
      </c>
      <c r="D112" s="124" t="s">
        <v>650</v>
      </c>
      <c r="E112" s="69">
        <v>3</v>
      </c>
      <c r="F112" s="85"/>
      <c r="G112" s="55"/>
    </row>
    <row r="113" spans="2:7" s="53" customFormat="1" ht="25.15" customHeight="1" x14ac:dyDescent="0.25">
      <c r="B113" s="52" t="s">
        <v>241</v>
      </c>
      <c r="C113" s="124">
        <v>43435</v>
      </c>
      <c r="D113" s="124" t="s">
        <v>650</v>
      </c>
      <c r="E113" s="69">
        <v>5</v>
      </c>
      <c r="F113" s="85"/>
      <c r="G113" s="55"/>
    </row>
    <row r="114" spans="2:7" s="53" customFormat="1" ht="25.15" customHeight="1" x14ac:dyDescent="0.25">
      <c r="B114" s="52" t="s">
        <v>241</v>
      </c>
      <c r="C114" s="124">
        <v>43435</v>
      </c>
      <c r="D114" s="124" t="s">
        <v>11</v>
      </c>
      <c r="E114" s="69">
        <v>1.87</v>
      </c>
      <c r="F114" s="85"/>
      <c r="G114" s="55"/>
    </row>
    <row r="115" spans="2:7" s="53" customFormat="1" ht="25.15" customHeight="1" x14ac:dyDescent="0.25">
      <c r="B115" s="52" t="s">
        <v>241</v>
      </c>
      <c r="C115" s="124">
        <v>43435</v>
      </c>
      <c r="D115" s="124" t="s">
        <v>389</v>
      </c>
      <c r="E115" s="69">
        <v>1.1499999999999999</v>
      </c>
      <c r="F115" s="85"/>
      <c r="G115" s="55"/>
    </row>
    <row r="116" spans="2:7" s="53" customFormat="1" ht="25.15" customHeight="1" x14ac:dyDescent="0.25">
      <c r="B116" s="52" t="s">
        <v>241</v>
      </c>
      <c r="C116" s="124">
        <v>43435</v>
      </c>
      <c r="D116" s="124" t="s">
        <v>440</v>
      </c>
      <c r="E116" s="69" t="s">
        <v>405</v>
      </c>
      <c r="F116" s="85"/>
      <c r="G116" s="55"/>
    </row>
    <row r="117" spans="2:7" s="53" customFormat="1" ht="25.15" customHeight="1" x14ac:dyDescent="0.25">
      <c r="B117" s="52" t="s">
        <v>241</v>
      </c>
      <c r="C117" s="124">
        <v>43435</v>
      </c>
      <c r="D117" s="124" t="s">
        <v>437</v>
      </c>
      <c r="E117" s="129">
        <v>0.34560000000000002</v>
      </c>
      <c r="F117" s="85"/>
      <c r="G117" s="55"/>
    </row>
    <row r="118" spans="2:7" s="53" customFormat="1" ht="25.15" customHeight="1" x14ac:dyDescent="0.25">
      <c r="B118" s="52" t="s">
        <v>241</v>
      </c>
      <c r="C118" s="124">
        <v>43435</v>
      </c>
      <c r="D118" s="124" t="s">
        <v>653</v>
      </c>
      <c r="E118" s="129">
        <v>0</v>
      </c>
      <c r="F118" s="85"/>
      <c r="G118" s="55"/>
    </row>
    <row r="119" spans="2:7" s="53" customFormat="1" ht="25.15" customHeight="1" x14ac:dyDescent="0.25">
      <c r="B119" s="52" t="s">
        <v>241</v>
      </c>
      <c r="C119" s="124">
        <v>43435</v>
      </c>
      <c r="D119" s="124" t="s">
        <v>10</v>
      </c>
      <c r="E119" s="69">
        <v>5</v>
      </c>
      <c r="F119" s="85"/>
      <c r="G119" s="55"/>
    </row>
    <row r="120" spans="2:7" s="53" customFormat="1" ht="25.15" customHeight="1" x14ac:dyDescent="0.25">
      <c r="B120" s="52" t="s">
        <v>241</v>
      </c>
      <c r="C120" s="124">
        <v>43435</v>
      </c>
      <c r="D120" s="124" t="s">
        <v>426</v>
      </c>
      <c r="E120" s="158">
        <v>27.8</v>
      </c>
      <c r="F120" s="85"/>
      <c r="G120" s="55"/>
    </row>
    <row r="121" spans="2:7" s="53" customFormat="1" ht="25.15" customHeight="1" x14ac:dyDescent="0.25">
      <c r="B121" s="52" t="s">
        <v>241</v>
      </c>
      <c r="C121" s="124">
        <v>43435</v>
      </c>
      <c r="D121" s="124" t="s">
        <v>403</v>
      </c>
      <c r="E121" s="69" t="s">
        <v>424</v>
      </c>
      <c r="F121" s="85" t="s">
        <v>951</v>
      </c>
      <c r="G121" s="55"/>
    </row>
    <row r="122" spans="2:7" s="53" customFormat="1" ht="25.15" customHeight="1" x14ac:dyDescent="0.25">
      <c r="B122" s="52" t="s">
        <v>606</v>
      </c>
      <c r="C122" s="124">
        <v>43435</v>
      </c>
      <c r="D122" s="124" t="s">
        <v>650</v>
      </c>
      <c r="E122" s="69">
        <v>2</v>
      </c>
      <c r="F122" s="85"/>
      <c r="G122" s="55"/>
    </row>
    <row r="123" spans="2:7" s="53" customFormat="1" ht="25.15" customHeight="1" x14ac:dyDescent="0.25">
      <c r="B123" s="52" t="s">
        <v>19</v>
      </c>
      <c r="C123" s="124">
        <v>43435</v>
      </c>
      <c r="D123" s="124" t="s">
        <v>650</v>
      </c>
      <c r="E123" s="69">
        <v>1</v>
      </c>
      <c r="F123" s="85"/>
      <c r="G123" s="55"/>
    </row>
    <row r="124" spans="2:7" s="53" customFormat="1" ht="25.15" customHeight="1" x14ac:dyDescent="0.25">
      <c r="B124" s="52" t="s">
        <v>712</v>
      </c>
      <c r="C124" s="124">
        <v>43435</v>
      </c>
      <c r="D124" s="124" t="s">
        <v>650</v>
      </c>
      <c r="E124" s="69">
        <v>4</v>
      </c>
      <c r="F124" s="85"/>
      <c r="G124" s="55"/>
    </row>
    <row r="125" spans="2:7" s="53" customFormat="1" ht="25.15" customHeight="1" x14ac:dyDescent="0.25">
      <c r="B125" s="52" t="s">
        <v>442</v>
      </c>
      <c r="C125" s="124">
        <v>43435</v>
      </c>
      <c r="D125" s="53" t="s">
        <v>650</v>
      </c>
      <c r="E125" s="69">
        <v>1</v>
      </c>
      <c r="F125" s="85"/>
      <c r="G125" s="55"/>
    </row>
    <row r="126" spans="2:7" s="53" customFormat="1" ht="25.15" customHeight="1" x14ac:dyDescent="0.25">
      <c r="B126" s="52" t="s">
        <v>129</v>
      </c>
      <c r="C126" s="124">
        <v>43435</v>
      </c>
      <c r="D126" s="124" t="s">
        <v>650</v>
      </c>
      <c r="E126" s="69">
        <v>1</v>
      </c>
      <c r="F126" s="85"/>
      <c r="G126" s="55"/>
    </row>
    <row r="127" spans="2:7" s="53" customFormat="1" ht="25.15" customHeight="1" x14ac:dyDescent="0.25">
      <c r="B127" s="52" t="s">
        <v>173</v>
      </c>
      <c r="C127" s="124">
        <v>43435</v>
      </c>
      <c r="D127" s="124" t="s">
        <v>650</v>
      </c>
      <c r="E127" s="69">
        <v>4</v>
      </c>
      <c r="F127" s="85"/>
      <c r="G127" s="55"/>
    </row>
    <row r="128" spans="2:7" s="53" customFormat="1" ht="25.15" customHeight="1" x14ac:dyDescent="0.25">
      <c r="B128" s="52" t="s">
        <v>20</v>
      </c>
      <c r="C128" s="124">
        <v>43435</v>
      </c>
      <c r="D128" s="124" t="s">
        <v>650</v>
      </c>
      <c r="E128" s="69">
        <v>1</v>
      </c>
      <c r="F128" s="85"/>
      <c r="G128" s="55"/>
    </row>
    <row r="129" spans="2:7" s="53" customFormat="1" ht="25.15" customHeight="1" x14ac:dyDescent="0.25">
      <c r="B129" s="52" t="s">
        <v>18</v>
      </c>
      <c r="C129" s="124">
        <v>43435</v>
      </c>
      <c r="D129" s="124" t="s">
        <v>650</v>
      </c>
      <c r="E129" s="69">
        <v>1</v>
      </c>
      <c r="F129" s="85"/>
      <c r="G129" s="55"/>
    </row>
    <row r="130" spans="2:7" s="53" customFormat="1" ht="25.15" customHeight="1" x14ac:dyDescent="0.25">
      <c r="B130" s="52" t="s">
        <v>25</v>
      </c>
      <c r="C130" s="124">
        <v>43435</v>
      </c>
      <c r="D130" s="124" t="s">
        <v>650</v>
      </c>
      <c r="E130" s="69">
        <v>1</v>
      </c>
      <c r="F130" s="85"/>
      <c r="G130" s="55"/>
    </row>
    <row r="131" spans="2:7" s="53" customFormat="1" ht="25.15" customHeight="1" x14ac:dyDescent="0.25">
      <c r="B131" s="52" t="s">
        <v>287</v>
      </c>
      <c r="C131" s="124">
        <v>43435</v>
      </c>
      <c r="D131" s="124" t="s">
        <v>650</v>
      </c>
      <c r="E131" s="69">
        <v>2</v>
      </c>
      <c r="F131" s="85"/>
      <c r="G131" s="55"/>
    </row>
    <row r="132" spans="2:7" s="53" customFormat="1" ht="25.15" customHeight="1" x14ac:dyDescent="0.25">
      <c r="B132" s="52" t="s">
        <v>223</v>
      </c>
      <c r="C132" s="124">
        <v>43435</v>
      </c>
      <c r="D132" s="124" t="s">
        <v>650</v>
      </c>
      <c r="E132" s="69">
        <v>1</v>
      </c>
      <c r="F132" s="85"/>
      <c r="G132" s="55"/>
    </row>
    <row r="133" spans="2:7" s="53" customFormat="1" ht="25.15" customHeight="1" x14ac:dyDescent="0.25">
      <c r="B133" s="52" t="s">
        <v>131</v>
      </c>
      <c r="C133" s="124">
        <v>43435</v>
      </c>
      <c r="D133" s="124" t="s">
        <v>650</v>
      </c>
      <c r="E133" s="69">
        <v>1</v>
      </c>
      <c r="F133" s="85"/>
      <c r="G133" s="55"/>
    </row>
    <row r="134" spans="2:7" s="53" customFormat="1" ht="25.15" customHeight="1" x14ac:dyDescent="0.25">
      <c r="B134" s="52" t="s">
        <v>243</v>
      </c>
      <c r="C134" s="124">
        <v>43435</v>
      </c>
      <c r="D134" s="124" t="s">
        <v>650</v>
      </c>
      <c r="E134" s="69">
        <v>1</v>
      </c>
      <c r="F134" s="85"/>
      <c r="G134" s="55"/>
    </row>
    <row r="135" spans="2:7" s="53" customFormat="1" ht="25.15" customHeight="1" x14ac:dyDescent="0.25">
      <c r="B135" s="52" t="s">
        <v>390</v>
      </c>
      <c r="C135" s="124">
        <v>43435</v>
      </c>
      <c r="D135" s="53" t="s">
        <v>650</v>
      </c>
      <c r="E135" s="69">
        <v>1</v>
      </c>
      <c r="F135" s="85"/>
      <c r="G135" s="55"/>
    </row>
    <row r="136" spans="2:7" s="53" customFormat="1" ht="25.15" customHeight="1" x14ac:dyDescent="0.25">
      <c r="B136" s="52" t="s">
        <v>738</v>
      </c>
      <c r="C136" s="124">
        <v>43435</v>
      </c>
      <c r="D136" s="124" t="s">
        <v>650</v>
      </c>
      <c r="E136" s="69">
        <v>1</v>
      </c>
      <c r="F136" s="85"/>
      <c r="G136" s="55"/>
    </row>
    <row r="137" spans="2:7" s="53" customFormat="1" ht="25.15" customHeight="1" x14ac:dyDescent="0.25">
      <c r="B137" s="52" t="s">
        <v>288</v>
      </c>
      <c r="C137" s="124">
        <v>43435</v>
      </c>
      <c r="D137" s="53" t="s">
        <v>650</v>
      </c>
      <c r="E137" s="69">
        <v>4</v>
      </c>
      <c r="F137" s="85"/>
      <c r="G137" s="55"/>
    </row>
    <row r="138" spans="2:7" s="53" customFormat="1" ht="25.15" customHeight="1" x14ac:dyDescent="0.25">
      <c r="B138" s="52" t="s">
        <v>335</v>
      </c>
      <c r="C138" s="124">
        <v>43435</v>
      </c>
      <c r="D138" s="124" t="s">
        <v>650</v>
      </c>
      <c r="E138" s="69">
        <v>1</v>
      </c>
      <c r="F138" s="85"/>
      <c r="G138" s="55"/>
    </row>
    <row r="139" spans="2:7" s="53" customFormat="1" ht="25.15" customHeight="1" x14ac:dyDescent="0.25">
      <c r="B139" s="52" t="s">
        <v>609</v>
      </c>
      <c r="C139" s="124">
        <v>43435</v>
      </c>
      <c r="D139" s="124" t="s">
        <v>650</v>
      </c>
      <c r="E139" s="69">
        <v>2</v>
      </c>
      <c r="F139" s="85"/>
      <c r="G139" s="55"/>
    </row>
    <row r="140" spans="2:7" s="53" customFormat="1" ht="25.15" customHeight="1" x14ac:dyDescent="0.25">
      <c r="B140" s="52" t="s">
        <v>666</v>
      </c>
      <c r="C140" s="124">
        <v>43435</v>
      </c>
      <c r="D140" s="124" t="s">
        <v>650</v>
      </c>
      <c r="E140" s="69">
        <v>3</v>
      </c>
      <c r="F140" s="85"/>
      <c r="G140" s="55"/>
    </row>
    <row r="141" spans="2:7" s="53" customFormat="1" ht="25.15" customHeight="1" x14ac:dyDescent="0.25">
      <c r="B141" s="52" t="s">
        <v>937</v>
      </c>
      <c r="C141" s="124">
        <v>43435</v>
      </c>
      <c r="D141" s="124" t="s">
        <v>650</v>
      </c>
      <c r="E141" s="69">
        <v>1</v>
      </c>
      <c r="F141" s="85"/>
      <c r="G141" s="55"/>
    </row>
    <row r="142" spans="2:7" s="53" customFormat="1" ht="25.15" customHeight="1" x14ac:dyDescent="0.25">
      <c r="B142" s="52" t="s">
        <v>740</v>
      </c>
      <c r="C142" s="124">
        <v>43435</v>
      </c>
      <c r="D142" s="124" t="s">
        <v>650</v>
      </c>
      <c r="E142" s="69">
        <v>2</v>
      </c>
      <c r="F142" s="85"/>
      <c r="G142" s="55"/>
    </row>
    <row r="143" spans="2:7" s="53" customFormat="1" ht="25.15" customHeight="1" x14ac:dyDescent="0.25">
      <c r="B143" s="52" t="s">
        <v>26</v>
      </c>
      <c r="C143" s="124">
        <v>43435</v>
      </c>
      <c r="D143" s="124" t="s">
        <v>650</v>
      </c>
      <c r="E143" s="69">
        <v>2</v>
      </c>
      <c r="F143" s="85"/>
      <c r="G143" s="55"/>
    </row>
    <row r="144" spans="2:7" s="53" customFormat="1" ht="25.15" customHeight="1" x14ac:dyDescent="0.25">
      <c r="B144" s="52" t="s">
        <v>74</v>
      </c>
      <c r="C144" s="124">
        <v>43435</v>
      </c>
      <c r="D144" s="124" t="s">
        <v>650</v>
      </c>
      <c r="E144" s="69">
        <v>2</v>
      </c>
      <c r="F144" s="85"/>
      <c r="G144" s="55"/>
    </row>
    <row r="145" spans="2:7" s="53" customFormat="1" ht="25.15" customHeight="1" x14ac:dyDescent="0.25">
      <c r="B145" s="52" t="s">
        <v>282</v>
      </c>
      <c r="C145" s="124">
        <v>43435</v>
      </c>
      <c r="D145" s="124" t="s">
        <v>650</v>
      </c>
      <c r="E145" s="69">
        <v>2</v>
      </c>
      <c r="F145" s="85"/>
      <c r="G145" s="55"/>
    </row>
    <row r="146" spans="2:7" s="53" customFormat="1" ht="25.15" customHeight="1" x14ac:dyDescent="0.25">
      <c r="B146" s="52" t="s">
        <v>406</v>
      </c>
      <c r="C146" s="124">
        <v>43435</v>
      </c>
      <c r="D146" s="124" t="s">
        <v>650</v>
      </c>
      <c r="E146" s="69">
        <v>3</v>
      </c>
      <c r="F146" s="85"/>
      <c r="G146" s="55"/>
    </row>
    <row r="147" spans="2:7" s="53" customFormat="1" ht="25.15" customHeight="1" x14ac:dyDescent="0.25">
      <c r="B147" s="52" t="s">
        <v>577</v>
      </c>
      <c r="C147" s="124">
        <v>43435</v>
      </c>
      <c r="D147" s="124" t="s">
        <v>650</v>
      </c>
      <c r="E147" s="69">
        <v>2</v>
      </c>
      <c r="F147" s="85"/>
      <c r="G147" s="55"/>
    </row>
    <row r="148" spans="2:7" s="53" customFormat="1" ht="25.15" customHeight="1" x14ac:dyDescent="0.25">
      <c r="B148" s="11" t="s">
        <v>23</v>
      </c>
      <c r="C148" s="124">
        <v>43435</v>
      </c>
      <c r="D148" s="124" t="s">
        <v>650</v>
      </c>
      <c r="E148" s="69">
        <v>3</v>
      </c>
      <c r="F148" s="85"/>
      <c r="G148" s="55"/>
    </row>
    <row r="149" spans="2:7" s="53" customFormat="1" ht="25.15" customHeight="1" x14ac:dyDescent="0.25">
      <c r="B149" s="52" t="s">
        <v>668</v>
      </c>
      <c r="C149" s="124">
        <v>43435</v>
      </c>
      <c r="D149" s="124" t="s">
        <v>650</v>
      </c>
      <c r="E149" s="69">
        <v>3</v>
      </c>
      <c r="F149" s="85"/>
      <c r="G149" s="55"/>
    </row>
    <row r="150" spans="2:7" s="53" customFormat="1" ht="25.15" customHeight="1" x14ac:dyDescent="0.25">
      <c r="B150" s="52" t="s">
        <v>146</v>
      </c>
      <c r="C150" s="124">
        <v>43435</v>
      </c>
      <c r="D150" s="124" t="s">
        <v>650</v>
      </c>
      <c r="E150" s="69">
        <v>1</v>
      </c>
      <c r="F150" s="85"/>
      <c r="G150" s="55"/>
    </row>
    <row r="151" spans="2:7" s="53" customFormat="1" ht="25.15" customHeight="1" x14ac:dyDescent="0.25">
      <c r="B151" s="52" t="s">
        <v>670</v>
      </c>
      <c r="C151" s="124">
        <v>43435</v>
      </c>
      <c r="D151" s="124" t="s">
        <v>650</v>
      </c>
      <c r="E151" s="69">
        <v>1</v>
      </c>
      <c r="F151" s="85"/>
      <c r="G151" s="55"/>
    </row>
    <row r="152" spans="2:7" s="53" customFormat="1" ht="25.15" customHeight="1" x14ac:dyDescent="0.25">
      <c r="B152" s="52" t="s">
        <v>715</v>
      </c>
      <c r="C152" s="124">
        <v>43435</v>
      </c>
      <c r="D152" s="124" t="s">
        <v>650</v>
      </c>
      <c r="E152" s="69">
        <v>1</v>
      </c>
      <c r="F152" s="85"/>
      <c r="G152" s="55"/>
    </row>
    <row r="153" spans="2:7" s="53" customFormat="1" ht="25.15" customHeight="1" x14ac:dyDescent="0.25">
      <c r="B153" s="52" t="s">
        <v>734</v>
      </c>
      <c r="C153" s="124">
        <v>43435</v>
      </c>
      <c r="D153" s="124" t="s">
        <v>403</v>
      </c>
      <c r="E153" s="69" t="s">
        <v>578</v>
      </c>
      <c r="F153" s="85"/>
      <c r="G153" s="55"/>
    </row>
    <row r="154" spans="2:7" s="53" customFormat="1" ht="25.15" customHeight="1" x14ac:dyDescent="0.25">
      <c r="B154" s="52" t="s">
        <v>453</v>
      </c>
      <c r="C154" s="124">
        <v>43435</v>
      </c>
      <c r="D154" s="124" t="s">
        <v>650</v>
      </c>
      <c r="E154" s="69">
        <v>2</v>
      </c>
      <c r="F154" s="85"/>
      <c r="G154" s="55"/>
    </row>
    <row r="155" spans="2:7" s="53" customFormat="1" ht="25.15" customHeight="1" x14ac:dyDescent="0.25">
      <c r="B155" s="52" t="s">
        <v>746</v>
      </c>
      <c r="C155" s="124">
        <v>43435</v>
      </c>
      <c r="D155" s="124" t="s">
        <v>650</v>
      </c>
      <c r="E155" s="69">
        <v>4</v>
      </c>
      <c r="F155" s="85"/>
      <c r="G155" s="55"/>
    </row>
    <row r="156" spans="2:7" s="53" customFormat="1" ht="25.15" customHeight="1" x14ac:dyDescent="0.25">
      <c r="B156" s="52" t="s">
        <v>672</v>
      </c>
      <c r="C156" s="124">
        <v>43435</v>
      </c>
      <c r="D156" s="124" t="s">
        <v>650</v>
      </c>
      <c r="E156" s="69">
        <v>1</v>
      </c>
      <c r="F156" s="85"/>
      <c r="G156" s="55"/>
    </row>
    <row r="157" spans="2:7" s="53" customFormat="1" ht="25.15" customHeight="1" x14ac:dyDescent="0.25">
      <c r="B157" s="52" t="s">
        <v>871</v>
      </c>
      <c r="C157" s="124">
        <v>43435</v>
      </c>
      <c r="D157" s="124" t="s">
        <v>650</v>
      </c>
      <c r="E157" s="69">
        <v>3</v>
      </c>
      <c r="F157" s="85"/>
      <c r="G157" s="55"/>
    </row>
    <row r="158" spans="2:7" s="53" customFormat="1" ht="25.15" customHeight="1" x14ac:dyDescent="0.25">
      <c r="B158" s="52" t="s">
        <v>817</v>
      </c>
      <c r="C158" s="124">
        <v>43435</v>
      </c>
      <c r="D158" s="124" t="s">
        <v>650</v>
      </c>
      <c r="E158" s="69">
        <v>1</v>
      </c>
      <c r="F158" s="85"/>
      <c r="G158" s="55"/>
    </row>
    <row r="159" spans="2:7" s="53" customFormat="1" ht="25.15" customHeight="1" x14ac:dyDescent="0.25">
      <c r="B159" s="52" t="s">
        <v>794</v>
      </c>
      <c r="C159" s="124">
        <v>43435</v>
      </c>
      <c r="D159" s="124" t="s">
        <v>650</v>
      </c>
      <c r="E159" s="69">
        <v>3</v>
      </c>
      <c r="F159" s="85"/>
      <c r="G159" s="55"/>
    </row>
    <row r="160" spans="2:7" s="53" customFormat="1" ht="25.15" customHeight="1" x14ac:dyDescent="0.25">
      <c r="B160" s="52" t="s">
        <v>674</v>
      </c>
      <c r="C160" s="124">
        <v>43435</v>
      </c>
      <c r="D160" s="124" t="s">
        <v>650</v>
      </c>
      <c r="E160" s="69">
        <v>3</v>
      </c>
      <c r="F160" s="85"/>
      <c r="G160" s="55"/>
    </row>
    <row r="161" spans="2:7" s="53" customFormat="1" ht="25.15" customHeight="1" x14ac:dyDescent="0.25">
      <c r="B161" s="52" t="s">
        <v>787</v>
      </c>
      <c r="C161" s="124">
        <v>43435</v>
      </c>
      <c r="D161" s="124" t="s">
        <v>650</v>
      </c>
      <c r="E161" s="69">
        <v>2</v>
      </c>
      <c r="F161" s="85"/>
      <c r="G161" s="55"/>
    </row>
    <row r="162" spans="2:7" s="53" customFormat="1" ht="25.15" customHeight="1" x14ac:dyDescent="0.25">
      <c r="B162" s="11" t="s">
        <v>452</v>
      </c>
      <c r="C162" s="124">
        <v>43435</v>
      </c>
      <c r="D162" s="124" t="s">
        <v>650</v>
      </c>
      <c r="E162" s="69">
        <v>2</v>
      </c>
      <c r="F162" s="85"/>
      <c r="G162" s="55"/>
    </row>
    <row r="163" spans="2:7" s="53" customFormat="1" ht="25.15" customHeight="1" x14ac:dyDescent="0.25">
      <c r="B163" s="52" t="s">
        <v>363</v>
      </c>
      <c r="C163" s="124">
        <v>43435</v>
      </c>
      <c r="D163" s="124" t="s">
        <v>650</v>
      </c>
      <c r="E163" s="69">
        <v>1</v>
      </c>
      <c r="F163" s="85"/>
      <c r="G163" s="55"/>
    </row>
    <row r="164" spans="2:7" s="53" customFormat="1" ht="25.15" customHeight="1" x14ac:dyDescent="0.25">
      <c r="B164" s="52" t="s">
        <v>27</v>
      </c>
      <c r="C164" s="124">
        <v>43435</v>
      </c>
      <c r="D164" s="124" t="s">
        <v>650</v>
      </c>
      <c r="E164" s="69">
        <v>1</v>
      </c>
      <c r="F164" s="85"/>
      <c r="G164" s="55"/>
    </row>
    <row r="165" spans="2:7" s="53" customFormat="1" ht="25.15" customHeight="1" x14ac:dyDescent="0.25">
      <c r="B165" s="52" t="s">
        <v>155</v>
      </c>
      <c r="C165" s="124">
        <v>43435</v>
      </c>
      <c r="D165" s="124" t="s">
        <v>650</v>
      </c>
      <c r="E165" s="69">
        <v>2</v>
      </c>
      <c r="F165" s="85"/>
      <c r="G165" s="55"/>
    </row>
    <row r="166" spans="2:7" s="53" customFormat="1" ht="25.15" customHeight="1" x14ac:dyDescent="0.25">
      <c r="B166" s="52" t="s">
        <v>28</v>
      </c>
      <c r="C166" s="124">
        <v>43435</v>
      </c>
      <c r="D166" s="124" t="s">
        <v>650</v>
      </c>
      <c r="E166" s="69">
        <v>1</v>
      </c>
      <c r="F166" s="85"/>
      <c r="G166" s="55"/>
    </row>
    <row r="167" spans="2:7" s="53" customFormat="1" ht="25.15" customHeight="1" x14ac:dyDescent="0.25">
      <c r="B167" s="52" t="s">
        <v>785</v>
      </c>
      <c r="C167" s="124">
        <v>43435</v>
      </c>
      <c r="D167" s="124" t="s">
        <v>650</v>
      </c>
      <c r="E167" s="69">
        <v>2</v>
      </c>
      <c r="F167" s="85"/>
      <c r="G167" s="55"/>
    </row>
    <row r="168" spans="2:7" s="53" customFormat="1" ht="25.15" customHeight="1" x14ac:dyDescent="0.25">
      <c r="B168" s="52" t="s">
        <v>808</v>
      </c>
      <c r="C168" s="124">
        <v>43435</v>
      </c>
      <c r="D168" s="124" t="s">
        <v>650</v>
      </c>
      <c r="E168" s="69">
        <v>4</v>
      </c>
      <c r="F168" s="85"/>
      <c r="G168" s="55"/>
    </row>
    <row r="169" spans="2:7" s="53" customFormat="1" ht="25.15" customHeight="1" x14ac:dyDescent="0.25">
      <c r="B169" s="52" t="s">
        <v>895</v>
      </c>
      <c r="C169" s="124">
        <v>43435</v>
      </c>
      <c r="D169" s="53" t="s">
        <v>650</v>
      </c>
      <c r="E169" s="69">
        <v>3</v>
      </c>
      <c r="F169" s="85"/>
      <c r="G169" s="55"/>
    </row>
    <row r="170" spans="2:7" s="53" customFormat="1" ht="25.15" customHeight="1" x14ac:dyDescent="0.25">
      <c r="B170" s="52" t="s">
        <v>615</v>
      </c>
      <c r="C170" s="124">
        <v>43435</v>
      </c>
      <c r="D170" s="124" t="s">
        <v>650</v>
      </c>
      <c r="E170" s="69">
        <v>1</v>
      </c>
      <c r="F170" s="85"/>
      <c r="G170" s="55"/>
    </row>
    <row r="171" spans="2:7" s="53" customFormat="1" ht="25.15" customHeight="1" x14ac:dyDescent="0.25">
      <c r="B171" s="130" t="s">
        <v>903</v>
      </c>
      <c r="C171" s="124">
        <v>43435</v>
      </c>
      <c r="D171" s="124" t="s">
        <v>650</v>
      </c>
      <c r="E171" s="69">
        <v>1</v>
      </c>
      <c r="F171" s="85"/>
      <c r="G171" s="55"/>
    </row>
    <row r="172" spans="2:7" s="53" customFormat="1" ht="25.15" customHeight="1" x14ac:dyDescent="0.25">
      <c r="B172" s="52" t="s">
        <v>750</v>
      </c>
      <c r="C172" s="124">
        <v>43435</v>
      </c>
      <c r="D172" s="124" t="s">
        <v>650</v>
      </c>
      <c r="E172" s="69">
        <v>3</v>
      </c>
      <c r="F172" s="85"/>
      <c r="G172" s="55"/>
    </row>
    <row r="173" spans="2:7" s="53" customFormat="1" ht="25.15" customHeight="1" x14ac:dyDescent="0.25">
      <c r="B173" s="52" t="s">
        <v>134</v>
      </c>
      <c r="C173" s="124">
        <v>43435</v>
      </c>
      <c r="D173" s="124" t="s">
        <v>650</v>
      </c>
      <c r="E173" s="69">
        <v>1</v>
      </c>
      <c r="F173" s="85"/>
      <c r="G173" s="55"/>
    </row>
    <row r="174" spans="2:7" s="53" customFormat="1" ht="25.15" customHeight="1" x14ac:dyDescent="0.25">
      <c r="B174" s="52" t="s">
        <v>616</v>
      </c>
      <c r="C174" s="124">
        <v>43435</v>
      </c>
      <c r="D174" s="124" t="s">
        <v>650</v>
      </c>
      <c r="E174" s="69">
        <v>1</v>
      </c>
      <c r="F174" s="85"/>
      <c r="G174" s="55"/>
    </row>
    <row r="175" spans="2:7" s="53" customFormat="1" ht="25.15" customHeight="1" x14ac:dyDescent="0.25">
      <c r="B175" s="52" t="s">
        <v>618</v>
      </c>
      <c r="C175" s="124">
        <v>43435</v>
      </c>
      <c r="D175" s="124" t="s">
        <v>650</v>
      </c>
      <c r="E175" s="69">
        <v>2</v>
      </c>
      <c r="F175" s="85"/>
      <c r="G175" s="55"/>
    </row>
    <row r="176" spans="2:7" s="53" customFormat="1" ht="25.15" customHeight="1" x14ac:dyDescent="0.25">
      <c r="B176" s="52" t="s">
        <v>136</v>
      </c>
      <c r="C176" s="124">
        <v>43435</v>
      </c>
      <c r="D176" s="124" t="s">
        <v>650</v>
      </c>
      <c r="E176" s="69">
        <v>2</v>
      </c>
      <c r="F176" s="85"/>
      <c r="G176" s="55"/>
    </row>
    <row r="177" spans="2:7" s="53" customFormat="1" ht="25.15" customHeight="1" x14ac:dyDescent="0.25">
      <c r="B177" s="52" t="s">
        <v>138</v>
      </c>
      <c r="C177" s="124">
        <v>43435</v>
      </c>
      <c r="D177" s="124" t="s">
        <v>650</v>
      </c>
      <c r="E177" s="69">
        <v>3</v>
      </c>
      <c r="F177" s="85"/>
      <c r="G177" s="55"/>
    </row>
    <row r="178" spans="2:7" s="53" customFormat="1" ht="25.15" customHeight="1" x14ac:dyDescent="0.25">
      <c r="B178" s="52" t="s">
        <v>86</v>
      </c>
      <c r="C178" s="124">
        <v>43435</v>
      </c>
      <c r="D178" s="124" t="s">
        <v>650</v>
      </c>
      <c r="E178" s="69">
        <v>1</v>
      </c>
      <c r="F178" s="85"/>
      <c r="G178" s="55"/>
    </row>
    <row r="179" spans="2:7" s="53" customFormat="1" ht="25.15" customHeight="1" x14ac:dyDescent="0.25">
      <c r="B179" s="52" t="s">
        <v>183</v>
      </c>
      <c r="C179" s="124">
        <v>43435</v>
      </c>
      <c r="D179" s="124" t="s">
        <v>650</v>
      </c>
      <c r="E179" s="69">
        <v>2</v>
      </c>
      <c r="F179" s="85"/>
      <c r="G179" s="55"/>
    </row>
    <row r="180" spans="2:7" s="53" customFormat="1" ht="25.15" customHeight="1" x14ac:dyDescent="0.25">
      <c r="B180" s="52" t="s">
        <v>366</v>
      </c>
      <c r="C180" s="124">
        <v>43435</v>
      </c>
      <c r="D180" s="124" t="s">
        <v>650</v>
      </c>
      <c r="E180" s="69">
        <v>1</v>
      </c>
      <c r="F180" s="85"/>
      <c r="G180" s="55"/>
    </row>
    <row r="181" spans="2:7" s="53" customFormat="1" ht="25.15" customHeight="1" x14ac:dyDescent="0.25">
      <c r="B181" s="52" t="s">
        <v>31</v>
      </c>
      <c r="C181" s="124">
        <v>43435</v>
      </c>
      <c r="D181" s="124" t="s">
        <v>650</v>
      </c>
      <c r="E181" s="69">
        <v>1</v>
      </c>
      <c r="F181" s="85"/>
      <c r="G181" s="55"/>
    </row>
    <row r="182" spans="2:7" s="53" customFormat="1" ht="25.15" customHeight="1" x14ac:dyDescent="0.25">
      <c r="B182" s="130" t="s">
        <v>904</v>
      </c>
      <c r="C182" s="124">
        <v>43435</v>
      </c>
      <c r="D182" s="124" t="s">
        <v>650</v>
      </c>
      <c r="E182" s="69">
        <v>3</v>
      </c>
      <c r="F182" s="85"/>
      <c r="G182" s="55"/>
    </row>
    <row r="183" spans="2:7" s="53" customFormat="1" ht="25.15" customHeight="1" x14ac:dyDescent="0.25">
      <c r="B183" s="52" t="s">
        <v>712</v>
      </c>
      <c r="C183" s="124">
        <v>43435</v>
      </c>
      <c r="D183" s="124" t="s">
        <v>403</v>
      </c>
      <c r="E183" s="69" t="s">
        <v>578</v>
      </c>
      <c r="F183" s="85"/>
      <c r="G183" s="55"/>
    </row>
    <row r="184" spans="2:7" s="53" customFormat="1" ht="25.15" customHeight="1" x14ac:dyDescent="0.25">
      <c r="B184" s="52" t="s">
        <v>394</v>
      </c>
      <c r="C184" s="124">
        <v>43435</v>
      </c>
      <c r="D184" s="124" t="s">
        <v>650</v>
      </c>
      <c r="E184" s="69">
        <v>2</v>
      </c>
      <c r="F184" s="85"/>
      <c r="G184" s="55"/>
    </row>
    <row r="185" spans="2:7" s="53" customFormat="1" ht="25.15" customHeight="1" x14ac:dyDescent="0.25">
      <c r="B185" s="52" t="s">
        <v>752</v>
      </c>
      <c r="C185" s="124">
        <v>43435</v>
      </c>
      <c r="D185" s="124" t="s">
        <v>650</v>
      </c>
      <c r="E185" s="69">
        <v>1</v>
      </c>
      <c r="F185" s="85"/>
      <c r="G185" s="55"/>
    </row>
    <row r="186" spans="2:7" s="53" customFormat="1" ht="25.15" customHeight="1" x14ac:dyDescent="0.25">
      <c r="B186" s="52" t="s">
        <v>704</v>
      </c>
      <c r="C186" s="124">
        <v>43435</v>
      </c>
      <c r="D186" s="124" t="s">
        <v>650</v>
      </c>
      <c r="E186" s="69">
        <v>1</v>
      </c>
      <c r="F186" s="85"/>
      <c r="G186" s="55"/>
    </row>
    <row r="187" spans="2:7" s="53" customFormat="1" ht="25.15" customHeight="1" x14ac:dyDescent="0.25">
      <c r="B187" s="52" t="s">
        <v>381</v>
      </c>
      <c r="C187" s="124">
        <v>43435</v>
      </c>
      <c r="D187" s="124" t="s">
        <v>650</v>
      </c>
      <c r="E187" s="69">
        <v>1</v>
      </c>
      <c r="F187" s="85"/>
      <c r="G187" s="55"/>
    </row>
    <row r="188" spans="2:7" s="53" customFormat="1" ht="25.15" customHeight="1" x14ac:dyDescent="0.25">
      <c r="B188" s="52" t="s">
        <v>703</v>
      </c>
      <c r="C188" s="124">
        <v>43435</v>
      </c>
      <c r="D188" s="124" t="s">
        <v>650</v>
      </c>
      <c r="E188" s="69">
        <v>1</v>
      </c>
      <c r="F188" s="85"/>
      <c r="G188" s="55"/>
    </row>
    <row r="189" spans="2:7" s="53" customFormat="1" ht="25.15" customHeight="1" x14ac:dyDescent="0.25">
      <c r="B189" s="130" t="s">
        <v>75</v>
      </c>
      <c r="C189" s="124">
        <v>43435</v>
      </c>
      <c r="D189" s="124" t="s">
        <v>650</v>
      </c>
      <c r="E189" s="69">
        <v>1</v>
      </c>
      <c r="F189" s="85"/>
      <c r="G189" s="55"/>
    </row>
    <row r="190" spans="2:7" s="53" customFormat="1" ht="25.15" customHeight="1" x14ac:dyDescent="0.25">
      <c r="B190" s="52" t="s">
        <v>756</v>
      </c>
      <c r="C190" s="124">
        <v>43435</v>
      </c>
      <c r="D190" s="124" t="s">
        <v>650</v>
      </c>
      <c r="E190" s="69">
        <v>3</v>
      </c>
      <c r="F190" s="85"/>
      <c r="G190" s="55"/>
    </row>
    <row r="191" spans="2:7" s="53" customFormat="1" ht="25.15" customHeight="1" x14ac:dyDescent="0.25">
      <c r="B191" s="52" t="s">
        <v>286</v>
      </c>
      <c r="C191" s="124">
        <v>43435</v>
      </c>
      <c r="D191" s="124" t="s">
        <v>650</v>
      </c>
      <c r="E191" s="69">
        <v>2</v>
      </c>
      <c r="F191" s="85"/>
      <c r="G191" s="55"/>
    </row>
    <row r="192" spans="2:7" s="53" customFormat="1" ht="25.15" customHeight="1" x14ac:dyDescent="0.25">
      <c r="B192" s="52" t="s">
        <v>79</v>
      </c>
      <c r="C192" s="124">
        <v>43435</v>
      </c>
      <c r="D192" s="124" t="s">
        <v>650</v>
      </c>
      <c r="E192" s="69">
        <v>4</v>
      </c>
      <c r="F192" s="85"/>
      <c r="G192" s="55"/>
    </row>
    <row r="193" spans="2:7" s="53" customFormat="1" ht="25.15" customHeight="1" x14ac:dyDescent="0.25">
      <c r="B193" s="52" t="s">
        <v>757</v>
      </c>
      <c r="C193" s="124">
        <v>43435</v>
      </c>
      <c r="D193" s="124" t="s">
        <v>650</v>
      </c>
      <c r="E193" s="69">
        <v>2</v>
      </c>
      <c r="F193" s="85"/>
      <c r="G193" s="55"/>
    </row>
    <row r="194" spans="2:7" s="53" customFormat="1" ht="25.15" customHeight="1" x14ac:dyDescent="0.25">
      <c r="B194" s="52" t="s">
        <v>859</v>
      </c>
      <c r="C194" s="124">
        <v>43435</v>
      </c>
      <c r="D194" s="124" t="s">
        <v>650</v>
      </c>
      <c r="E194" s="69">
        <v>5</v>
      </c>
      <c r="F194" s="85"/>
      <c r="G194" s="55"/>
    </row>
    <row r="195" spans="2:7" s="53" customFormat="1" ht="25.15" customHeight="1" x14ac:dyDescent="0.25">
      <c r="B195" s="52" t="s">
        <v>859</v>
      </c>
      <c r="C195" s="124">
        <v>43435</v>
      </c>
      <c r="D195" s="124" t="s">
        <v>11</v>
      </c>
      <c r="E195" s="69">
        <v>7.06</v>
      </c>
      <c r="F195" s="85"/>
      <c r="G195" s="55"/>
    </row>
    <row r="196" spans="2:7" s="53" customFormat="1" ht="25.15" customHeight="1" x14ac:dyDescent="0.25">
      <c r="B196" s="52" t="s">
        <v>859</v>
      </c>
      <c r="C196" s="124">
        <v>43435</v>
      </c>
      <c r="D196" s="124" t="s">
        <v>389</v>
      </c>
      <c r="E196" s="69">
        <v>0.99</v>
      </c>
      <c r="F196" s="85"/>
      <c r="G196" s="55"/>
    </row>
    <row r="197" spans="2:7" s="53" customFormat="1" ht="25.15" customHeight="1" x14ac:dyDescent="0.25">
      <c r="B197" s="52" t="s">
        <v>859</v>
      </c>
      <c r="C197" s="124">
        <v>43435</v>
      </c>
      <c r="D197" s="124" t="s">
        <v>440</v>
      </c>
      <c r="E197" s="69" t="s">
        <v>459</v>
      </c>
      <c r="F197" s="85"/>
      <c r="G197" s="55"/>
    </row>
    <row r="198" spans="2:7" s="53" customFormat="1" ht="25.15" customHeight="1" x14ac:dyDescent="0.25">
      <c r="B198" s="52" t="s">
        <v>859</v>
      </c>
      <c r="C198" s="124">
        <v>43435</v>
      </c>
      <c r="D198" s="124" t="s">
        <v>437</v>
      </c>
      <c r="E198" s="129">
        <v>0.16200000000000001</v>
      </c>
      <c r="F198" s="85"/>
      <c r="G198" s="55"/>
    </row>
    <row r="199" spans="2:7" s="53" customFormat="1" ht="25.15" customHeight="1" x14ac:dyDescent="0.25">
      <c r="B199" s="52" t="s">
        <v>859</v>
      </c>
      <c r="C199" s="124">
        <v>43435</v>
      </c>
      <c r="D199" s="124" t="s">
        <v>653</v>
      </c>
      <c r="E199" s="129">
        <v>2.2200000000000001E-2</v>
      </c>
      <c r="F199" s="85"/>
      <c r="G199" s="55"/>
    </row>
    <row r="200" spans="2:7" s="53" customFormat="1" ht="25.15" customHeight="1" x14ac:dyDescent="0.25">
      <c r="B200" s="52" t="s">
        <v>859</v>
      </c>
      <c r="C200" s="124">
        <v>43435</v>
      </c>
      <c r="D200" s="124" t="s">
        <v>10</v>
      </c>
      <c r="E200" s="69">
        <v>5</v>
      </c>
      <c r="F200" s="85"/>
      <c r="G200" s="55"/>
    </row>
    <row r="201" spans="2:7" s="53" customFormat="1" ht="25.15" customHeight="1" x14ac:dyDescent="0.25">
      <c r="B201" s="52" t="s">
        <v>859</v>
      </c>
      <c r="C201" s="124">
        <v>43435</v>
      </c>
      <c r="D201" s="124" t="s">
        <v>426</v>
      </c>
      <c r="E201" s="158">
        <v>188.51</v>
      </c>
      <c r="F201" s="85"/>
      <c r="G201" s="55"/>
    </row>
    <row r="202" spans="2:7" s="53" customFormat="1" ht="25.15" customHeight="1" x14ac:dyDescent="0.25">
      <c r="B202" s="52" t="s">
        <v>859</v>
      </c>
      <c r="C202" s="124">
        <v>43435</v>
      </c>
      <c r="D202" s="124" t="s">
        <v>403</v>
      </c>
      <c r="E202" s="69" t="s">
        <v>451</v>
      </c>
      <c r="F202" s="85"/>
      <c r="G202" s="55"/>
    </row>
    <row r="203" spans="2:7" s="53" customFormat="1" ht="25.15" customHeight="1" x14ac:dyDescent="0.25">
      <c r="B203" s="52" t="s">
        <v>626</v>
      </c>
      <c r="C203" s="124">
        <v>43435</v>
      </c>
      <c r="D203" s="124" t="s">
        <v>650</v>
      </c>
      <c r="E203" s="69">
        <v>3</v>
      </c>
      <c r="F203" s="85"/>
      <c r="G203" s="55"/>
    </row>
    <row r="204" spans="2:7" s="53" customFormat="1" ht="25.15" customHeight="1" x14ac:dyDescent="0.25">
      <c r="B204" s="52" t="s">
        <v>30</v>
      </c>
      <c r="C204" s="124">
        <v>43435</v>
      </c>
      <c r="D204" s="124" t="s">
        <v>650</v>
      </c>
      <c r="E204" s="69">
        <v>1</v>
      </c>
      <c r="F204" s="85"/>
      <c r="G204" s="55"/>
    </row>
    <row r="205" spans="2:7" s="53" customFormat="1" ht="25.15" customHeight="1" x14ac:dyDescent="0.25">
      <c r="B205" s="52" t="s">
        <v>284</v>
      </c>
      <c r="C205" s="124">
        <v>43435</v>
      </c>
      <c r="D205" s="124" t="s">
        <v>650</v>
      </c>
      <c r="E205" s="69">
        <v>1</v>
      </c>
      <c r="F205" s="85"/>
      <c r="G205" s="55"/>
    </row>
    <row r="206" spans="2:7" s="53" customFormat="1" ht="25.15" customHeight="1" x14ac:dyDescent="0.25">
      <c r="B206" s="52" t="s">
        <v>705</v>
      </c>
      <c r="C206" s="124">
        <v>43435</v>
      </c>
      <c r="D206" s="124" t="s">
        <v>650</v>
      </c>
      <c r="E206" s="69">
        <v>3</v>
      </c>
      <c r="F206" s="85"/>
      <c r="G206" s="55"/>
    </row>
    <row r="207" spans="2:7" s="53" customFormat="1" ht="25.15" customHeight="1" x14ac:dyDescent="0.25">
      <c r="B207" s="130" t="s">
        <v>34</v>
      </c>
      <c r="C207" s="124">
        <v>43435</v>
      </c>
      <c r="D207" s="124" t="s">
        <v>650</v>
      </c>
      <c r="E207" s="69">
        <v>1</v>
      </c>
      <c r="F207" s="85"/>
      <c r="G207" s="55"/>
    </row>
    <row r="208" spans="2:7" s="53" customFormat="1" ht="25.15" customHeight="1" x14ac:dyDescent="0.25">
      <c r="B208" s="52" t="s">
        <v>393</v>
      </c>
      <c r="C208" s="124">
        <v>43435</v>
      </c>
      <c r="D208" s="124" t="s">
        <v>650</v>
      </c>
      <c r="E208" s="69">
        <v>2</v>
      </c>
      <c r="F208" s="85"/>
      <c r="G208" s="55"/>
    </row>
    <row r="209" spans="2:7" s="53" customFormat="1" ht="25.15" customHeight="1" x14ac:dyDescent="0.25">
      <c r="B209" s="52" t="s">
        <v>803</v>
      </c>
      <c r="C209" s="124">
        <v>43435</v>
      </c>
      <c r="D209" s="124" t="s">
        <v>650</v>
      </c>
      <c r="E209" s="69">
        <v>5</v>
      </c>
      <c r="F209" s="85"/>
      <c r="G209" s="55"/>
    </row>
    <row r="210" spans="2:7" s="53" customFormat="1" ht="25.15" customHeight="1" x14ac:dyDescent="0.25">
      <c r="B210" s="52" t="s">
        <v>803</v>
      </c>
      <c r="C210" s="124">
        <v>43435</v>
      </c>
      <c r="D210" s="124" t="s">
        <v>11</v>
      </c>
      <c r="E210" s="69">
        <v>5.23</v>
      </c>
      <c r="F210" s="85"/>
      <c r="G210" s="55"/>
    </row>
    <row r="211" spans="2:7" s="53" customFormat="1" ht="25.15" customHeight="1" x14ac:dyDescent="0.25">
      <c r="B211" s="52" t="s">
        <v>803</v>
      </c>
      <c r="C211" s="124">
        <v>43435</v>
      </c>
      <c r="D211" s="124" t="s">
        <v>389</v>
      </c>
      <c r="E211" s="69">
        <v>1.1299999999999999</v>
      </c>
      <c r="F211" s="85"/>
      <c r="G211" s="55"/>
    </row>
    <row r="212" spans="2:7" s="53" customFormat="1" ht="25.15" customHeight="1" x14ac:dyDescent="0.25">
      <c r="B212" s="52" t="s">
        <v>803</v>
      </c>
      <c r="C212" s="124">
        <v>43435</v>
      </c>
      <c r="D212" s="124" t="s">
        <v>440</v>
      </c>
      <c r="E212" s="69" t="s">
        <v>459</v>
      </c>
      <c r="F212" s="85"/>
      <c r="G212" s="55"/>
    </row>
    <row r="213" spans="2:7" s="53" customFormat="1" ht="25.15" customHeight="1" x14ac:dyDescent="0.25">
      <c r="B213" s="52" t="s">
        <v>803</v>
      </c>
      <c r="C213" s="124">
        <v>43435</v>
      </c>
      <c r="D213" s="124" t="s">
        <v>437</v>
      </c>
      <c r="E213" s="129">
        <v>0.16370000000000001</v>
      </c>
      <c r="F213" s="85"/>
      <c r="G213" s="55"/>
    </row>
    <row r="214" spans="2:7" s="53" customFormat="1" ht="25.15" customHeight="1" x14ac:dyDescent="0.25">
      <c r="B214" s="52" t="s">
        <v>803</v>
      </c>
      <c r="C214" s="124">
        <v>43435</v>
      </c>
      <c r="D214" s="124" t="s">
        <v>653</v>
      </c>
      <c r="E214" s="129">
        <v>2.4199999999999999E-2</v>
      </c>
      <c r="F214" s="85"/>
      <c r="G214" s="55"/>
    </row>
    <row r="215" spans="2:7" s="53" customFormat="1" ht="25.15" customHeight="1" x14ac:dyDescent="0.25">
      <c r="B215" s="52" t="s">
        <v>803</v>
      </c>
      <c r="C215" s="124">
        <v>43435</v>
      </c>
      <c r="D215" s="124" t="s">
        <v>10</v>
      </c>
      <c r="E215" s="69">
        <v>5</v>
      </c>
      <c r="F215" s="85"/>
      <c r="G215" s="55"/>
    </row>
    <row r="216" spans="2:7" s="53" customFormat="1" ht="25.15" customHeight="1" x14ac:dyDescent="0.25">
      <c r="B216" s="52" t="s">
        <v>803</v>
      </c>
      <c r="C216" s="124">
        <v>43435</v>
      </c>
      <c r="D216" s="124" t="s">
        <v>426</v>
      </c>
      <c r="E216" s="158">
        <v>79.34</v>
      </c>
      <c r="F216" s="85"/>
      <c r="G216" s="55"/>
    </row>
    <row r="217" spans="2:7" s="53" customFormat="1" ht="25.15" customHeight="1" x14ac:dyDescent="0.25">
      <c r="B217" s="52" t="s">
        <v>803</v>
      </c>
      <c r="C217" s="124">
        <v>43435</v>
      </c>
      <c r="D217" s="124" t="s">
        <v>403</v>
      </c>
      <c r="E217" s="69" t="s">
        <v>424</v>
      </c>
      <c r="F217" s="85" t="s">
        <v>951</v>
      </c>
      <c r="G217" s="55"/>
    </row>
    <row r="218" spans="2:7" s="53" customFormat="1" ht="25.15" customHeight="1" x14ac:dyDescent="0.25">
      <c r="B218" s="52" t="s">
        <v>897</v>
      </c>
      <c r="C218" s="124">
        <v>43435</v>
      </c>
      <c r="D218" s="53" t="s">
        <v>650</v>
      </c>
      <c r="E218" s="69">
        <v>1</v>
      </c>
      <c r="F218" s="85"/>
      <c r="G218" s="55"/>
    </row>
    <row r="219" spans="2:7" s="53" customFormat="1" ht="25.15" customHeight="1" x14ac:dyDescent="0.25">
      <c r="B219" s="52" t="s">
        <v>35</v>
      </c>
      <c r="C219" s="124">
        <v>43435</v>
      </c>
      <c r="D219" s="124" t="s">
        <v>650</v>
      </c>
      <c r="E219" s="69">
        <v>1</v>
      </c>
      <c r="F219" s="85"/>
      <c r="G219" s="55"/>
    </row>
    <row r="220" spans="2:7" s="53" customFormat="1" ht="25.15" customHeight="1" x14ac:dyDescent="0.25">
      <c r="B220" s="52" t="s">
        <v>269</v>
      </c>
      <c r="C220" s="124">
        <v>43435</v>
      </c>
      <c r="D220" s="124" t="s">
        <v>650</v>
      </c>
      <c r="E220" s="69">
        <v>2</v>
      </c>
      <c r="F220" s="85"/>
      <c r="G220" s="55"/>
    </row>
    <row r="221" spans="2:7" s="53" customFormat="1" ht="25.15" customHeight="1" x14ac:dyDescent="0.25">
      <c r="B221" s="130" t="s">
        <v>315</v>
      </c>
      <c r="C221" s="124">
        <v>43435</v>
      </c>
      <c r="D221" s="124" t="s">
        <v>650</v>
      </c>
      <c r="E221" s="69">
        <v>3</v>
      </c>
      <c r="F221" s="85"/>
      <c r="G221" s="55"/>
    </row>
    <row r="222" spans="2:7" s="53" customFormat="1" ht="25.15" customHeight="1" x14ac:dyDescent="0.25">
      <c r="B222" s="130" t="s">
        <v>36</v>
      </c>
      <c r="C222" s="124">
        <v>43435</v>
      </c>
      <c r="D222" s="124" t="s">
        <v>650</v>
      </c>
      <c r="E222" s="69">
        <v>2</v>
      </c>
      <c r="F222" s="85"/>
      <c r="G222" s="55"/>
    </row>
    <row r="223" spans="2:7" s="53" customFormat="1" ht="25.15" customHeight="1" x14ac:dyDescent="0.25">
      <c r="B223" s="130" t="s">
        <v>906</v>
      </c>
      <c r="C223" s="124">
        <v>43435</v>
      </c>
      <c r="D223" s="124" t="s">
        <v>650</v>
      </c>
      <c r="E223" s="69">
        <v>2</v>
      </c>
      <c r="F223" s="85"/>
      <c r="G223" s="55"/>
    </row>
    <row r="224" spans="2:7" s="53" customFormat="1" ht="25.15" customHeight="1" x14ac:dyDescent="0.25">
      <c r="B224" s="130" t="s">
        <v>76</v>
      </c>
      <c r="C224" s="124">
        <v>43435</v>
      </c>
      <c r="D224" s="124" t="s">
        <v>650</v>
      </c>
      <c r="E224" s="69">
        <v>1</v>
      </c>
      <c r="F224" s="85"/>
      <c r="G224" s="55"/>
    </row>
    <row r="225" spans="2:7" s="53" customFormat="1" ht="25.15" customHeight="1" x14ac:dyDescent="0.25">
      <c r="B225" s="52" t="s">
        <v>815</v>
      </c>
      <c r="C225" s="124">
        <v>43435</v>
      </c>
      <c r="D225" s="124" t="s">
        <v>650</v>
      </c>
      <c r="E225" s="69">
        <v>3</v>
      </c>
      <c r="F225" s="85"/>
      <c r="G225" s="55"/>
    </row>
    <row r="226" spans="2:7" s="53" customFormat="1" ht="25.15" customHeight="1" x14ac:dyDescent="0.25">
      <c r="B226" s="52" t="s">
        <v>38</v>
      </c>
      <c r="C226" s="124">
        <v>43435</v>
      </c>
      <c r="D226" s="124" t="s">
        <v>650</v>
      </c>
      <c r="E226" s="69">
        <v>4</v>
      </c>
      <c r="F226" s="85"/>
      <c r="G226" s="55"/>
    </row>
    <row r="227" spans="2:7" s="53" customFormat="1" ht="25.15" customHeight="1" x14ac:dyDescent="0.25">
      <c r="B227" s="52" t="s">
        <v>805</v>
      </c>
      <c r="C227" s="124">
        <v>43435</v>
      </c>
      <c r="D227" s="124" t="s">
        <v>650</v>
      </c>
      <c r="E227" s="69">
        <v>5</v>
      </c>
      <c r="F227" s="85"/>
      <c r="G227" s="55"/>
    </row>
    <row r="228" spans="2:7" s="53" customFormat="1" ht="25.15" customHeight="1" x14ac:dyDescent="0.25">
      <c r="B228" s="52" t="s">
        <v>805</v>
      </c>
      <c r="C228" s="124">
        <v>43435</v>
      </c>
      <c r="D228" s="124" t="s">
        <v>11</v>
      </c>
      <c r="E228" s="69">
        <v>4.0999999999999996</v>
      </c>
      <c r="F228" s="85"/>
      <c r="G228" s="55"/>
    </row>
    <row r="229" spans="2:7" s="53" customFormat="1" ht="25.15" customHeight="1" x14ac:dyDescent="0.25">
      <c r="B229" s="52" t="s">
        <v>805</v>
      </c>
      <c r="C229" s="124">
        <v>43435</v>
      </c>
      <c r="D229" s="124" t="s">
        <v>389</v>
      </c>
      <c r="E229" s="69">
        <v>1.05</v>
      </c>
      <c r="F229" s="85"/>
      <c r="G229" s="55"/>
    </row>
    <row r="230" spans="2:7" s="53" customFormat="1" ht="25.15" customHeight="1" x14ac:dyDescent="0.25">
      <c r="B230" s="52" t="s">
        <v>805</v>
      </c>
      <c r="C230" s="124">
        <v>43435</v>
      </c>
      <c r="D230" s="124" t="s">
        <v>440</v>
      </c>
      <c r="E230" s="69" t="s">
        <v>459</v>
      </c>
      <c r="F230" s="85"/>
      <c r="G230" s="55"/>
    </row>
    <row r="231" spans="2:7" s="53" customFormat="1" ht="25.15" customHeight="1" x14ac:dyDescent="0.25">
      <c r="B231" s="52" t="s">
        <v>805</v>
      </c>
      <c r="C231" s="124">
        <v>43435</v>
      </c>
      <c r="D231" s="124" t="s">
        <v>437</v>
      </c>
      <c r="E231" s="129">
        <v>0.1026</v>
      </c>
      <c r="F231" s="85"/>
      <c r="G231" s="55"/>
    </row>
    <row r="232" spans="2:7" s="53" customFormat="1" ht="25.15" customHeight="1" x14ac:dyDescent="0.25">
      <c r="B232" s="52" t="s">
        <v>805</v>
      </c>
      <c r="C232" s="124">
        <v>43435</v>
      </c>
      <c r="D232" s="124" t="s">
        <v>653</v>
      </c>
      <c r="E232" s="129">
        <v>3.2500000000000001E-2</v>
      </c>
      <c r="F232" s="85"/>
      <c r="G232" s="55"/>
    </row>
    <row r="233" spans="2:7" s="53" customFormat="1" ht="25.15" customHeight="1" x14ac:dyDescent="0.25">
      <c r="B233" s="52" t="s">
        <v>805</v>
      </c>
      <c r="C233" s="124">
        <v>43435</v>
      </c>
      <c r="D233" s="124" t="s">
        <v>10</v>
      </c>
      <c r="E233" s="69">
        <v>5</v>
      </c>
      <c r="F233" s="85"/>
      <c r="G233" s="55"/>
    </row>
    <row r="234" spans="2:7" s="53" customFormat="1" ht="25.15" customHeight="1" x14ac:dyDescent="0.25">
      <c r="B234" s="52" t="s">
        <v>805</v>
      </c>
      <c r="C234" s="124">
        <v>43435</v>
      </c>
      <c r="D234" s="124" t="s">
        <v>426</v>
      </c>
      <c r="E234" s="158">
        <v>91.51</v>
      </c>
      <c r="F234" s="85"/>
      <c r="G234" s="55"/>
    </row>
    <row r="235" spans="2:7" s="53" customFormat="1" ht="25.15" customHeight="1" x14ac:dyDescent="0.25">
      <c r="B235" s="52" t="s">
        <v>716</v>
      </c>
      <c r="C235" s="124">
        <v>43435</v>
      </c>
      <c r="D235" s="124" t="s">
        <v>650</v>
      </c>
      <c r="E235" s="69">
        <v>2</v>
      </c>
      <c r="F235" s="85"/>
      <c r="G235" s="55"/>
    </row>
    <row r="236" spans="2:7" s="53" customFormat="1" ht="25.15" customHeight="1" x14ac:dyDescent="0.25">
      <c r="B236" s="52" t="s">
        <v>39</v>
      </c>
      <c r="C236" s="124">
        <v>43435</v>
      </c>
      <c r="D236" s="124" t="s">
        <v>650</v>
      </c>
      <c r="E236" s="69">
        <v>1</v>
      </c>
      <c r="F236" s="85"/>
      <c r="G236" s="55"/>
    </row>
    <row r="237" spans="2:7" s="53" customFormat="1" ht="25.15" customHeight="1" x14ac:dyDescent="0.25">
      <c r="B237" s="52" t="s">
        <v>290</v>
      </c>
      <c r="C237" s="124">
        <v>43435</v>
      </c>
      <c r="D237" s="124" t="s">
        <v>650</v>
      </c>
      <c r="E237" s="69">
        <v>1</v>
      </c>
      <c r="F237" s="85"/>
      <c r="G237" s="55"/>
    </row>
    <row r="238" spans="2:7" s="53" customFormat="1" ht="25.15" customHeight="1" x14ac:dyDescent="0.25">
      <c r="B238" s="52" t="s">
        <v>761</v>
      </c>
      <c r="C238" s="124">
        <v>43435</v>
      </c>
      <c r="D238" s="124" t="s">
        <v>650</v>
      </c>
      <c r="E238" s="69">
        <v>5</v>
      </c>
      <c r="F238" s="85"/>
      <c r="G238" s="55"/>
    </row>
    <row r="239" spans="2:7" s="53" customFormat="1" ht="25.15" customHeight="1" x14ac:dyDescent="0.25">
      <c r="B239" s="52" t="s">
        <v>761</v>
      </c>
      <c r="C239" s="124">
        <v>43435</v>
      </c>
      <c r="D239" s="124" t="s">
        <v>11</v>
      </c>
      <c r="E239" s="69">
        <v>0.41</v>
      </c>
      <c r="F239" s="85"/>
      <c r="G239" s="55"/>
    </row>
    <row r="240" spans="2:7" s="53" customFormat="1" ht="25.15" customHeight="1" x14ac:dyDescent="0.25">
      <c r="B240" s="52" t="s">
        <v>761</v>
      </c>
      <c r="C240" s="124">
        <v>43435</v>
      </c>
      <c r="D240" s="124" t="s">
        <v>389</v>
      </c>
      <c r="E240" s="69">
        <v>0.76</v>
      </c>
      <c r="F240" s="85"/>
      <c r="G240" s="55"/>
    </row>
    <row r="241" spans="2:7" s="53" customFormat="1" ht="25.15" customHeight="1" x14ac:dyDescent="0.25">
      <c r="B241" s="52" t="s">
        <v>761</v>
      </c>
      <c r="C241" s="124">
        <v>43435</v>
      </c>
      <c r="D241" s="124" t="s">
        <v>440</v>
      </c>
      <c r="E241" s="69" t="s">
        <v>405</v>
      </c>
      <c r="F241" s="85"/>
      <c r="G241" s="55"/>
    </row>
    <row r="242" spans="2:7" s="53" customFormat="1" ht="25.15" customHeight="1" x14ac:dyDescent="0.25">
      <c r="B242" s="52" t="s">
        <v>761</v>
      </c>
      <c r="C242" s="124">
        <v>43435</v>
      </c>
      <c r="D242" s="124" t="s">
        <v>437</v>
      </c>
      <c r="E242" s="129">
        <v>0.18840000000000001</v>
      </c>
      <c r="F242" s="85"/>
      <c r="G242" s="55"/>
    </row>
    <row r="243" spans="2:7" s="53" customFormat="1" ht="25.15" customHeight="1" x14ac:dyDescent="0.25">
      <c r="B243" s="52" t="s">
        <v>761</v>
      </c>
      <c r="C243" s="124">
        <v>43435</v>
      </c>
      <c r="D243" s="124" t="s">
        <v>653</v>
      </c>
      <c r="E243" s="129">
        <v>8.8900000000000007E-2</v>
      </c>
      <c r="F243" s="85"/>
      <c r="G243" s="55"/>
    </row>
    <row r="244" spans="2:7" s="53" customFormat="1" ht="25.15" customHeight="1" x14ac:dyDescent="0.25">
      <c r="B244" s="52" t="s">
        <v>761</v>
      </c>
      <c r="C244" s="124">
        <v>43435</v>
      </c>
      <c r="D244" s="124" t="s">
        <v>10</v>
      </c>
      <c r="E244" s="69">
        <v>7</v>
      </c>
      <c r="F244" s="85"/>
      <c r="G244" s="55"/>
    </row>
    <row r="245" spans="2:7" s="53" customFormat="1" ht="25.15" customHeight="1" x14ac:dyDescent="0.25">
      <c r="B245" s="52" t="s">
        <v>761</v>
      </c>
      <c r="C245" s="124">
        <v>43435</v>
      </c>
      <c r="D245" s="124" t="s">
        <v>426</v>
      </c>
      <c r="E245" s="158">
        <v>8.44</v>
      </c>
      <c r="F245" s="85"/>
      <c r="G245" s="55"/>
    </row>
    <row r="246" spans="2:7" s="53" customFormat="1" ht="25.15" customHeight="1" x14ac:dyDescent="0.25">
      <c r="B246" s="52" t="s">
        <v>632</v>
      </c>
      <c r="C246" s="124">
        <v>43435</v>
      </c>
      <c r="D246" s="124" t="s">
        <v>650</v>
      </c>
      <c r="E246" s="69">
        <v>5</v>
      </c>
      <c r="F246" s="85"/>
      <c r="G246" s="55"/>
    </row>
    <row r="247" spans="2:7" s="53" customFormat="1" ht="25.15" customHeight="1" x14ac:dyDescent="0.25">
      <c r="B247" s="52" t="s">
        <v>632</v>
      </c>
      <c r="C247" s="124">
        <v>43435</v>
      </c>
      <c r="D247" s="124" t="s">
        <v>11</v>
      </c>
      <c r="E247" s="69">
        <v>1.02</v>
      </c>
      <c r="F247" s="85"/>
      <c r="G247" s="55"/>
    </row>
    <row r="248" spans="2:7" s="53" customFormat="1" ht="25.15" customHeight="1" x14ac:dyDescent="0.25">
      <c r="B248" s="52" t="s">
        <v>632</v>
      </c>
      <c r="C248" s="124">
        <v>43435</v>
      </c>
      <c r="D248" s="124" t="s">
        <v>389</v>
      </c>
      <c r="E248" s="69">
        <v>0.91</v>
      </c>
      <c r="F248" s="85"/>
      <c r="G248" s="55"/>
    </row>
    <row r="249" spans="2:7" s="53" customFormat="1" ht="25.15" customHeight="1" x14ac:dyDescent="0.25">
      <c r="B249" s="52" t="s">
        <v>632</v>
      </c>
      <c r="C249" s="124">
        <v>43435</v>
      </c>
      <c r="D249" s="124" t="s">
        <v>440</v>
      </c>
      <c r="E249" s="69" t="s">
        <v>405</v>
      </c>
      <c r="F249" s="85"/>
      <c r="G249" s="55"/>
    </row>
    <row r="250" spans="2:7" s="53" customFormat="1" ht="25.15" customHeight="1" x14ac:dyDescent="0.25">
      <c r="B250" s="52" t="s">
        <v>632</v>
      </c>
      <c r="C250" s="124">
        <v>43435</v>
      </c>
      <c r="D250" s="124" t="s">
        <v>437</v>
      </c>
      <c r="E250" s="129">
        <v>0.34439999999999998</v>
      </c>
      <c r="F250" s="85"/>
      <c r="G250" s="55"/>
    </row>
    <row r="251" spans="2:7" s="53" customFormat="1" ht="25.15" customHeight="1" x14ac:dyDescent="0.25">
      <c r="B251" s="52" t="s">
        <v>632</v>
      </c>
      <c r="C251" s="124">
        <v>43435</v>
      </c>
      <c r="D251" s="124" t="s">
        <v>653</v>
      </c>
      <c r="E251" s="129">
        <v>5.5000000000000005E-3</v>
      </c>
      <c r="F251" s="85"/>
      <c r="G251" s="55"/>
    </row>
    <row r="252" spans="2:7" s="53" customFormat="1" ht="25.15" customHeight="1" x14ac:dyDescent="0.25">
      <c r="B252" s="52" t="s">
        <v>632</v>
      </c>
      <c r="C252" s="124">
        <v>43435</v>
      </c>
      <c r="D252" s="124" t="s">
        <v>10</v>
      </c>
      <c r="E252" s="69">
        <v>6</v>
      </c>
      <c r="F252" s="85"/>
      <c r="G252" s="55"/>
    </row>
    <row r="253" spans="2:7" s="53" customFormat="1" ht="25.15" customHeight="1" x14ac:dyDescent="0.25">
      <c r="B253" s="52" t="s">
        <v>632</v>
      </c>
      <c r="C253" s="124">
        <v>43435</v>
      </c>
      <c r="D253" s="124" t="s">
        <v>426</v>
      </c>
      <c r="E253" s="158">
        <v>14.56</v>
      </c>
      <c r="F253" s="85"/>
      <c r="G253" s="55"/>
    </row>
    <row r="254" spans="2:7" s="53" customFormat="1" ht="25.15" customHeight="1" x14ac:dyDescent="0.25">
      <c r="B254" s="130" t="s">
        <v>907</v>
      </c>
      <c r="C254" s="124">
        <v>43435</v>
      </c>
      <c r="D254" s="124" t="s">
        <v>650</v>
      </c>
      <c r="E254" s="69">
        <v>1</v>
      </c>
      <c r="F254" s="85"/>
      <c r="G254" s="55"/>
    </row>
    <row r="255" spans="2:7" s="53" customFormat="1" ht="25.15" customHeight="1" x14ac:dyDescent="0.25">
      <c r="B255" s="52" t="s">
        <v>763</v>
      </c>
      <c r="C255" s="124">
        <v>43435</v>
      </c>
      <c r="D255" s="124" t="s">
        <v>650</v>
      </c>
      <c r="E255" s="69">
        <v>3</v>
      </c>
      <c r="F255" s="85"/>
      <c r="G255" s="55"/>
    </row>
    <row r="256" spans="2:7" s="53" customFormat="1" ht="25.15" customHeight="1" x14ac:dyDescent="0.25">
      <c r="B256" s="52" t="s">
        <v>96</v>
      </c>
      <c r="C256" s="124">
        <v>43435</v>
      </c>
      <c r="D256" s="124" t="s">
        <v>650</v>
      </c>
      <c r="E256" s="69">
        <v>1</v>
      </c>
      <c r="F256" s="85"/>
      <c r="G256" s="55"/>
    </row>
    <row r="257" spans="2:7" s="53" customFormat="1" ht="25.15" customHeight="1" x14ac:dyDescent="0.25">
      <c r="B257" s="52" t="s">
        <v>797</v>
      </c>
      <c r="C257" s="124">
        <v>43435</v>
      </c>
      <c r="D257" s="124" t="s">
        <v>650</v>
      </c>
      <c r="E257" s="69">
        <v>5</v>
      </c>
      <c r="F257" s="85"/>
      <c r="G257" s="55"/>
    </row>
    <row r="258" spans="2:7" s="53" customFormat="1" ht="25.15" customHeight="1" x14ac:dyDescent="0.25">
      <c r="B258" s="52" t="s">
        <v>797</v>
      </c>
      <c r="C258" s="124">
        <v>43435</v>
      </c>
      <c r="D258" s="124" t="s">
        <v>11</v>
      </c>
      <c r="E258" s="69">
        <v>3.8</v>
      </c>
      <c r="F258" s="85"/>
      <c r="G258" s="55"/>
    </row>
    <row r="259" spans="2:7" s="53" customFormat="1" ht="25.15" customHeight="1" x14ac:dyDescent="0.25">
      <c r="B259" s="52" t="s">
        <v>797</v>
      </c>
      <c r="C259" s="124">
        <v>43435</v>
      </c>
      <c r="D259" s="124" t="s">
        <v>389</v>
      </c>
      <c r="E259" s="69">
        <v>0.97</v>
      </c>
      <c r="F259" s="85"/>
      <c r="G259" s="55"/>
    </row>
    <row r="260" spans="2:7" s="53" customFormat="1" ht="25.15" customHeight="1" x14ac:dyDescent="0.25">
      <c r="B260" s="52" t="s">
        <v>797</v>
      </c>
      <c r="C260" s="124">
        <v>43435</v>
      </c>
      <c r="D260" s="124" t="s">
        <v>440</v>
      </c>
      <c r="E260" s="69" t="s">
        <v>459</v>
      </c>
      <c r="F260" s="85"/>
      <c r="G260" s="55"/>
    </row>
    <row r="261" spans="2:7" s="53" customFormat="1" ht="25.15" customHeight="1" x14ac:dyDescent="0.25">
      <c r="B261" s="52" t="s">
        <v>797</v>
      </c>
      <c r="C261" s="124">
        <v>43435</v>
      </c>
      <c r="D261" s="124" t="s">
        <v>437</v>
      </c>
      <c r="E261" s="129">
        <v>0.14800000000000002</v>
      </c>
      <c r="F261" s="85"/>
      <c r="G261" s="55"/>
    </row>
    <row r="262" spans="2:7" s="53" customFormat="1" ht="25.15" customHeight="1" x14ac:dyDescent="0.25">
      <c r="B262" s="52" t="s">
        <v>797</v>
      </c>
      <c r="C262" s="124">
        <v>43435</v>
      </c>
      <c r="D262" s="124" t="s">
        <v>653</v>
      </c>
      <c r="E262" s="129">
        <v>3.0099999999999998E-2</v>
      </c>
      <c r="F262" s="85"/>
      <c r="G262" s="55"/>
    </row>
    <row r="263" spans="2:7" s="53" customFormat="1" ht="25.15" customHeight="1" x14ac:dyDescent="0.25">
      <c r="B263" s="52" t="s">
        <v>797</v>
      </c>
      <c r="C263" s="124">
        <v>43435</v>
      </c>
      <c r="D263" s="124" t="s">
        <v>10</v>
      </c>
      <c r="E263" s="69">
        <v>5</v>
      </c>
      <c r="F263" s="85"/>
      <c r="G263" s="55"/>
    </row>
    <row r="264" spans="2:7" s="53" customFormat="1" ht="25.15" customHeight="1" x14ac:dyDescent="0.25">
      <c r="B264" s="52" t="s">
        <v>797</v>
      </c>
      <c r="C264" s="124">
        <v>43435</v>
      </c>
      <c r="D264" s="124" t="s">
        <v>426</v>
      </c>
      <c r="E264" s="158">
        <v>94.48</v>
      </c>
      <c r="F264" s="85"/>
      <c r="G264" s="55"/>
    </row>
    <row r="265" spans="2:7" s="53" customFormat="1" ht="25.15" customHeight="1" x14ac:dyDescent="0.25">
      <c r="B265" s="52" t="s">
        <v>874</v>
      </c>
      <c r="C265" s="124">
        <v>43435</v>
      </c>
      <c r="D265" s="124" t="s">
        <v>650</v>
      </c>
      <c r="E265" s="69">
        <v>2</v>
      </c>
      <c r="F265" s="85"/>
      <c r="G265" s="55"/>
    </row>
    <row r="266" spans="2:7" s="53" customFormat="1" ht="25.15" customHeight="1" x14ac:dyDescent="0.25">
      <c r="B266" s="52" t="s">
        <v>220</v>
      </c>
      <c r="C266" s="124">
        <v>43435</v>
      </c>
      <c r="D266" s="124" t="s">
        <v>650</v>
      </c>
      <c r="E266" s="69">
        <v>3</v>
      </c>
      <c r="F266" s="85"/>
      <c r="G266" s="55"/>
    </row>
    <row r="267" spans="2:7" s="53" customFormat="1" ht="25.15" customHeight="1" x14ac:dyDescent="0.25">
      <c r="B267" s="52" t="s">
        <v>22</v>
      </c>
      <c r="C267" s="124">
        <v>43435</v>
      </c>
      <c r="D267" s="124" t="s">
        <v>650</v>
      </c>
      <c r="E267" s="69">
        <v>1</v>
      </c>
      <c r="F267" s="85"/>
      <c r="G267" s="55"/>
    </row>
    <row r="268" spans="2:7" s="53" customFormat="1" ht="25.15" customHeight="1" x14ac:dyDescent="0.25">
      <c r="B268" s="52" t="s">
        <v>798</v>
      </c>
      <c r="C268" s="124">
        <v>43435</v>
      </c>
      <c r="D268" s="124" t="s">
        <v>426</v>
      </c>
      <c r="E268" s="158">
        <v>86.53</v>
      </c>
      <c r="F268" s="85"/>
      <c r="G268" s="55"/>
    </row>
    <row r="269" spans="2:7" s="53" customFormat="1" ht="25.15" customHeight="1" x14ac:dyDescent="0.25">
      <c r="B269" s="52" t="s">
        <v>79</v>
      </c>
      <c r="C269" s="124">
        <v>43435</v>
      </c>
      <c r="D269" s="124" t="s">
        <v>403</v>
      </c>
      <c r="E269" s="69" t="s">
        <v>578</v>
      </c>
      <c r="F269" s="85"/>
      <c r="G269" s="55"/>
    </row>
    <row r="270" spans="2:7" s="53" customFormat="1" ht="25.15" customHeight="1" x14ac:dyDescent="0.25">
      <c r="B270" s="52" t="s">
        <v>240</v>
      </c>
      <c r="C270" s="124">
        <v>43435</v>
      </c>
      <c r="D270" s="124" t="s">
        <v>650</v>
      </c>
      <c r="E270" s="69">
        <v>4</v>
      </c>
      <c r="F270" s="85"/>
      <c r="G270" s="55"/>
    </row>
    <row r="271" spans="2:7" s="53" customFormat="1" ht="25.15" customHeight="1" x14ac:dyDescent="0.25">
      <c r="B271" s="52" t="s">
        <v>636</v>
      </c>
      <c r="C271" s="124">
        <v>43435</v>
      </c>
      <c r="D271" s="124" t="s">
        <v>650</v>
      </c>
      <c r="E271" s="69">
        <v>3</v>
      </c>
      <c r="F271" s="85"/>
      <c r="G271" s="55"/>
    </row>
    <row r="272" spans="2:7" s="53" customFormat="1" ht="25.15" customHeight="1" x14ac:dyDescent="0.25">
      <c r="B272" s="52" t="s">
        <v>205</v>
      </c>
      <c r="C272" s="124">
        <v>43435</v>
      </c>
      <c r="D272" s="124" t="s">
        <v>650</v>
      </c>
      <c r="E272" s="69">
        <v>3</v>
      </c>
      <c r="F272" s="85"/>
      <c r="G272" s="55"/>
    </row>
    <row r="273" spans="2:7" s="53" customFormat="1" ht="25.15" customHeight="1" x14ac:dyDescent="0.25">
      <c r="B273" s="52" t="s">
        <v>872</v>
      </c>
      <c r="C273" s="124">
        <v>43435</v>
      </c>
      <c r="D273" s="124" t="s">
        <v>650</v>
      </c>
      <c r="E273" s="69">
        <v>3</v>
      </c>
      <c r="F273" s="85"/>
      <c r="G273" s="55"/>
    </row>
    <row r="274" spans="2:7" s="53" customFormat="1" ht="25.15" customHeight="1" x14ac:dyDescent="0.25">
      <c r="B274" s="52" t="s">
        <v>807</v>
      </c>
      <c r="C274" s="124">
        <v>43435</v>
      </c>
      <c r="D274" s="124" t="s">
        <v>650</v>
      </c>
      <c r="E274" s="69">
        <v>3</v>
      </c>
      <c r="F274" s="85"/>
      <c r="G274" s="55"/>
    </row>
    <row r="275" spans="2:7" s="53" customFormat="1" ht="25.15" customHeight="1" x14ac:dyDescent="0.25">
      <c r="B275" s="52" t="s">
        <v>680</v>
      </c>
      <c r="C275" s="124">
        <v>43435</v>
      </c>
      <c r="D275" s="124" t="s">
        <v>650</v>
      </c>
      <c r="E275" s="69">
        <v>3</v>
      </c>
      <c r="F275" s="85"/>
      <c r="G275" s="55"/>
    </row>
    <row r="276" spans="2:7" s="53" customFormat="1" ht="25.15" customHeight="1" x14ac:dyDescent="0.25">
      <c r="B276" s="52" t="s">
        <v>250</v>
      </c>
      <c r="C276" s="124">
        <v>43435</v>
      </c>
      <c r="D276" s="124" t="s">
        <v>650</v>
      </c>
      <c r="E276" s="69">
        <v>3</v>
      </c>
      <c r="F276" s="85"/>
      <c r="G276" s="55"/>
    </row>
    <row r="277" spans="2:7" s="53" customFormat="1" ht="25.15" customHeight="1" x14ac:dyDescent="0.25">
      <c r="B277" s="52" t="s">
        <v>765</v>
      </c>
      <c r="C277" s="124">
        <v>43435</v>
      </c>
      <c r="D277" s="124" t="s">
        <v>650</v>
      </c>
      <c r="E277" s="69">
        <v>1</v>
      </c>
      <c r="F277" s="85"/>
      <c r="G277" s="55"/>
    </row>
    <row r="278" spans="2:7" s="53" customFormat="1" ht="25.15" customHeight="1" x14ac:dyDescent="0.25">
      <c r="B278" s="52" t="s">
        <v>99</v>
      </c>
      <c r="C278" s="124">
        <v>43435</v>
      </c>
      <c r="D278" s="124" t="s">
        <v>650</v>
      </c>
      <c r="E278" s="69">
        <v>1</v>
      </c>
      <c r="F278" s="85"/>
      <c r="G278" s="55"/>
    </row>
    <row r="279" spans="2:7" s="53" customFormat="1" ht="25.15" customHeight="1" x14ac:dyDescent="0.25">
      <c r="B279" s="52" t="s">
        <v>638</v>
      </c>
      <c r="C279" s="124">
        <v>43435</v>
      </c>
      <c r="D279" s="124" t="s">
        <v>650</v>
      </c>
      <c r="E279" s="69">
        <v>3</v>
      </c>
      <c r="F279" s="85"/>
      <c r="G279" s="55"/>
    </row>
    <row r="280" spans="2:7" s="53" customFormat="1" ht="25.15" customHeight="1" x14ac:dyDescent="0.25">
      <c r="B280" s="52" t="s">
        <v>706</v>
      </c>
      <c r="C280" s="124">
        <v>43435</v>
      </c>
      <c r="D280" s="124" t="s">
        <v>650</v>
      </c>
      <c r="E280" s="69">
        <v>2</v>
      </c>
      <c r="F280" s="85"/>
      <c r="G280" s="55"/>
    </row>
    <row r="281" spans="2:7" s="53" customFormat="1" ht="25.15" customHeight="1" x14ac:dyDescent="0.25">
      <c r="B281" s="52" t="s">
        <v>37</v>
      </c>
      <c r="C281" s="124">
        <v>43435</v>
      </c>
      <c r="D281" s="124" t="s">
        <v>650</v>
      </c>
      <c r="E281" s="69">
        <v>2</v>
      </c>
      <c r="F281" s="85"/>
      <c r="G281" s="55"/>
    </row>
    <row r="282" spans="2:7" s="53" customFormat="1" ht="25.15" customHeight="1" x14ac:dyDescent="0.25">
      <c r="B282" s="52" t="s">
        <v>873</v>
      </c>
      <c r="C282" s="124">
        <v>43435</v>
      </c>
      <c r="D282" s="124" t="s">
        <v>650</v>
      </c>
      <c r="E282" s="69">
        <v>2</v>
      </c>
      <c r="F282" s="85"/>
      <c r="G282" s="55"/>
    </row>
    <row r="283" spans="2:7" s="53" customFormat="1" ht="25.15" customHeight="1" x14ac:dyDescent="0.25">
      <c r="B283" s="52" t="s">
        <v>952</v>
      </c>
      <c r="C283" s="124">
        <v>43435</v>
      </c>
      <c r="D283" s="124" t="s">
        <v>11</v>
      </c>
      <c r="E283" s="69" t="e">
        <f>VLOOKUP(Journal[[#This Row],[Ticker]],Companies[],MATCH(Journal[[#This Row],[Type]],Companies_Cols,EXACT_MATCH),EXACT_MATCH)</f>
        <v>#N/A</v>
      </c>
      <c r="F283" s="85"/>
      <c r="G283" s="55"/>
    </row>
    <row r="284" spans="2:7" s="53" customFormat="1" ht="25.15" customHeight="1" x14ac:dyDescent="0.25">
      <c r="B284" s="52" t="s">
        <v>952</v>
      </c>
      <c r="C284" s="124">
        <v>43435</v>
      </c>
      <c r="D284" s="124" t="s">
        <v>389</v>
      </c>
      <c r="E284" s="69" t="e">
        <f>VLOOKUP(Journal[[#This Row],[Ticker]],Companies[],MATCH(Journal[[#This Row],[Type]],Companies_Cols,EXACT_MATCH),EXACT_MATCH)</f>
        <v>#N/A</v>
      </c>
      <c r="F284" s="85"/>
      <c r="G284" s="55"/>
    </row>
    <row r="285" spans="2:7" s="53" customFormat="1" ht="25.15" customHeight="1" x14ac:dyDescent="0.25">
      <c r="B285" s="52" t="s">
        <v>952</v>
      </c>
      <c r="C285" s="124">
        <v>43435</v>
      </c>
      <c r="D285" s="124" t="s">
        <v>440</v>
      </c>
      <c r="E285" s="69" t="e">
        <f>VLOOKUP(Journal[[#This Row],[Ticker]],Companies[],MATCH(Journal[[#This Row],[Type]],Companies_Cols,EXACT_MATCH),EXACT_MATCH)</f>
        <v>#N/A</v>
      </c>
      <c r="F285" s="85"/>
      <c r="G285" s="55"/>
    </row>
    <row r="286" spans="2:7" s="53" customFormat="1" ht="25.15" customHeight="1" x14ac:dyDescent="0.25">
      <c r="B286" s="52" t="s">
        <v>952</v>
      </c>
      <c r="C286" s="124">
        <v>43435</v>
      </c>
      <c r="D286" s="124" t="s">
        <v>437</v>
      </c>
      <c r="E286" s="129" t="e">
        <f>VLOOKUP(Journal[[#This Row],[Ticker]],Companies[],MATCH("3 Mo. Ret.",Companies_Cols,EXACT_MATCH),EXACT_MATCH)</f>
        <v>#N/A</v>
      </c>
      <c r="F286" s="85"/>
      <c r="G286" s="55"/>
    </row>
    <row r="287" spans="2:7" s="53" customFormat="1" ht="25.15" customHeight="1" x14ac:dyDescent="0.25">
      <c r="B287" s="52" t="s">
        <v>952</v>
      </c>
      <c r="C287" s="124">
        <v>43435</v>
      </c>
      <c r="D287" s="124" t="s">
        <v>653</v>
      </c>
      <c r="E287" s="129" t="e">
        <f>VLOOKUP(Journal[[#This Row],[Ticker]],Companies[],MATCH("Div. Yield TTM",Companies_Cols,EXACT_MATCH),EXACT_MATCH)</f>
        <v>#N/A</v>
      </c>
      <c r="F287" s="85"/>
      <c r="G287" s="55"/>
    </row>
    <row r="288" spans="2:7" s="53" customFormat="1" ht="25.15" customHeight="1" x14ac:dyDescent="0.25">
      <c r="B288" s="52" t="s">
        <v>952</v>
      </c>
      <c r="C288" s="124">
        <v>43435</v>
      </c>
      <c r="D288" s="124" t="s">
        <v>10</v>
      </c>
      <c r="E288" s="69" t="e">
        <f>VLOOKUP(Journal[[#This Row],[Ticker]],Companies[],MATCH(Journal[[#This Row],[Type]],Companies_Cols,EXACT_MATCH),EXACT_MATCH)</f>
        <v>#N/A</v>
      </c>
      <c r="F288" s="85"/>
      <c r="G288" s="55"/>
    </row>
    <row r="289" spans="2:7" s="53" customFormat="1" ht="25.15" customHeight="1" x14ac:dyDescent="0.25">
      <c r="B289" s="52" t="s">
        <v>952</v>
      </c>
      <c r="C289" s="124">
        <v>43435</v>
      </c>
      <c r="D289" s="124" t="s">
        <v>426</v>
      </c>
      <c r="E289" s="158" t="e">
        <f>VLOOKUP(Journal[[#This Row],[Ticker]],Companies[],MATCH("Last Close",Companies_Cols,EXACT_MATCH),EXACT_MATCH)</f>
        <v>#N/A</v>
      </c>
      <c r="F289" s="85"/>
      <c r="G289" s="55"/>
    </row>
    <row r="290" spans="2:7" s="53" customFormat="1" ht="25.15" customHeight="1" x14ac:dyDescent="0.25">
      <c r="B290" s="52" t="s">
        <v>952</v>
      </c>
      <c r="C290" s="124">
        <v>43435</v>
      </c>
      <c r="D290" s="124" t="s">
        <v>403</v>
      </c>
      <c r="E290" s="69" t="s">
        <v>953</v>
      </c>
      <c r="F290" s="85"/>
      <c r="G290" s="55"/>
    </row>
    <row r="291" spans="2:7" s="53" customFormat="1" ht="25.15" customHeight="1" x14ac:dyDescent="0.25">
      <c r="B291" s="52" t="s">
        <v>640</v>
      </c>
      <c r="C291" s="124">
        <v>43435</v>
      </c>
      <c r="D291" s="124" t="s">
        <v>650</v>
      </c>
      <c r="E291" s="69">
        <v>5</v>
      </c>
      <c r="F291" s="85"/>
      <c r="G291" s="55"/>
    </row>
    <row r="292" spans="2:7" s="53" customFormat="1" ht="25.15" customHeight="1" x14ac:dyDescent="0.25">
      <c r="B292" s="52" t="s">
        <v>761</v>
      </c>
      <c r="C292" s="124">
        <v>43435</v>
      </c>
      <c r="D292" s="124" t="s">
        <v>403</v>
      </c>
      <c r="E292" s="69" t="s">
        <v>578</v>
      </c>
      <c r="F292" s="85"/>
      <c r="G292" s="55"/>
    </row>
    <row r="293" spans="2:7" s="53" customFormat="1" ht="25.15" customHeight="1" x14ac:dyDescent="0.25">
      <c r="B293" s="52" t="s">
        <v>640</v>
      </c>
      <c r="C293" s="124">
        <v>43435</v>
      </c>
      <c r="D293" s="124" t="s">
        <v>11</v>
      </c>
      <c r="E293" s="69">
        <v>3.75</v>
      </c>
      <c r="F293" s="85"/>
      <c r="G293" s="55"/>
    </row>
    <row r="294" spans="2:7" s="53" customFormat="1" ht="25.15" customHeight="1" x14ac:dyDescent="0.25">
      <c r="B294" s="52" t="s">
        <v>640</v>
      </c>
      <c r="C294" s="124">
        <v>43435</v>
      </c>
      <c r="D294" s="124" t="s">
        <v>389</v>
      </c>
      <c r="E294" s="69">
        <v>0.9</v>
      </c>
      <c r="F294" s="85"/>
      <c r="G294" s="55"/>
    </row>
    <row r="295" spans="2:7" s="53" customFormat="1" ht="25.15" customHeight="1" x14ac:dyDescent="0.25">
      <c r="B295" s="52" t="s">
        <v>640</v>
      </c>
      <c r="C295" s="124">
        <v>43435</v>
      </c>
      <c r="D295" s="124" t="s">
        <v>440</v>
      </c>
      <c r="E295" s="69" t="s">
        <v>407</v>
      </c>
      <c r="F295" s="85"/>
      <c r="G295" s="55"/>
    </row>
    <row r="296" spans="2:7" s="53" customFormat="1" ht="25.15" customHeight="1" x14ac:dyDescent="0.25">
      <c r="B296" s="52" t="s">
        <v>640</v>
      </c>
      <c r="C296" s="124">
        <v>43435</v>
      </c>
      <c r="D296" s="124" t="s">
        <v>437</v>
      </c>
      <c r="E296" s="129">
        <v>0.255</v>
      </c>
      <c r="F296" s="85"/>
      <c r="G296" s="55"/>
    </row>
    <row r="297" spans="2:7" s="53" customFormat="1" ht="25.15" customHeight="1" x14ac:dyDescent="0.25">
      <c r="B297" s="52" t="s">
        <v>640</v>
      </c>
      <c r="C297" s="124">
        <v>43435</v>
      </c>
      <c r="D297" s="124" t="s">
        <v>653</v>
      </c>
      <c r="E297" s="129">
        <v>1.9799999999999998E-2</v>
      </c>
      <c r="F297" s="85"/>
      <c r="G297" s="55"/>
    </row>
    <row r="298" spans="2:7" s="53" customFormat="1" ht="25.15" customHeight="1" x14ac:dyDescent="0.25">
      <c r="B298" s="52" t="s">
        <v>640</v>
      </c>
      <c r="C298" s="124">
        <v>43435</v>
      </c>
      <c r="D298" s="124" t="s">
        <v>10</v>
      </c>
      <c r="E298" s="69">
        <v>6</v>
      </c>
      <c r="F298" s="85"/>
      <c r="G298" s="55"/>
    </row>
    <row r="299" spans="2:7" s="53" customFormat="1" ht="25.15" customHeight="1" x14ac:dyDescent="0.25">
      <c r="B299" s="52" t="s">
        <v>640</v>
      </c>
      <c r="C299" s="124">
        <v>43435</v>
      </c>
      <c r="D299" s="124" t="s">
        <v>426</v>
      </c>
      <c r="E299" s="158">
        <v>66.739999999999995</v>
      </c>
      <c r="F299" s="85"/>
      <c r="G299" s="55"/>
    </row>
    <row r="300" spans="2:7" s="53" customFormat="1" ht="25.15" customHeight="1" x14ac:dyDescent="0.25">
      <c r="B300" s="52" t="s">
        <v>642</v>
      </c>
      <c r="C300" s="124">
        <v>43435</v>
      </c>
      <c r="D300" s="124" t="s">
        <v>650</v>
      </c>
      <c r="E300" s="69">
        <v>5</v>
      </c>
      <c r="F300" s="85"/>
      <c r="G300" s="55"/>
    </row>
    <row r="301" spans="2:7" s="53" customFormat="1" ht="25.15" customHeight="1" x14ac:dyDescent="0.25">
      <c r="B301" s="52" t="s">
        <v>642</v>
      </c>
      <c r="C301" s="124">
        <v>43435</v>
      </c>
      <c r="D301" s="124" t="s">
        <v>11</v>
      </c>
      <c r="E301" s="69">
        <v>1.65</v>
      </c>
      <c r="F301" s="85"/>
      <c r="G301" s="55"/>
    </row>
    <row r="302" spans="2:7" s="53" customFormat="1" ht="25.15" customHeight="1" x14ac:dyDescent="0.25">
      <c r="B302" s="52" t="s">
        <v>642</v>
      </c>
      <c r="C302" s="124">
        <v>43435</v>
      </c>
      <c r="D302" s="124" t="s">
        <v>389</v>
      </c>
      <c r="E302" s="69">
        <v>0.83</v>
      </c>
      <c r="F302" s="85"/>
      <c r="G302" s="55"/>
    </row>
    <row r="303" spans="2:7" s="53" customFormat="1" ht="25.15" customHeight="1" x14ac:dyDescent="0.25">
      <c r="B303" s="52" t="s">
        <v>642</v>
      </c>
      <c r="C303" s="124">
        <v>43435</v>
      </c>
      <c r="D303" s="124" t="s">
        <v>440</v>
      </c>
      <c r="E303" s="69" t="s">
        <v>405</v>
      </c>
      <c r="F303" s="85"/>
      <c r="G303" s="55"/>
    </row>
    <row r="304" spans="2:7" s="53" customFormat="1" ht="25.15" customHeight="1" x14ac:dyDescent="0.25">
      <c r="B304" s="52" t="s">
        <v>642</v>
      </c>
      <c r="C304" s="124">
        <v>43435</v>
      </c>
      <c r="D304" s="124" t="s">
        <v>437</v>
      </c>
      <c r="E304" s="129">
        <v>0.22020000000000001</v>
      </c>
      <c r="F304" s="85"/>
      <c r="G304" s="55"/>
    </row>
    <row r="305" spans="2:7" s="53" customFormat="1" ht="25.15" customHeight="1" x14ac:dyDescent="0.25">
      <c r="B305" s="52" t="s">
        <v>642</v>
      </c>
      <c r="C305" s="124">
        <v>43435</v>
      </c>
      <c r="D305" s="124" t="s">
        <v>653</v>
      </c>
      <c r="E305" s="129">
        <v>3.1600000000000003E-2</v>
      </c>
      <c r="F305" s="85"/>
      <c r="G305" s="55"/>
    </row>
    <row r="306" spans="2:7" s="53" customFormat="1" ht="25.15" customHeight="1" x14ac:dyDescent="0.25">
      <c r="B306" s="52" t="s">
        <v>642</v>
      </c>
      <c r="C306" s="124">
        <v>43435</v>
      </c>
      <c r="D306" s="124" t="s">
        <v>10</v>
      </c>
      <c r="E306" s="69">
        <v>6</v>
      </c>
      <c r="F306" s="85"/>
      <c r="G306" s="55"/>
    </row>
    <row r="307" spans="2:7" s="53" customFormat="1" ht="25.15" customHeight="1" x14ac:dyDescent="0.25">
      <c r="B307" s="52" t="s">
        <v>642</v>
      </c>
      <c r="C307" s="124">
        <v>43435</v>
      </c>
      <c r="D307" s="124" t="s">
        <v>426</v>
      </c>
      <c r="E307" s="158">
        <v>46.66</v>
      </c>
      <c r="F307" s="85"/>
      <c r="G307" s="55"/>
    </row>
    <row r="308" spans="2:7" s="53" customFormat="1" ht="25.15" customHeight="1" x14ac:dyDescent="0.25">
      <c r="B308" s="52" t="s">
        <v>291</v>
      </c>
      <c r="C308" s="124">
        <v>43435</v>
      </c>
      <c r="D308" s="124" t="s">
        <v>650</v>
      </c>
      <c r="E308" s="69">
        <v>3</v>
      </c>
      <c r="F308" s="85"/>
      <c r="G308" s="55"/>
    </row>
    <row r="309" spans="2:7" s="53" customFormat="1" ht="25.15" customHeight="1" x14ac:dyDescent="0.25">
      <c r="B309" s="52" t="s">
        <v>796</v>
      </c>
      <c r="C309" s="124">
        <v>43435</v>
      </c>
      <c r="D309" s="124" t="s">
        <v>650</v>
      </c>
      <c r="E309" s="69">
        <v>3</v>
      </c>
      <c r="F309" s="85"/>
      <c r="G309" s="55"/>
    </row>
    <row r="310" spans="2:7" s="53" customFormat="1" ht="25.15" customHeight="1" x14ac:dyDescent="0.25">
      <c r="B310" s="52" t="s">
        <v>344</v>
      </c>
      <c r="C310" s="124">
        <v>43435</v>
      </c>
      <c r="D310" s="124" t="s">
        <v>650</v>
      </c>
      <c r="E310" s="69">
        <v>1</v>
      </c>
      <c r="F310" s="85"/>
      <c r="G310" s="55"/>
    </row>
    <row r="311" spans="2:7" s="53" customFormat="1" ht="25.15" customHeight="1" x14ac:dyDescent="0.25">
      <c r="B311" s="52" t="s">
        <v>876</v>
      </c>
      <c r="C311" s="124">
        <v>43435</v>
      </c>
      <c r="D311" s="124" t="s">
        <v>650</v>
      </c>
      <c r="E311" s="69">
        <v>3</v>
      </c>
      <c r="F311" s="85"/>
      <c r="G311" s="55"/>
    </row>
    <row r="312" spans="2:7" s="53" customFormat="1" ht="25.15" customHeight="1" x14ac:dyDescent="0.25">
      <c r="B312" s="52" t="s">
        <v>208</v>
      </c>
      <c r="C312" s="124">
        <v>43435</v>
      </c>
      <c r="D312" s="124" t="s">
        <v>650</v>
      </c>
      <c r="E312" s="69">
        <v>2</v>
      </c>
      <c r="F312" s="85"/>
      <c r="G312" s="55"/>
    </row>
    <row r="313" spans="2:7" s="53" customFormat="1" ht="25.15" customHeight="1" x14ac:dyDescent="0.25">
      <c r="B313" s="130" t="s">
        <v>914</v>
      </c>
      <c r="C313" s="124">
        <v>43435</v>
      </c>
      <c r="D313" s="124" t="s">
        <v>650</v>
      </c>
      <c r="E313" s="69">
        <v>3</v>
      </c>
      <c r="F313" s="85"/>
      <c r="G313" s="55"/>
    </row>
    <row r="314" spans="2:7" s="53" customFormat="1" ht="25.15" customHeight="1" x14ac:dyDescent="0.25">
      <c r="B314" s="52" t="s">
        <v>682</v>
      </c>
      <c r="C314" s="124">
        <v>43435</v>
      </c>
      <c r="D314" s="124" t="s">
        <v>650</v>
      </c>
      <c r="E314" s="69">
        <v>3</v>
      </c>
      <c r="F314" s="85"/>
      <c r="G314" s="55"/>
    </row>
    <row r="315" spans="2:7" s="53" customFormat="1" ht="25.15" customHeight="1" x14ac:dyDescent="0.25">
      <c r="B315" s="52" t="s">
        <v>768</v>
      </c>
      <c r="C315" s="124">
        <v>43435</v>
      </c>
      <c r="D315" s="124" t="s">
        <v>650</v>
      </c>
      <c r="E315" s="69">
        <v>3</v>
      </c>
      <c r="F315" s="85"/>
      <c r="G315" s="55"/>
    </row>
    <row r="316" spans="2:7" s="53" customFormat="1" ht="25.15" customHeight="1" x14ac:dyDescent="0.25">
      <c r="B316" s="52" t="s">
        <v>98</v>
      </c>
      <c r="C316" s="124">
        <v>43435</v>
      </c>
      <c r="D316" s="124" t="s">
        <v>650</v>
      </c>
      <c r="E316" s="69">
        <v>1</v>
      </c>
      <c r="F316" s="85"/>
      <c r="G316" s="55"/>
    </row>
    <row r="317" spans="2:7" s="53" customFormat="1" ht="25.15" customHeight="1" x14ac:dyDescent="0.25">
      <c r="B317" s="52" t="s">
        <v>707</v>
      </c>
      <c r="C317" s="124">
        <v>43435</v>
      </c>
      <c r="D317" s="124" t="s">
        <v>650</v>
      </c>
      <c r="E317" s="69">
        <v>1</v>
      </c>
      <c r="F317" s="85"/>
      <c r="G317" s="55"/>
    </row>
    <row r="318" spans="2:7" s="53" customFormat="1" ht="25.15" customHeight="1" x14ac:dyDescent="0.25">
      <c r="B318" s="52" t="s">
        <v>361</v>
      </c>
      <c r="C318" s="124">
        <v>43435</v>
      </c>
      <c r="D318" s="124" t="s">
        <v>650</v>
      </c>
      <c r="E318" s="69">
        <v>2</v>
      </c>
      <c r="F318" s="85"/>
      <c r="G318" s="55"/>
    </row>
    <row r="319" spans="2:7" s="53" customFormat="1" ht="25.15" customHeight="1" x14ac:dyDescent="0.25">
      <c r="B319" s="130" t="s">
        <v>194</v>
      </c>
      <c r="C319" s="124">
        <v>43435</v>
      </c>
      <c r="D319" s="124" t="s">
        <v>650</v>
      </c>
      <c r="E319" s="69">
        <v>1</v>
      </c>
      <c r="F319" s="85"/>
      <c r="G319" s="55"/>
    </row>
    <row r="320" spans="2:7" s="53" customFormat="1" ht="25.15" customHeight="1" x14ac:dyDescent="0.25">
      <c r="B320" s="52" t="s">
        <v>43</v>
      </c>
      <c r="C320" s="124">
        <v>43435</v>
      </c>
      <c r="D320" s="124" t="s">
        <v>650</v>
      </c>
      <c r="E320" s="69">
        <v>1</v>
      </c>
      <c r="F320" s="85"/>
      <c r="G320" s="55"/>
    </row>
    <row r="321" spans="2:7" s="53" customFormat="1" ht="25.15" customHeight="1" x14ac:dyDescent="0.25">
      <c r="B321" s="52" t="s">
        <v>477</v>
      </c>
      <c r="C321" s="124">
        <v>43435</v>
      </c>
      <c r="D321" s="124" t="s">
        <v>650</v>
      </c>
      <c r="E321" s="69">
        <v>3</v>
      </c>
      <c r="F321" s="85"/>
      <c r="G321" s="55"/>
    </row>
    <row r="322" spans="2:7" s="53" customFormat="1" ht="25.15" customHeight="1" x14ac:dyDescent="0.25">
      <c r="B322" s="52" t="s">
        <v>714</v>
      </c>
      <c r="C322" s="124">
        <v>43435</v>
      </c>
      <c r="D322" s="124" t="s">
        <v>650</v>
      </c>
      <c r="E322" s="69">
        <v>1</v>
      </c>
      <c r="F322" s="85"/>
      <c r="G322" s="55"/>
    </row>
    <row r="323" spans="2:7" s="53" customFormat="1" ht="25.15" customHeight="1" x14ac:dyDescent="0.25">
      <c r="B323" s="52" t="s">
        <v>878</v>
      </c>
      <c r="C323" s="124">
        <v>43435</v>
      </c>
      <c r="D323" s="124" t="s">
        <v>650</v>
      </c>
      <c r="E323" s="69">
        <v>3</v>
      </c>
      <c r="F323" s="85"/>
      <c r="G323" s="55"/>
    </row>
    <row r="324" spans="2:7" s="53" customFormat="1" ht="25.15" customHeight="1" x14ac:dyDescent="0.25">
      <c r="B324" s="52" t="s">
        <v>894</v>
      </c>
      <c r="C324" s="124">
        <v>43435</v>
      </c>
      <c r="D324" s="53" t="s">
        <v>650</v>
      </c>
      <c r="E324" s="69">
        <v>1</v>
      </c>
      <c r="F324" s="85"/>
      <c r="G324" s="55"/>
    </row>
    <row r="325" spans="2:7" s="53" customFormat="1" ht="25.15" customHeight="1" x14ac:dyDescent="0.25">
      <c r="B325" s="52" t="s">
        <v>990</v>
      </c>
      <c r="C325" s="124">
        <v>43682</v>
      </c>
      <c r="D325" s="124" t="s">
        <v>66</v>
      </c>
      <c r="E325" s="69">
        <v>3235</v>
      </c>
      <c r="F325" s="85" t="s">
        <v>992</v>
      </c>
    </row>
    <row r="326" spans="2:7" s="53" customFormat="1" ht="25.15" customHeight="1" x14ac:dyDescent="0.25">
      <c r="B326" s="52" t="s">
        <v>434</v>
      </c>
      <c r="C326" s="124">
        <v>43686</v>
      </c>
      <c r="D326" s="124" t="s">
        <v>85</v>
      </c>
      <c r="E326" s="69"/>
      <c r="F326" s="85" t="s">
        <v>994</v>
      </c>
      <c r="G326" s="55" t="s">
        <v>993</v>
      </c>
    </row>
    <row r="327" spans="2:7" s="53" customFormat="1" ht="25.15" customHeight="1" x14ac:dyDescent="0.25">
      <c r="B327" s="52" t="s">
        <v>593</v>
      </c>
      <c r="C327" s="124">
        <v>43839</v>
      </c>
      <c r="D327" s="124" t="s">
        <v>85</v>
      </c>
      <c r="E327" s="198" t="s">
        <v>792</v>
      </c>
      <c r="F327" s="85" t="s">
        <v>1029</v>
      </c>
      <c r="G327" s="55" t="s">
        <v>1030</v>
      </c>
    </row>
    <row r="328" spans="2:7" s="53" customFormat="1" ht="25.15" customHeight="1" x14ac:dyDescent="0.25">
      <c r="B328" s="52" t="s">
        <v>304</v>
      </c>
      <c r="C328" s="124">
        <v>43839</v>
      </c>
      <c r="D328" s="124" t="s">
        <v>85</v>
      </c>
      <c r="E328" s="198" t="s">
        <v>792</v>
      </c>
      <c r="F328" s="85" t="s">
        <v>1029</v>
      </c>
      <c r="G328" s="55" t="s">
        <v>1030</v>
      </c>
    </row>
    <row r="329" spans="2:7" s="53" customFormat="1" ht="25.15" customHeight="1" x14ac:dyDescent="0.25">
      <c r="B329" s="52" t="s">
        <v>1031</v>
      </c>
      <c r="C329" s="124">
        <v>43839</v>
      </c>
      <c r="D329" s="124" t="s">
        <v>85</v>
      </c>
      <c r="E329" s="198" t="s">
        <v>792</v>
      </c>
      <c r="F329" s="85" t="s">
        <v>1029</v>
      </c>
      <c r="G329" s="55" t="s">
        <v>1030</v>
      </c>
    </row>
    <row r="330" spans="2:7" s="53" customFormat="1" ht="25.15" customHeight="1" x14ac:dyDescent="0.25">
      <c r="B330" s="52" t="s">
        <v>593</v>
      </c>
      <c r="C330" s="124">
        <v>43845</v>
      </c>
      <c r="D330" s="124" t="s">
        <v>650</v>
      </c>
      <c r="E330" s="69">
        <v>1</v>
      </c>
      <c r="F330" s="85"/>
      <c r="G330" s="55"/>
    </row>
    <row r="331" spans="2:7" s="53" customFormat="1" ht="25.15" customHeight="1" x14ac:dyDescent="0.25">
      <c r="B331" s="52" t="s">
        <v>593</v>
      </c>
      <c r="C331" s="124">
        <v>43845</v>
      </c>
      <c r="D331" s="124" t="s">
        <v>653</v>
      </c>
      <c r="E331" s="126">
        <v>2.5100000000000001E-2</v>
      </c>
      <c r="F331" s="85"/>
      <c r="G331" s="55"/>
    </row>
    <row r="332" spans="2:7" s="53" customFormat="1" ht="25.15" customHeight="1" x14ac:dyDescent="0.25">
      <c r="B332" s="52" t="s">
        <v>593</v>
      </c>
      <c r="C332" s="124">
        <v>43845</v>
      </c>
      <c r="D332" s="124" t="s">
        <v>11</v>
      </c>
      <c r="E332" s="69">
        <v>2.92</v>
      </c>
      <c r="F332" s="85"/>
      <c r="G332" s="55"/>
    </row>
    <row r="333" spans="2:7" s="53" customFormat="1" ht="25.15" customHeight="1" x14ac:dyDescent="0.25">
      <c r="B333" s="52" t="s">
        <v>593</v>
      </c>
      <c r="C333" s="124">
        <v>43845</v>
      </c>
      <c r="D333" s="124" t="s">
        <v>440</v>
      </c>
      <c r="E333" s="69" t="s">
        <v>407</v>
      </c>
      <c r="F333" s="85"/>
      <c r="G333" s="55"/>
    </row>
    <row r="334" spans="2:7" s="53" customFormat="1" ht="25.15" customHeight="1" x14ac:dyDescent="0.25">
      <c r="B334" s="52" t="s">
        <v>593</v>
      </c>
      <c r="C334" s="124">
        <v>43845</v>
      </c>
      <c r="D334" s="124" t="s">
        <v>437</v>
      </c>
      <c r="E334" s="126">
        <v>-0.1235</v>
      </c>
      <c r="F334" s="85"/>
      <c r="G334" s="55"/>
    </row>
    <row r="335" spans="2:7" s="53" customFormat="1" ht="25.15" customHeight="1" x14ac:dyDescent="0.25">
      <c r="B335" s="52" t="s">
        <v>593</v>
      </c>
      <c r="C335" s="124">
        <v>43845</v>
      </c>
      <c r="D335" s="124" t="s">
        <v>389</v>
      </c>
      <c r="E335" s="69">
        <v>0.69</v>
      </c>
      <c r="F335" s="85"/>
      <c r="G335" s="55"/>
    </row>
    <row r="336" spans="2:7" s="53" customFormat="1" ht="25.15" customHeight="1" x14ac:dyDescent="0.25">
      <c r="B336" s="52" t="s">
        <v>622</v>
      </c>
      <c r="C336" s="124">
        <v>43845</v>
      </c>
      <c r="D336" s="124" t="s">
        <v>650</v>
      </c>
      <c r="E336" s="69">
        <v>4</v>
      </c>
      <c r="F336" s="85" t="s">
        <v>1058</v>
      </c>
      <c r="G336" s="55"/>
    </row>
    <row r="337" spans="2:7" s="53" customFormat="1" ht="25.15" customHeight="1" x14ac:dyDescent="0.25">
      <c r="B337" s="52" t="s">
        <v>622</v>
      </c>
      <c r="C337" s="124">
        <v>43845</v>
      </c>
      <c r="D337" s="124" t="s">
        <v>11</v>
      </c>
      <c r="E337" s="69">
        <v>0.42</v>
      </c>
      <c r="F337" s="85"/>
      <c r="G337" s="55"/>
    </row>
    <row r="338" spans="2:7" s="53" customFormat="1" ht="25.15" customHeight="1" x14ac:dyDescent="0.25">
      <c r="B338" s="52" t="s">
        <v>622</v>
      </c>
      <c r="C338" s="124">
        <v>43845</v>
      </c>
      <c r="D338" s="124" t="s">
        <v>389</v>
      </c>
      <c r="E338" s="69">
        <v>0.48</v>
      </c>
      <c r="F338" s="85"/>
      <c r="G338" s="55"/>
    </row>
    <row r="339" spans="2:7" s="53" customFormat="1" ht="25.15" customHeight="1" x14ac:dyDescent="0.25">
      <c r="B339" s="52" t="s">
        <v>622</v>
      </c>
      <c r="C339" s="124">
        <v>43845</v>
      </c>
      <c r="D339" s="124" t="s">
        <v>440</v>
      </c>
      <c r="E339" s="69" t="s">
        <v>408</v>
      </c>
      <c r="F339" s="85"/>
      <c r="G339" s="55"/>
    </row>
    <row r="340" spans="2:7" s="53" customFormat="1" ht="25.15" customHeight="1" x14ac:dyDescent="0.25">
      <c r="B340" s="52" t="s">
        <v>622</v>
      </c>
      <c r="C340" s="124">
        <v>43845</v>
      </c>
      <c r="D340" s="124" t="s">
        <v>437</v>
      </c>
      <c r="E340" s="129">
        <v>0.16300000000000001</v>
      </c>
      <c r="F340" s="85"/>
      <c r="G340" s="55"/>
    </row>
    <row r="341" spans="2:7" s="53" customFormat="1" ht="25.15" customHeight="1" x14ac:dyDescent="0.25">
      <c r="B341" s="52" t="s">
        <v>622</v>
      </c>
      <c r="C341" s="124">
        <v>43845</v>
      </c>
      <c r="D341" s="124" t="s">
        <v>653</v>
      </c>
      <c r="E341" s="129">
        <v>5.9900000000000002E-2</v>
      </c>
      <c r="F341" s="85"/>
      <c r="G341" s="55"/>
    </row>
    <row r="342" spans="2:7" s="53" customFormat="1" ht="25.15" customHeight="1" x14ac:dyDescent="0.25">
      <c r="B342" s="52" t="s">
        <v>622</v>
      </c>
      <c r="C342" s="124">
        <v>43845</v>
      </c>
      <c r="D342" s="124" t="s">
        <v>10</v>
      </c>
      <c r="E342" s="69">
        <v>6</v>
      </c>
      <c r="F342" s="85"/>
      <c r="G342" s="55"/>
    </row>
    <row r="343" spans="2:7" s="53" customFormat="1" ht="25.15" customHeight="1" x14ac:dyDescent="0.25">
      <c r="B343" s="52" t="s">
        <v>622</v>
      </c>
      <c r="C343" s="124">
        <v>43845</v>
      </c>
      <c r="D343" s="124" t="s">
        <v>403</v>
      </c>
      <c r="E343" s="69" t="s">
        <v>424</v>
      </c>
      <c r="F343" s="85" t="s">
        <v>1059</v>
      </c>
      <c r="G343" s="55"/>
    </row>
    <row r="344" spans="2:7" s="53" customFormat="1" ht="25.15" customHeight="1" x14ac:dyDescent="0.25">
      <c r="B344" s="52" t="s">
        <v>804</v>
      </c>
      <c r="C344" s="124">
        <v>43845</v>
      </c>
      <c r="D344" s="124" t="s">
        <v>10</v>
      </c>
      <c r="E344" s="69">
        <v>6</v>
      </c>
      <c r="F344" s="85"/>
      <c r="G344" s="55"/>
    </row>
    <row r="345" spans="2:7" s="53" customFormat="1" ht="25.15" customHeight="1" x14ac:dyDescent="0.25">
      <c r="B345" s="52" t="s">
        <v>798</v>
      </c>
      <c r="C345" s="124">
        <v>43845</v>
      </c>
      <c r="D345" s="124" t="s">
        <v>650</v>
      </c>
      <c r="E345" s="69">
        <v>5</v>
      </c>
      <c r="F345" s="85"/>
      <c r="G345" s="55"/>
    </row>
    <row r="346" spans="2:7" s="53" customFormat="1" ht="25.15" customHeight="1" x14ac:dyDescent="0.25">
      <c r="B346" s="52" t="s">
        <v>798</v>
      </c>
      <c r="C346" s="124">
        <v>43845</v>
      </c>
      <c r="D346" s="124" t="s">
        <v>11</v>
      </c>
      <c r="E346" s="69">
        <v>4.66</v>
      </c>
      <c r="F346" s="85"/>
      <c r="G346" s="55"/>
    </row>
    <row r="347" spans="2:7" s="53" customFormat="1" ht="25.15" customHeight="1" x14ac:dyDescent="0.25">
      <c r="B347" s="52" t="s">
        <v>798</v>
      </c>
      <c r="C347" s="124">
        <v>43845</v>
      </c>
      <c r="D347" s="124" t="s">
        <v>389</v>
      </c>
      <c r="E347" s="69">
        <v>0.87</v>
      </c>
      <c r="F347" s="85"/>
      <c r="G347" s="55"/>
    </row>
    <row r="348" spans="2:7" s="53" customFormat="1" ht="25.15" customHeight="1" x14ac:dyDescent="0.25">
      <c r="B348" s="52" t="s">
        <v>798</v>
      </c>
      <c r="C348" s="124">
        <v>43845</v>
      </c>
      <c r="D348" s="124" t="s">
        <v>440</v>
      </c>
      <c r="E348" s="69" t="s">
        <v>407</v>
      </c>
      <c r="F348" s="85"/>
      <c r="G348" s="55"/>
    </row>
    <row r="349" spans="2:7" s="53" customFormat="1" ht="25.15" customHeight="1" x14ac:dyDescent="0.25">
      <c r="B349" s="52" t="s">
        <v>798</v>
      </c>
      <c r="C349" s="124">
        <v>43845</v>
      </c>
      <c r="D349" s="124" t="s">
        <v>437</v>
      </c>
      <c r="E349" s="129">
        <v>0.13739999999999999</v>
      </c>
      <c r="F349" s="85"/>
      <c r="G349" s="55"/>
    </row>
    <row r="350" spans="2:7" s="53" customFormat="1" ht="25.15" customHeight="1" x14ac:dyDescent="0.25">
      <c r="B350" s="52" t="s">
        <v>798</v>
      </c>
      <c r="C350" s="124">
        <v>43845</v>
      </c>
      <c r="D350" s="124" t="s">
        <v>653</v>
      </c>
      <c r="E350" s="129">
        <v>5.28E-2</v>
      </c>
      <c r="F350" s="85"/>
      <c r="G350" s="55"/>
    </row>
    <row r="351" spans="2:7" s="53" customFormat="1" ht="25.15" customHeight="1" x14ac:dyDescent="0.25">
      <c r="B351" s="52" t="s">
        <v>798</v>
      </c>
      <c r="C351" s="124">
        <v>43845</v>
      </c>
      <c r="D351" s="124" t="s">
        <v>1067</v>
      </c>
      <c r="E351" s="199">
        <v>43915</v>
      </c>
      <c r="F351" s="85"/>
      <c r="G351" s="55"/>
    </row>
    <row r="352" spans="2:7" s="53" customFormat="1" ht="25.15" customHeight="1" x14ac:dyDescent="0.25">
      <c r="B352" s="52" t="s">
        <v>798</v>
      </c>
      <c r="C352" s="124">
        <v>43845</v>
      </c>
      <c r="D352" s="124" t="s">
        <v>10</v>
      </c>
      <c r="E352" s="69">
        <v>6</v>
      </c>
      <c r="F352" s="85"/>
      <c r="G352" s="55"/>
    </row>
    <row r="353" spans="2:7" s="53" customFormat="1" ht="25.15" customHeight="1" x14ac:dyDescent="0.25">
      <c r="B353" s="52" t="s">
        <v>798</v>
      </c>
      <c r="C353" s="124">
        <v>43845</v>
      </c>
      <c r="D353" s="124" t="s">
        <v>403</v>
      </c>
      <c r="E353" s="69" t="s">
        <v>93</v>
      </c>
      <c r="F353" s="85"/>
      <c r="G353" s="55"/>
    </row>
    <row r="354" spans="2:7" s="53" customFormat="1" ht="25.15" customHeight="1" x14ac:dyDescent="0.25">
      <c r="B354" s="52" t="s">
        <v>1031</v>
      </c>
      <c r="C354" s="124">
        <v>43845</v>
      </c>
      <c r="D354" s="124" t="s">
        <v>85</v>
      </c>
      <c r="E354" s="198" t="s">
        <v>1039</v>
      </c>
      <c r="F354" s="85" t="s">
        <v>1041</v>
      </c>
      <c r="G354" s="55" t="s">
        <v>1040</v>
      </c>
    </row>
    <row r="355" spans="2:7" s="53" customFormat="1" ht="25.15" customHeight="1" x14ac:dyDescent="0.25">
      <c r="B355" s="52" t="s">
        <v>1031</v>
      </c>
      <c r="C355" s="124">
        <v>43845</v>
      </c>
      <c r="D355" s="124" t="s">
        <v>11</v>
      </c>
      <c r="E355" s="198">
        <v>1.54</v>
      </c>
      <c r="F355" s="85"/>
      <c r="G355" s="55"/>
    </row>
    <row r="356" spans="2:7" s="53" customFormat="1" ht="25.15" customHeight="1" x14ac:dyDescent="0.25">
      <c r="B356" s="52" t="s">
        <v>1031</v>
      </c>
      <c r="C356" s="124">
        <v>43845</v>
      </c>
      <c r="D356" s="124" t="s">
        <v>440</v>
      </c>
      <c r="E356" s="198" t="s">
        <v>405</v>
      </c>
      <c r="F356" s="85"/>
      <c r="G356" s="55"/>
    </row>
    <row r="357" spans="2:7" s="53" customFormat="1" ht="25.15" customHeight="1" x14ac:dyDescent="0.25">
      <c r="B357" s="52" t="s">
        <v>1031</v>
      </c>
      <c r="C357" s="124">
        <v>43845</v>
      </c>
      <c r="D357" s="124" t="s">
        <v>653</v>
      </c>
      <c r="E357" s="198">
        <v>5.04</v>
      </c>
      <c r="F357" s="85"/>
      <c r="G357" s="55"/>
    </row>
    <row r="358" spans="2:7" s="53" customFormat="1" ht="25.15" customHeight="1" x14ac:dyDescent="0.25">
      <c r="B358" s="52" t="s">
        <v>1031</v>
      </c>
      <c r="C358" s="124">
        <v>43845</v>
      </c>
      <c r="D358" s="124" t="s">
        <v>10</v>
      </c>
      <c r="E358" s="198">
        <v>6</v>
      </c>
      <c r="F358" s="85"/>
      <c r="G358" s="55"/>
    </row>
    <row r="359" spans="2:7" s="53" customFormat="1" ht="25.15" customHeight="1" x14ac:dyDescent="0.25">
      <c r="B359" s="52" t="s">
        <v>1031</v>
      </c>
      <c r="C359" s="124">
        <v>43845</v>
      </c>
      <c r="D359" s="124" t="s">
        <v>437</v>
      </c>
      <c r="E359" s="126">
        <v>0.17610000000000001</v>
      </c>
      <c r="F359" s="85"/>
      <c r="G359" s="55"/>
    </row>
    <row r="360" spans="2:7" s="53" customFormat="1" ht="25.15" customHeight="1" x14ac:dyDescent="0.25">
      <c r="B360" s="52" t="s">
        <v>1031</v>
      </c>
      <c r="C360" s="124">
        <v>43845</v>
      </c>
      <c r="D360" s="124" t="s">
        <v>650</v>
      </c>
      <c r="E360" s="198">
        <v>2</v>
      </c>
      <c r="F360" s="85" t="s">
        <v>1038</v>
      </c>
      <c r="G360" s="55"/>
    </row>
    <row r="361" spans="2:7" s="53" customFormat="1" ht="25.15" customHeight="1" x14ac:dyDescent="0.25">
      <c r="B361" s="52" t="s">
        <v>1031</v>
      </c>
      <c r="C361" s="124">
        <v>43845</v>
      </c>
      <c r="D361" s="124" t="s">
        <v>403</v>
      </c>
      <c r="E361" s="198" t="s">
        <v>449</v>
      </c>
      <c r="F361" s="85" t="s">
        <v>1042</v>
      </c>
      <c r="G361" s="55"/>
    </row>
    <row r="362" spans="2:7" s="53" customFormat="1" ht="25.15" customHeight="1" x14ac:dyDescent="0.25">
      <c r="B362" s="52" t="s">
        <v>1031</v>
      </c>
      <c r="C362" s="124">
        <v>43845</v>
      </c>
      <c r="D362" s="124" t="s">
        <v>389</v>
      </c>
      <c r="E362" s="198">
        <v>0.64</v>
      </c>
      <c r="F362" s="85"/>
      <c r="G362" s="55"/>
    </row>
    <row r="363" spans="2:7" s="53" customFormat="1" ht="25.15" customHeight="1" x14ac:dyDescent="0.25">
      <c r="B363" s="52" t="s">
        <v>804</v>
      </c>
      <c r="C363" s="124">
        <v>43845</v>
      </c>
      <c r="D363" s="124" t="s">
        <v>85</v>
      </c>
      <c r="E363" s="198" t="s">
        <v>792</v>
      </c>
      <c r="F363" s="85" t="s">
        <v>1033</v>
      </c>
      <c r="G363" s="55" t="s">
        <v>1032</v>
      </c>
    </row>
    <row r="364" spans="2:7" s="53" customFormat="1" ht="25.15" customHeight="1" x14ac:dyDescent="0.25">
      <c r="B364" s="52" t="s">
        <v>804</v>
      </c>
      <c r="C364" s="124">
        <v>43845</v>
      </c>
      <c r="D364" s="124" t="s">
        <v>11</v>
      </c>
      <c r="E364" s="198">
        <v>4.4000000000000004</v>
      </c>
      <c r="F364" s="85"/>
      <c r="G364" s="55"/>
    </row>
    <row r="365" spans="2:7" s="53" customFormat="1" ht="25.15" customHeight="1" x14ac:dyDescent="0.25">
      <c r="B365" s="52" t="s">
        <v>804</v>
      </c>
      <c r="C365" s="124">
        <v>43845</v>
      </c>
      <c r="D365" s="124" t="s">
        <v>437</v>
      </c>
      <c r="E365" s="126">
        <v>0.1138</v>
      </c>
      <c r="F365" s="85"/>
      <c r="G365" s="55"/>
    </row>
    <row r="366" spans="2:7" s="53" customFormat="1" ht="25.15" customHeight="1" x14ac:dyDescent="0.25">
      <c r="B366" s="52" t="s">
        <v>804</v>
      </c>
      <c r="C366" s="124">
        <v>43845</v>
      </c>
      <c r="D366" s="124" t="s">
        <v>650</v>
      </c>
      <c r="E366" s="198">
        <v>5</v>
      </c>
      <c r="F366" s="85"/>
      <c r="G366" s="55"/>
    </row>
    <row r="367" spans="2:7" s="53" customFormat="1" ht="25.15" customHeight="1" x14ac:dyDescent="0.25">
      <c r="B367" s="52" t="s">
        <v>804</v>
      </c>
      <c r="C367" s="124">
        <v>43845</v>
      </c>
      <c r="D367" s="124" t="s">
        <v>653</v>
      </c>
      <c r="E367" s="126">
        <v>3.5900000000000001E-2</v>
      </c>
      <c r="F367" s="85"/>
      <c r="G367" s="55"/>
    </row>
    <row r="368" spans="2:7" s="53" customFormat="1" ht="25.15" customHeight="1" x14ac:dyDescent="0.25">
      <c r="B368" s="52" t="s">
        <v>804</v>
      </c>
      <c r="C368" s="124">
        <v>43845</v>
      </c>
      <c r="D368" s="124" t="s">
        <v>440</v>
      </c>
      <c r="E368" s="198" t="s">
        <v>459</v>
      </c>
      <c r="F368" s="85"/>
      <c r="G368" s="55"/>
    </row>
    <row r="369" spans="2:7" s="53" customFormat="1" ht="25.15" customHeight="1" x14ac:dyDescent="0.25">
      <c r="B369" s="52" t="s">
        <v>804</v>
      </c>
      <c r="C369" s="124">
        <v>43845</v>
      </c>
      <c r="D369" s="124" t="s">
        <v>403</v>
      </c>
      <c r="E369" s="198" t="s">
        <v>449</v>
      </c>
      <c r="F369" s="85"/>
      <c r="G369" s="55"/>
    </row>
    <row r="370" spans="2:7" s="53" customFormat="1" ht="25.15" customHeight="1" x14ac:dyDescent="0.25">
      <c r="B370" s="52" t="s">
        <v>804</v>
      </c>
      <c r="C370" s="124">
        <v>43845</v>
      </c>
      <c r="D370" s="124" t="s">
        <v>1067</v>
      </c>
      <c r="E370" s="201">
        <v>43860</v>
      </c>
      <c r="F370" s="85"/>
      <c r="G370" s="55"/>
    </row>
    <row r="371" spans="2:7" s="53" customFormat="1" ht="25.15" customHeight="1" x14ac:dyDescent="0.25">
      <c r="B371" s="52" t="s">
        <v>804</v>
      </c>
      <c r="C371" s="124">
        <v>43845</v>
      </c>
      <c r="D371" s="124" t="s">
        <v>389</v>
      </c>
      <c r="E371" s="198">
        <v>0.86</v>
      </c>
      <c r="F371" s="85"/>
      <c r="G371" s="55"/>
    </row>
    <row r="372" spans="2:7" s="53" customFormat="1" ht="25.15" customHeight="1" x14ac:dyDescent="0.25">
      <c r="B372" s="52" t="s">
        <v>1034</v>
      </c>
      <c r="C372" s="124">
        <v>43845</v>
      </c>
      <c r="D372" s="124" t="s">
        <v>85</v>
      </c>
      <c r="E372" s="198" t="s">
        <v>792</v>
      </c>
      <c r="F372" s="85" t="s">
        <v>1033</v>
      </c>
      <c r="G372" s="55" t="s">
        <v>1032</v>
      </c>
    </row>
    <row r="373" spans="2:7" s="53" customFormat="1" ht="25.15" customHeight="1" x14ac:dyDescent="0.25">
      <c r="B373" s="52" t="s">
        <v>1034</v>
      </c>
      <c r="C373" s="124">
        <v>43845</v>
      </c>
      <c r="D373" s="124" t="s">
        <v>389</v>
      </c>
      <c r="E373" s="198">
        <v>0.81</v>
      </c>
      <c r="F373" s="85"/>
      <c r="G373" s="55"/>
    </row>
    <row r="374" spans="2:7" s="53" customFormat="1" ht="25.15" customHeight="1" x14ac:dyDescent="0.25">
      <c r="B374" s="52" t="s">
        <v>1035</v>
      </c>
      <c r="C374" s="124">
        <v>43845</v>
      </c>
      <c r="D374" s="124" t="s">
        <v>85</v>
      </c>
      <c r="E374" s="198" t="s">
        <v>792</v>
      </c>
      <c r="F374" s="85" t="s">
        <v>1033</v>
      </c>
      <c r="G374" s="55" t="s">
        <v>1032</v>
      </c>
    </row>
    <row r="375" spans="2:7" s="53" customFormat="1" ht="25.15" customHeight="1" x14ac:dyDescent="0.25">
      <c r="B375" s="52" t="s">
        <v>1035</v>
      </c>
      <c r="C375" s="124">
        <v>43845</v>
      </c>
      <c r="D375" s="124" t="s">
        <v>389</v>
      </c>
      <c r="E375" s="198">
        <v>0.71</v>
      </c>
      <c r="F375" s="85"/>
      <c r="G375" s="55"/>
    </row>
    <row r="376" spans="2:7" s="53" customFormat="1" ht="25.15" customHeight="1" x14ac:dyDescent="0.25">
      <c r="B376" s="52" t="s">
        <v>803</v>
      </c>
      <c r="C376" s="124">
        <v>43845</v>
      </c>
      <c r="D376" s="124" t="s">
        <v>85</v>
      </c>
      <c r="E376" s="198" t="s">
        <v>792</v>
      </c>
      <c r="F376" s="85" t="s">
        <v>1033</v>
      </c>
      <c r="G376" s="55" t="s">
        <v>1032</v>
      </c>
    </row>
    <row r="377" spans="2:7" s="53" customFormat="1" ht="25.15" customHeight="1" x14ac:dyDescent="0.25">
      <c r="B377" s="52" t="s">
        <v>803</v>
      </c>
      <c r="C377" s="124">
        <v>43845</v>
      </c>
      <c r="D377" s="124" t="s">
        <v>389</v>
      </c>
      <c r="E377" s="198">
        <v>0.87</v>
      </c>
      <c r="F377" s="85"/>
      <c r="G377" s="55"/>
    </row>
    <row r="378" spans="2:7" s="53" customFormat="1" ht="25.15" customHeight="1" x14ac:dyDescent="0.25">
      <c r="B378" s="52" t="s">
        <v>587</v>
      </c>
      <c r="C378" s="124">
        <v>43845</v>
      </c>
      <c r="D378" s="124" t="s">
        <v>85</v>
      </c>
      <c r="E378" s="198" t="s">
        <v>792</v>
      </c>
      <c r="F378" s="85" t="s">
        <v>1033</v>
      </c>
      <c r="G378" s="55" t="s">
        <v>1032</v>
      </c>
    </row>
    <row r="379" spans="2:7" s="53" customFormat="1" ht="25.15" customHeight="1" x14ac:dyDescent="0.25">
      <c r="B379" s="52" t="s">
        <v>587</v>
      </c>
      <c r="C379" s="124">
        <v>43845</v>
      </c>
      <c r="D379" s="124" t="s">
        <v>389</v>
      </c>
      <c r="E379" s="198">
        <v>0.9</v>
      </c>
      <c r="F379" s="85"/>
      <c r="G379" s="55"/>
    </row>
    <row r="380" spans="2:7" s="53" customFormat="1" ht="25.15" customHeight="1" x14ac:dyDescent="0.25">
      <c r="B380" s="52" t="s">
        <v>815</v>
      </c>
      <c r="C380" s="124">
        <v>43845</v>
      </c>
      <c r="D380" s="124" t="s">
        <v>85</v>
      </c>
      <c r="E380" s="198" t="s">
        <v>792</v>
      </c>
      <c r="F380" s="85" t="s">
        <v>1033</v>
      </c>
      <c r="G380" s="55" t="s">
        <v>1032</v>
      </c>
    </row>
    <row r="381" spans="2:7" s="53" customFormat="1" ht="25.15" customHeight="1" x14ac:dyDescent="0.25">
      <c r="B381" s="52" t="s">
        <v>815</v>
      </c>
      <c r="C381" s="124">
        <v>43845</v>
      </c>
      <c r="D381" s="124" t="s">
        <v>389</v>
      </c>
      <c r="E381" s="198">
        <v>0.99</v>
      </c>
      <c r="F381" s="85"/>
      <c r="G381" s="55"/>
    </row>
    <row r="382" spans="2:7" s="53" customFormat="1" ht="25.15" customHeight="1" x14ac:dyDescent="0.25">
      <c r="B382" s="52" t="s">
        <v>1036</v>
      </c>
      <c r="C382" s="124">
        <v>43845</v>
      </c>
      <c r="D382" s="124" t="s">
        <v>85</v>
      </c>
      <c r="E382" s="198" t="s">
        <v>792</v>
      </c>
      <c r="F382" s="85" t="s">
        <v>1033</v>
      </c>
      <c r="G382" s="55" t="s">
        <v>1032</v>
      </c>
    </row>
    <row r="383" spans="2:7" s="53" customFormat="1" ht="25.15" customHeight="1" x14ac:dyDescent="0.25">
      <c r="B383" s="52" t="s">
        <v>1036</v>
      </c>
      <c r="C383" s="124">
        <v>43845</v>
      </c>
      <c r="D383" s="124" t="s">
        <v>389</v>
      </c>
      <c r="E383" s="198">
        <v>0.93</v>
      </c>
      <c r="F383" s="85"/>
      <c r="G383" s="55"/>
    </row>
    <row r="384" spans="2:7" s="53" customFormat="1" ht="25.15" customHeight="1" x14ac:dyDescent="0.25">
      <c r="B384" s="52" t="s">
        <v>1037</v>
      </c>
      <c r="C384" s="124">
        <v>43845</v>
      </c>
      <c r="D384" s="124" t="s">
        <v>389</v>
      </c>
      <c r="E384" s="198">
        <v>0.9</v>
      </c>
      <c r="F384" s="85"/>
      <c r="G384" s="55"/>
    </row>
    <row r="385" spans="2:7" s="53" customFormat="1" ht="25.15" customHeight="1" x14ac:dyDescent="0.25">
      <c r="B385" s="52" t="s">
        <v>1037</v>
      </c>
      <c r="C385" s="124">
        <v>43845</v>
      </c>
      <c r="D385" s="124" t="s">
        <v>85</v>
      </c>
      <c r="E385" s="198" t="s">
        <v>792</v>
      </c>
      <c r="F385" s="85" t="s">
        <v>1033</v>
      </c>
      <c r="G385" s="55" t="s">
        <v>1032</v>
      </c>
    </row>
    <row r="386" spans="2:7" s="53" customFormat="1" ht="25.15" customHeight="1" x14ac:dyDescent="0.25">
      <c r="B386" s="52" t="s">
        <v>742</v>
      </c>
      <c r="C386" s="124">
        <v>43871</v>
      </c>
      <c r="D386" s="124" t="s">
        <v>440</v>
      </c>
      <c r="E386" s="198" t="s">
        <v>405</v>
      </c>
      <c r="F386" s="85"/>
      <c r="G386" s="55"/>
    </row>
    <row r="387" spans="2:7" s="53" customFormat="1" ht="25.15" customHeight="1" x14ac:dyDescent="0.25">
      <c r="B387" s="52" t="s">
        <v>742</v>
      </c>
      <c r="C387" s="124">
        <v>43871</v>
      </c>
      <c r="D387" s="124" t="s">
        <v>653</v>
      </c>
      <c r="E387" s="126">
        <v>5.3100000000000001E-2</v>
      </c>
      <c r="F387" s="85"/>
      <c r="G387" s="55"/>
    </row>
    <row r="388" spans="2:7" s="53" customFormat="1" ht="25.15" customHeight="1" x14ac:dyDescent="0.25">
      <c r="B388" s="52" t="s">
        <v>742</v>
      </c>
      <c r="C388" s="124">
        <v>43871</v>
      </c>
      <c r="D388" s="124" t="s">
        <v>10</v>
      </c>
      <c r="E388" s="198">
        <v>4</v>
      </c>
      <c r="F388" s="85"/>
      <c r="G388" s="55"/>
    </row>
    <row r="389" spans="2:7" s="53" customFormat="1" ht="25.15" customHeight="1" x14ac:dyDescent="0.25">
      <c r="B389" s="52" t="s">
        <v>742</v>
      </c>
      <c r="C389" s="124">
        <v>43871</v>
      </c>
      <c r="D389" s="124" t="s">
        <v>437</v>
      </c>
      <c r="E389" s="125">
        <v>0.12</v>
      </c>
      <c r="F389" s="85"/>
      <c r="G389" s="55"/>
    </row>
    <row r="390" spans="2:7" s="53" customFormat="1" ht="25.15" customHeight="1" x14ac:dyDescent="0.25">
      <c r="B390" s="52" t="s">
        <v>742</v>
      </c>
      <c r="C390" s="124">
        <v>43871</v>
      </c>
      <c r="D390" s="124" t="s">
        <v>650</v>
      </c>
      <c r="E390" s="198">
        <v>4</v>
      </c>
      <c r="F390" s="85"/>
      <c r="G390" s="55"/>
    </row>
    <row r="391" spans="2:7" s="53" customFormat="1" ht="25.15" customHeight="1" x14ac:dyDescent="0.25">
      <c r="B391" s="52" t="s">
        <v>742</v>
      </c>
      <c r="C391" s="124">
        <v>43871</v>
      </c>
      <c r="D391" s="124" t="s">
        <v>403</v>
      </c>
      <c r="E391" s="198" t="s">
        <v>451</v>
      </c>
      <c r="F391" s="85" t="s">
        <v>1261</v>
      </c>
      <c r="G391" s="55"/>
    </row>
    <row r="392" spans="2:7" s="53" customFormat="1" ht="25.15" customHeight="1" x14ac:dyDescent="0.25">
      <c r="B392" s="52" t="s">
        <v>742</v>
      </c>
      <c r="C392" s="124">
        <v>43871</v>
      </c>
      <c r="D392" s="124" t="s">
        <v>389</v>
      </c>
      <c r="E392" s="198">
        <v>0.64</v>
      </c>
      <c r="F392" s="85"/>
      <c r="G392" s="55"/>
    </row>
    <row r="393" spans="2:7" s="53" customFormat="1" ht="25.15" customHeight="1" x14ac:dyDescent="0.25">
      <c r="B393" s="52" t="s">
        <v>304</v>
      </c>
      <c r="C393" s="124">
        <v>43872</v>
      </c>
      <c r="D393" s="124" t="s">
        <v>653</v>
      </c>
      <c r="E393" s="126">
        <v>5.2900000000000003E-2</v>
      </c>
      <c r="F393" s="85"/>
      <c r="G393" s="55"/>
    </row>
    <row r="394" spans="2:7" s="53" customFormat="1" ht="25.15" customHeight="1" x14ac:dyDescent="0.25">
      <c r="B394" s="52" t="s">
        <v>304</v>
      </c>
      <c r="C394" s="124">
        <v>43872</v>
      </c>
      <c r="D394" s="124" t="s">
        <v>389</v>
      </c>
      <c r="E394" s="126">
        <v>9.1000000000000004E-3</v>
      </c>
      <c r="F394" s="85"/>
      <c r="G394" s="55"/>
    </row>
    <row r="395" spans="2:7" s="53" customFormat="1" ht="25.15" customHeight="1" x14ac:dyDescent="0.25">
      <c r="B395" s="52" t="s">
        <v>304</v>
      </c>
      <c r="C395" s="124">
        <v>43872</v>
      </c>
      <c r="D395" s="124" t="s">
        <v>403</v>
      </c>
      <c r="E395" s="126" t="s">
        <v>449</v>
      </c>
      <c r="F395" s="85"/>
      <c r="G395" s="55"/>
    </row>
    <row r="396" spans="2:7" s="53" customFormat="1" ht="25.15" customHeight="1" x14ac:dyDescent="0.25">
      <c r="B396" s="52" t="s">
        <v>304</v>
      </c>
      <c r="C396" s="124">
        <v>43872</v>
      </c>
      <c r="D396" s="124" t="s">
        <v>437</v>
      </c>
      <c r="E396" s="126">
        <v>0.156</v>
      </c>
      <c r="F396" s="85"/>
      <c r="G396" s="55"/>
    </row>
    <row r="397" spans="2:7" s="53" customFormat="1" ht="25.15" customHeight="1" x14ac:dyDescent="0.25">
      <c r="B397" s="52" t="s">
        <v>304</v>
      </c>
      <c r="C397" s="124">
        <v>43872</v>
      </c>
      <c r="D397" s="124" t="s">
        <v>650</v>
      </c>
      <c r="E397" s="198">
        <v>5</v>
      </c>
      <c r="F397" s="85"/>
      <c r="G397" s="55"/>
    </row>
    <row r="398" spans="2:7" s="53" customFormat="1" ht="25.15" customHeight="1" x14ac:dyDescent="0.25">
      <c r="B398" s="52" t="s">
        <v>304</v>
      </c>
      <c r="C398" s="124">
        <v>43872</v>
      </c>
      <c r="D398" s="124" t="s">
        <v>440</v>
      </c>
      <c r="E398" s="126" t="s">
        <v>459</v>
      </c>
      <c r="F398" s="85"/>
      <c r="G398" s="55"/>
    </row>
    <row r="399" spans="2:7" s="53" customFormat="1" ht="25.15" customHeight="1" x14ac:dyDescent="0.25">
      <c r="B399" s="52" t="s">
        <v>304</v>
      </c>
      <c r="C399" s="124">
        <v>43872</v>
      </c>
      <c r="D399" s="124" t="s">
        <v>1067</v>
      </c>
      <c r="E399" s="200">
        <v>43874</v>
      </c>
      <c r="F399" s="85"/>
      <c r="G399" s="55"/>
    </row>
    <row r="400" spans="2:7" s="53" customFormat="1" ht="25.15" customHeight="1" x14ac:dyDescent="0.25">
      <c r="B400" s="52" t="s">
        <v>304</v>
      </c>
      <c r="C400" s="124">
        <v>43872</v>
      </c>
      <c r="D400" s="124" t="s">
        <v>10</v>
      </c>
      <c r="E400" s="198">
        <v>6</v>
      </c>
      <c r="F400" s="85"/>
      <c r="G400" s="55"/>
    </row>
    <row r="401" spans="2:7" s="53" customFormat="1" ht="25.15" customHeight="1" x14ac:dyDescent="0.25">
      <c r="B401" s="52" t="s">
        <v>408</v>
      </c>
      <c r="C401" s="124">
        <v>43872</v>
      </c>
      <c r="D401" s="124" t="s">
        <v>440</v>
      </c>
      <c r="E401" s="198" t="s">
        <v>459</v>
      </c>
      <c r="F401" s="85"/>
      <c r="G401" s="55"/>
    </row>
    <row r="402" spans="2:7" s="53" customFormat="1" ht="25.15" customHeight="1" x14ac:dyDescent="0.25">
      <c r="B402" s="52" t="s">
        <v>408</v>
      </c>
      <c r="C402" s="124">
        <v>43872</v>
      </c>
      <c r="D402" s="124" t="s">
        <v>653</v>
      </c>
      <c r="E402" s="126">
        <v>4.3200000000000002E-2</v>
      </c>
      <c r="F402" s="85"/>
      <c r="G402" s="55"/>
    </row>
    <row r="403" spans="2:7" s="53" customFormat="1" ht="25.15" customHeight="1" x14ac:dyDescent="0.25">
      <c r="B403" s="52" t="s">
        <v>408</v>
      </c>
      <c r="C403" s="124">
        <v>43872</v>
      </c>
      <c r="D403" s="124" t="s">
        <v>10</v>
      </c>
      <c r="E403" s="198">
        <v>3</v>
      </c>
      <c r="F403" s="85"/>
      <c r="G403" s="55"/>
    </row>
    <row r="404" spans="2:7" s="53" customFormat="1" ht="25.15" customHeight="1" x14ac:dyDescent="0.25">
      <c r="B404" s="52" t="s">
        <v>408</v>
      </c>
      <c r="C404" s="124">
        <v>43872</v>
      </c>
      <c r="D404" s="124" t="s">
        <v>437</v>
      </c>
      <c r="E404" s="126">
        <v>6.4799999999999996E-2</v>
      </c>
      <c r="F404" s="85"/>
      <c r="G404" s="55"/>
    </row>
    <row r="405" spans="2:7" s="53" customFormat="1" ht="25.15" customHeight="1" x14ac:dyDescent="0.25">
      <c r="B405" s="52" t="s">
        <v>408</v>
      </c>
      <c r="C405" s="124">
        <v>43872</v>
      </c>
      <c r="D405" s="124" t="s">
        <v>650</v>
      </c>
      <c r="E405" s="198">
        <v>4</v>
      </c>
      <c r="F405" s="85"/>
      <c r="G405" s="55"/>
    </row>
    <row r="406" spans="2:7" s="53" customFormat="1" ht="25.15" customHeight="1" x14ac:dyDescent="0.25">
      <c r="B406" s="52" t="s">
        <v>408</v>
      </c>
      <c r="C406" s="124">
        <v>43872</v>
      </c>
      <c r="D406" s="124" t="s">
        <v>403</v>
      </c>
      <c r="E406" s="198" t="s">
        <v>451</v>
      </c>
      <c r="F406" s="85" t="s">
        <v>1262</v>
      </c>
      <c r="G406" s="55"/>
    </row>
    <row r="407" spans="2:7" s="53" customFormat="1" ht="25.15" customHeight="1" x14ac:dyDescent="0.25">
      <c r="B407" s="52" t="s">
        <v>408</v>
      </c>
      <c r="C407" s="124">
        <v>43872</v>
      </c>
      <c r="D407" s="124" t="s">
        <v>389</v>
      </c>
      <c r="E407" s="198">
        <v>0.98</v>
      </c>
      <c r="F407" s="85"/>
      <c r="G407" s="55"/>
    </row>
    <row r="408" spans="2:7" s="53" customFormat="1" ht="25.15" customHeight="1" x14ac:dyDescent="0.25">
      <c r="B408" s="52" t="s">
        <v>1263</v>
      </c>
      <c r="C408" s="124">
        <v>43872</v>
      </c>
      <c r="D408" s="124" t="s">
        <v>440</v>
      </c>
      <c r="E408" s="198" t="s">
        <v>407</v>
      </c>
      <c r="F408" s="85"/>
      <c r="G408" s="55"/>
    </row>
    <row r="409" spans="2:7" s="53" customFormat="1" ht="25.15" customHeight="1" x14ac:dyDescent="0.25">
      <c r="B409" s="52" t="s">
        <v>1263</v>
      </c>
      <c r="C409" s="124">
        <v>43872</v>
      </c>
      <c r="D409" s="124" t="s">
        <v>653</v>
      </c>
      <c r="E409" s="126">
        <v>3.5499999999999997E-2</v>
      </c>
      <c r="F409" s="85"/>
      <c r="G409" s="55"/>
    </row>
    <row r="410" spans="2:7" s="53" customFormat="1" ht="25.15" customHeight="1" x14ac:dyDescent="0.25">
      <c r="B410" s="52" t="s">
        <v>1263</v>
      </c>
      <c r="C410" s="124">
        <v>43872</v>
      </c>
      <c r="D410" s="124" t="s">
        <v>10</v>
      </c>
      <c r="E410" s="198">
        <v>5</v>
      </c>
      <c r="F410" s="85"/>
      <c r="G410" s="55"/>
    </row>
    <row r="411" spans="2:7" s="53" customFormat="1" ht="25.15" customHeight="1" x14ac:dyDescent="0.25">
      <c r="B411" s="52" t="s">
        <v>1263</v>
      </c>
      <c r="C411" s="124">
        <v>43872</v>
      </c>
      <c r="D411" s="124" t="s">
        <v>437</v>
      </c>
      <c r="E411" s="126">
        <v>5.8999999999999999E-3</v>
      </c>
      <c r="F411" s="85"/>
      <c r="G411" s="55"/>
    </row>
    <row r="412" spans="2:7" s="53" customFormat="1" ht="25.15" customHeight="1" x14ac:dyDescent="0.25">
      <c r="B412" s="52" t="s">
        <v>1263</v>
      </c>
      <c r="C412" s="124">
        <v>43872</v>
      </c>
      <c r="D412" s="124" t="s">
        <v>650</v>
      </c>
      <c r="E412" s="126">
        <v>0.03</v>
      </c>
      <c r="F412" s="85"/>
      <c r="G412" s="55"/>
    </row>
    <row r="413" spans="2:7" s="53" customFormat="1" ht="25.15" customHeight="1" x14ac:dyDescent="0.25">
      <c r="B413" s="52" t="s">
        <v>1263</v>
      </c>
      <c r="C413" s="124">
        <v>43872</v>
      </c>
      <c r="D413" s="124" t="s">
        <v>403</v>
      </c>
      <c r="E413" s="198" t="s">
        <v>451</v>
      </c>
      <c r="F413" s="85" t="s">
        <v>1265</v>
      </c>
      <c r="G413" s="55"/>
    </row>
    <row r="414" spans="2:7" s="53" customFormat="1" ht="25.15" customHeight="1" x14ac:dyDescent="0.25">
      <c r="B414" s="52" t="s">
        <v>1263</v>
      </c>
      <c r="C414" s="124">
        <v>43872</v>
      </c>
      <c r="D414" s="124" t="s">
        <v>389</v>
      </c>
      <c r="E414" s="198">
        <v>0.85</v>
      </c>
      <c r="F414" s="85"/>
      <c r="G414" s="55"/>
    </row>
    <row r="415" spans="2:7" s="53" customFormat="1" ht="25.15" customHeight="1" x14ac:dyDescent="0.25">
      <c r="B415" s="52" t="s">
        <v>877</v>
      </c>
      <c r="C415" s="124">
        <v>43881</v>
      </c>
      <c r="D415" s="124" t="s">
        <v>650</v>
      </c>
      <c r="E415" s="69">
        <v>5</v>
      </c>
      <c r="F415" s="85"/>
      <c r="G415" s="55"/>
    </row>
    <row r="416" spans="2:7" s="53" customFormat="1" ht="25.15" customHeight="1" x14ac:dyDescent="0.25">
      <c r="B416" s="52" t="s">
        <v>877</v>
      </c>
      <c r="C416" s="124">
        <v>43881</v>
      </c>
      <c r="D416" s="124" t="s">
        <v>440</v>
      </c>
      <c r="E416" s="198" t="s">
        <v>405</v>
      </c>
      <c r="F416" s="85"/>
      <c r="G416" s="55"/>
    </row>
    <row r="417" spans="2:7" s="53" customFormat="1" ht="25.15" customHeight="1" x14ac:dyDescent="0.25">
      <c r="B417" s="52" t="s">
        <v>877</v>
      </c>
      <c r="C417" s="124">
        <v>43881</v>
      </c>
      <c r="D417" s="124" t="s">
        <v>653</v>
      </c>
      <c r="E417" s="126">
        <v>4.0399999999999998E-2</v>
      </c>
      <c r="F417" s="85"/>
      <c r="G417" s="55"/>
    </row>
    <row r="418" spans="2:7" s="53" customFormat="1" ht="25.15" customHeight="1" x14ac:dyDescent="0.25">
      <c r="B418" s="52" t="s">
        <v>877</v>
      </c>
      <c r="C418" s="124">
        <v>43881</v>
      </c>
      <c r="D418" s="124" t="s">
        <v>10</v>
      </c>
      <c r="E418" s="198">
        <v>6</v>
      </c>
      <c r="F418" s="85"/>
      <c r="G418" s="55"/>
    </row>
    <row r="419" spans="2:7" s="53" customFormat="1" ht="25.15" customHeight="1" x14ac:dyDescent="0.25">
      <c r="B419" s="52" t="s">
        <v>877</v>
      </c>
      <c r="C419" s="124">
        <v>43881</v>
      </c>
      <c r="D419" s="124" t="s">
        <v>437</v>
      </c>
      <c r="E419" s="126">
        <v>0.308</v>
      </c>
      <c r="F419" s="85"/>
      <c r="G419" s="55"/>
    </row>
    <row r="420" spans="2:7" s="53" customFormat="1" ht="25.15" customHeight="1" x14ac:dyDescent="0.25">
      <c r="B420" s="52" t="s">
        <v>877</v>
      </c>
      <c r="C420" s="124">
        <v>43881</v>
      </c>
      <c r="D420" s="124" t="s">
        <v>403</v>
      </c>
      <c r="E420" s="198" t="s">
        <v>93</v>
      </c>
      <c r="F420" s="85" t="s">
        <v>1281</v>
      </c>
      <c r="G420" s="55"/>
    </row>
    <row r="421" spans="2:7" s="53" customFormat="1" ht="25.15" customHeight="1" x14ac:dyDescent="0.25">
      <c r="B421" s="52" t="s">
        <v>877</v>
      </c>
      <c r="C421" s="124">
        <v>43881</v>
      </c>
      <c r="D421" s="124" t="s">
        <v>389</v>
      </c>
      <c r="E421" s="198">
        <v>0.57999999999999996</v>
      </c>
      <c r="F421" s="85"/>
      <c r="G421" s="55"/>
    </row>
    <row r="422" spans="2:7" s="53" customFormat="1" ht="25.15" customHeight="1" x14ac:dyDescent="0.25">
      <c r="B422" s="52" t="s">
        <v>861</v>
      </c>
      <c r="C422" s="124">
        <v>43881</v>
      </c>
      <c r="D422" s="124" t="s">
        <v>650</v>
      </c>
      <c r="E422" s="198">
        <v>1</v>
      </c>
      <c r="F422" s="85"/>
      <c r="G422" s="55"/>
    </row>
    <row r="423" spans="2:7" s="53" customFormat="1" ht="25.15" customHeight="1" x14ac:dyDescent="0.25">
      <c r="B423" s="52" t="s">
        <v>861</v>
      </c>
      <c r="C423" s="124">
        <v>43881</v>
      </c>
      <c r="D423" s="124" t="s">
        <v>440</v>
      </c>
      <c r="E423" s="198" t="s">
        <v>407</v>
      </c>
      <c r="F423" s="85"/>
      <c r="G423" s="55"/>
    </row>
    <row r="424" spans="2:7" s="53" customFormat="1" ht="25.15" customHeight="1" x14ac:dyDescent="0.25">
      <c r="B424" s="52" t="s">
        <v>861</v>
      </c>
      <c r="C424" s="124">
        <v>43881</v>
      </c>
      <c r="D424" s="124" t="s">
        <v>653</v>
      </c>
      <c r="E424" s="126">
        <v>7.4899999999999994E-2</v>
      </c>
      <c r="F424" s="85"/>
      <c r="G424" s="55"/>
    </row>
    <row r="425" spans="2:7" s="53" customFormat="1" ht="25.15" customHeight="1" x14ac:dyDescent="0.25">
      <c r="B425" s="52" t="s">
        <v>861</v>
      </c>
      <c r="C425" s="124">
        <v>43881</v>
      </c>
      <c r="D425" s="124" t="s">
        <v>10</v>
      </c>
      <c r="E425" s="198">
        <v>5</v>
      </c>
      <c r="F425" s="85"/>
      <c r="G425" s="55"/>
    </row>
    <row r="426" spans="2:7" s="53" customFormat="1" ht="25.15" customHeight="1" x14ac:dyDescent="0.25">
      <c r="B426" s="52" t="s">
        <v>861</v>
      </c>
      <c r="C426" s="124">
        <v>43881</v>
      </c>
      <c r="D426" s="124" t="s">
        <v>437</v>
      </c>
      <c r="E426" s="126">
        <v>-0.12889999999999999</v>
      </c>
      <c r="F426" s="85"/>
      <c r="G426" s="55"/>
    </row>
    <row r="427" spans="2:7" s="53" customFormat="1" ht="25.15" customHeight="1" x14ac:dyDescent="0.25">
      <c r="B427" s="52" t="s">
        <v>861</v>
      </c>
      <c r="C427" s="124">
        <v>43881</v>
      </c>
      <c r="D427" s="124" t="s">
        <v>403</v>
      </c>
      <c r="E427" s="198" t="s">
        <v>451</v>
      </c>
      <c r="F427" s="85"/>
      <c r="G427" s="55"/>
    </row>
    <row r="428" spans="2:7" s="53" customFormat="1" ht="25.15" customHeight="1" x14ac:dyDescent="0.25">
      <c r="B428" s="52" t="s">
        <v>861</v>
      </c>
      <c r="C428" s="124">
        <v>43881</v>
      </c>
      <c r="D428" s="124" t="s">
        <v>389</v>
      </c>
      <c r="E428" s="198">
        <v>0.64</v>
      </c>
      <c r="F428" s="85" t="s">
        <v>1286</v>
      </c>
      <c r="G428" s="55"/>
    </row>
    <row r="429" spans="2:7" s="53" customFormat="1" ht="25.15" customHeight="1" x14ac:dyDescent="0.25">
      <c r="B429" s="52" t="s">
        <v>1267</v>
      </c>
      <c r="C429" s="124">
        <v>43881</v>
      </c>
      <c r="D429" s="124" t="s">
        <v>650</v>
      </c>
      <c r="E429" s="198">
        <v>3</v>
      </c>
      <c r="F429" s="85"/>
      <c r="G429" s="55"/>
    </row>
    <row r="430" spans="2:7" s="53" customFormat="1" ht="25.15" customHeight="1" x14ac:dyDescent="0.25">
      <c r="B430" s="52" t="s">
        <v>1267</v>
      </c>
      <c r="C430" s="124">
        <v>43881</v>
      </c>
      <c r="D430" s="124" t="s">
        <v>440</v>
      </c>
      <c r="E430" s="198" t="s">
        <v>405</v>
      </c>
      <c r="F430" s="85"/>
      <c r="G430" s="55"/>
    </row>
    <row r="431" spans="2:7" s="53" customFormat="1" ht="25.15" customHeight="1" x14ac:dyDescent="0.25">
      <c r="B431" s="52" t="s">
        <v>1267</v>
      </c>
      <c r="C431" s="124">
        <v>43881</v>
      </c>
      <c r="D431" s="124" t="s">
        <v>653</v>
      </c>
      <c r="E431" s="126">
        <v>3.5000000000000003E-2</v>
      </c>
      <c r="F431" s="85"/>
      <c r="G431" s="55"/>
    </row>
    <row r="432" spans="2:7" s="53" customFormat="1" ht="25.15" customHeight="1" x14ac:dyDescent="0.25">
      <c r="B432" s="52" t="s">
        <v>1267</v>
      </c>
      <c r="C432" s="124">
        <v>43881</v>
      </c>
      <c r="D432" s="124" t="s">
        <v>10</v>
      </c>
      <c r="E432" s="198">
        <v>6</v>
      </c>
      <c r="F432" s="85"/>
      <c r="G432" s="55"/>
    </row>
    <row r="433" spans="2:7" s="53" customFormat="1" ht="25.15" customHeight="1" x14ac:dyDescent="0.25">
      <c r="B433" s="52" t="s">
        <v>1267</v>
      </c>
      <c r="C433" s="124">
        <v>43881</v>
      </c>
      <c r="D433" s="124" t="s">
        <v>437</v>
      </c>
      <c r="E433" s="125">
        <v>0.12</v>
      </c>
      <c r="F433" s="85"/>
      <c r="G433" s="55"/>
    </row>
    <row r="434" spans="2:7" s="53" customFormat="1" ht="25.15" customHeight="1" x14ac:dyDescent="0.25">
      <c r="B434" s="52" t="s">
        <v>1267</v>
      </c>
      <c r="C434" s="124">
        <v>43881</v>
      </c>
      <c r="D434" s="124" t="s">
        <v>403</v>
      </c>
      <c r="E434" s="198" t="s">
        <v>451</v>
      </c>
      <c r="F434" s="85" t="s">
        <v>1287</v>
      </c>
      <c r="G434" s="55"/>
    </row>
    <row r="435" spans="2:7" s="53" customFormat="1" ht="25.15" customHeight="1" x14ac:dyDescent="0.25">
      <c r="B435" s="52" t="s">
        <v>1267</v>
      </c>
      <c r="C435" s="124">
        <v>43881</v>
      </c>
      <c r="D435" s="124" t="s">
        <v>389</v>
      </c>
      <c r="E435" s="198">
        <v>0.49</v>
      </c>
      <c r="F435" s="85"/>
      <c r="G435" s="55"/>
    </row>
    <row r="436" spans="2:7" s="53" customFormat="1" ht="25.15" customHeight="1" x14ac:dyDescent="0.25">
      <c r="B436" s="52" t="s">
        <v>439</v>
      </c>
      <c r="C436" s="124">
        <v>43881</v>
      </c>
      <c r="D436" s="124" t="s">
        <v>650</v>
      </c>
      <c r="E436" s="198">
        <v>2</v>
      </c>
      <c r="F436" s="85"/>
      <c r="G436" s="55"/>
    </row>
    <row r="437" spans="2:7" s="53" customFormat="1" ht="25.15" customHeight="1" x14ac:dyDescent="0.25">
      <c r="B437" s="52" t="s">
        <v>439</v>
      </c>
      <c r="C437" s="124">
        <v>43881</v>
      </c>
      <c r="D437" s="124" t="s">
        <v>440</v>
      </c>
      <c r="E437" s="198" t="s">
        <v>407</v>
      </c>
      <c r="F437" s="85"/>
      <c r="G437" s="55"/>
    </row>
    <row r="438" spans="2:7" s="53" customFormat="1" ht="25.15" customHeight="1" x14ac:dyDescent="0.25">
      <c r="B438" s="52" t="s">
        <v>439</v>
      </c>
      <c r="C438" s="124">
        <v>43881</v>
      </c>
      <c r="D438" s="124" t="s">
        <v>653</v>
      </c>
      <c r="E438" s="126">
        <v>6.3799999999999996E-2</v>
      </c>
      <c r="F438" s="85"/>
      <c r="G438" s="55"/>
    </row>
    <row r="439" spans="2:7" s="53" customFormat="1" ht="25.15" customHeight="1" x14ac:dyDescent="0.25">
      <c r="B439" s="52" t="s">
        <v>439</v>
      </c>
      <c r="C439" s="124">
        <v>43881</v>
      </c>
      <c r="D439" s="124" t="s">
        <v>10</v>
      </c>
      <c r="E439" s="198">
        <v>5</v>
      </c>
      <c r="F439" s="85"/>
      <c r="G439" s="55"/>
    </row>
    <row r="440" spans="2:7" s="53" customFormat="1" ht="25.15" customHeight="1" x14ac:dyDescent="0.25">
      <c r="B440" s="52" t="s">
        <v>439</v>
      </c>
      <c r="C440" s="124">
        <v>43881</v>
      </c>
      <c r="D440" s="124" t="s">
        <v>437</v>
      </c>
      <c r="E440" s="126">
        <v>-2.6599999999999999E-2</v>
      </c>
      <c r="F440" s="85"/>
      <c r="G440" s="55"/>
    </row>
    <row r="441" spans="2:7" s="53" customFormat="1" ht="25.15" customHeight="1" x14ac:dyDescent="0.25">
      <c r="B441" s="52" t="s">
        <v>439</v>
      </c>
      <c r="C441" s="124">
        <v>43881</v>
      </c>
      <c r="D441" s="124" t="s">
        <v>403</v>
      </c>
      <c r="E441" s="198" t="s">
        <v>451</v>
      </c>
      <c r="F441" s="85"/>
      <c r="G441" s="55"/>
    </row>
    <row r="442" spans="2:7" s="53" customFormat="1" ht="25.15" customHeight="1" x14ac:dyDescent="0.25">
      <c r="B442" s="52" t="s">
        <v>439</v>
      </c>
      <c r="C442" s="124">
        <v>43881</v>
      </c>
      <c r="D442" s="124" t="s">
        <v>389</v>
      </c>
      <c r="E442" s="198">
        <v>0.48</v>
      </c>
      <c r="F442" s="85"/>
      <c r="G442" s="55"/>
    </row>
    <row r="443" spans="2:7" s="53" customFormat="1" ht="25.15" customHeight="1" x14ac:dyDescent="0.25">
      <c r="B443" s="52" t="s">
        <v>862</v>
      </c>
      <c r="C443" s="124">
        <v>43881</v>
      </c>
      <c r="D443" s="124" t="s">
        <v>650</v>
      </c>
      <c r="E443" s="198">
        <v>2</v>
      </c>
      <c r="F443" s="85"/>
      <c r="G443" s="55"/>
    </row>
    <row r="444" spans="2:7" s="53" customFormat="1" ht="25.15" customHeight="1" x14ac:dyDescent="0.25">
      <c r="B444" s="52" t="s">
        <v>862</v>
      </c>
      <c r="C444" s="124">
        <v>43881</v>
      </c>
      <c r="D444" s="124" t="s">
        <v>440</v>
      </c>
      <c r="E444" s="198" t="s">
        <v>407</v>
      </c>
      <c r="F444" s="85"/>
      <c r="G444" s="55"/>
    </row>
    <row r="445" spans="2:7" s="53" customFormat="1" ht="25.15" customHeight="1" x14ac:dyDescent="0.25">
      <c r="B445" s="52" t="s">
        <v>862</v>
      </c>
      <c r="C445" s="124">
        <v>43881</v>
      </c>
      <c r="D445" s="124" t="s">
        <v>653</v>
      </c>
      <c r="E445" s="126">
        <v>5.9200000000000003E-2</v>
      </c>
      <c r="F445" s="85"/>
      <c r="G445" s="55"/>
    </row>
    <row r="446" spans="2:7" s="53" customFormat="1" ht="25.15" customHeight="1" x14ac:dyDescent="0.25">
      <c r="B446" s="52" t="s">
        <v>862</v>
      </c>
      <c r="C446" s="124">
        <v>43881</v>
      </c>
      <c r="D446" s="124" t="s">
        <v>10</v>
      </c>
      <c r="E446" s="198">
        <v>6</v>
      </c>
      <c r="F446" s="85"/>
      <c r="G446" s="55"/>
    </row>
    <row r="447" spans="2:7" s="53" customFormat="1" ht="25.15" customHeight="1" x14ac:dyDescent="0.25">
      <c r="B447" s="52" t="s">
        <v>862</v>
      </c>
      <c r="C447" s="124">
        <v>43881</v>
      </c>
      <c r="D447" s="124" t="s">
        <v>437</v>
      </c>
      <c r="E447" s="126">
        <v>-7.7399999999999997E-2</v>
      </c>
      <c r="F447" s="85"/>
      <c r="G447" s="55"/>
    </row>
    <row r="448" spans="2:7" s="53" customFormat="1" ht="25.15" customHeight="1" x14ac:dyDescent="0.25">
      <c r="B448" s="52" t="s">
        <v>862</v>
      </c>
      <c r="C448" s="124">
        <v>43881</v>
      </c>
      <c r="D448" s="124" t="s">
        <v>403</v>
      </c>
      <c r="E448" s="198" t="s">
        <v>451</v>
      </c>
      <c r="F448" s="85"/>
      <c r="G448" s="55"/>
    </row>
    <row r="449" spans="2:7" s="53" customFormat="1" ht="25.15" customHeight="1" x14ac:dyDescent="0.25">
      <c r="B449" s="52" t="s">
        <v>862</v>
      </c>
      <c r="C449" s="124">
        <v>43881</v>
      </c>
      <c r="D449" s="124" t="s">
        <v>389</v>
      </c>
      <c r="E449" s="198">
        <v>0.66</v>
      </c>
      <c r="F449" s="85"/>
      <c r="G449" s="55"/>
    </row>
    <row r="450" spans="2:7" s="53" customFormat="1" ht="25.15" customHeight="1" x14ac:dyDescent="0.25">
      <c r="B450" s="52" t="s">
        <v>581</v>
      </c>
      <c r="C450" s="124">
        <v>43881</v>
      </c>
      <c r="D450" s="124" t="s">
        <v>650</v>
      </c>
      <c r="E450" s="198">
        <v>2</v>
      </c>
      <c r="F450" s="85"/>
      <c r="G450" s="55"/>
    </row>
    <row r="451" spans="2:7" s="53" customFormat="1" ht="25.15" customHeight="1" x14ac:dyDescent="0.25">
      <c r="B451" s="52" t="s">
        <v>581</v>
      </c>
      <c r="C451" s="124">
        <v>43881</v>
      </c>
      <c r="D451" s="124" t="s">
        <v>440</v>
      </c>
      <c r="E451" s="198" t="s">
        <v>405</v>
      </c>
      <c r="F451" s="85"/>
      <c r="G451" s="55"/>
    </row>
    <row r="452" spans="2:7" s="53" customFormat="1" ht="25.15" customHeight="1" x14ac:dyDescent="0.25">
      <c r="B452" s="52" t="s">
        <v>581</v>
      </c>
      <c r="C452" s="124">
        <v>43881</v>
      </c>
      <c r="D452" s="124" t="s">
        <v>653</v>
      </c>
      <c r="E452" s="126">
        <v>2.5899999999999999E-2</v>
      </c>
      <c r="F452" s="85"/>
      <c r="G452" s="55"/>
    </row>
    <row r="453" spans="2:7" s="53" customFormat="1" ht="25.15" customHeight="1" x14ac:dyDescent="0.25">
      <c r="B453" s="52" t="s">
        <v>581</v>
      </c>
      <c r="C453" s="124">
        <v>43881</v>
      </c>
      <c r="D453" s="124" t="s">
        <v>10</v>
      </c>
      <c r="E453" s="198">
        <v>5</v>
      </c>
      <c r="F453" s="85"/>
      <c r="G453" s="55"/>
    </row>
    <row r="454" spans="2:7" s="53" customFormat="1" ht="25.15" customHeight="1" x14ac:dyDescent="0.25">
      <c r="B454" s="52" t="s">
        <v>581</v>
      </c>
      <c r="C454" s="124">
        <v>43881</v>
      </c>
      <c r="D454" s="124" t="s">
        <v>437</v>
      </c>
      <c r="E454" s="126">
        <v>-6.8900000000000003E-2</v>
      </c>
      <c r="F454" s="85"/>
      <c r="G454" s="55"/>
    </row>
    <row r="455" spans="2:7" s="53" customFormat="1" ht="25.15" customHeight="1" x14ac:dyDescent="0.25">
      <c r="B455" s="52" t="s">
        <v>581</v>
      </c>
      <c r="C455" s="124">
        <v>43881</v>
      </c>
      <c r="D455" s="124" t="s">
        <v>403</v>
      </c>
      <c r="E455" s="198" t="s">
        <v>424</v>
      </c>
      <c r="F455" s="85"/>
      <c r="G455" s="55"/>
    </row>
    <row r="456" spans="2:7" s="53" customFormat="1" ht="25.15" customHeight="1" x14ac:dyDescent="0.25">
      <c r="B456" s="52" t="s">
        <v>581</v>
      </c>
      <c r="C456" s="124">
        <v>43881</v>
      </c>
      <c r="D456" s="124" t="s">
        <v>389</v>
      </c>
      <c r="E456" s="198">
        <v>0.65</v>
      </c>
      <c r="F456" s="85" t="s">
        <v>1288</v>
      </c>
      <c r="G456" s="55"/>
    </row>
    <row r="457" spans="2:7" s="53" customFormat="1" ht="25.15" customHeight="1" x14ac:dyDescent="0.25">
      <c r="B457" s="52" t="s">
        <v>1270</v>
      </c>
      <c r="C457" s="124">
        <v>43881</v>
      </c>
      <c r="D457" s="124" t="s">
        <v>650</v>
      </c>
      <c r="E457" s="198">
        <v>1</v>
      </c>
      <c r="F457" s="85"/>
      <c r="G457" s="55"/>
    </row>
    <row r="458" spans="2:7" s="53" customFormat="1" ht="25.15" customHeight="1" x14ac:dyDescent="0.25">
      <c r="B458" s="52" t="s">
        <v>1270</v>
      </c>
      <c r="C458" s="124">
        <v>43881</v>
      </c>
      <c r="D458" s="124" t="s">
        <v>440</v>
      </c>
      <c r="E458" s="198" t="s">
        <v>405</v>
      </c>
      <c r="F458" s="85"/>
      <c r="G458" s="55"/>
    </row>
    <row r="459" spans="2:7" s="53" customFormat="1" ht="25.15" customHeight="1" x14ac:dyDescent="0.25">
      <c r="B459" s="52" t="s">
        <v>1270</v>
      </c>
      <c r="C459" s="124">
        <v>43881</v>
      </c>
      <c r="D459" s="124" t="s">
        <v>653</v>
      </c>
      <c r="E459" s="126">
        <v>5.5199999999999999E-2</v>
      </c>
      <c r="F459" s="85"/>
      <c r="G459" s="55"/>
    </row>
    <row r="460" spans="2:7" s="53" customFormat="1" ht="25.15" customHeight="1" x14ac:dyDescent="0.25">
      <c r="B460" s="52" t="s">
        <v>1270</v>
      </c>
      <c r="C460" s="124">
        <v>43881</v>
      </c>
      <c r="D460" s="124" t="s">
        <v>10</v>
      </c>
      <c r="E460" s="198">
        <v>6</v>
      </c>
      <c r="F460" s="85"/>
      <c r="G460" s="55"/>
    </row>
    <row r="461" spans="2:7" s="53" customFormat="1" ht="25.15" customHeight="1" x14ac:dyDescent="0.25">
      <c r="B461" s="52" t="s">
        <v>1270</v>
      </c>
      <c r="C461" s="124">
        <v>43881</v>
      </c>
      <c r="D461" s="124" t="s">
        <v>437</v>
      </c>
      <c r="E461" s="126">
        <v>-0.12839999999999999</v>
      </c>
      <c r="F461" s="85"/>
      <c r="G461" s="55"/>
    </row>
    <row r="462" spans="2:7" s="53" customFormat="1" ht="25.15" customHeight="1" x14ac:dyDescent="0.25">
      <c r="B462" s="52" t="s">
        <v>1270</v>
      </c>
      <c r="C462" s="124">
        <v>43881</v>
      </c>
      <c r="D462" s="124" t="s">
        <v>403</v>
      </c>
      <c r="E462" s="198" t="s">
        <v>451</v>
      </c>
      <c r="F462" s="85"/>
      <c r="G462" s="55"/>
    </row>
    <row r="463" spans="2:7" s="53" customFormat="1" ht="25.15" customHeight="1" x14ac:dyDescent="0.25">
      <c r="B463" s="52" t="s">
        <v>1270</v>
      </c>
      <c r="C463" s="124">
        <v>43881</v>
      </c>
      <c r="D463" s="124" t="s">
        <v>389</v>
      </c>
      <c r="E463" s="198">
        <v>0.53</v>
      </c>
      <c r="F463" s="85" t="s">
        <v>1289</v>
      </c>
      <c r="G463" s="55"/>
    </row>
    <row r="464" spans="2:7" s="53" customFormat="1" ht="25.15" customHeight="1" x14ac:dyDescent="0.25">
      <c r="B464" s="52" t="s">
        <v>1272</v>
      </c>
      <c r="C464" s="124">
        <v>43881</v>
      </c>
      <c r="D464" s="124" t="s">
        <v>650</v>
      </c>
      <c r="E464" s="198">
        <v>1</v>
      </c>
      <c r="F464" s="85"/>
      <c r="G464" s="55"/>
    </row>
    <row r="465" spans="2:7" s="53" customFormat="1" ht="25.15" customHeight="1" x14ac:dyDescent="0.25">
      <c r="B465" s="52" t="s">
        <v>1272</v>
      </c>
      <c r="C465" s="124">
        <v>43881</v>
      </c>
      <c r="D465" s="124" t="s">
        <v>440</v>
      </c>
      <c r="E465" s="198" t="s">
        <v>405</v>
      </c>
      <c r="F465" s="85"/>
      <c r="G465" s="55"/>
    </row>
    <row r="466" spans="2:7" s="53" customFormat="1" ht="25.15" customHeight="1" x14ac:dyDescent="0.25">
      <c r="B466" s="52" t="s">
        <v>1272</v>
      </c>
      <c r="C466" s="124">
        <v>43881</v>
      </c>
      <c r="D466" s="124" t="s">
        <v>653</v>
      </c>
      <c r="E466" s="198">
        <v>5.8</v>
      </c>
      <c r="F466" s="85"/>
      <c r="G466" s="55"/>
    </row>
    <row r="467" spans="2:7" s="53" customFormat="1" ht="25.15" customHeight="1" x14ac:dyDescent="0.25">
      <c r="B467" s="52" t="s">
        <v>1272</v>
      </c>
      <c r="C467" s="124">
        <v>43881</v>
      </c>
      <c r="D467" s="124" t="s">
        <v>10</v>
      </c>
      <c r="E467" s="198">
        <v>4</v>
      </c>
      <c r="F467" s="85"/>
      <c r="G467" s="55"/>
    </row>
    <row r="468" spans="2:7" s="53" customFormat="1" ht="25.15" customHeight="1" x14ac:dyDescent="0.25">
      <c r="B468" s="52" t="s">
        <v>1272</v>
      </c>
      <c r="C468" s="124">
        <v>43881</v>
      </c>
      <c r="D468" s="124" t="s">
        <v>437</v>
      </c>
      <c r="E468" s="125">
        <v>-0.26</v>
      </c>
      <c r="F468" s="85"/>
      <c r="G468" s="55"/>
    </row>
    <row r="469" spans="2:7" s="53" customFormat="1" ht="25.15" customHeight="1" x14ac:dyDescent="0.25">
      <c r="B469" s="52" t="s">
        <v>1272</v>
      </c>
      <c r="C469" s="124">
        <v>43881</v>
      </c>
      <c r="D469" s="124" t="s">
        <v>403</v>
      </c>
      <c r="E469" s="198" t="s">
        <v>451</v>
      </c>
      <c r="F469" s="85" t="s">
        <v>1290</v>
      </c>
      <c r="G469" s="55"/>
    </row>
    <row r="470" spans="2:7" s="53" customFormat="1" ht="25.15" customHeight="1" x14ac:dyDescent="0.25">
      <c r="B470" s="52" t="s">
        <v>1272</v>
      </c>
      <c r="C470" s="124">
        <v>43881</v>
      </c>
      <c r="D470" s="124" t="s">
        <v>389</v>
      </c>
      <c r="E470" s="198">
        <v>0.55000000000000004</v>
      </c>
      <c r="F470" s="85"/>
      <c r="G470" s="55"/>
    </row>
    <row r="471" spans="2:7" s="53" customFormat="1" ht="25.15" customHeight="1" x14ac:dyDescent="0.25">
      <c r="B471" s="52" t="s">
        <v>1274</v>
      </c>
      <c r="C471" s="124">
        <v>43881</v>
      </c>
      <c r="D471" s="124" t="s">
        <v>650</v>
      </c>
      <c r="E471" s="198">
        <v>1</v>
      </c>
      <c r="F471" s="85"/>
      <c r="G471" s="55"/>
    </row>
    <row r="472" spans="2:7" s="53" customFormat="1" ht="25.15" customHeight="1" x14ac:dyDescent="0.25">
      <c r="B472" s="52" t="s">
        <v>1274</v>
      </c>
      <c r="C472" s="124">
        <v>43881</v>
      </c>
      <c r="D472" s="124" t="s">
        <v>440</v>
      </c>
      <c r="E472" s="198" t="s">
        <v>405</v>
      </c>
      <c r="F472" s="85"/>
      <c r="G472" s="55"/>
    </row>
    <row r="473" spans="2:7" s="53" customFormat="1" ht="25.15" customHeight="1" x14ac:dyDescent="0.25">
      <c r="B473" s="52" t="s">
        <v>1274</v>
      </c>
      <c r="C473" s="124">
        <v>43881</v>
      </c>
      <c r="D473" s="124" t="s">
        <v>653</v>
      </c>
      <c r="E473" s="126">
        <v>7.9000000000000001E-2</v>
      </c>
      <c r="F473" s="85"/>
      <c r="G473" s="55"/>
    </row>
    <row r="474" spans="2:7" s="53" customFormat="1" ht="25.15" customHeight="1" x14ac:dyDescent="0.25">
      <c r="B474" s="52" t="s">
        <v>1274</v>
      </c>
      <c r="C474" s="124">
        <v>43881</v>
      </c>
      <c r="D474" s="124" t="s">
        <v>10</v>
      </c>
      <c r="E474" s="198">
        <v>6</v>
      </c>
      <c r="F474" s="85"/>
      <c r="G474" s="55"/>
    </row>
    <row r="475" spans="2:7" s="53" customFormat="1" ht="25.15" customHeight="1" x14ac:dyDescent="0.25">
      <c r="B475" s="52" t="s">
        <v>1274</v>
      </c>
      <c r="C475" s="124">
        <v>43881</v>
      </c>
      <c r="D475" s="124" t="s">
        <v>437</v>
      </c>
      <c r="E475" s="126">
        <v>-0.16600000000000001</v>
      </c>
      <c r="F475" s="85" t="s">
        <v>1290</v>
      </c>
      <c r="G475" s="55"/>
    </row>
    <row r="476" spans="2:7" s="53" customFormat="1" ht="25.15" customHeight="1" x14ac:dyDescent="0.25">
      <c r="B476" s="52" t="s">
        <v>1274</v>
      </c>
      <c r="C476" s="124">
        <v>43881</v>
      </c>
      <c r="D476" s="124" t="s">
        <v>403</v>
      </c>
      <c r="E476" s="198" t="s">
        <v>451</v>
      </c>
      <c r="F476" s="85"/>
      <c r="G476" s="55"/>
    </row>
    <row r="477" spans="2:7" s="53" customFormat="1" ht="25.15" customHeight="1" x14ac:dyDescent="0.25">
      <c r="B477" s="52" t="s">
        <v>1274</v>
      </c>
      <c r="C477" s="124">
        <v>43881</v>
      </c>
      <c r="D477" s="124" t="s">
        <v>389</v>
      </c>
      <c r="E477" s="198">
        <v>0.5</v>
      </c>
      <c r="F477" s="85"/>
      <c r="G477" s="55"/>
    </row>
    <row r="478" spans="2:7" s="53" customFormat="1" ht="25.15" customHeight="1" x14ac:dyDescent="0.25">
      <c r="B478" s="52" t="s">
        <v>954</v>
      </c>
      <c r="C478" s="124">
        <v>43881</v>
      </c>
      <c r="D478" s="124" t="s">
        <v>650</v>
      </c>
      <c r="E478" s="198">
        <v>1</v>
      </c>
      <c r="F478" s="85"/>
      <c r="G478" s="55"/>
    </row>
    <row r="479" spans="2:7" s="53" customFormat="1" ht="25.15" customHeight="1" x14ac:dyDescent="0.25">
      <c r="B479" s="52" t="s">
        <v>954</v>
      </c>
      <c r="C479" s="124">
        <v>43881</v>
      </c>
      <c r="D479" s="124" t="s">
        <v>440</v>
      </c>
      <c r="E479" s="198" t="s">
        <v>407</v>
      </c>
      <c r="F479" s="85"/>
      <c r="G479" s="55"/>
    </row>
    <row r="480" spans="2:7" s="53" customFormat="1" ht="25.15" customHeight="1" x14ac:dyDescent="0.25">
      <c r="B480" s="52" t="s">
        <v>954</v>
      </c>
      <c r="C480" s="124">
        <v>43881</v>
      </c>
      <c r="D480" s="124" t="s">
        <v>653</v>
      </c>
      <c r="E480" s="198">
        <v>5.77</v>
      </c>
      <c r="F480" s="85"/>
      <c r="G480" s="55"/>
    </row>
    <row r="481" spans="2:7" s="53" customFormat="1" ht="25.15" customHeight="1" x14ac:dyDescent="0.25">
      <c r="B481" s="52" t="s">
        <v>954</v>
      </c>
      <c r="C481" s="124">
        <v>43881</v>
      </c>
      <c r="D481" s="124" t="s">
        <v>10</v>
      </c>
      <c r="E481" s="198">
        <v>5</v>
      </c>
      <c r="F481" s="85"/>
      <c r="G481" s="55"/>
    </row>
    <row r="482" spans="2:7" s="53" customFormat="1" ht="25.15" customHeight="1" x14ac:dyDescent="0.25">
      <c r="B482" s="52" t="s">
        <v>954</v>
      </c>
      <c r="C482" s="124">
        <v>43881</v>
      </c>
      <c r="D482" s="124" t="s">
        <v>437</v>
      </c>
      <c r="E482" s="126">
        <v>-9.7500000000000003E-2</v>
      </c>
      <c r="F482" s="85"/>
      <c r="G482" s="55"/>
    </row>
    <row r="483" spans="2:7" s="53" customFormat="1" ht="25.15" customHeight="1" x14ac:dyDescent="0.25">
      <c r="B483" s="52" t="s">
        <v>954</v>
      </c>
      <c r="C483" s="124">
        <v>43881</v>
      </c>
      <c r="D483" s="124" t="s">
        <v>403</v>
      </c>
      <c r="E483" s="198" t="s">
        <v>451</v>
      </c>
      <c r="F483" s="85"/>
      <c r="G483" s="55"/>
    </row>
    <row r="484" spans="2:7" s="53" customFormat="1" ht="25.15" customHeight="1" x14ac:dyDescent="0.25">
      <c r="B484" s="52" t="s">
        <v>954</v>
      </c>
      <c r="C484" s="124">
        <v>43881</v>
      </c>
      <c r="D484" s="124" t="s">
        <v>389</v>
      </c>
      <c r="E484" s="198">
        <v>0.71</v>
      </c>
      <c r="F484" s="85" t="s">
        <v>1291</v>
      </c>
      <c r="G484" s="55"/>
    </row>
    <row r="485" spans="2:7" s="53" customFormat="1" ht="25.15" customHeight="1" x14ac:dyDescent="0.25">
      <c r="B485" s="52" t="s">
        <v>1277</v>
      </c>
      <c r="C485" s="124">
        <v>43881</v>
      </c>
      <c r="D485" s="124" t="s">
        <v>650</v>
      </c>
      <c r="E485" s="198">
        <v>2</v>
      </c>
      <c r="F485" s="85"/>
      <c r="G485" s="55"/>
    </row>
    <row r="486" spans="2:7" s="53" customFormat="1" ht="25.15" customHeight="1" x14ac:dyDescent="0.25">
      <c r="B486" s="52" t="s">
        <v>1277</v>
      </c>
      <c r="C486" s="124">
        <v>43881</v>
      </c>
      <c r="D486" s="124" t="s">
        <v>440</v>
      </c>
      <c r="E486" s="198" t="s">
        <v>405</v>
      </c>
      <c r="F486" s="85"/>
      <c r="G486" s="55"/>
    </row>
    <row r="487" spans="2:7" s="53" customFormat="1" ht="25.15" customHeight="1" x14ac:dyDescent="0.25">
      <c r="B487" s="52" t="s">
        <v>1277</v>
      </c>
      <c r="C487" s="124">
        <v>43881</v>
      </c>
      <c r="D487" s="124" t="s">
        <v>653</v>
      </c>
      <c r="E487" s="126">
        <v>0.1278</v>
      </c>
      <c r="F487" s="85"/>
      <c r="G487" s="55"/>
    </row>
    <row r="488" spans="2:7" s="53" customFormat="1" ht="25.15" customHeight="1" x14ac:dyDescent="0.25">
      <c r="B488" s="52" t="s">
        <v>1277</v>
      </c>
      <c r="C488" s="124">
        <v>43881</v>
      </c>
      <c r="D488" s="124" t="s">
        <v>10</v>
      </c>
      <c r="E488" s="198">
        <v>4</v>
      </c>
      <c r="F488" s="85"/>
      <c r="G488" s="55"/>
    </row>
    <row r="489" spans="2:7" s="53" customFormat="1" ht="25.15" customHeight="1" x14ac:dyDescent="0.25">
      <c r="B489" s="52" t="s">
        <v>1277</v>
      </c>
      <c r="C489" s="124">
        <v>43881</v>
      </c>
      <c r="D489" s="124" t="s">
        <v>437</v>
      </c>
      <c r="E489" s="126">
        <v>-0.13700000000000001</v>
      </c>
      <c r="F489" s="85"/>
      <c r="G489" s="55"/>
    </row>
    <row r="490" spans="2:7" s="53" customFormat="1" ht="25.15" customHeight="1" x14ac:dyDescent="0.25">
      <c r="B490" s="52" t="s">
        <v>1277</v>
      </c>
      <c r="C490" s="124">
        <v>43881</v>
      </c>
      <c r="D490" s="124" t="s">
        <v>403</v>
      </c>
      <c r="E490" s="198" t="s">
        <v>451</v>
      </c>
      <c r="F490" s="85"/>
      <c r="G490" s="55"/>
    </row>
    <row r="491" spans="2:7" s="53" customFormat="1" ht="25.15" customHeight="1" x14ac:dyDescent="0.25">
      <c r="B491" s="52" t="s">
        <v>1277</v>
      </c>
      <c r="C491" s="124">
        <v>43881</v>
      </c>
      <c r="D491" s="124" t="s">
        <v>389</v>
      </c>
      <c r="E491" s="198">
        <v>0.42</v>
      </c>
      <c r="F491" s="85"/>
      <c r="G491" s="55"/>
    </row>
    <row r="492" spans="2:7" s="53" customFormat="1" ht="25.15" customHeight="1" x14ac:dyDescent="0.25">
      <c r="B492" s="52" t="s">
        <v>1279</v>
      </c>
      <c r="C492" s="124">
        <v>43881</v>
      </c>
      <c r="D492" s="124" t="s">
        <v>650</v>
      </c>
      <c r="E492" s="198">
        <v>1</v>
      </c>
      <c r="F492" s="85"/>
      <c r="G492" s="55"/>
    </row>
    <row r="493" spans="2:7" s="53" customFormat="1" ht="25.15" customHeight="1" x14ac:dyDescent="0.25">
      <c r="B493" s="52" t="s">
        <v>1279</v>
      </c>
      <c r="C493" s="124">
        <v>43881</v>
      </c>
      <c r="D493" s="124" t="s">
        <v>440</v>
      </c>
      <c r="E493" s="198" t="s">
        <v>405</v>
      </c>
      <c r="F493" s="85"/>
      <c r="G493" s="55"/>
    </row>
    <row r="494" spans="2:7" s="53" customFormat="1" ht="25.15" customHeight="1" x14ac:dyDescent="0.25">
      <c r="B494" s="52" t="s">
        <v>1279</v>
      </c>
      <c r="C494" s="124">
        <v>43881</v>
      </c>
      <c r="D494" s="124" t="s">
        <v>653</v>
      </c>
      <c r="E494" s="126">
        <v>7.5999999999999998E-2</v>
      </c>
      <c r="F494" s="85"/>
      <c r="G494" s="55"/>
    </row>
    <row r="495" spans="2:7" s="53" customFormat="1" ht="25.15" customHeight="1" x14ac:dyDescent="0.25">
      <c r="B495" s="52" t="s">
        <v>1279</v>
      </c>
      <c r="C495" s="124">
        <v>43881</v>
      </c>
      <c r="D495" s="124" t="s">
        <v>10</v>
      </c>
      <c r="E495" s="198">
        <v>6</v>
      </c>
      <c r="F495" s="85"/>
      <c r="G495" s="55"/>
    </row>
    <row r="496" spans="2:7" s="53" customFormat="1" ht="25.15" customHeight="1" x14ac:dyDescent="0.25">
      <c r="B496" s="52" t="s">
        <v>1279</v>
      </c>
      <c r="C496" s="124">
        <v>43881</v>
      </c>
      <c r="D496" s="124" t="s">
        <v>437</v>
      </c>
      <c r="E496" s="125">
        <v>-0.26</v>
      </c>
      <c r="F496" s="85"/>
      <c r="G496" s="55"/>
    </row>
    <row r="497" spans="2:7" s="53" customFormat="1" ht="25.15" customHeight="1" x14ac:dyDescent="0.25">
      <c r="B497" s="52" t="s">
        <v>1279</v>
      </c>
      <c r="C497" s="124">
        <v>43881</v>
      </c>
      <c r="D497" s="124" t="s">
        <v>403</v>
      </c>
      <c r="E497" s="198" t="s">
        <v>451</v>
      </c>
      <c r="F497" s="85" t="s">
        <v>1292</v>
      </c>
      <c r="G497" s="55"/>
    </row>
    <row r="498" spans="2:7" s="53" customFormat="1" ht="25.15" customHeight="1" x14ac:dyDescent="0.25">
      <c r="B498" s="52" t="s">
        <v>1279</v>
      </c>
      <c r="C498" s="124">
        <v>43881</v>
      </c>
      <c r="D498" s="124" t="s">
        <v>389</v>
      </c>
      <c r="E498" s="198">
        <v>0.33</v>
      </c>
      <c r="F498" s="85"/>
      <c r="G498" s="55"/>
    </row>
    <row r="499" spans="2:7" s="53" customFormat="1" ht="25.15" customHeight="1" x14ac:dyDescent="0.25">
      <c r="B499" s="52" t="s">
        <v>1293</v>
      </c>
      <c r="C499" s="124">
        <v>43903</v>
      </c>
      <c r="D499" s="124" t="s">
        <v>650</v>
      </c>
      <c r="E499" s="198">
        <v>1</v>
      </c>
      <c r="F499" s="85"/>
      <c r="G499" s="55"/>
    </row>
    <row r="500" spans="2:7" s="53" customFormat="1" ht="25.15" customHeight="1" x14ac:dyDescent="0.25">
      <c r="B500" s="52" t="s">
        <v>1293</v>
      </c>
      <c r="C500" s="124">
        <v>43903</v>
      </c>
      <c r="D500" s="124" t="s">
        <v>440</v>
      </c>
      <c r="E500" s="198" t="s">
        <v>407</v>
      </c>
      <c r="F500" s="85"/>
      <c r="G500" s="55"/>
    </row>
    <row r="501" spans="2:7" s="53" customFormat="1" ht="25.15" customHeight="1" x14ac:dyDescent="0.25">
      <c r="B501" s="52" t="s">
        <v>1293</v>
      </c>
      <c r="C501" s="124">
        <v>43903</v>
      </c>
      <c r="D501" s="124" t="s">
        <v>653</v>
      </c>
      <c r="E501" s="126">
        <v>4.2900000000000001E-2</v>
      </c>
      <c r="F501" s="85"/>
      <c r="G501" s="55"/>
    </row>
    <row r="502" spans="2:7" s="53" customFormat="1" ht="25.15" customHeight="1" x14ac:dyDescent="0.25">
      <c r="B502" s="52" t="s">
        <v>1293</v>
      </c>
      <c r="C502" s="124">
        <v>43903</v>
      </c>
      <c r="D502" s="124" t="s">
        <v>10</v>
      </c>
      <c r="E502" s="198">
        <v>6</v>
      </c>
      <c r="F502" s="85"/>
      <c r="G502" s="55"/>
    </row>
    <row r="503" spans="2:7" s="53" customFormat="1" ht="25.15" customHeight="1" x14ac:dyDescent="0.25">
      <c r="B503" s="52" t="s">
        <v>1293</v>
      </c>
      <c r="C503" s="124">
        <v>43903</v>
      </c>
      <c r="D503" s="124" t="s">
        <v>437</v>
      </c>
      <c r="E503" s="125">
        <v>-0.4</v>
      </c>
      <c r="F503" s="85"/>
      <c r="G503" s="55"/>
    </row>
    <row r="504" spans="2:7" s="53" customFormat="1" ht="25.15" customHeight="1" x14ac:dyDescent="0.25">
      <c r="B504" s="52" t="s">
        <v>1293</v>
      </c>
      <c r="C504" s="124">
        <v>43903</v>
      </c>
      <c r="D504" s="124" t="s">
        <v>403</v>
      </c>
      <c r="E504" s="203" t="s">
        <v>93</v>
      </c>
      <c r="F504" s="85" t="s">
        <v>1299</v>
      </c>
      <c r="G504" s="55"/>
    </row>
    <row r="505" spans="2:7" s="53" customFormat="1" ht="25.15" customHeight="1" x14ac:dyDescent="0.25">
      <c r="B505" s="52" t="s">
        <v>1293</v>
      </c>
      <c r="C505" s="124">
        <v>43903</v>
      </c>
      <c r="D505" s="124" t="s">
        <v>389</v>
      </c>
      <c r="E505" s="198">
        <v>0.62</v>
      </c>
      <c r="F505" s="85"/>
      <c r="G505" s="55"/>
    </row>
    <row r="506" spans="2:7" s="53" customFormat="1" ht="25.15" customHeight="1" x14ac:dyDescent="0.25">
      <c r="B506" s="52" t="s">
        <v>1295</v>
      </c>
      <c r="C506" s="124">
        <v>43903</v>
      </c>
      <c r="D506" s="124" t="s">
        <v>650</v>
      </c>
      <c r="E506" s="198">
        <v>1</v>
      </c>
      <c r="F506" s="85"/>
      <c r="G506" s="55"/>
    </row>
    <row r="507" spans="2:7" s="53" customFormat="1" ht="25.15" customHeight="1" x14ac:dyDescent="0.25">
      <c r="B507" s="52" t="s">
        <v>1295</v>
      </c>
      <c r="C507" s="124">
        <v>43903</v>
      </c>
      <c r="D507" s="124" t="s">
        <v>440</v>
      </c>
      <c r="E507" s="198" t="s">
        <v>405</v>
      </c>
      <c r="F507" s="85"/>
      <c r="G507" s="55"/>
    </row>
    <row r="508" spans="2:7" s="53" customFormat="1" ht="25.15" customHeight="1" x14ac:dyDescent="0.25">
      <c r="B508" s="52" t="s">
        <v>1295</v>
      </c>
      <c r="C508" s="124">
        <v>43903</v>
      </c>
      <c r="D508" s="124" t="s">
        <v>653</v>
      </c>
      <c r="E508" s="126">
        <v>7.2800000000000004E-2</v>
      </c>
      <c r="F508" s="85"/>
      <c r="G508" s="55"/>
    </row>
    <row r="509" spans="2:7" s="53" customFormat="1" ht="25.15" customHeight="1" x14ac:dyDescent="0.25">
      <c r="B509" s="52" t="s">
        <v>1295</v>
      </c>
      <c r="C509" s="124">
        <v>43903</v>
      </c>
      <c r="D509" s="124" t="s">
        <v>10</v>
      </c>
      <c r="E509" s="198">
        <v>6</v>
      </c>
      <c r="F509" s="85"/>
      <c r="G509" s="55"/>
    </row>
    <row r="510" spans="2:7" s="53" customFormat="1" ht="25.15" customHeight="1" x14ac:dyDescent="0.25">
      <c r="B510" s="52" t="s">
        <v>1295</v>
      </c>
      <c r="C510" s="124">
        <v>43903</v>
      </c>
      <c r="D510" s="124" t="s">
        <v>437</v>
      </c>
      <c r="E510" s="125">
        <v>-0.49</v>
      </c>
      <c r="F510" s="85"/>
      <c r="G510" s="55"/>
    </row>
    <row r="511" spans="2:7" s="53" customFormat="1" ht="25.15" customHeight="1" x14ac:dyDescent="0.25">
      <c r="B511" s="52" t="s">
        <v>1295</v>
      </c>
      <c r="C511" s="124">
        <v>43903</v>
      </c>
      <c r="D511" s="124" t="s">
        <v>403</v>
      </c>
      <c r="E511" s="203" t="s">
        <v>93</v>
      </c>
      <c r="F511" s="85" t="s">
        <v>1299</v>
      </c>
      <c r="G511" s="55"/>
    </row>
    <row r="512" spans="2:7" s="53" customFormat="1" ht="25.15" customHeight="1" x14ac:dyDescent="0.25">
      <c r="B512" s="52" t="s">
        <v>1295</v>
      </c>
      <c r="C512" s="124">
        <v>43903</v>
      </c>
      <c r="D512" s="124" t="s">
        <v>389</v>
      </c>
      <c r="E512" s="198">
        <v>0.54</v>
      </c>
      <c r="F512" s="85"/>
      <c r="G512" s="55"/>
    </row>
    <row r="513" spans="2:7" s="53" customFormat="1" ht="25.15" customHeight="1" x14ac:dyDescent="0.25">
      <c r="B513" s="52" t="s">
        <v>1294</v>
      </c>
      <c r="C513" s="124">
        <v>43903</v>
      </c>
      <c r="D513" s="124" t="s">
        <v>650</v>
      </c>
      <c r="E513" s="198">
        <v>1</v>
      </c>
      <c r="F513" s="85"/>
      <c r="G513" s="55"/>
    </row>
    <row r="514" spans="2:7" s="53" customFormat="1" ht="25.15" customHeight="1" x14ac:dyDescent="0.25">
      <c r="B514" s="52" t="s">
        <v>1294</v>
      </c>
      <c r="C514" s="124">
        <v>43903</v>
      </c>
      <c r="D514" s="124" t="s">
        <v>440</v>
      </c>
      <c r="E514" s="198" t="s">
        <v>407</v>
      </c>
      <c r="F514" s="85"/>
      <c r="G514" s="55"/>
    </row>
    <row r="515" spans="2:7" s="53" customFormat="1" ht="25.15" customHeight="1" x14ac:dyDescent="0.25">
      <c r="B515" s="52" t="s">
        <v>1294</v>
      </c>
      <c r="C515" s="124">
        <v>43903</v>
      </c>
      <c r="D515" s="124" t="s">
        <v>653</v>
      </c>
      <c r="E515" s="126">
        <v>0.107</v>
      </c>
      <c r="F515" s="85"/>
      <c r="G515" s="55"/>
    </row>
    <row r="516" spans="2:7" s="53" customFormat="1" ht="25.15" customHeight="1" x14ac:dyDescent="0.25">
      <c r="B516" s="52" t="s">
        <v>1294</v>
      </c>
      <c r="C516" s="124">
        <v>43903</v>
      </c>
      <c r="D516" s="124" t="s">
        <v>10</v>
      </c>
      <c r="E516" s="198">
        <v>5</v>
      </c>
      <c r="F516" s="85"/>
      <c r="G516" s="55"/>
    </row>
    <row r="517" spans="2:7" s="53" customFormat="1" ht="25.15" customHeight="1" x14ac:dyDescent="0.25">
      <c r="B517" s="52" t="s">
        <v>1294</v>
      </c>
      <c r="C517" s="124">
        <v>43903</v>
      </c>
      <c r="D517" s="124" t="s">
        <v>437</v>
      </c>
      <c r="E517" s="125">
        <v>-0.37</v>
      </c>
      <c r="F517" s="85"/>
      <c r="G517" s="55"/>
    </row>
    <row r="518" spans="2:7" s="53" customFormat="1" ht="25.15" customHeight="1" x14ac:dyDescent="0.25">
      <c r="B518" s="52" t="s">
        <v>1294</v>
      </c>
      <c r="C518" s="124">
        <v>43903</v>
      </c>
      <c r="D518" s="124" t="s">
        <v>403</v>
      </c>
      <c r="E518" s="198" t="s">
        <v>451</v>
      </c>
      <c r="F518" s="85" t="s">
        <v>1300</v>
      </c>
      <c r="G518" s="55"/>
    </row>
    <row r="519" spans="2:7" s="53" customFormat="1" ht="25.15" customHeight="1" x14ac:dyDescent="0.25">
      <c r="B519" s="52" t="s">
        <v>1294</v>
      </c>
      <c r="C519" s="124">
        <v>43903</v>
      </c>
      <c r="D519" s="124" t="s">
        <v>389</v>
      </c>
      <c r="E519" s="198">
        <v>0.73</v>
      </c>
      <c r="F519" s="85"/>
      <c r="G519" s="55"/>
    </row>
    <row r="520" spans="2:7" s="53" customFormat="1" ht="25.15" customHeight="1" x14ac:dyDescent="0.25">
      <c r="B520" s="52"/>
      <c r="C520" s="124"/>
      <c r="D520" s="124"/>
      <c r="E520" s="69"/>
      <c r="F520" s="85"/>
    </row>
    <row r="521" spans="2:7" s="53" customFormat="1" ht="25.15" customHeight="1" x14ac:dyDescent="0.25">
      <c r="B521" s="52"/>
      <c r="C521" s="124"/>
      <c r="D521" s="124"/>
      <c r="E521" s="69"/>
      <c r="F521" s="85"/>
    </row>
    <row r="522" spans="2:7" s="53" customFormat="1" ht="25.15" customHeight="1" x14ac:dyDescent="0.25">
      <c r="B522" s="52"/>
      <c r="C522" s="124"/>
      <c r="D522" s="124"/>
      <c r="E522" s="69"/>
      <c r="F522" s="85"/>
    </row>
    <row r="523" spans="2:7" s="53" customFormat="1" ht="25.15" customHeight="1" x14ac:dyDescent="0.25">
      <c r="B523" s="52"/>
      <c r="C523" s="124"/>
      <c r="D523" s="124"/>
      <c r="E523" s="69"/>
      <c r="F523" s="85"/>
    </row>
    <row r="524" spans="2:7" s="53" customFormat="1" ht="25.15" customHeight="1" x14ac:dyDescent="0.25">
      <c r="B524" s="52"/>
      <c r="C524" s="124"/>
      <c r="D524" s="124"/>
      <c r="E524" s="69"/>
      <c r="F524" s="85"/>
    </row>
    <row r="525" spans="2:7" s="53" customFormat="1" ht="25.15" customHeight="1" x14ac:dyDescent="0.25">
      <c r="B525" s="52"/>
      <c r="C525" s="124"/>
      <c r="D525" s="124"/>
      <c r="E525" s="69"/>
      <c r="F525" s="85"/>
    </row>
    <row r="526" spans="2:7" s="53" customFormat="1" ht="25.15" customHeight="1" x14ac:dyDescent="0.25">
      <c r="B526" s="52"/>
      <c r="C526" s="124"/>
      <c r="D526" s="124"/>
      <c r="E526" s="69"/>
      <c r="F526" s="85"/>
    </row>
    <row r="527" spans="2:7" s="53" customFormat="1" ht="25.15" customHeight="1" x14ac:dyDescent="0.25">
      <c r="B527" s="52"/>
      <c r="C527" s="124"/>
      <c r="D527" s="124"/>
      <c r="E527" s="69"/>
      <c r="F527" s="85"/>
    </row>
    <row r="528" spans="2:7" s="53" customFormat="1" ht="25.15" customHeight="1" x14ac:dyDescent="0.25">
      <c r="B528" s="52"/>
      <c r="C528" s="124"/>
      <c r="D528" s="124"/>
      <c r="E528" s="69"/>
      <c r="F528" s="85"/>
    </row>
    <row r="529" spans="2:6" s="53" customFormat="1" ht="25.15" customHeight="1" x14ac:dyDescent="0.25">
      <c r="B529" s="52"/>
      <c r="C529" s="124"/>
      <c r="D529" s="124"/>
      <c r="E529" s="69"/>
      <c r="F529" s="85"/>
    </row>
    <row r="530" spans="2:6" s="53" customFormat="1" ht="25.15" customHeight="1" x14ac:dyDescent="0.25">
      <c r="B530" s="52"/>
      <c r="C530" s="124"/>
      <c r="D530" s="124"/>
      <c r="E530" s="69"/>
      <c r="F530" s="85"/>
    </row>
    <row r="531" spans="2:6" s="53" customFormat="1" ht="25.15" customHeight="1" x14ac:dyDescent="0.25">
      <c r="B531" s="52"/>
      <c r="C531" s="124"/>
      <c r="D531" s="124"/>
      <c r="E531" s="69"/>
      <c r="F531" s="85"/>
    </row>
    <row r="532" spans="2:6" s="53" customFormat="1" ht="25.15" customHeight="1" x14ac:dyDescent="0.25">
      <c r="B532" s="52"/>
      <c r="C532" s="124"/>
      <c r="D532" s="124"/>
      <c r="E532" s="69"/>
      <c r="F532" s="85"/>
    </row>
    <row r="533" spans="2:6" s="53" customFormat="1" ht="25.15" customHeight="1" x14ac:dyDescent="0.25">
      <c r="B533" s="52"/>
      <c r="C533" s="124"/>
      <c r="D533" s="124"/>
      <c r="E533" s="69"/>
      <c r="F533" s="85"/>
    </row>
    <row r="534" spans="2:6" s="53" customFormat="1" ht="25.15" customHeight="1" x14ac:dyDescent="0.25">
      <c r="B534" s="52"/>
      <c r="C534" s="124"/>
      <c r="D534" s="124"/>
      <c r="E534" s="69"/>
      <c r="F534" s="85"/>
    </row>
    <row r="535" spans="2:6" s="53" customFormat="1" ht="25.15" customHeight="1" x14ac:dyDescent="0.25">
      <c r="B535" s="52"/>
      <c r="C535" s="124"/>
      <c r="D535" s="124"/>
      <c r="E535" s="69"/>
      <c r="F535" s="85"/>
    </row>
    <row r="536" spans="2:6" s="53" customFormat="1" ht="25.15" customHeight="1" x14ac:dyDescent="0.25">
      <c r="B536" s="52"/>
      <c r="C536" s="124"/>
      <c r="D536" s="124"/>
      <c r="E536" s="69"/>
      <c r="F536" s="85"/>
    </row>
    <row r="537" spans="2:6" s="53" customFormat="1" ht="25.15" customHeight="1" x14ac:dyDescent="0.25">
      <c r="B537" s="52"/>
      <c r="C537" s="124"/>
      <c r="D537" s="124"/>
      <c r="E537" s="69"/>
      <c r="F537" s="85"/>
    </row>
    <row r="538" spans="2:6" s="53" customFormat="1" ht="25.15" customHeight="1" x14ac:dyDescent="0.25">
      <c r="B538" s="52"/>
      <c r="C538" s="124"/>
      <c r="D538" s="124"/>
      <c r="E538" s="69"/>
      <c r="F538" s="85"/>
    </row>
    <row r="539" spans="2:6" s="53" customFormat="1" ht="25.15" customHeight="1" x14ac:dyDescent="0.25">
      <c r="B539" s="52"/>
      <c r="C539" s="124"/>
      <c r="D539" s="124"/>
      <c r="E539" s="69"/>
      <c r="F539" s="85"/>
    </row>
    <row r="540" spans="2:6" s="53" customFormat="1" ht="25.15" customHeight="1" x14ac:dyDescent="0.25">
      <c r="B540" s="52"/>
      <c r="C540" s="124"/>
      <c r="D540" s="124"/>
      <c r="E540" s="69"/>
      <c r="F540" s="85"/>
    </row>
    <row r="541" spans="2:6" s="53" customFormat="1" ht="25.15" customHeight="1" x14ac:dyDescent="0.25">
      <c r="B541" s="52"/>
      <c r="C541" s="124"/>
      <c r="D541" s="124"/>
      <c r="E541" s="69"/>
      <c r="F541" s="85"/>
    </row>
    <row r="542" spans="2:6" s="53" customFormat="1" ht="25.15" customHeight="1" x14ac:dyDescent="0.25">
      <c r="B542" s="52"/>
      <c r="C542" s="124"/>
      <c r="D542" s="124"/>
      <c r="E542" s="69"/>
      <c r="F542" s="85"/>
    </row>
    <row r="543" spans="2:6" s="53" customFormat="1" ht="25.15" customHeight="1" x14ac:dyDescent="0.25">
      <c r="B543" s="52"/>
      <c r="C543" s="124"/>
      <c r="D543" s="124"/>
      <c r="E543" s="69"/>
      <c r="F543" s="85"/>
    </row>
    <row r="544" spans="2:6" s="53" customFormat="1" ht="25.15" customHeight="1" x14ac:dyDescent="0.25">
      <c r="B544" s="52"/>
      <c r="C544" s="124"/>
      <c r="D544" s="124"/>
      <c r="E544" s="69"/>
      <c r="F544" s="85"/>
    </row>
    <row r="545" spans="2:6" s="53" customFormat="1" ht="25.15" customHeight="1" x14ac:dyDescent="0.25">
      <c r="B545" s="52"/>
      <c r="C545" s="124"/>
      <c r="D545" s="124"/>
      <c r="E545" s="69"/>
      <c r="F545" s="85"/>
    </row>
    <row r="546" spans="2:6" s="53" customFormat="1" ht="25.15" customHeight="1" x14ac:dyDescent="0.25">
      <c r="B546" s="52"/>
      <c r="C546" s="124"/>
      <c r="D546" s="124"/>
      <c r="E546" s="69"/>
      <c r="F546" s="85"/>
    </row>
    <row r="547" spans="2:6" s="53" customFormat="1" ht="25.15" customHeight="1" x14ac:dyDescent="0.25">
      <c r="B547" s="52"/>
      <c r="C547" s="124"/>
      <c r="D547" s="124"/>
      <c r="E547" s="69"/>
      <c r="F547" s="85"/>
    </row>
    <row r="548" spans="2:6" s="53" customFormat="1" ht="25.15" customHeight="1" x14ac:dyDescent="0.25">
      <c r="B548" s="52"/>
      <c r="C548" s="124"/>
      <c r="D548" s="124"/>
      <c r="E548" s="69"/>
      <c r="F548" s="85"/>
    </row>
    <row r="549" spans="2:6" s="53" customFormat="1" ht="25.15" customHeight="1" x14ac:dyDescent="0.25">
      <c r="B549" s="52"/>
      <c r="C549" s="124"/>
      <c r="D549" s="124"/>
      <c r="E549" s="69"/>
      <c r="F549" s="85"/>
    </row>
    <row r="550" spans="2:6" s="53" customFormat="1" ht="25.15" customHeight="1" x14ac:dyDescent="0.25">
      <c r="B550" s="52"/>
      <c r="C550" s="124"/>
      <c r="D550" s="124"/>
      <c r="E550" s="69"/>
      <c r="F550" s="85"/>
    </row>
    <row r="551" spans="2:6" s="53" customFormat="1" ht="25.15" customHeight="1" x14ac:dyDescent="0.25">
      <c r="B551" s="52"/>
      <c r="C551" s="124"/>
      <c r="D551" s="124"/>
      <c r="E551" s="69"/>
      <c r="F551" s="85"/>
    </row>
    <row r="552" spans="2:6" s="53" customFormat="1" ht="25.15" customHeight="1" x14ac:dyDescent="0.25">
      <c r="B552" s="52"/>
      <c r="C552" s="124"/>
      <c r="D552" s="124"/>
      <c r="E552" s="69"/>
      <c r="F552" s="85"/>
    </row>
    <row r="553" spans="2:6" s="53" customFormat="1" ht="25.15" customHeight="1" x14ac:dyDescent="0.25">
      <c r="B553" s="52"/>
      <c r="C553" s="124"/>
      <c r="D553" s="124"/>
      <c r="E553" s="69"/>
      <c r="F553" s="85"/>
    </row>
    <row r="554" spans="2:6" s="53" customFormat="1" ht="25.15" customHeight="1" x14ac:dyDescent="0.25">
      <c r="B554" s="52"/>
      <c r="C554" s="124"/>
      <c r="D554" s="124"/>
      <c r="E554" s="69"/>
      <c r="F554" s="85"/>
    </row>
    <row r="555" spans="2:6" s="53" customFormat="1" ht="25.15" customHeight="1" x14ac:dyDescent="0.25">
      <c r="B555" s="52"/>
      <c r="C555" s="124"/>
      <c r="D555" s="124"/>
      <c r="E555" s="69"/>
      <c r="F555" s="85"/>
    </row>
    <row r="556" spans="2:6" s="53" customFormat="1" ht="25.15" customHeight="1" x14ac:dyDescent="0.25">
      <c r="B556" s="52"/>
      <c r="C556" s="124"/>
      <c r="D556" s="124"/>
      <c r="E556" s="69"/>
      <c r="F556" s="85"/>
    </row>
    <row r="557" spans="2:6" s="53" customFormat="1" ht="25.15" customHeight="1" x14ac:dyDescent="0.25">
      <c r="B557" s="52"/>
      <c r="C557" s="124"/>
      <c r="D557" s="124"/>
      <c r="E557" s="69"/>
      <c r="F557" s="85"/>
    </row>
    <row r="558" spans="2:6" s="53" customFormat="1" ht="25.15" customHeight="1" x14ac:dyDescent="0.25">
      <c r="B558" s="52"/>
      <c r="C558" s="124"/>
      <c r="D558" s="124"/>
      <c r="E558" s="69"/>
      <c r="F558" s="85"/>
    </row>
    <row r="559" spans="2:6" s="53" customFormat="1" ht="25.15" customHeight="1" x14ac:dyDescent="0.25">
      <c r="B559" s="52"/>
      <c r="C559" s="124"/>
      <c r="D559" s="124"/>
      <c r="E559" s="69"/>
      <c r="F559" s="85"/>
    </row>
    <row r="560" spans="2:6" s="53" customFormat="1" ht="25.15" customHeight="1" x14ac:dyDescent="0.25">
      <c r="B560" s="52"/>
      <c r="C560" s="124"/>
      <c r="D560" s="124"/>
      <c r="E560" s="69"/>
      <c r="F560" s="85"/>
    </row>
    <row r="561" spans="2:6" s="53" customFormat="1" ht="25.15" customHeight="1" x14ac:dyDescent="0.25">
      <c r="B561" s="52"/>
      <c r="C561" s="124"/>
      <c r="D561" s="124"/>
      <c r="E561" s="69"/>
      <c r="F561" s="85"/>
    </row>
    <row r="562" spans="2:6" s="53" customFormat="1" ht="25.15" customHeight="1" x14ac:dyDescent="0.25">
      <c r="B562" s="52"/>
      <c r="C562" s="124"/>
      <c r="D562" s="124"/>
      <c r="E562" s="69"/>
      <c r="F562" s="85"/>
    </row>
    <row r="563" spans="2:6" s="53" customFormat="1" ht="25.15" customHeight="1" x14ac:dyDescent="0.25">
      <c r="B563" s="52"/>
      <c r="C563" s="124"/>
      <c r="D563" s="124"/>
      <c r="E563" s="69"/>
      <c r="F563" s="85"/>
    </row>
    <row r="564" spans="2:6" s="53" customFormat="1" ht="25.15" customHeight="1" x14ac:dyDescent="0.25">
      <c r="B564" s="52"/>
      <c r="C564" s="124"/>
      <c r="D564" s="124"/>
      <c r="E564" s="69"/>
      <c r="F564" s="85"/>
    </row>
    <row r="565" spans="2:6" s="53" customFormat="1" ht="25.15" customHeight="1" x14ac:dyDescent="0.25">
      <c r="B565" s="52"/>
      <c r="C565" s="124"/>
      <c r="D565" s="124"/>
      <c r="E565" s="69"/>
      <c r="F565" s="85"/>
    </row>
    <row r="566" spans="2:6" s="53" customFormat="1" ht="25.15" customHeight="1" x14ac:dyDescent="0.25">
      <c r="B566" s="52"/>
      <c r="C566" s="124"/>
      <c r="D566" s="124"/>
      <c r="E566" s="69"/>
      <c r="F566" s="85"/>
    </row>
    <row r="567" spans="2:6" s="53" customFormat="1" ht="25.15" customHeight="1" x14ac:dyDescent="0.25">
      <c r="B567" s="52"/>
      <c r="C567" s="124"/>
      <c r="D567" s="124"/>
      <c r="E567" s="69"/>
      <c r="F567" s="85"/>
    </row>
    <row r="568" spans="2:6" s="53" customFormat="1" ht="25.15" customHeight="1" x14ac:dyDescent="0.25">
      <c r="B568" s="52"/>
      <c r="C568" s="124"/>
      <c r="D568" s="124"/>
      <c r="E568" s="69"/>
      <c r="F568" s="85"/>
    </row>
    <row r="569" spans="2:6" s="53" customFormat="1" ht="25.15" customHeight="1" x14ac:dyDescent="0.25">
      <c r="B569" s="52"/>
      <c r="C569" s="124"/>
      <c r="D569" s="124"/>
      <c r="E569" s="69"/>
      <c r="F569" s="85"/>
    </row>
    <row r="570" spans="2:6" s="53" customFormat="1" ht="25.15" customHeight="1" x14ac:dyDescent="0.25">
      <c r="B570" s="52"/>
      <c r="C570" s="124"/>
      <c r="D570" s="124"/>
      <c r="E570" s="69"/>
      <c r="F570" s="85"/>
    </row>
    <row r="571" spans="2:6" s="53" customFormat="1" ht="25.15" customHeight="1" x14ac:dyDescent="0.25">
      <c r="B571" s="52"/>
      <c r="C571" s="124"/>
      <c r="D571" s="124"/>
      <c r="E571" s="69"/>
      <c r="F571" s="85"/>
    </row>
    <row r="572" spans="2:6" s="53" customFormat="1" ht="25.15" customHeight="1" x14ac:dyDescent="0.25">
      <c r="B572" s="52"/>
      <c r="C572" s="124"/>
      <c r="D572" s="124"/>
      <c r="E572" s="69"/>
      <c r="F572" s="85"/>
    </row>
    <row r="573" spans="2:6" s="53" customFormat="1" ht="25.15" customHeight="1" x14ac:dyDescent="0.25">
      <c r="B573" s="52"/>
      <c r="C573" s="124"/>
      <c r="D573" s="124"/>
      <c r="E573" s="69"/>
      <c r="F573" s="85"/>
    </row>
    <row r="574" spans="2:6" s="53" customFormat="1" ht="25.15" customHeight="1" x14ac:dyDescent="0.25">
      <c r="B574" s="52"/>
      <c r="C574" s="124"/>
      <c r="D574" s="124"/>
      <c r="E574" s="69"/>
      <c r="F574" s="85"/>
    </row>
    <row r="575" spans="2:6" s="53" customFormat="1" ht="25.15" customHeight="1" x14ac:dyDescent="0.25">
      <c r="B575" s="52"/>
      <c r="C575" s="124"/>
      <c r="D575" s="124"/>
      <c r="E575" s="69"/>
      <c r="F575" s="85"/>
    </row>
    <row r="576" spans="2:6" s="53" customFormat="1" ht="25.15" customHeight="1" x14ac:dyDescent="0.25">
      <c r="B576" s="52"/>
      <c r="C576" s="124"/>
      <c r="D576" s="124"/>
      <c r="E576" s="69"/>
      <c r="F576" s="85"/>
    </row>
    <row r="577" spans="2:6" s="53" customFormat="1" ht="25.15" customHeight="1" x14ac:dyDescent="0.25">
      <c r="B577" s="52"/>
      <c r="C577" s="124"/>
      <c r="D577" s="124"/>
      <c r="E577" s="69"/>
      <c r="F577" s="85"/>
    </row>
    <row r="578" spans="2:6" s="53" customFormat="1" ht="25.15" customHeight="1" x14ac:dyDescent="0.25">
      <c r="B578" s="52"/>
      <c r="C578" s="124"/>
      <c r="D578" s="124"/>
      <c r="E578" s="69"/>
      <c r="F578" s="85"/>
    </row>
    <row r="579" spans="2:6" s="53" customFormat="1" ht="25.15" customHeight="1" x14ac:dyDescent="0.25">
      <c r="B579" s="52"/>
      <c r="C579" s="124"/>
      <c r="D579" s="124"/>
      <c r="E579" s="69"/>
      <c r="F579" s="85"/>
    </row>
    <row r="580" spans="2:6" s="53" customFormat="1" ht="25.15" customHeight="1" x14ac:dyDescent="0.25">
      <c r="B580" s="52"/>
      <c r="C580" s="124"/>
      <c r="D580" s="124"/>
      <c r="E580" s="69"/>
      <c r="F580" s="85"/>
    </row>
    <row r="581" spans="2:6" s="53" customFormat="1" ht="25.15" customHeight="1" x14ac:dyDescent="0.25">
      <c r="B581" s="52"/>
      <c r="C581" s="124"/>
      <c r="D581" s="124"/>
      <c r="E581" s="69"/>
      <c r="F581" s="85"/>
    </row>
    <row r="582" spans="2:6" s="53" customFormat="1" ht="25.15" customHeight="1" x14ac:dyDescent="0.25">
      <c r="B582" s="52"/>
      <c r="C582" s="124"/>
      <c r="D582" s="124"/>
      <c r="E582" s="69"/>
      <c r="F582" s="85"/>
    </row>
    <row r="583" spans="2:6" s="53" customFormat="1" ht="25.15" customHeight="1" x14ac:dyDescent="0.25">
      <c r="B583" s="52"/>
      <c r="C583" s="124"/>
      <c r="D583" s="124"/>
      <c r="E583" s="69"/>
      <c r="F583" s="85"/>
    </row>
    <row r="584" spans="2:6" s="53" customFormat="1" ht="25.15" customHeight="1" x14ac:dyDescent="0.25">
      <c r="B584" s="52"/>
      <c r="C584" s="124"/>
      <c r="D584" s="124"/>
      <c r="E584" s="69"/>
      <c r="F584" s="85"/>
    </row>
    <row r="585" spans="2:6" s="53" customFormat="1" ht="25.15" customHeight="1" x14ac:dyDescent="0.25">
      <c r="B585" s="52"/>
      <c r="C585" s="124"/>
      <c r="D585" s="124"/>
      <c r="E585" s="69"/>
      <c r="F585" s="85"/>
    </row>
    <row r="586" spans="2:6" s="53" customFormat="1" ht="25.15" customHeight="1" x14ac:dyDescent="0.25">
      <c r="B586" s="52"/>
      <c r="C586" s="124"/>
      <c r="D586" s="124"/>
      <c r="E586" s="69"/>
      <c r="F586" s="85"/>
    </row>
    <row r="587" spans="2:6" s="53" customFormat="1" ht="25.15" customHeight="1" x14ac:dyDescent="0.25">
      <c r="B587" s="52"/>
      <c r="C587" s="124"/>
      <c r="D587" s="124"/>
      <c r="E587" s="69"/>
      <c r="F587" s="85"/>
    </row>
    <row r="588" spans="2:6" s="53" customFormat="1" ht="25.15" customHeight="1" x14ac:dyDescent="0.25">
      <c r="B588" s="52"/>
      <c r="C588" s="124"/>
      <c r="D588" s="124"/>
      <c r="E588" s="69"/>
      <c r="F588" s="85"/>
    </row>
    <row r="589" spans="2:6" s="53" customFormat="1" ht="25.15" customHeight="1" x14ac:dyDescent="0.25">
      <c r="B589" s="52"/>
      <c r="C589" s="124"/>
      <c r="D589" s="124"/>
      <c r="E589" s="69"/>
      <c r="F589" s="85"/>
    </row>
    <row r="590" spans="2:6" s="53" customFormat="1" ht="25.15" customHeight="1" x14ac:dyDescent="0.25">
      <c r="B590" s="52"/>
      <c r="C590" s="124"/>
      <c r="D590" s="124"/>
      <c r="E590" s="69"/>
      <c r="F590" s="85"/>
    </row>
    <row r="591" spans="2:6" s="53" customFormat="1" ht="25.15" customHeight="1" x14ac:dyDescent="0.25">
      <c r="B591" s="52"/>
      <c r="C591" s="124"/>
      <c r="D591" s="124"/>
      <c r="E591" s="69"/>
      <c r="F591" s="85"/>
    </row>
    <row r="592" spans="2:6" s="53" customFormat="1" ht="25.15" customHeight="1" x14ac:dyDescent="0.25">
      <c r="B592" s="52"/>
      <c r="C592" s="124"/>
      <c r="D592" s="124"/>
      <c r="E592" s="69"/>
      <c r="F592" s="85"/>
    </row>
    <row r="593" spans="2:6" s="53" customFormat="1" ht="25.15" customHeight="1" x14ac:dyDescent="0.25">
      <c r="B593" s="52"/>
      <c r="C593" s="124"/>
      <c r="D593" s="124"/>
      <c r="E593" s="69"/>
      <c r="F593" s="85"/>
    </row>
    <row r="594" spans="2:6" s="53" customFormat="1" ht="25.15" customHeight="1" x14ac:dyDescent="0.25">
      <c r="B594" s="52"/>
      <c r="C594" s="124"/>
      <c r="D594" s="124"/>
      <c r="E594" s="69"/>
      <c r="F594" s="85"/>
    </row>
    <row r="595" spans="2:6" s="53" customFormat="1" ht="25.15" customHeight="1" x14ac:dyDescent="0.25">
      <c r="B595" s="52"/>
      <c r="C595" s="124"/>
      <c r="D595" s="124"/>
      <c r="E595" s="69"/>
      <c r="F595" s="85"/>
    </row>
    <row r="596" spans="2:6" s="53" customFormat="1" ht="25.15" customHeight="1" x14ac:dyDescent="0.25">
      <c r="B596" s="52"/>
      <c r="C596" s="124"/>
      <c r="D596" s="124"/>
      <c r="E596" s="69"/>
      <c r="F596" s="85"/>
    </row>
    <row r="597" spans="2:6" s="53" customFormat="1" ht="25.15" customHeight="1" x14ac:dyDescent="0.25">
      <c r="B597" s="52"/>
      <c r="C597" s="124"/>
      <c r="D597" s="124"/>
      <c r="E597" s="69"/>
      <c r="F597" s="85"/>
    </row>
    <row r="598" spans="2:6" s="53" customFormat="1" ht="25.15" customHeight="1" x14ac:dyDescent="0.25">
      <c r="B598" s="52"/>
      <c r="C598" s="124"/>
      <c r="D598" s="124"/>
      <c r="E598" s="69"/>
      <c r="F598" s="85"/>
    </row>
    <row r="599" spans="2:6" s="53" customFormat="1" ht="25.15" customHeight="1" x14ac:dyDescent="0.25">
      <c r="B599" s="52"/>
      <c r="C599" s="124"/>
      <c r="D599" s="124"/>
      <c r="E599" s="69"/>
      <c r="F599" s="85"/>
    </row>
    <row r="600" spans="2:6" s="53" customFormat="1" ht="25.15" customHeight="1" x14ac:dyDescent="0.25">
      <c r="B600" s="52"/>
      <c r="C600" s="124"/>
      <c r="D600" s="124"/>
      <c r="E600" s="69"/>
      <c r="F600" s="85"/>
    </row>
    <row r="601" spans="2:6" s="53" customFormat="1" ht="25.15" customHeight="1" x14ac:dyDescent="0.25">
      <c r="B601" s="52"/>
      <c r="C601" s="124"/>
      <c r="D601" s="124"/>
      <c r="E601" s="69"/>
      <c r="F601" s="85"/>
    </row>
    <row r="602" spans="2:6" s="53" customFormat="1" ht="25.15" customHeight="1" x14ac:dyDescent="0.25">
      <c r="B602" s="52"/>
      <c r="C602" s="124"/>
      <c r="D602" s="124"/>
      <c r="E602" s="69"/>
      <c r="F602" s="85"/>
    </row>
    <row r="603" spans="2:6" s="53" customFormat="1" ht="25.15" customHeight="1" x14ac:dyDescent="0.25">
      <c r="B603" s="52"/>
      <c r="C603" s="124"/>
      <c r="D603" s="124"/>
      <c r="E603" s="69"/>
      <c r="F603" s="85"/>
    </row>
    <row r="604" spans="2:6" s="53" customFormat="1" ht="25.15" customHeight="1" x14ac:dyDescent="0.25">
      <c r="B604" s="52"/>
      <c r="C604" s="124"/>
      <c r="D604" s="124"/>
      <c r="E604" s="69"/>
      <c r="F604" s="85"/>
    </row>
    <row r="605" spans="2:6" s="53" customFormat="1" ht="25.15" customHeight="1" x14ac:dyDescent="0.25">
      <c r="B605" s="52"/>
      <c r="C605" s="124"/>
      <c r="D605" s="124"/>
      <c r="E605" s="69"/>
      <c r="F605" s="85"/>
    </row>
    <row r="606" spans="2:6" s="53" customFormat="1" ht="25.15" customHeight="1" x14ac:dyDescent="0.25">
      <c r="B606" s="52"/>
      <c r="C606" s="124"/>
      <c r="D606" s="124"/>
      <c r="E606" s="69"/>
      <c r="F606" s="85"/>
    </row>
    <row r="607" spans="2:6" s="53" customFormat="1" ht="25.15" customHeight="1" x14ac:dyDescent="0.25">
      <c r="B607" s="52"/>
      <c r="C607" s="124"/>
      <c r="D607" s="124"/>
      <c r="E607" s="69"/>
      <c r="F607" s="85"/>
    </row>
    <row r="608" spans="2:6" s="53" customFormat="1" ht="25.15" customHeight="1" x14ac:dyDescent="0.25">
      <c r="B608" s="52"/>
      <c r="C608" s="124"/>
      <c r="D608" s="124"/>
      <c r="E608" s="69"/>
      <c r="F608" s="85"/>
    </row>
    <row r="609" spans="2:6" s="53" customFormat="1" ht="25.15" customHeight="1" x14ac:dyDescent="0.25">
      <c r="B609" s="52"/>
      <c r="C609" s="124"/>
      <c r="D609" s="124"/>
      <c r="E609" s="69"/>
      <c r="F609" s="85"/>
    </row>
    <row r="610" spans="2:6" s="53" customFormat="1" ht="25.15" customHeight="1" x14ac:dyDescent="0.25">
      <c r="B610" s="52"/>
      <c r="C610" s="124"/>
      <c r="D610" s="124"/>
      <c r="E610" s="69"/>
      <c r="F610" s="85"/>
    </row>
    <row r="611" spans="2:6" s="53" customFormat="1" ht="25.15" customHeight="1" x14ac:dyDescent="0.25">
      <c r="B611" s="52"/>
      <c r="C611" s="124"/>
      <c r="D611" s="124"/>
      <c r="E611" s="69"/>
      <c r="F611" s="85"/>
    </row>
    <row r="612" spans="2:6" s="53" customFormat="1" ht="25.15" customHeight="1" x14ac:dyDescent="0.25">
      <c r="B612" s="52"/>
      <c r="C612" s="124"/>
      <c r="D612" s="124"/>
      <c r="E612" s="69"/>
      <c r="F612" s="85"/>
    </row>
    <row r="613" spans="2:6" s="53" customFormat="1" ht="25.15" customHeight="1" x14ac:dyDescent="0.25">
      <c r="B613" s="52"/>
      <c r="C613" s="124"/>
      <c r="D613" s="124"/>
      <c r="E613" s="69"/>
      <c r="F613" s="85"/>
    </row>
    <row r="614" spans="2:6" s="53" customFormat="1" ht="25.15" customHeight="1" x14ac:dyDescent="0.25">
      <c r="B614" s="52"/>
      <c r="C614" s="124"/>
      <c r="D614" s="124"/>
      <c r="E614" s="69"/>
      <c r="F614" s="85"/>
    </row>
    <row r="615" spans="2:6" s="53" customFormat="1" ht="25.15" customHeight="1" x14ac:dyDescent="0.25">
      <c r="B615" s="52"/>
      <c r="C615" s="124"/>
      <c r="D615" s="124"/>
      <c r="E615" s="69"/>
      <c r="F615" s="85"/>
    </row>
    <row r="616" spans="2:6" s="53" customFormat="1" ht="25.15" customHeight="1" x14ac:dyDescent="0.25">
      <c r="B616" s="52"/>
      <c r="C616" s="124"/>
      <c r="D616" s="124"/>
      <c r="E616" s="69"/>
      <c r="F616" s="85"/>
    </row>
    <row r="617" spans="2:6" s="53" customFormat="1" ht="25.15" customHeight="1" x14ac:dyDescent="0.25">
      <c r="B617" s="52"/>
      <c r="C617" s="124"/>
      <c r="D617" s="124"/>
      <c r="E617" s="69"/>
      <c r="F617" s="85"/>
    </row>
    <row r="618" spans="2:6" s="53" customFormat="1" ht="25.15" customHeight="1" x14ac:dyDescent="0.25">
      <c r="B618" s="52"/>
      <c r="C618" s="124"/>
      <c r="D618" s="124"/>
      <c r="E618" s="69"/>
      <c r="F618" s="85"/>
    </row>
    <row r="619" spans="2:6" s="53" customFormat="1" ht="25.15" customHeight="1" x14ac:dyDescent="0.25">
      <c r="B619" s="52"/>
      <c r="C619" s="124"/>
      <c r="D619" s="124"/>
      <c r="E619" s="69"/>
      <c r="F619" s="85"/>
    </row>
    <row r="620" spans="2:6" s="53" customFormat="1" ht="25.15" customHeight="1" x14ac:dyDescent="0.25">
      <c r="B620" s="52"/>
      <c r="C620" s="124"/>
      <c r="D620" s="124"/>
      <c r="E620" s="69"/>
      <c r="F620" s="85"/>
    </row>
    <row r="621" spans="2:6" s="53" customFormat="1" ht="25.15" customHeight="1" x14ac:dyDescent="0.25">
      <c r="B621" s="52"/>
      <c r="C621" s="124"/>
      <c r="D621" s="124"/>
      <c r="E621" s="69"/>
      <c r="F621" s="85"/>
    </row>
    <row r="622" spans="2:6" s="53" customFormat="1" ht="25.15" customHeight="1" x14ac:dyDescent="0.25">
      <c r="B622" s="52"/>
      <c r="C622" s="124"/>
      <c r="D622" s="124"/>
      <c r="E622" s="69"/>
      <c r="F622" s="85"/>
    </row>
    <row r="623" spans="2:6" s="53" customFormat="1" ht="25.15" customHeight="1" x14ac:dyDescent="0.25">
      <c r="B623" s="52"/>
      <c r="C623" s="124"/>
      <c r="D623" s="124"/>
      <c r="E623" s="69"/>
      <c r="F623" s="85"/>
    </row>
    <row r="624" spans="2:6" s="53" customFormat="1" ht="25.15" customHeight="1" x14ac:dyDescent="0.25">
      <c r="B624" s="52"/>
      <c r="C624" s="124"/>
      <c r="D624" s="124"/>
      <c r="E624" s="69"/>
      <c r="F624" s="85"/>
    </row>
    <row r="625" spans="2:6" s="53" customFormat="1" ht="25.15" customHeight="1" x14ac:dyDescent="0.25">
      <c r="B625" s="52"/>
      <c r="C625" s="124"/>
      <c r="D625" s="124"/>
      <c r="E625" s="69"/>
      <c r="F625" s="85"/>
    </row>
    <row r="626" spans="2:6" s="53" customFormat="1" ht="25.15" customHeight="1" x14ac:dyDescent="0.25">
      <c r="B626" s="52"/>
      <c r="C626" s="124"/>
      <c r="D626" s="124"/>
      <c r="E626" s="69"/>
      <c r="F626" s="85"/>
    </row>
    <row r="627" spans="2:6" s="53" customFormat="1" ht="25.15" customHeight="1" x14ac:dyDescent="0.25">
      <c r="B627" s="52"/>
      <c r="C627" s="124"/>
      <c r="D627" s="124"/>
      <c r="E627" s="69"/>
      <c r="F627" s="85"/>
    </row>
    <row r="628" spans="2:6" s="53" customFormat="1" ht="25.15" customHeight="1" x14ac:dyDescent="0.25">
      <c r="B628" s="52"/>
      <c r="C628" s="124"/>
      <c r="D628" s="124"/>
      <c r="E628" s="69"/>
      <c r="F628" s="85"/>
    </row>
    <row r="629" spans="2:6" s="53" customFormat="1" ht="25.15" customHeight="1" x14ac:dyDescent="0.25">
      <c r="B629" s="52"/>
      <c r="C629" s="124"/>
      <c r="D629" s="124"/>
      <c r="E629" s="69"/>
      <c r="F629" s="85"/>
    </row>
    <row r="630" spans="2:6" s="53" customFormat="1" ht="25.15" customHeight="1" x14ac:dyDescent="0.25">
      <c r="B630" s="52"/>
      <c r="C630" s="124"/>
      <c r="D630" s="124"/>
      <c r="E630" s="69"/>
      <c r="F630" s="85"/>
    </row>
    <row r="631" spans="2:6" s="53" customFormat="1" ht="25.15" customHeight="1" x14ac:dyDescent="0.25">
      <c r="B631" s="52"/>
      <c r="C631" s="124"/>
      <c r="D631" s="124"/>
      <c r="E631" s="69"/>
      <c r="F631" s="85"/>
    </row>
    <row r="632" spans="2:6" s="53" customFormat="1" ht="25.15" customHeight="1" x14ac:dyDescent="0.25">
      <c r="B632" s="52"/>
      <c r="C632" s="124"/>
      <c r="D632" s="124"/>
      <c r="E632" s="69"/>
      <c r="F632" s="85"/>
    </row>
    <row r="633" spans="2:6" s="53" customFormat="1" ht="25.15" customHeight="1" x14ac:dyDescent="0.25">
      <c r="B633" s="52"/>
      <c r="C633" s="124"/>
      <c r="D633" s="124"/>
      <c r="E633" s="69"/>
      <c r="F633" s="85"/>
    </row>
    <row r="634" spans="2:6" s="53" customFormat="1" ht="25.15" customHeight="1" x14ac:dyDescent="0.25">
      <c r="B634" s="52"/>
      <c r="C634" s="124"/>
      <c r="D634" s="124"/>
      <c r="E634" s="69"/>
      <c r="F634" s="85"/>
    </row>
    <row r="635" spans="2:6" s="53" customFormat="1" ht="25.15" customHeight="1" x14ac:dyDescent="0.25">
      <c r="B635" s="52"/>
      <c r="C635" s="124"/>
      <c r="D635" s="124"/>
      <c r="E635" s="69"/>
      <c r="F635" s="85"/>
    </row>
    <row r="636" spans="2:6" s="53" customFormat="1" ht="25.15" customHeight="1" x14ac:dyDescent="0.25">
      <c r="B636" s="52"/>
      <c r="C636" s="124"/>
      <c r="D636" s="124"/>
      <c r="E636" s="69"/>
      <c r="F636" s="85"/>
    </row>
    <row r="637" spans="2:6" s="53" customFormat="1" ht="25.15" customHeight="1" x14ac:dyDescent="0.25">
      <c r="B637" s="52"/>
      <c r="C637" s="124"/>
      <c r="D637" s="124"/>
      <c r="E637" s="69"/>
      <c r="F637" s="85"/>
    </row>
    <row r="638" spans="2:6" s="53" customFormat="1" ht="25.15" customHeight="1" x14ac:dyDescent="0.25">
      <c r="B638" s="52"/>
      <c r="C638" s="124"/>
      <c r="D638" s="124"/>
      <c r="E638" s="69"/>
      <c r="F638" s="85"/>
    </row>
    <row r="639" spans="2:6" s="53" customFormat="1" ht="25.15" customHeight="1" x14ac:dyDescent="0.25">
      <c r="B639" s="52"/>
      <c r="C639" s="124"/>
      <c r="D639" s="124"/>
      <c r="E639" s="69"/>
      <c r="F639" s="85"/>
    </row>
    <row r="640" spans="2:6" s="53" customFormat="1" ht="25.15" customHeight="1" x14ac:dyDescent="0.25">
      <c r="B640" s="52"/>
      <c r="C640" s="124"/>
      <c r="D640" s="124"/>
      <c r="E640" s="69"/>
      <c r="F640" s="85"/>
    </row>
    <row r="641" spans="2:6" s="53" customFormat="1" ht="25.15" customHeight="1" x14ac:dyDescent="0.25">
      <c r="B641" s="52"/>
      <c r="C641" s="124"/>
      <c r="D641" s="124"/>
      <c r="E641" s="69"/>
      <c r="F641" s="85"/>
    </row>
    <row r="642" spans="2:6" s="53" customFormat="1" ht="25.15" customHeight="1" x14ac:dyDescent="0.25">
      <c r="B642" s="52"/>
      <c r="C642" s="124"/>
      <c r="D642" s="124"/>
      <c r="E642" s="69"/>
      <c r="F642" s="85"/>
    </row>
    <row r="643" spans="2:6" s="53" customFormat="1" ht="25.15" customHeight="1" x14ac:dyDescent="0.25">
      <c r="B643" s="52"/>
      <c r="C643" s="124"/>
      <c r="D643" s="124"/>
      <c r="E643" s="69"/>
      <c r="F643" s="85"/>
    </row>
    <row r="644" spans="2:6" s="53" customFormat="1" ht="25.15" customHeight="1" x14ac:dyDescent="0.25">
      <c r="B644" s="52"/>
      <c r="C644" s="124"/>
      <c r="D644" s="124"/>
      <c r="E644" s="69"/>
      <c r="F644" s="85"/>
    </row>
    <row r="645" spans="2:6" s="53" customFormat="1" ht="25.15" customHeight="1" x14ac:dyDescent="0.25">
      <c r="B645" s="52"/>
      <c r="C645" s="124"/>
      <c r="D645" s="124"/>
      <c r="E645" s="69"/>
      <c r="F645" s="85"/>
    </row>
    <row r="646" spans="2:6" s="53" customFormat="1" ht="25.15" customHeight="1" x14ac:dyDescent="0.25">
      <c r="B646" s="52"/>
      <c r="C646" s="124"/>
      <c r="D646" s="124"/>
      <c r="E646" s="69"/>
      <c r="F646" s="85"/>
    </row>
    <row r="647" spans="2:6" s="53" customFormat="1" ht="25.15" customHeight="1" x14ac:dyDescent="0.25">
      <c r="B647" s="52"/>
      <c r="C647" s="124"/>
      <c r="D647" s="124"/>
      <c r="E647" s="69"/>
      <c r="F647" s="85"/>
    </row>
    <row r="648" spans="2:6" s="53" customFormat="1" ht="25.15" customHeight="1" x14ac:dyDescent="0.25">
      <c r="B648" s="52"/>
      <c r="C648" s="124"/>
      <c r="D648" s="124"/>
      <c r="E648" s="69"/>
      <c r="F648" s="85"/>
    </row>
    <row r="649" spans="2:6" s="53" customFormat="1" ht="25.15" customHeight="1" x14ac:dyDescent="0.25">
      <c r="B649" s="52"/>
      <c r="C649" s="124"/>
      <c r="D649" s="124"/>
      <c r="E649" s="69"/>
      <c r="F649" s="85"/>
    </row>
    <row r="650" spans="2:6" s="53" customFormat="1" ht="25.15" customHeight="1" x14ac:dyDescent="0.25">
      <c r="B650" s="52"/>
      <c r="C650" s="124"/>
      <c r="D650" s="124"/>
      <c r="E650" s="69"/>
      <c r="F650" s="85"/>
    </row>
    <row r="651" spans="2:6" s="53" customFormat="1" ht="25.15" customHeight="1" x14ac:dyDescent="0.25">
      <c r="B651" s="52"/>
      <c r="C651" s="124"/>
      <c r="D651" s="124"/>
      <c r="E651" s="69"/>
      <c r="F651" s="85"/>
    </row>
    <row r="652" spans="2:6" s="53" customFormat="1" ht="25.15" customHeight="1" x14ac:dyDescent="0.25">
      <c r="B652" s="52"/>
      <c r="C652" s="124"/>
      <c r="D652" s="124"/>
      <c r="E652" s="69"/>
      <c r="F652" s="85"/>
    </row>
    <row r="653" spans="2:6" s="53" customFormat="1" ht="25.15" customHeight="1" x14ac:dyDescent="0.25">
      <c r="B653" s="52"/>
      <c r="C653" s="124"/>
      <c r="D653" s="124"/>
      <c r="E653" s="69"/>
      <c r="F653" s="85"/>
    </row>
    <row r="654" spans="2:6" s="53" customFormat="1" ht="25.15" customHeight="1" x14ac:dyDescent="0.25">
      <c r="B654" s="52"/>
      <c r="C654" s="124"/>
      <c r="D654" s="124"/>
      <c r="E654" s="69"/>
      <c r="F654" s="85"/>
    </row>
    <row r="655" spans="2:6" s="53" customFormat="1" ht="25.15" customHeight="1" x14ac:dyDescent="0.25">
      <c r="B655" s="52"/>
      <c r="C655" s="124"/>
      <c r="D655" s="124"/>
      <c r="E655" s="69"/>
      <c r="F655" s="85"/>
    </row>
    <row r="656" spans="2:6" s="53" customFormat="1" ht="25.15" customHeight="1" x14ac:dyDescent="0.25">
      <c r="B656" s="52"/>
      <c r="C656" s="124"/>
      <c r="D656" s="124"/>
      <c r="E656" s="69"/>
      <c r="F656" s="85"/>
    </row>
    <row r="657" spans="2:6" s="53" customFormat="1" ht="25.15" customHeight="1" x14ac:dyDescent="0.25">
      <c r="B657" s="52"/>
      <c r="C657" s="124"/>
      <c r="D657" s="124"/>
      <c r="E657" s="69"/>
      <c r="F657" s="85"/>
    </row>
    <row r="658" spans="2:6" s="53" customFormat="1" ht="25.15" customHeight="1" x14ac:dyDescent="0.25">
      <c r="B658" s="52"/>
      <c r="C658" s="124"/>
      <c r="D658" s="124"/>
      <c r="E658" s="69"/>
      <c r="F658" s="85"/>
    </row>
    <row r="659" spans="2:6" s="53" customFormat="1" ht="25.15" customHeight="1" x14ac:dyDescent="0.25">
      <c r="B659" s="52"/>
      <c r="C659" s="124"/>
      <c r="D659" s="124"/>
      <c r="E659" s="69"/>
      <c r="F659" s="85"/>
    </row>
    <row r="660" spans="2:6" s="53" customFormat="1" ht="25.15" customHeight="1" x14ac:dyDescent="0.25">
      <c r="B660" s="52"/>
      <c r="C660" s="124"/>
      <c r="D660" s="124"/>
      <c r="E660" s="69"/>
      <c r="F660" s="85"/>
    </row>
    <row r="661" spans="2:6" s="53" customFormat="1" ht="25.15" customHeight="1" x14ac:dyDescent="0.25">
      <c r="B661" s="52"/>
      <c r="C661" s="124"/>
      <c r="D661" s="124"/>
      <c r="E661" s="69"/>
      <c r="F661" s="85"/>
    </row>
    <row r="662" spans="2:6" s="53" customFormat="1" ht="25.15" customHeight="1" x14ac:dyDescent="0.25">
      <c r="B662" s="52"/>
      <c r="C662" s="124"/>
      <c r="D662" s="124"/>
      <c r="E662" s="69"/>
      <c r="F662" s="85"/>
    </row>
    <row r="663" spans="2:6" s="53" customFormat="1" ht="25.15" customHeight="1" x14ac:dyDescent="0.25">
      <c r="B663" s="52"/>
      <c r="C663" s="124"/>
      <c r="D663" s="124"/>
      <c r="E663" s="69"/>
      <c r="F663" s="85"/>
    </row>
    <row r="664" spans="2:6" s="53" customFormat="1" ht="25.15" customHeight="1" x14ac:dyDescent="0.25">
      <c r="B664" s="52"/>
      <c r="C664" s="124"/>
      <c r="D664" s="124"/>
      <c r="E664" s="69"/>
      <c r="F664" s="85"/>
    </row>
    <row r="665" spans="2:6" s="53" customFormat="1" ht="25.15" customHeight="1" x14ac:dyDescent="0.25">
      <c r="B665" s="52"/>
      <c r="C665" s="124"/>
      <c r="D665" s="124"/>
      <c r="E665" s="69"/>
      <c r="F665" s="85"/>
    </row>
    <row r="666" spans="2:6" s="53" customFormat="1" ht="25.15" customHeight="1" x14ac:dyDescent="0.25">
      <c r="B666" s="52"/>
      <c r="C666" s="124"/>
      <c r="D666" s="124"/>
      <c r="E666" s="69"/>
      <c r="F666" s="85"/>
    </row>
    <row r="667" spans="2:6" s="53" customFormat="1" ht="25.15" customHeight="1" x14ac:dyDescent="0.25">
      <c r="B667" s="52"/>
      <c r="C667" s="124"/>
      <c r="D667" s="124"/>
      <c r="E667" s="69"/>
      <c r="F667" s="85"/>
    </row>
    <row r="668" spans="2:6" s="53" customFormat="1" ht="25.15" customHeight="1" x14ac:dyDescent="0.25">
      <c r="B668" s="52"/>
      <c r="C668" s="124"/>
      <c r="D668" s="124"/>
      <c r="E668" s="69"/>
      <c r="F668" s="85"/>
    </row>
    <row r="669" spans="2:6" s="53" customFormat="1" ht="25.15" customHeight="1" x14ac:dyDescent="0.25">
      <c r="B669" s="52"/>
      <c r="C669" s="124"/>
      <c r="D669" s="124"/>
      <c r="E669" s="69"/>
      <c r="F669" s="85"/>
    </row>
    <row r="670" spans="2:6" s="53" customFormat="1" ht="25.15" customHeight="1" x14ac:dyDescent="0.25">
      <c r="B670" s="52"/>
      <c r="C670" s="124"/>
      <c r="D670" s="124"/>
      <c r="E670" s="69"/>
      <c r="F670" s="85"/>
    </row>
    <row r="671" spans="2:6" s="53" customFormat="1" ht="25.15" customHeight="1" x14ac:dyDescent="0.25">
      <c r="B671" s="52"/>
      <c r="C671" s="124"/>
      <c r="D671" s="124"/>
      <c r="E671" s="69"/>
      <c r="F671" s="85"/>
    </row>
    <row r="672" spans="2:6" s="53" customFormat="1" ht="25.15" customHeight="1" x14ac:dyDescent="0.25">
      <c r="B672" s="52"/>
      <c r="C672" s="124"/>
      <c r="D672" s="124"/>
      <c r="E672" s="69"/>
      <c r="F672" s="85"/>
    </row>
    <row r="673" spans="2:6" s="53" customFormat="1" ht="25.15" customHeight="1" x14ac:dyDescent="0.25">
      <c r="B673" s="52"/>
      <c r="C673" s="124"/>
      <c r="D673" s="124"/>
      <c r="E673" s="69"/>
      <c r="F673" s="85"/>
    </row>
    <row r="674" spans="2:6" s="53" customFormat="1" ht="25.15" customHeight="1" x14ac:dyDescent="0.25">
      <c r="B674" s="52"/>
      <c r="C674" s="124"/>
      <c r="D674" s="124"/>
      <c r="E674" s="69"/>
      <c r="F674" s="85"/>
    </row>
    <row r="675" spans="2:6" s="53" customFormat="1" ht="25.15" customHeight="1" x14ac:dyDescent="0.25">
      <c r="B675" s="52"/>
      <c r="C675" s="124"/>
      <c r="D675" s="124"/>
      <c r="E675" s="69"/>
      <c r="F675" s="85"/>
    </row>
    <row r="676" spans="2:6" s="53" customFormat="1" ht="25.15" customHeight="1" x14ac:dyDescent="0.25">
      <c r="B676" s="52"/>
      <c r="C676" s="124"/>
      <c r="D676" s="124"/>
      <c r="E676" s="69"/>
      <c r="F676" s="85"/>
    </row>
    <row r="677" spans="2:6" s="53" customFormat="1" ht="25.15" customHeight="1" x14ac:dyDescent="0.25">
      <c r="B677" s="52"/>
      <c r="C677" s="124"/>
      <c r="D677" s="124"/>
      <c r="E677" s="69"/>
      <c r="F677" s="85"/>
    </row>
    <row r="678" spans="2:6" s="53" customFormat="1" ht="25.15" customHeight="1" x14ac:dyDescent="0.25">
      <c r="B678" s="52"/>
      <c r="C678" s="124"/>
      <c r="D678" s="124"/>
      <c r="E678" s="69"/>
      <c r="F678" s="85"/>
    </row>
    <row r="679" spans="2:6" s="53" customFormat="1" ht="25.15" customHeight="1" x14ac:dyDescent="0.25">
      <c r="B679" s="52"/>
      <c r="C679" s="124"/>
      <c r="D679" s="124"/>
      <c r="E679" s="69"/>
      <c r="F679" s="85"/>
    </row>
    <row r="680" spans="2:6" s="53" customFormat="1" ht="25.15" customHeight="1" x14ac:dyDescent="0.25">
      <c r="B680" s="52"/>
      <c r="C680" s="124"/>
      <c r="D680" s="124"/>
      <c r="E680" s="69"/>
      <c r="F680" s="85"/>
    </row>
    <row r="681" spans="2:6" s="53" customFormat="1" ht="25.15" customHeight="1" x14ac:dyDescent="0.25">
      <c r="B681" s="52"/>
      <c r="C681" s="124"/>
      <c r="D681" s="124"/>
      <c r="E681" s="69"/>
      <c r="F681" s="85"/>
    </row>
    <row r="682" spans="2:6" s="53" customFormat="1" ht="25.15" customHeight="1" x14ac:dyDescent="0.25">
      <c r="B682" s="52"/>
      <c r="C682" s="124"/>
      <c r="D682" s="124"/>
      <c r="E682" s="69"/>
      <c r="F682" s="85"/>
    </row>
    <row r="683" spans="2:6" s="53" customFormat="1" ht="25.15" customHeight="1" x14ac:dyDescent="0.25">
      <c r="B683" s="52"/>
      <c r="C683" s="124"/>
      <c r="D683" s="124"/>
      <c r="E683" s="69"/>
      <c r="F683" s="85"/>
    </row>
    <row r="684" spans="2:6" s="53" customFormat="1" ht="25.15" customHeight="1" x14ac:dyDescent="0.25">
      <c r="B684" s="52"/>
      <c r="C684" s="124"/>
      <c r="D684" s="124"/>
      <c r="E684" s="69"/>
      <c r="F684" s="85"/>
    </row>
    <row r="685" spans="2:6" s="53" customFormat="1" ht="25.15" customHeight="1" x14ac:dyDescent="0.25">
      <c r="B685" s="52"/>
      <c r="C685" s="124"/>
      <c r="D685" s="124"/>
      <c r="E685" s="69"/>
      <c r="F685" s="85"/>
    </row>
    <row r="686" spans="2:6" s="53" customFormat="1" ht="25.15" customHeight="1" x14ac:dyDescent="0.25">
      <c r="B686" s="52"/>
      <c r="C686" s="124"/>
      <c r="D686" s="124"/>
      <c r="E686" s="69"/>
      <c r="F686" s="85"/>
    </row>
    <row r="687" spans="2:6" s="53" customFormat="1" ht="25.15" customHeight="1" x14ac:dyDescent="0.25">
      <c r="B687" s="52"/>
      <c r="C687" s="124"/>
      <c r="D687" s="124"/>
      <c r="E687" s="69"/>
      <c r="F687" s="85"/>
    </row>
    <row r="688" spans="2:6" s="53" customFormat="1" ht="25.15" customHeight="1" x14ac:dyDescent="0.25">
      <c r="B688" s="52"/>
      <c r="C688" s="124"/>
      <c r="D688" s="124"/>
      <c r="E688" s="69"/>
      <c r="F688" s="85"/>
    </row>
    <row r="689" spans="2:6" s="53" customFormat="1" ht="25.15" customHeight="1" x14ac:dyDescent="0.25">
      <c r="B689" s="52"/>
      <c r="C689" s="124"/>
      <c r="D689" s="124"/>
      <c r="E689" s="69"/>
      <c r="F689" s="85"/>
    </row>
    <row r="690" spans="2:6" s="53" customFormat="1" ht="25.15" customHeight="1" x14ac:dyDescent="0.25">
      <c r="B690" s="52"/>
      <c r="C690" s="124"/>
      <c r="D690" s="124"/>
      <c r="E690" s="69"/>
      <c r="F690" s="85"/>
    </row>
    <row r="691" spans="2:6" s="53" customFormat="1" ht="25.15" customHeight="1" x14ac:dyDescent="0.25">
      <c r="B691" s="52"/>
      <c r="C691" s="124"/>
      <c r="D691" s="124"/>
      <c r="E691" s="69"/>
      <c r="F691" s="85"/>
    </row>
    <row r="692" spans="2:6" s="53" customFormat="1" ht="25.15" customHeight="1" x14ac:dyDescent="0.25">
      <c r="B692" s="52"/>
      <c r="C692" s="124"/>
      <c r="D692" s="124"/>
      <c r="E692" s="69"/>
      <c r="F692" s="85"/>
    </row>
    <row r="693" spans="2:6" s="53" customFormat="1" ht="25.15" customHeight="1" x14ac:dyDescent="0.25">
      <c r="B693" s="52"/>
      <c r="C693" s="124"/>
      <c r="D693" s="124"/>
      <c r="E693" s="69"/>
      <c r="F693" s="85"/>
    </row>
    <row r="694" spans="2:6" s="53" customFormat="1" ht="25.15" customHeight="1" x14ac:dyDescent="0.25">
      <c r="B694" s="52"/>
      <c r="C694" s="124"/>
      <c r="D694" s="124"/>
      <c r="E694" s="69"/>
      <c r="F694" s="85"/>
    </row>
    <row r="695" spans="2:6" s="53" customFormat="1" ht="25.15" customHeight="1" x14ac:dyDescent="0.25">
      <c r="B695" s="52"/>
      <c r="C695" s="124"/>
      <c r="D695" s="124"/>
      <c r="E695" s="69"/>
      <c r="F695" s="85"/>
    </row>
    <row r="696" spans="2:6" s="53" customFormat="1" ht="25.15" customHeight="1" x14ac:dyDescent="0.25">
      <c r="B696" s="52"/>
      <c r="C696" s="124"/>
      <c r="D696" s="124"/>
      <c r="E696" s="69"/>
      <c r="F696" s="85"/>
    </row>
    <row r="697" spans="2:6" s="53" customFormat="1" ht="25.15" customHeight="1" x14ac:dyDescent="0.25">
      <c r="B697" s="52"/>
      <c r="C697" s="124"/>
      <c r="D697" s="124"/>
      <c r="E697" s="69"/>
      <c r="F697" s="85"/>
    </row>
    <row r="698" spans="2:6" s="53" customFormat="1" ht="25.15" customHeight="1" x14ac:dyDescent="0.25">
      <c r="B698" s="52"/>
      <c r="C698" s="124"/>
      <c r="D698" s="124"/>
      <c r="E698" s="69"/>
      <c r="F698" s="85"/>
    </row>
    <row r="699" spans="2:6" s="53" customFormat="1" ht="25.15" customHeight="1" x14ac:dyDescent="0.25">
      <c r="B699" s="52"/>
      <c r="C699" s="124"/>
      <c r="D699" s="124"/>
      <c r="E699" s="69"/>
      <c r="F699" s="85"/>
    </row>
    <row r="700" spans="2:6" s="53" customFormat="1" ht="25.15" customHeight="1" x14ac:dyDescent="0.25">
      <c r="B700" s="52"/>
      <c r="C700" s="124"/>
      <c r="D700" s="124"/>
      <c r="E700" s="69"/>
      <c r="F700" s="85"/>
    </row>
    <row r="701" spans="2:6" s="53" customFormat="1" ht="25.15" customHeight="1" x14ac:dyDescent="0.25">
      <c r="B701" s="52"/>
      <c r="C701" s="124"/>
      <c r="D701" s="124"/>
      <c r="E701" s="69"/>
      <c r="F701" s="85"/>
    </row>
    <row r="702" spans="2:6" s="53" customFormat="1" ht="25.15" customHeight="1" x14ac:dyDescent="0.25">
      <c r="B702" s="52"/>
      <c r="C702" s="124"/>
      <c r="D702" s="124"/>
      <c r="E702" s="69"/>
      <c r="F702" s="85"/>
    </row>
    <row r="703" spans="2:6" s="53" customFormat="1" ht="25.15" customHeight="1" x14ac:dyDescent="0.25">
      <c r="B703" s="52"/>
      <c r="C703" s="124"/>
      <c r="D703" s="124"/>
      <c r="E703" s="69"/>
      <c r="F703" s="85"/>
    </row>
    <row r="704" spans="2:6" s="53" customFormat="1" ht="25.15" customHeight="1" x14ac:dyDescent="0.25">
      <c r="B704" s="52"/>
      <c r="C704" s="124"/>
      <c r="D704" s="124"/>
      <c r="E704" s="69"/>
      <c r="F704" s="85"/>
    </row>
    <row r="705" spans="2:6" s="53" customFormat="1" ht="25.15" customHeight="1" x14ac:dyDescent="0.25">
      <c r="B705" s="52"/>
      <c r="C705" s="124"/>
      <c r="D705" s="124"/>
      <c r="E705" s="69"/>
      <c r="F705" s="85"/>
    </row>
    <row r="706" spans="2:6" s="53" customFormat="1" ht="25.15" customHeight="1" x14ac:dyDescent="0.25">
      <c r="B706" s="52"/>
      <c r="C706" s="124"/>
      <c r="D706" s="124"/>
      <c r="E706" s="69"/>
      <c r="F706" s="85"/>
    </row>
    <row r="707" spans="2:6" s="53" customFormat="1" ht="25.15" customHeight="1" x14ac:dyDescent="0.25">
      <c r="B707" s="52"/>
      <c r="C707" s="124"/>
      <c r="D707" s="124"/>
      <c r="E707" s="69"/>
      <c r="F707" s="85"/>
    </row>
    <row r="708" spans="2:6" s="53" customFormat="1" ht="25.15" customHeight="1" x14ac:dyDescent="0.25">
      <c r="B708" s="52"/>
      <c r="C708" s="124"/>
      <c r="D708" s="124"/>
      <c r="E708" s="69"/>
      <c r="F708" s="85"/>
    </row>
    <row r="709" spans="2:6" s="53" customFormat="1" ht="25.15" customHeight="1" x14ac:dyDescent="0.25">
      <c r="B709" s="52"/>
      <c r="C709" s="124"/>
      <c r="D709" s="124"/>
      <c r="E709" s="69"/>
      <c r="F709" s="85"/>
    </row>
    <row r="710" spans="2:6" s="53" customFormat="1" ht="25.15" customHeight="1" x14ac:dyDescent="0.25">
      <c r="B710" s="52"/>
      <c r="C710" s="124"/>
      <c r="D710" s="124"/>
      <c r="E710" s="69"/>
      <c r="F710" s="85"/>
    </row>
    <row r="711" spans="2:6" s="53" customFormat="1" ht="25.15" customHeight="1" x14ac:dyDescent="0.25">
      <c r="B711" s="52"/>
      <c r="C711" s="124"/>
      <c r="D711" s="124"/>
      <c r="E711" s="69"/>
      <c r="F711" s="85"/>
    </row>
    <row r="712" spans="2:6" s="53" customFormat="1" ht="25.15" customHeight="1" x14ac:dyDescent="0.25">
      <c r="B712" s="52"/>
      <c r="C712" s="124"/>
      <c r="D712" s="124"/>
      <c r="E712" s="69"/>
      <c r="F712" s="85"/>
    </row>
    <row r="713" spans="2:6" s="53" customFormat="1" ht="25.15" customHeight="1" x14ac:dyDescent="0.25">
      <c r="B713" s="52"/>
      <c r="C713" s="124"/>
      <c r="D713" s="124"/>
      <c r="E713" s="69"/>
      <c r="F713" s="85"/>
    </row>
    <row r="714" spans="2:6" s="53" customFormat="1" ht="25.15" customHeight="1" x14ac:dyDescent="0.25">
      <c r="B714" s="52"/>
      <c r="C714" s="124"/>
      <c r="D714" s="124"/>
      <c r="E714" s="69"/>
      <c r="F714" s="85"/>
    </row>
    <row r="715" spans="2:6" s="53" customFormat="1" ht="25.15" customHeight="1" x14ac:dyDescent="0.25">
      <c r="B715" s="52"/>
      <c r="C715" s="124"/>
      <c r="D715" s="124"/>
      <c r="E715" s="69"/>
      <c r="F715" s="85"/>
    </row>
    <row r="716" spans="2:6" s="53" customFormat="1" ht="25.15" customHeight="1" x14ac:dyDescent="0.25">
      <c r="B716" s="52"/>
      <c r="C716" s="124"/>
      <c r="D716" s="124"/>
      <c r="E716" s="69"/>
      <c r="F716" s="85"/>
    </row>
    <row r="717" spans="2:6" s="53" customFormat="1" ht="25.15" customHeight="1" x14ac:dyDescent="0.25">
      <c r="B717" s="52"/>
      <c r="C717" s="124"/>
      <c r="D717" s="124"/>
      <c r="E717" s="69"/>
      <c r="F717" s="85"/>
    </row>
    <row r="718" spans="2:6" s="53" customFormat="1" ht="25.15" customHeight="1" x14ac:dyDescent="0.25">
      <c r="B718" s="52"/>
      <c r="C718" s="124"/>
      <c r="D718" s="124"/>
      <c r="E718" s="69"/>
      <c r="F718" s="85"/>
    </row>
    <row r="719" spans="2:6" s="53" customFormat="1" ht="25.15" customHeight="1" x14ac:dyDescent="0.25">
      <c r="B719" s="52"/>
      <c r="C719" s="124"/>
      <c r="D719" s="124"/>
      <c r="E719" s="69"/>
      <c r="F719" s="85"/>
    </row>
    <row r="720" spans="2:6" s="53" customFormat="1" ht="25.15" customHeight="1" x14ac:dyDescent="0.25">
      <c r="B720" s="52"/>
      <c r="C720" s="124"/>
      <c r="D720" s="124"/>
      <c r="E720" s="69"/>
      <c r="F720" s="85"/>
    </row>
    <row r="721" spans="2:6" s="53" customFormat="1" ht="25.15" customHeight="1" x14ac:dyDescent="0.25">
      <c r="B721" s="52"/>
      <c r="C721" s="124"/>
      <c r="D721" s="124"/>
      <c r="E721" s="69"/>
      <c r="F721" s="85"/>
    </row>
    <row r="722" spans="2:6" s="53" customFormat="1" ht="25.15" customHeight="1" x14ac:dyDescent="0.25">
      <c r="B722" s="52"/>
      <c r="C722" s="124"/>
      <c r="D722" s="124"/>
      <c r="E722" s="69"/>
      <c r="F722" s="85"/>
    </row>
    <row r="723" spans="2:6" s="53" customFormat="1" ht="25.15" customHeight="1" x14ac:dyDescent="0.25">
      <c r="B723" s="52"/>
      <c r="C723" s="124"/>
      <c r="D723" s="124"/>
      <c r="E723" s="69"/>
      <c r="F723" s="85"/>
    </row>
    <row r="724" spans="2:6" s="53" customFormat="1" ht="25.15" customHeight="1" x14ac:dyDescent="0.25">
      <c r="B724" s="52"/>
      <c r="C724" s="124"/>
      <c r="D724" s="124"/>
      <c r="E724" s="69"/>
      <c r="F724" s="85"/>
    </row>
    <row r="725" spans="2:6" s="53" customFormat="1" ht="25.15" customHeight="1" x14ac:dyDescent="0.25">
      <c r="B725" s="52"/>
      <c r="C725" s="124"/>
      <c r="D725" s="124"/>
      <c r="E725" s="69"/>
      <c r="F725" s="85"/>
    </row>
    <row r="726" spans="2:6" s="53" customFormat="1" ht="25.15" customHeight="1" x14ac:dyDescent="0.25">
      <c r="B726" s="52"/>
      <c r="C726" s="124"/>
      <c r="D726" s="124"/>
      <c r="E726" s="69"/>
      <c r="F726" s="85"/>
    </row>
    <row r="727" spans="2:6" s="53" customFormat="1" ht="25.15" customHeight="1" x14ac:dyDescent="0.25">
      <c r="B727" s="52"/>
      <c r="C727" s="124"/>
      <c r="D727" s="124"/>
      <c r="E727" s="69"/>
      <c r="F727" s="85"/>
    </row>
    <row r="728" spans="2:6" s="53" customFormat="1" ht="25.15" customHeight="1" x14ac:dyDescent="0.25">
      <c r="B728" s="52"/>
      <c r="C728" s="124"/>
      <c r="D728" s="124"/>
      <c r="E728" s="69"/>
      <c r="F728" s="85"/>
    </row>
    <row r="729" spans="2:6" s="53" customFormat="1" ht="25.15" customHeight="1" x14ac:dyDescent="0.25">
      <c r="B729" s="52"/>
      <c r="C729" s="124"/>
      <c r="D729" s="124"/>
      <c r="E729" s="69"/>
      <c r="F729" s="85"/>
    </row>
    <row r="730" spans="2:6" s="53" customFormat="1" ht="25.15" customHeight="1" x14ac:dyDescent="0.25">
      <c r="B730" s="52"/>
      <c r="C730" s="124"/>
      <c r="D730" s="124"/>
      <c r="E730" s="69"/>
      <c r="F730" s="85"/>
    </row>
    <row r="731" spans="2:6" s="53" customFormat="1" ht="25.15" customHeight="1" x14ac:dyDescent="0.25">
      <c r="B731" s="52"/>
      <c r="C731" s="124"/>
      <c r="D731" s="124"/>
      <c r="E731" s="69"/>
      <c r="F731" s="85"/>
    </row>
    <row r="732" spans="2:6" s="53" customFormat="1" ht="25.15" customHeight="1" x14ac:dyDescent="0.25">
      <c r="B732" s="52"/>
      <c r="C732" s="124"/>
      <c r="D732" s="124"/>
      <c r="E732" s="69"/>
      <c r="F732" s="85"/>
    </row>
    <row r="733" spans="2:6" s="53" customFormat="1" ht="25.15" customHeight="1" x14ac:dyDescent="0.25">
      <c r="B733" s="52"/>
      <c r="C733" s="124"/>
      <c r="D733" s="124"/>
      <c r="E733" s="69"/>
      <c r="F733" s="85"/>
    </row>
    <row r="734" spans="2:6" s="53" customFormat="1" ht="25.15" customHeight="1" x14ac:dyDescent="0.25">
      <c r="B734" s="52"/>
      <c r="C734" s="124"/>
      <c r="D734" s="124"/>
      <c r="E734" s="69"/>
      <c r="F734" s="85"/>
    </row>
    <row r="735" spans="2:6" s="53" customFormat="1" ht="25.15" customHeight="1" x14ac:dyDescent="0.25">
      <c r="B735" s="52"/>
      <c r="C735" s="124"/>
      <c r="D735" s="124"/>
      <c r="E735" s="69"/>
      <c r="F735" s="85"/>
    </row>
    <row r="736" spans="2:6" s="53" customFormat="1" ht="25.15" customHeight="1" x14ac:dyDescent="0.25">
      <c r="B736" s="52"/>
      <c r="C736" s="124"/>
      <c r="D736" s="124"/>
      <c r="E736" s="69"/>
      <c r="F736" s="85"/>
    </row>
    <row r="737" spans="2:6" s="53" customFormat="1" ht="25.15" customHeight="1" x14ac:dyDescent="0.25">
      <c r="B737" s="52"/>
      <c r="C737" s="124"/>
      <c r="D737" s="124"/>
      <c r="E737" s="69"/>
      <c r="F737" s="85"/>
    </row>
    <row r="738" spans="2:6" s="53" customFormat="1" ht="25.15" customHeight="1" x14ac:dyDescent="0.25">
      <c r="B738" s="52"/>
      <c r="C738" s="124"/>
      <c r="D738" s="124"/>
      <c r="E738" s="69"/>
      <c r="F738" s="85"/>
    </row>
    <row r="739" spans="2:6" s="53" customFormat="1" ht="25.15" customHeight="1" x14ac:dyDescent="0.25">
      <c r="B739" s="52"/>
      <c r="C739" s="124"/>
      <c r="D739" s="124"/>
      <c r="E739" s="69"/>
      <c r="F739" s="85"/>
    </row>
    <row r="740" spans="2:6" s="53" customFormat="1" ht="25.15" customHeight="1" x14ac:dyDescent="0.25">
      <c r="B740" s="52"/>
      <c r="C740" s="124"/>
      <c r="D740" s="124"/>
      <c r="E740" s="69"/>
      <c r="F740" s="85"/>
    </row>
    <row r="741" spans="2:6" s="53" customFormat="1" ht="25.15" customHeight="1" x14ac:dyDescent="0.25">
      <c r="B741" s="52"/>
      <c r="C741" s="124"/>
      <c r="D741" s="124"/>
      <c r="E741" s="69"/>
      <c r="F741" s="85"/>
    </row>
    <row r="742" spans="2:6" s="53" customFormat="1" ht="25.15" customHeight="1" x14ac:dyDescent="0.25">
      <c r="B742" s="52"/>
      <c r="C742" s="124"/>
      <c r="D742" s="124"/>
      <c r="E742" s="69"/>
      <c r="F742" s="85"/>
    </row>
    <row r="743" spans="2:6" s="53" customFormat="1" ht="25.15" customHeight="1" x14ac:dyDescent="0.25">
      <c r="B743" s="52"/>
      <c r="C743" s="124"/>
      <c r="D743" s="124"/>
      <c r="E743" s="69"/>
      <c r="F743" s="85"/>
    </row>
    <row r="744" spans="2:6" s="53" customFormat="1" ht="25.15" customHeight="1" x14ac:dyDescent="0.25">
      <c r="B744" s="52"/>
      <c r="C744" s="124"/>
      <c r="D744" s="124"/>
      <c r="E744" s="69"/>
      <c r="F744" s="85"/>
    </row>
    <row r="745" spans="2:6" s="53" customFormat="1" ht="25.15" customHeight="1" x14ac:dyDescent="0.25">
      <c r="B745" s="52"/>
      <c r="C745" s="124"/>
      <c r="D745" s="124"/>
      <c r="E745" s="69"/>
      <c r="F745" s="85"/>
    </row>
    <row r="746" spans="2:6" s="53" customFormat="1" ht="25.15" customHeight="1" x14ac:dyDescent="0.25">
      <c r="B746" s="52"/>
      <c r="C746" s="124"/>
      <c r="D746" s="124"/>
      <c r="E746" s="69"/>
      <c r="F746" s="85"/>
    </row>
    <row r="747" spans="2:6" s="53" customFormat="1" ht="25.15" customHeight="1" x14ac:dyDescent="0.25">
      <c r="B747" s="52"/>
      <c r="C747" s="124"/>
      <c r="D747" s="124"/>
      <c r="E747" s="69"/>
      <c r="F747" s="85"/>
    </row>
    <row r="748" spans="2:6" s="53" customFormat="1" ht="25.15" customHeight="1" x14ac:dyDescent="0.25">
      <c r="B748" s="52"/>
      <c r="C748" s="124"/>
      <c r="D748" s="124"/>
      <c r="E748" s="69"/>
      <c r="F748" s="85"/>
    </row>
    <row r="749" spans="2:6" s="53" customFormat="1" ht="25.15" customHeight="1" x14ac:dyDescent="0.25">
      <c r="B749" s="52"/>
      <c r="C749" s="124"/>
      <c r="D749" s="124"/>
      <c r="E749" s="69"/>
      <c r="F749" s="85"/>
    </row>
    <row r="750" spans="2:6" s="53" customFormat="1" ht="25.15" customHeight="1" x14ac:dyDescent="0.25">
      <c r="B750" s="52"/>
      <c r="C750" s="124"/>
      <c r="D750" s="124"/>
      <c r="E750" s="69"/>
      <c r="F750" s="85"/>
    </row>
    <row r="751" spans="2:6" s="53" customFormat="1" ht="25.15" customHeight="1" x14ac:dyDescent="0.25">
      <c r="B751" s="52"/>
      <c r="C751" s="124"/>
      <c r="D751" s="124"/>
      <c r="E751" s="69"/>
      <c r="F751" s="85"/>
    </row>
    <row r="752" spans="2:6" s="53" customFormat="1" ht="25.15" customHeight="1" x14ac:dyDescent="0.25">
      <c r="B752" s="52"/>
      <c r="C752" s="124"/>
      <c r="D752" s="124"/>
      <c r="E752" s="69"/>
      <c r="F752" s="85"/>
    </row>
    <row r="753" spans="2:6" s="53" customFormat="1" ht="25.15" customHeight="1" x14ac:dyDescent="0.25">
      <c r="B753" s="52"/>
      <c r="C753" s="124"/>
      <c r="D753" s="124"/>
      <c r="E753" s="69"/>
      <c r="F753" s="85"/>
    </row>
    <row r="754" spans="2:6" s="53" customFormat="1" ht="25.15" customHeight="1" x14ac:dyDescent="0.25">
      <c r="B754" s="52"/>
      <c r="C754" s="124"/>
      <c r="D754" s="124"/>
      <c r="E754" s="69"/>
      <c r="F754" s="85"/>
    </row>
    <row r="755" spans="2:6" s="53" customFormat="1" ht="25.15" customHeight="1" x14ac:dyDescent="0.25">
      <c r="B755" s="52"/>
      <c r="C755" s="124"/>
      <c r="D755" s="124"/>
      <c r="E755" s="69"/>
      <c r="F755" s="85"/>
    </row>
    <row r="756" spans="2:6" s="53" customFormat="1" ht="25.15" customHeight="1" x14ac:dyDescent="0.25">
      <c r="B756" s="52"/>
      <c r="C756" s="124"/>
      <c r="D756" s="124"/>
      <c r="E756" s="69"/>
      <c r="F756" s="85"/>
    </row>
    <row r="757" spans="2:6" s="53" customFormat="1" ht="25.15" customHeight="1" x14ac:dyDescent="0.25">
      <c r="B757" s="52"/>
      <c r="C757" s="124"/>
      <c r="D757" s="124"/>
      <c r="E757" s="69"/>
      <c r="F757" s="85"/>
    </row>
    <row r="758" spans="2:6" s="53" customFormat="1" ht="25.15" customHeight="1" x14ac:dyDescent="0.25">
      <c r="B758" s="52"/>
      <c r="C758" s="124"/>
      <c r="D758" s="124"/>
      <c r="E758" s="69"/>
      <c r="F758" s="85"/>
    </row>
    <row r="759" spans="2:6" s="53" customFormat="1" ht="25.15" customHeight="1" x14ac:dyDescent="0.25">
      <c r="B759" s="52"/>
      <c r="C759" s="124"/>
      <c r="D759" s="124"/>
      <c r="E759" s="69"/>
      <c r="F759" s="85"/>
    </row>
    <row r="760" spans="2:6" s="53" customFormat="1" ht="25.15" customHeight="1" x14ac:dyDescent="0.25">
      <c r="B760" s="52"/>
      <c r="C760" s="124"/>
      <c r="D760" s="124"/>
      <c r="E760" s="69"/>
      <c r="F760" s="85"/>
    </row>
    <row r="761" spans="2:6" s="53" customFormat="1" ht="25.15" customHeight="1" x14ac:dyDescent="0.25">
      <c r="B761" s="52"/>
      <c r="C761" s="124"/>
      <c r="D761" s="124"/>
      <c r="E761" s="69"/>
      <c r="F761" s="85"/>
    </row>
    <row r="762" spans="2:6" s="53" customFormat="1" ht="25.15" customHeight="1" x14ac:dyDescent="0.25">
      <c r="B762" s="52"/>
      <c r="C762" s="124"/>
      <c r="D762" s="124"/>
      <c r="E762" s="69"/>
      <c r="F762" s="85"/>
    </row>
    <row r="763" spans="2:6" s="53" customFormat="1" ht="25.15" customHeight="1" x14ac:dyDescent="0.25">
      <c r="B763" s="52"/>
      <c r="C763" s="124"/>
      <c r="D763" s="124"/>
      <c r="E763" s="69"/>
      <c r="F763" s="85"/>
    </row>
    <row r="764" spans="2:6" s="53" customFormat="1" ht="25.15" customHeight="1" x14ac:dyDescent="0.25">
      <c r="B764" s="52"/>
      <c r="C764" s="124"/>
      <c r="D764" s="124"/>
      <c r="E764" s="69"/>
      <c r="F764" s="85"/>
    </row>
    <row r="765" spans="2:6" s="53" customFormat="1" ht="25.15" customHeight="1" x14ac:dyDescent="0.25">
      <c r="B765" s="52"/>
      <c r="C765" s="124"/>
      <c r="D765" s="124"/>
      <c r="E765" s="69"/>
      <c r="F765" s="85"/>
    </row>
    <row r="766" spans="2:6" s="53" customFormat="1" ht="25.15" customHeight="1" x14ac:dyDescent="0.25">
      <c r="B766" s="52"/>
      <c r="C766" s="124"/>
      <c r="D766" s="124"/>
      <c r="E766" s="69"/>
      <c r="F766" s="85"/>
    </row>
    <row r="767" spans="2:6" s="53" customFormat="1" ht="25.15" customHeight="1" x14ac:dyDescent="0.25">
      <c r="B767" s="52"/>
      <c r="C767" s="124"/>
      <c r="D767" s="124"/>
      <c r="E767" s="69"/>
      <c r="F767" s="85"/>
    </row>
    <row r="768" spans="2:6" s="53" customFormat="1" ht="25.15" customHeight="1" x14ac:dyDescent="0.25">
      <c r="B768" s="52"/>
      <c r="C768" s="124"/>
      <c r="D768" s="124"/>
      <c r="E768" s="69"/>
      <c r="F768" s="85"/>
    </row>
    <row r="769" spans="2:6" s="53" customFormat="1" ht="25.15" customHeight="1" x14ac:dyDescent="0.25">
      <c r="B769" s="52"/>
      <c r="C769" s="124"/>
      <c r="D769" s="124"/>
      <c r="E769" s="69"/>
      <c r="F769" s="85"/>
    </row>
    <row r="770" spans="2:6" s="53" customFormat="1" ht="25.15" customHeight="1" x14ac:dyDescent="0.25">
      <c r="B770" s="52"/>
      <c r="C770" s="124"/>
      <c r="D770" s="124"/>
      <c r="E770" s="69"/>
      <c r="F770" s="85"/>
    </row>
    <row r="771" spans="2:6" s="53" customFormat="1" ht="25.15" customHeight="1" x14ac:dyDescent="0.25">
      <c r="B771" s="52"/>
      <c r="C771" s="124"/>
      <c r="D771" s="124"/>
      <c r="E771" s="69"/>
      <c r="F771" s="85"/>
    </row>
    <row r="772" spans="2:6" s="53" customFormat="1" ht="25.15" customHeight="1" x14ac:dyDescent="0.25">
      <c r="B772" s="52"/>
      <c r="C772" s="124"/>
      <c r="D772" s="124"/>
      <c r="E772" s="69"/>
      <c r="F772" s="85"/>
    </row>
    <row r="773" spans="2:6" s="53" customFormat="1" ht="25.15" customHeight="1" x14ac:dyDescent="0.25">
      <c r="B773" s="52"/>
      <c r="C773" s="124"/>
      <c r="D773" s="124"/>
      <c r="E773" s="69"/>
      <c r="F773" s="85"/>
    </row>
    <row r="774" spans="2:6" s="53" customFormat="1" ht="25.15" customHeight="1" x14ac:dyDescent="0.25">
      <c r="B774" s="52"/>
      <c r="C774" s="124"/>
      <c r="D774" s="124"/>
      <c r="E774" s="69"/>
      <c r="F774" s="85"/>
    </row>
    <row r="775" spans="2:6" s="53" customFormat="1" ht="25.15" customHeight="1" x14ac:dyDescent="0.25">
      <c r="B775" s="52"/>
      <c r="C775" s="124"/>
      <c r="D775" s="124"/>
      <c r="E775" s="69"/>
      <c r="F775" s="85"/>
    </row>
    <row r="776" spans="2:6" s="53" customFormat="1" ht="25.15" customHeight="1" x14ac:dyDescent="0.25">
      <c r="B776" s="52"/>
      <c r="C776" s="124"/>
      <c r="D776" s="124"/>
      <c r="E776" s="69"/>
      <c r="F776" s="85"/>
    </row>
    <row r="777" spans="2:6" s="53" customFormat="1" ht="25.15" customHeight="1" x14ac:dyDescent="0.25">
      <c r="B777" s="52"/>
      <c r="C777" s="124"/>
      <c r="D777" s="124"/>
      <c r="E777" s="69"/>
      <c r="F777" s="85"/>
    </row>
    <row r="778" spans="2:6" s="53" customFormat="1" ht="25.15" customHeight="1" x14ac:dyDescent="0.25">
      <c r="B778" s="52"/>
      <c r="C778" s="124"/>
      <c r="D778" s="124"/>
      <c r="E778" s="69"/>
      <c r="F778" s="85"/>
    </row>
    <row r="779" spans="2:6" s="53" customFormat="1" ht="25.15" customHeight="1" x14ac:dyDescent="0.25">
      <c r="B779" s="52"/>
      <c r="C779" s="124"/>
      <c r="D779" s="124"/>
      <c r="E779" s="69"/>
      <c r="F779" s="85"/>
    </row>
    <row r="780" spans="2:6" s="53" customFormat="1" ht="25.15" customHeight="1" x14ac:dyDescent="0.25">
      <c r="B780" s="52"/>
      <c r="C780" s="124"/>
      <c r="D780" s="124"/>
      <c r="E780" s="69"/>
      <c r="F780" s="85"/>
    </row>
    <row r="781" spans="2:6" s="53" customFormat="1" ht="25.15" customHeight="1" x14ac:dyDescent="0.25">
      <c r="B781" s="52"/>
      <c r="C781" s="124"/>
      <c r="D781" s="124"/>
      <c r="E781" s="69"/>
      <c r="F781" s="85"/>
    </row>
    <row r="782" spans="2:6" s="53" customFormat="1" ht="25.15" customHeight="1" x14ac:dyDescent="0.25">
      <c r="B782" s="52"/>
      <c r="C782" s="124"/>
      <c r="D782" s="124"/>
      <c r="E782" s="69"/>
      <c r="F782" s="85"/>
    </row>
    <row r="783" spans="2:6" s="53" customFormat="1" ht="25.15" customHeight="1" x14ac:dyDescent="0.25">
      <c r="B783" s="52"/>
      <c r="C783" s="124"/>
      <c r="D783" s="124"/>
      <c r="E783" s="69"/>
      <c r="F783" s="85"/>
    </row>
    <row r="784" spans="2:6" s="53" customFormat="1" ht="25.15" customHeight="1" x14ac:dyDescent="0.25">
      <c r="B784" s="52"/>
      <c r="C784" s="124"/>
      <c r="D784" s="124"/>
      <c r="E784" s="69"/>
      <c r="F784" s="85"/>
    </row>
    <row r="785" spans="2:6" s="53" customFormat="1" ht="25.15" customHeight="1" x14ac:dyDescent="0.25">
      <c r="B785" s="52"/>
      <c r="C785" s="124"/>
      <c r="D785" s="124"/>
      <c r="E785" s="69"/>
      <c r="F785" s="85"/>
    </row>
    <row r="786" spans="2:6" ht="18" customHeight="1" x14ac:dyDescent="0.25">
      <c r="B786" s="52"/>
      <c r="C786" s="124"/>
      <c r="D786" s="124"/>
      <c r="E786" s="69"/>
    </row>
    <row r="787" spans="2:6" ht="18" customHeight="1" x14ac:dyDescent="0.25">
      <c r="B787" s="52"/>
      <c r="C787" s="124"/>
      <c r="D787" s="124"/>
      <c r="E787" s="69"/>
    </row>
    <row r="788" spans="2:6" x14ac:dyDescent="0.25">
      <c r="B788" s="52"/>
      <c r="C788" s="124"/>
      <c r="D788" s="124"/>
      <c r="E788" s="69"/>
    </row>
    <row r="789" spans="2:6" x14ac:dyDescent="0.25">
      <c r="B789" s="52"/>
      <c r="C789" s="124"/>
      <c r="D789" s="124"/>
      <c r="E789" s="69"/>
    </row>
    <row r="790" spans="2:6" x14ac:dyDescent="0.25">
      <c r="B790" s="52"/>
      <c r="C790" s="124"/>
      <c r="D790" s="124"/>
      <c r="E790" s="69"/>
    </row>
    <row r="791" spans="2:6" x14ac:dyDescent="0.25">
      <c r="B791" s="52"/>
      <c r="C791" s="124"/>
      <c r="D791" s="124"/>
      <c r="E791" s="69"/>
    </row>
    <row r="792" spans="2:6" x14ac:dyDescent="0.25">
      <c r="B792" s="52"/>
      <c r="C792" s="124"/>
      <c r="D792" s="124"/>
      <c r="E792" s="69"/>
    </row>
    <row r="1047402" spans="3:3" x14ac:dyDescent="0.25">
      <c r="C1047402" s="145"/>
    </row>
  </sheetData>
  <dataValidations count="2">
    <dataValidation type="list" allowBlank="1" showInputMessage="1" showErrorMessage="1" sqref="D643:D1048576" xr:uid="{00000000-0002-0000-0400-000000000000}">
      <formula1>$B$146:$B$168</formula1>
    </dataValidation>
    <dataValidation type="list" allowBlank="1" showInputMessage="1" showErrorMessage="1" sqref="D1:D3" xr:uid="{00000000-0002-0000-0400-000001000000}">
      <formula1>$B$149:$B$172</formula1>
    </dataValidation>
  </dataValidations>
  <hyperlinks>
    <hyperlink ref="G11" r:id="rId1" display="https://www.morningstar.com/news/globe-news-wire/GNW_7321443/overstockcom-blockchain-subsidiary-tzero-signs-letter-of-intent-with-gsr-capital-for-security-token-investment-of-160-million.html" xr:uid="{00000000-0004-0000-0400-000005000000}"/>
    <hyperlink ref="G326" r:id="rId2" display="https://www.bloomberg.com/news/articles/2019-08-08/companies-use-borrowed-billions-to-buy-back-stock-not-to-invest?te=1&amp;nl=dealbook&amp;emc=edit_dk_20190809?campaign_id=4&amp;instance_id=11517&amp;segment_id=16011&amp;user_id=df76e39b4b5a7f02b0ac32206323e186&amp;regi_id=7853931920190809" xr:uid="{152F8E74-61C7-48A0-9EA6-D7136C380D2D}"/>
    <hyperlink ref="G328" r:id="rId3" xr:uid="{90D3540A-6345-4C47-BF8A-BDA0DE922A63}"/>
    <hyperlink ref="G327" r:id="rId4" xr:uid="{96752729-1805-4464-8A9B-043DB1260878}"/>
    <hyperlink ref="G329" r:id="rId5" xr:uid="{A14C84FE-EBD2-4B12-9551-442A94F9E4B7}"/>
    <hyperlink ref="G363" r:id="rId6" xr:uid="{37F0CD5A-DFB8-4315-9E10-DCBE64087F9F}"/>
    <hyperlink ref="G372" r:id="rId7" xr:uid="{373728B1-B917-4DF8-972F-EFE430B04853}"/>
    <hyperlink ref="G374" r:id="rId8" xr:uid="{A16A2B14-C203-4E50-8C24-FC2EFFE879B0}"/>
    <hyperlink ref="G376" r:id="rId9" xr:uid="{6EC70C9D-E13E-4D65-BDD8-9B67200CCA6B}"/>
    <hyperlink ref="G378" r:id="rId10" xr:uid="{F9B3B83E-F6AB-4EB8-829B-3CDE65E79AF3}"/>
    <hyperlink ref="G380" r:id="rId11" xr:uid="{B122D9C0-AC71-4967-8539-5CD93FD85BB5}"/>
    <hyperlink ref="G382" r:id="rId12" xr:uid="{5B579361-930B-4236-B526-202036922166}"/>
    <hyperlink ref="G385" r:id="rId13" xr:uid="{3DDD903D-3357-4336-B91E-74E075FA9BEA}"/>
    <hyperlink ref="G354" r:id="rId14" xr:uid="{637BCED4-0BBC-4F7A-AF84-26EF0614C311}"/>
  </hyperlinks>
  <pageMargins left="0.7" right="0.7" top="0.75" bottom="0.75" header="0.3" footer="0.3"/>
  <pageSetup orientation="portrait" r:id="rId15"/>
  <tableParts count="1">
    <tablePart r:id="rId1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3000000}">
          <x14:formula1>
            <xm:f>'Scratch pad'!$B$96:$B$121</xm:f>
          </x14:formula1>
          <xm:sqref>D116:D327 D514 D507 D500 D493 D486 D479 D472 D465 D458 D451 D6:D114 D444 D437 D430 D423</xm:sqref>
        </x14:dataValidation>
        <x14:dataValidation type="list" allowBlank="1" showInputMessage="1" showErrorMessage="1" xr:uid="{00000000-0002-0000-0400-000002000000}">
          <x14:formula1>
            <xm:f>'Scratch pad'!$B$94:$B$121</xm:f>
          </x14:formula1>
          <xm:sqref>D328:D354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R1307"/>
  <sheetViews>
    <sheetView showGridLines="0" zoomScaleNormal="100" workbookViewId="0">
      <selection activeCell="B9" sqref="B9"/>
    </sheetView>
  </sheetViews>
  <sheetFormatPr defaultColWidth="9.140625" defaultRowHeight="16.5" x14ac:dyDescent="0.3"/>
  <cols>
    <col min="1" max="1" width="0.85546875" style="19" customWidth="1"/>
    <col min="2" max="2" width="11.85546875" style="19" customWidth="1"/>
    <col min="3" max="3" width="12.42578125" style="19" customWidth="1"/>
    <col min="4" max="4" width="12" style="19" customWidth="1"/>
    <col min="5" max="5" width="11.5703125" style="19" customWidth="1"/>
    <col min="6" max="6" width="14.85546875" style="19" customWidth="1"/>
    <col min="7" max="7" width="11.7109375" style="19" customWidth="1"/>
    <col min="8" max="8" width="11.42578125" style="19" customWidth="1"/>
    <col min="9" max="9" width="12" style="19" customWidth="1"/>
    <col min="10" max="11" width="11.42578125" style="19" customWidth="1"/>
    <col min="12" max="18" width="12.42578125" style="19" customWidth="1"/>
    <col min="19" max="19" width="11.140625" style="19" customWidth="1"/>
    <col min="20" max="20" width="11.85546875" style="19" customWidth="1"/>
    <col min="21" max="21" width="11" style="19" customWidth="1"/>
    <col min="22" max="22" width="11.5703125" style="19" customWidth="1"/>
    <col min="23" max="26" width="9.140625" style="19"/>
    <col min="27" max="27" width="9.140625" style="19" customWidth="1"/>
    <col min="28" max="28" width="10.7109375" style="19" customWidth="1"/>
    <col min="29" max="29" width="10.5703125" style="19" customWidth="1"/>
    <col min="30" max="30" width="11.140625" style="19" customWidth="1"/>
    <col min="31" max="31" width="11" style="19" customWidth="1"/>
    <col min="32" max="32" width="11.140625" style="19" customWidth="1"/>
    <col min="33" max="33" width="11.5703125" style="19" customWidth="1"/>
    <col min="34" max="16384" width="9.140625" style="19"/>
  </cols>
  <sheetData>
    <row r="1" spans="2:18" ht="4.5" customHeight="1" x14ac:dyDescent="0.3">
      <c r="B1" s="18"/>
      <c r="C1" s="18"/>
      <c r="D1" s="18"/>
      <c r="E1" s="18"/>
      <c r="F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2:18" s="18" customFormat="1" ht="25.5" x14ac:dyDescent="0.25">
      <c r="B2" s="48" t="s">
        <v>199</v>
      </c>
      <c r="C2" s="31"/>
      <c r="D2" s="33"/>
      <c r="E2" s="33"/>
      <c r="F2" s="33"/>
      <c r="G2" s="33"/>
      <c r="H2" s="33"/>
      <c r="I2" s="33"/>
      <c r="J2" s="37"/>
    </row>
    <row r="3" spans="2:18" s="36" customFormat="1" ht="4.5" customHeight="1" x14ac:dyDescent="0.25">
      <c r="B3" s="31"/>
      <c r="C3" s="32"/>
      <c r="D3" s="33"/>
      <c r="E3" s="33"/>
      <c r="F3" s="33"/>
      <c r="G3" s="33"/>
      <c r="H3" s="33"/>
      <c r="I3" s="33"/>
      <c r="J3" s="34"/>
      <c r="K3" s="35"/>
      <c r="L3" s="38"/>
      <c r="M3" s="38"/>
      <c r="N3" s="39"/>
    </row>
    <row r="4" spans="2:18" s="21" customFormat="1" ht="25.15" customHeight="1" x14ac:dyDescent="0.25">
      <c r="B4" s="45" t="s">
        <v>71</v>
      </c>
      <c r="C4" s="45" t="s">
        <v>72</v>
      </c>
      <c r="D4" s="45" t="s">
        <v>73</v>
      </c>
      <c r="F4" s="45" t="s">
        <v>71</v>
      </c>
      <c r="G4" s="49" t="s">
        <v>82</v>
      </c>
      <c r="H4" s="45" t="s">
        <v>986</v>
      </c>
      <c r="J4" s="45" t="s">
        <v>73</v>
      </c>
      <c r="K4" s="45" t="s">
        <v>83</v>
      </c>
      <c r="L4" s="45" t="s">
        <v>84</v>
      </c>
    </row>
    <row r="5" spans="2:18" s="21" customFormat="1" ht="25.15" customHeight="1" x14ac:dyDescent="0.25">
      <c r="B5" s="23">
        <v>10.62</v>
      </c>
      <c r="C5" s="23">
        <v>11</v>
      </c>
      <c r="D5" s="142">
        <f>(C5-B5)/B5</f>
        <v>3.5781544256120602E-2</v>
      </c>
      <c r="F5" s="143">
        <v>282</v>
      </c>
      <c r="G5" s="150">
        <v>-0.01</v>
      </c>
      <c r="H5" s="144">
        <f>F5*(1+G5)</f>
        <v>279.18</v>
      </c>
      <c r="J5" s="50">
        <v>4.9399999999999999E-2</v>
      </c>
      <c r="K5" s="22">
        <v>1</v>
      </c>
      <c r="L5" s="51">
        <f>J5/K5*365</f>
        <v>18.030999999999999</v>
      </c>
      <c r="Q5" s="139"/>
    </row>
    <row r="6" spans="2:18" s="53" customFormat="1" ht="25.15" customHeight="1" x14ac:dyDescent="0.25">
      <c r="B6" s="54"/>
      <c r="C6" s="54"/>
      <c r="F6" s="56"/>
      <c r="G6" s="56"/>
      <c r="H6" s="56"/>
      <c r="I6" s="56"/>
      <c r="J6" s="56"/>
      <c r="K6" s="56"/>
      <c r="L6" s="56"/>
      <c r="M6" s="56"/>
      <c r="N6" s="56"/>
      <c r="Q6" s="166"/>
    </row>
    <row r="7" spans="2:18" s="25" customFormat="1" ht="25.15" customHeight="1" x14ac:dyDescent="0.25">
      <c r="B7" s="45" t="s">
        <v>198</v>
      </c>
      <c r="C7" s="61" t="s">
        <v>50</v>
      </c>
      <c r="D7" s="60" t="s">
        <v>51</v>
      </c>
      <c r="E7" s="45" t="s">
        <v>985</v>
      </c>
      <c r="F7" s="45" t="s">
        <v>198</v>
      </c>
      <c r="G7" s="61" t="s">
        <v>50</v>
      </c>
      <c r="H7" s="60" t="s">
        <v>51</v>
      </c>
      <c r="I7" s="45" t="s">
        <v>985</v>
      </c>
      <c r="K7" s="21"/>
      <c r="L7" s="21"/>
      <c r="M7" s="24"/>
      <c r="Q7" s="167"/>
    </row>
    <row r="8" spans="2:18" s="25" customFormat="1" ht="25.15" customHeight="1" x14ac:dyDescent="0.25">
      <c r="B8" s="53">
        <v>6.42</v>
      </c>
      <c r="C8" s="62">
        <v>210</v>
      </c>
      <c r="D8" s="63">
        <f>ROUNDDOWN(C8/B8,0)</f>
        <v>32</v>
      </c>
      <c r="E8" s="3">
        <f>IF(B8&gt;30,PhoneTradeFee+D8*0.08,IF(B8&gt;20,PhoneTradeFee+D8*0.07,IF(B8&gt;10,PhoneTradeFee+D8*0.06,IF(B8&gt;5,PhoneTradeFee+D8*0.05,IF(B8&gt;2,PhoneTradeFee+D8*0.04,IF(B8&gt;1,PhoneTradeFee+D8*0.03,IF(B8&gt;0.24,PhoneTradeFee+D8*0.02,-1)))))))</f>
        <v>40.6</v>
      </c>
      <c r="F8" s="53">
        <v>10.9</v>
      </c>
      <c r="G8" s="62">
        <v>235000</v>
      </c>
      <c r="H8" s="63">
        <f>ROUNDDOWN(G8/F8,0)</f>
        <v>21559</v>
      </c>
      <c r="I8" s="3">
        <f>IF(F8&gt;30,PhoneTradeFee+H8*0.08,IF(F8&gt;20,PhoneTradeFee+H8*0.07,IF(F8&gt;10,PhoneTradeFee+H8*0.06,IF(F8&gt;5,PhoneTradeFee+H8*0.05,IF(F8&gt;2,PhoneTradeFee+H8*0.04,IF(F8&gt;1,PhoneTradeFee+H8*0.03,IF(F8&gt;0.24,PhoneTradeFee+H8*0.02,-1)))))))</f>
        <v>1332.54</v>
      </c>
      <c r="K8" s="21"/>
      <c r="L8" s="21"/>
      <c r="M8" s="24"/>
      <c r="Q8" s="167"/>
    </row>
    <row r="9" spans="2:18" s="25" customFormat="1" ht="25.15" customHeight="1" x14ac:dyDescent="0.25">
      <c r="B9" s="141"/>
      <c r="D9" s="168"/>
      <c r="E9" s="141"/>
      <c r="F9" s="159"/>
      <c r="G9" s="53"/>
      <c r="H9" s="62"/>
      <c r="I9" s="180"/>
      <c r="J9" s="22"/>
      <c r="K9" s="21"/>
      <c r="L9" s="21"/>
      <c r="M9" s="24"/>
      <c r="Q9" s="167"/>
    </row>
    <row r="10" spans="2:18" s="28" customFormat="1" ht="28.5" customHeight="1" x14ac:dyDescent="0.25">
      <c r="B10" s="17" t="s">
        <v>175</v>
      </c>
      <c r="C10" s="21"/>
      <c r="D10" s="21"/>
      <c r="E10" s="21"/>
      <c r="F10" s="21"/>
      <c r="G10" s="196"/>
      <c r="H10" s="21"/>
      <c r="I10" s="21"/>
      <c r="J10" s="26"/>
      <c r="K10" s="23"/>
      <c r="L10" s="213"/>
      <c r="M10" s="213"/>
      <c r="N10" s="27"/>
    </row>
    <row r="11" spans="2:18" s="28" customFormat="1" ht="4.5" customHeight="1" x14ac:dyDescent="0.25">
      <c r="B11" s="20"/>
      <c r="C11" s="21"/>
      <c r="D11" s="21"/>
      <c r="E11" s="21"/>
      <c r="F11" s="21"/>
      <c r="G11" s="21"/>
      <c r="H11" s="21"/>
      <c r="I11" s="21"/>
      <c r="J11" s="26"/>
      <c r="K11" s="23"/>
      <c r="L11" s="59"/>
      <c r="M11" s="59"/>
      <c r="N11" s="27"/>
    </row>
    <row r="12" spans="2:18" s="25" customFormat="1" ht="25.15" customHeight="1" x14ac:dyDescent="0.25">
      <c r="B12" s="64" t="s">
        <v>984</v>
      </c>
      <c r="C12" s="21"/>
      <c r="D12" s="139">
        <v>39</v>
      </c>
      <c r="E12" s="139"/>
      <c r="F12" s="204"/>
      <c r="G12" s="205"/>
      <c r="H12" s="21"/>
      <c r="I12" s="21"/>
      <c r="J12" s="22"/>
      <c r="K12" s="23"/>
      <c r="L12" s="21"/>
      <c r="M12" s="24"/>
    </row>
    <row r="13" spans="2:18" s="25" customFormat="1" ht="25.15" customHeight="1" x14ac:dyDescent="0.25">
      <c r="B13" s="64" t="s">
        <v>177</v>
      </c>
      <c r="C13" s="21"/>
      <c r="D13" s="138">
        <v>0.1</v>
      </c>
      <c r="E13" s="139"/>
      <c r="F13" s="139"/>
      <c r="G13" s="21"/>
      <c r="H13" s="139"/>
      <c r="I13" s="21"/>
      <c r="J13" s="22"/>
      <c r="K13" s="23"/>
      <c r="L13" s="21"/>
      <c r="M13" s="24"/>
    </row>
    <row r="14" spans="2:18" s="25" customFormat="1" ht="25.15" customHeight="1" x14ac:dyDescent="0.25">
      <c r="B14" s="64" t="s">
        <v>178</v>
      </c>
      <c r="C14" s="21"/>
      <c r="D14" s="138">
        <v>0.3</v>
      </c>
      <c r="E14" s="139"/>
      <c r="F14" s="139"/>
      <c r="G14" s="21"/>
      <c r="H14" s="21"/>
      <c r="I14" s="21"/>
      <c r="J14" s="22"/>
      <c r="K14" s="23"/>
      <c r="L14" s="21"/>
      <c r="M14" s="24"/>
    </row>
    <row r="15" spans="2:18" s="25" customFormat="1" ht="25.15" customHeight="1" x14ac:dyDescent="0.25">
      <c r="B15" s="64" t="s">
        <v>176</v>
      </c>
      <c r="C15" s="21"/>
      <c r="D15" s="138">
        <v>0.5</v>
      </c>
      <c r="E15" s="139"/>
      <c r="F15" s="139"/>
      <c r="G15" s="21"/>
      <c r="H15" s="21"/>
      <c r="I15" s="21"/>
      <c r="J15" s="22"/>
      <c r="K15" s="23"/>
      <c r="L15" s="21"/>
      <c r="M15" s="24"/>
    </row>
    <row r="16" spans="2:18" s="25" customFormat="1" ht="25.15" customHeight="1" x14ac:dyDescent="0.25">
      <c r="B16" s="64" t="s">
        <v>179</v>
      </c>
      <c r="C16" s="21"/>
      <c r="D16" s="138">
        <v>0.8</v>
      </c>
      <c r="E16" s="139"/>
      <c r="F16" s="139"/>
      <c r="G16" s="21"/>
      <c r="H16" s="21"/>
      <c r="I16" s="21"/>
      <c r="J16" s="22"/>
      <c r="K16" s="23"/>
      <c r="L16" s="21"/>
      <c r="M16" s="24"/>
    </row>
    <row r="17" spans="2:18" s="25" customFormat="1" ht="25.15" customHeight="1" x14ac:dyDescent="0.25">
      <c r="B17" s="64" t="s">
        <v>386</v>
      </c>
      <c r="C17" s="21"/>
      <c r="D17" s="140">
        <v>1.33</v>
      </c>
      <c r="E17" s="139"/>
      <c r="F17" s="139"/>
      <c r="G17" s="21"/>
      <c r="H17" s="21"/>
      <c r="I17" s="21"/>
      <c r="J17" s="22"/>
      <c r="K17" s="23"/>
      <c r="L17" s="21"/>
      <c r="M17" s="24"/>
    </row>
    <row r="18" spans="2:18" s="25" customFormat="1" ht="25.15" customHeight="1" x14ac:dyDescent="0.25">
      <c r="B18" s="64" t="s">
        <v>387</v>
      </c>
      <c r="C18" s="21"/>
      <c r="D18" s="140">
        <v>1</v>
      </c>
      <c r="E18" s="139"/>
      <c r="F18" s="139"/>
      <c r="G18" s="21"/>
      <c r="H18" s="21"/>
      <c r="I18" s="21"/>
      <c r="J18" s="22"/>
      <c r="K18" s="23"/>
      <c r="L18" s="21"/>
      <c r="M18" s="24"/>
      <c r="O18" s="141"/>
    </row>
    <row r="19" spans="2:18" s="25" customFormat="1" ht="25.15" customHeight="1" x14ac:dyDescent="0.25">
      <c r="B19" s="64" t="s">
        <v>401</v>
      </c>
      <c r="C19" s="21"/>
      <c r="D19" s="140">
        <v>2</v>
      </c>
      <c r="E19" s="139"/>
      <c r="F19" s="139"/>
      <c r="G19" s="21"/>
      <c r="H19" s="21"/>
      <c r="I19" s="21"/>
      <c r="J19" s="22"/>
      <c r="K19" s="23"/>
      <c r="L19" s="21"/>
      <c r="M19" s="24"/>
    </row>
    <row r="20" spans="2:18" s="25" customFormat="1" ht="25.15" customHeight="1" x14ac:dyDescent="0.25">
      <c r="B20" s="64" t="s">
        <v>402</v>
      </c>
      <c r="C20" s="21"/>
      <c r="D20" s="140">
        <v>1</v>
      </c>
      <c r="E20" s="139"/>
      <c r="F20" s="139"/>
      <c r="G20" s="21"/>
      <c r="H20" s="21"/>
      <c r="I20" s="21"/>
      <c r="J20" s="22"/>
      <c r="K20" s="23"/>
      <c r="L20" s="21"/>
      <c r="M20" s="24"/>
    </row>
    <row r="21" spans="2:18" s="25" customFormat="1" ht="25.15" customHeight="1" x14ac:dyDescent="0.25">
      <c r="B21" s="64" t="s">
        <v>181</v>
      </c>
      <c r="C21" s="21"/>
      <c r="D21" s="21">
        <v>3</v>
      </c>
      <c r="E21" s="139"/>
      <c r="F21" s="139"/>
      <c r="G21" s="21"/>
      <c r="H21" s="21"/>
      <c r="I21" s="21"/>
      <c r="J21" s="22"/>
      <c r="K21" s="23"/>
      <c r="L21" s="21"/>
      <c r="M21" s="24"/>
    </row>
    <row r="22" spans="2:18" s="25" customFormat="1" ht="25.15" customHeight="1" x14ac:dyDescent="0.25">
      <c r="B22" s="64" t="s">
        <v>423</v>
      </c>
      <c r="C22" s="21"/>
      <c r="D22" s="21">
        <v>0</v>
      </c>
      <c r="E22" s="139"/>
      <c r="F22" s="139"/>
      <c r="G22" s="21"/>
      <c r="H22" s="21"/>
      <c r="I22" s="21"/>
      <c r="J22" s="22"/>
      <c r="K22" s="23"/>
      <c r="L22" s="21"/>
      <c r="M22" s="24"/>
    </row>
    <row r="23" spans="2:18" s="25" customFormat="1" ht="25.15" customHeight="1" x14ac:dyDescent="0.25">
      <c r="B23" s="64" t="s">
        <v>1024</v>
      </c>
      <c r="C23" s="21"/>
      <c r="D23" s="21">
        <v>1.9900000000000001E-2</v>
      </c>
      <c r="E23" s="139"/>
      <c r="F23" s="139"/>
      <c r="G23" s="21"/>
      <c r="H23" s="21"/>
      <c r="I23" s="21"/>
      <c r="J23" s="22"/>
      <c r="K23" s="23"/>
      <c r="L23" s="21"/>
      <c r="M23" s="24"/>
    </row>
    <row r="24" spans="2:18" s="25" customFormat="1" ht="25.15" customHeight="1" x14ac:dyDescent="0.25">
      <c r="B24" s="21"/>
      <c r="C24" s="21"/>
      <c r="D24" s="21"/>
      <c r="E24" s="139"/>
      <c r="F24" s="139"/>
      <c r="G24" s="21"/>
      <c r="H24" s="21"/>
      <c r="I24" s="21"/>
      <c r="J24" s="22"/>
      <c r="K24" s="23"/>
      <c r="L24" s="21"/>
      <c r="M24" s="24"/>
    </row>
    <row r="25" spans="2:18" ht="25.5" x14ac:dyDescent="0.5">
      <c r="B25" s="29" t="s">
        <v>52</v>
      </c>
      <c r="C25" s="18"/>
      <c r="D25" s="18"/>
      <c r="E25" s="18"/>
      <c r="F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</row>
    <row r="26" spans="2:18" ht="4.5" customHeight="1" x14ac:dyDescent="0.3">
      <c r="B26" s="18"/>
      <c r="C26" s="18"/>
      <c r="D26" s="18"/>
      <c r="E26" s="18"/>
      <c r="F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</row>
    <row r="27" spans="2:18" s="25" customFormat="1" ht="25.15" customHeight="1" x14ac:dyDescent="0.25">
      <c r="B27" s="30" t="s">
        <v>53</v>
      </c>
      <c r="C27" s="30" t="s">
        <v>54</v>
      </c>
      <c r="D27" s="14" t="s">
        <v>309</v>
      </c>
      <c r="E27" s="21"/>
      <c r="F27" s="21"/>
      <c r="G27" s="21"/>
      <c r="H27" s="21"/>
      <c r="I27" s="21"/>
      <c r="J27" s="22"/>
      <c r="K27" s="23"/>
      <c r="L27" s="21"/>
      <c r="M27" s="24"/>
    </row>
    <row r="28" spans="2:18" s="25" customFormat="1" ht="25.15" customHeight="1" x14ac:dyDescent="0.25">
      <c r="B28" s="66" t="s">
        <v>55</v>
      </c>
      <c r="C28" s="21" t="s">
        <v>56</v>
      </c>
      <c r="D28" s="136">
        <v>40179</v>
      </c>
      <c r="E28" s="21"/>
      <c r="F28" s="21"/>
    </row>
    <row r="29" spans="2:18" s="25" customFormat="1" ht="25.15" customHeight="1" x14ac:dyDescent="0.25">
      <c r="B29" s="66" t="s">
        <v>57</v>
      </c>
      <c r="C29" s="21" t="s">
        <v>58</v>
      </c>
      <c r="D29" s="136">
        <v>40179</v>
      </c>
      <c r="E29" s="21"/>
      <c r="F29" s="21"/>
    </row>
    <row r="30" spans="2:18" s="25" customFormat="1" ht="25.15" customHeight="1" x14ac:dyDescent="0.25">
      <c r="B30" s="66" t="s">
        <v>59</v>
      </c>
      <c r="C30" s="21" t="s">
        <v>60</v>
      </c>
      <c r="D30" s="136">
        <v>40179</v>
      </c>
      <c r="E30" s="21"/>
      <c r="F30" s="21"/>
    </row>
    <row r="31" spans="2:18" s="25" customFormat="1" ht="25.15" customHeight="1" x14ac:dyDescent="0.25">
      <c r="B31" s="137" t="s">
        <v>1016</v>
      </c>
      <c r="C31" s="64" t="s">
        <v>1017</v>
      </c>
      <c r="D31" s="136">
        <v>43705</v>
      </c>
      <c r="E31" s="21"/>
      <c r="F31" s="21"/>
    </row>
    <row r="32" spans="2:18" s="25" customFormat="1" ht="25.15" customHeight="1" x14ac:dyDescent="0.25">
      <c r="B32" s="66" t="s">
        <v>61</v>
      </c>
      <c r="C32" s="64" t="s">
        <v>262</v>
      </c>
      <c r="D32" s="136">
        <v>43003</v>
      </c>
      <c r="E32" s="21"/>
      <c r="F32" s="21"/>
    </row>
    <row r="33" spans="2:18" s="25" customFormat="1" ht="25.15" customHeight="1" x14ac:dyDescent="0.25">
      <c r="B33" s="66" t="s">
        <v>62</v>
      </c>
      <c r="C33" s="64" t="s">
        <v>259</v>
      </c>
      <c r="D33" s="131">
        <v>43023</v>
      </c>
      <c r="E33" s="21"/>
      <c r="F33" s="21"/>
    </row>
    <row r="34" spans="2:18" s="25" customFormat="1" ht="25.15" customHeight="1" x14ac:dyDescent="0.25">
      <c r="B34" s="137" t="s">
        <v>260</v>
      </c>
      <c r="C34" s="64" t="s">
        <v>379</v>
      </c>
      <c r="D34" s="40">
        <v>43229</v>
      </c>
      <c r="E34" s="21"/>
      <c r="F34" s="21"/>
    </row>
    <row r="35" spans="2:18" s="25" customFormat="1" ht="25.15" customHeight="1" x14ac:dyDescent="0.25">
      <c r="B35" s="137" t="s">
        <v>261</v>
      </c>
      <c r="C35" s="64" t="s">
        <v>258</v>
      </c>
      <c r="D35" s="136">
        <v>43132</v>
      </c>
      <c r="E35" s="21"/>
      <c r="F35" s="21"/>
    </row>
    <row r="36" spans="2:18" s="21" customFormat="1" ht="25.15" customHeight="1" x14ac:dyDescent="0.25">
      <c r="B36" s="131"/>
      <c r="C36" s="133"/>
      <c r="D36" s="133"/>
      <c r="E36" s="134"/>
      <c r="F36" s="134"/>
      <c r="G36" s="134"/>
      <c r="H36" s="134"/>
      <c r="I36" s="134"/>
      <c r="J36" s="134"/>
      <c r="K36" s="134"/>
      <c r="L36" s="134"/>
      <c r="M36" s="134"/>
    </row>
    <row r="37" spans="2:18" ht="25.5" x14ac:dyDescent="0.5">
      <c r="B37" s="147" t="s">
        <v>933</v>
      </c>
      <c r="C37" s="18"/>
      <c r="D37" s="18"/>
      <c r="E37" s="18"/>
      <c r="F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</row>
    <row r="38" spans="2:18" ht="4.5" customHeight="1" x14ac:dyDescent="0.3">
      <c r="B38" s="18"/>
      <c r="C38" s="18"/>
      <c r="D38" s="18"/>
      <c r="E38" s="18"/>
      <c r="F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</row>
    <row r="39" spans="2:18" s="21" customFormat="1" ht="25.15" customHeight="1" x14ac:dyDescent="0.25">
      <c r="B39" s="135" t="s">
        <v>411</v>
      </c>
      <c r="C39" s="148" t="s">
        <v>1</v>
      </c>
      <c r="D39" s="153" t="s">
        <v>889</v>
      </c>
      <c r="E39" s="153" t="s">
        <v>890</v>
      </c>
      <c r="F39" s="148" t="s">
        <v>821</v>
      </c>
      <c r="G39" s="64" t="s">
        <v>823</v>
      </c>
      <c r="H39" s="149" t="s">
        <v>92</v>
      </c>
      <c r="I39" s="207" t="s">
        <v>1313</v>
      </c>
    </row>
    <row r="40" spans="2:18" s="21" customFormat="1" ht="25.15" customHeight="1" x14ac:dyDescent="0.25">
      <c r="B40" s="135" t="s">
        <v>848</v>
      </c>
      <c r="C40" s="148" t="s">
        <v>849</v>
      </c>
      <c r="D40" s="133"/>
      <c r="F40" s="152" t="s">
        <v>822</v>
      </c>
      <c r="G40" s="150">
        <v>5.0000000000000001E-4</v>
      </c>
      <c r="H40" s="208" t="s">
        <v>1306</v>
      </c>
      <c r="I40" s="149" t="s">
        <v>850</v>
      </c>
    </row>
    <row r="41" spans="2:18" s="21" customFormat="1" ht="25.15" hidden="1" customHeight="1" x14ac:dyDescent="0.25">
      <c r="B41" s="135" t="s">
        <v>891</v>
      </c>
      <c r="C41" s="148" t="s">
        <v>892</v>
      </c>
      <c r="F41" s="151" t="s">
        <v>826</v>
      </c>
      <c r="G41" s="150">
        <v>5.4999999999999997E-3</v>
      </c>
      <c r="H41" s="208" t="s">
        <v>1306</v>
      </c>
      <c r="I41" s="149" t="s">
        <v>893</v>
      </c>
    </row>
    <row r="42" spans="2:18" s="21" customFormat="1" ht="25.15" hidden="1" customHeight="1" x14ac:dyDescent="0.25">
      <c r="B42" s="174" t="s">
        <v>851</v>
      </c>
      <c r="C42" s="175" t="s">
        <v>852</v>
      </c>
      <c r="D42" s="175"/>
      <c r="E42" s="176"/>
      <c r="F42" s="177" t="s">
        <v>826</v>
      </c>
      <c r="G42" s="178">
        <v>5.5999999999999999E-3</v>
      </c>
      <c r="H42" s="208" t="s">
        <v>1306</v>
      </c>
      <c r="I42" s="179" t="s">
        <v>853</v>
      </c>
    </row>
    <row r="43" spans="2:18" s="21" customFormat="1" ht="25.15" hidden="1" customHeight="1" x14ac:dyDescent="0.25">
      <c r="B43" s="135" t="s">
        <v>854</v>
      </c>
      <c r="C43" s="148" t="s">
        <v>855</v>
      </c>
      <c r="D43" s="133"/>
      <c r="F43" s="152" t="s">
        <v>826</v>
      </c>
      <c r="G43" s="150">
        <v>5.5999999999999999E-3</v>
      </c>
      <c r="H43" s="208" t="s">
        <v>1306</v>
      </c>
      <c r="I43" s="149" t="s">
        <v>853</v>
      </c>
    </row>
    <row r="44" spans="2:18" s="21" customFormat="1" ht="25.15" customHeight="1" x14ac:dyDescent="0.25">
      <c r="B44" s="181" t="s">
        <v>1329</v>
      </c>
      <c r="C44" s="182" t="s">
        <v>1330</v>
      </c>
      <c r="D44" s="182"/>
      <c r="E44" s="11"/>
      <c r="F44" s="146" t="s">
        <v>822</v>
      </c>
      <c r="G44" s="107">
        <v>1.35E-2</v>
      </c>
      <c r="H44" s="149" t="s">
        <v>1307</v>
      </c>
      <c r="I44" s="183" t="s">
        <v>853</v>
      </c>
    </row>
    <row r="45" spans="2:18" s="14" customFormat="1" ht="25.15" customHeight="1" x14ac:dyDescent="0.25">
      <c r="B45" s="135" t="s">
        <v>924</v>
      </c>
      <c r="C45" s="148" t="s">
        <v>925</v>
      </c>
      <c r="D45" s="133"/>
      <c r="E45" s="21"/>
      <c r="F45" s="152" t="s">
        <v>822</v>
      </c>
      <c r="G45" s="150">
        <v>6.8999999999999999E-3</v>
      </c>
      <c r="H45" s="149" t="s">
        <v>1306</v>
      </c>
      <c r="I45" s="149" t="s">
        <v>845</v>
      </c>
    </row>
    <row r="46" spans="2:18" s="14" customFormat="1" ht="25.15" customHeight="1" x14ac:dyDescent="0.25">
      <c r="B46" s="160" t="s">
        <v>1003</v>
      </c>
      <c r="C46" s="161" t="e">
        <f ca="1">_xll.TheSymbol(Table3[[#This Row],[Symbol]])</f>
        <v>#NAME?</v>
      </c>
      <c r="D46" s="161"/>
      <c r="F46" s="165" t="s">
        <v>822</v>
      </c>
      <c r="G46" s="163">
        <v>5.3E-3</v>
      </c>
      <c r="H46" s="211" t="s">
        <v>1306</v>
      </c>
      <c r="I46" s="164" t="s">
        <v>1004</v>
      </c>
    </row>
    <row r="47" spans="2:18" s="14" customFormat="1" ht="25.15" customHeight="1" x14ac:dyDescent="0.25">
      <c r="B47" s="184" t="s">
        <v>856</v>
      </c>
      <c r="C47" s="185" t="s">
        <v>857</v>
      </c>
      <c r="D47" s="185"/>
      <c r="E47" s="186"/>
      <c r="F47" s="187" t="s">
        <v>822</v>
      </c>
      <c r="G47" s="188">
        <v>4.0000000000000001E-3</v>
      </c>
      <c r="H47" s="210" t="s">
        <v>1306</v>
      </c>
      <c r="I47" s="189" t="s">
        <v>853</v>
      </c>
    </row>
    <row r="48" spans="2:18" s="14" customFormat="1" ht="25.15" hidden="1" customHeight="1" x14ac:dyDescent="0.25">
      <c r="B48" s="135" t="s">
        <v>1337</v>
      </c>
      <c r="C48" s="148" t="s">
        <v>1338</v>
      </c>
      <c r="D48" s="133"/>
      <c r="E48" s="21"/>
      <c r="F48" s="152" t="s">
        <v>826</v>
      </c>
      <c r="G48" s="150">
        <v>1.52E-2</v>
      </c>
      <c r="H48" s="149" t="s">
        <v>1307</v>
      </c>
      <c r="I48" s="206" t="s">
        <v>1310</v>
      </c>
    </row>
    <row r="49" spans="2:9" s="14" customFormat="1" ht="25.15" hidden="1" customHeight="1" x14ac:dyDescent="0.25">
      <c r="B49" s="135" t="s">
        <v>1339</v>
      </c>
      <c r="C49" s="148" t="s">
        <v>1340</v>
      </c>
      <c r="D49" s="133"/>
      <c r="E49" s="21"/>
      <c r="F49" s="152" t="s">
        <v>826</v>
      </c>
      <c r="G49" s="150">
        <v>1.52E-2</v>
      </c>
      <c r="H49" s="149" t="s">
        <v>1317</v>
      </c>
      <c r="I49" s="206" t="s">
        <v>1310</v>
      </c>
    </row>
    <row r="50" spans="2:9" s="14" customFormat="1" ht="25.15" customHeight="1" x14ac:dyDescent="0.25">
      <c r="B50" s="181" t="s">
        <v>979</v>
      </c>
      <c r="C50" s="182" t="s">
        <v>980</v>
      </c>
      <c r="D50" s="182"/>
      <c r="E50" s="11"/>
      <c r="F50" s="146" t="s">
        <v>822</v>
      </c>
      <c r="G50" s="107">
        <v>2.5000000000000001E-3</v>
      </c>
      <c r="H50" s="149" t="s">
        <v>1306</v>
      </c>
      <c r="I50" s="183" t="s">
        <v>853</v>
      </c>
    </row>
    <row r="51" spans="2:9" s="14" customFormat="1" ht="25.15" customHeight="1" x14ac:dyDescent="0.25">
      <c r="B51" s="135" t="s">
        <v>835</v>
      </c>
      <c r="C51" s="148" t="s">
        <v>836</v>
      </c>
      <c r="D51" s="133"/>
      <c r="E51" s="21"/>
      <c r="F51" s="152" t="s">
        <v>822</v>
      </c>
      <c r="G51" s="150">
        <v>2.9999999999999997E-4</v>
      </c>
      <c r="H51" s="149" t="s">
        <v>1306</v>
      </c>
      <c r="I51" s="149" t="s">
        <v>828</v>
      </c>
    </row>
    <row r="52" spans="2:9" s="14" customFormat="1" ht="25.15" customHeight="1" x14ac:dyDescent="0.25">
      <c r="B52" s="135" t="s">
        <v>1341</v>
      </c>
      <c r="C52" s="148" t="s">
        <v>1342</v>
      </c>
      <c r="D52" s="133"/>
      <c r="E52" s="21"/>
      <c r="F52" s="152" t="s">
        <v>822</v>
      </c>
      <c r="G52" s="150">
        <v>2E-3</v>
      </c>
      <c r="H52" s="149" t="s">
        <v>1306</v>
      </c>
      <c r="I52" s="149" t="s">
        <v>1343</v>
      </c>
    </row>
    <row r="53" spans="2:9" s="14" customFormat="1" ht="25.15" customHeight="1" x14ac:dyDescent="0.25">
      <c r="B53" s="169" t="s">
        <v>1302</v>
      </c>
      <c r="C53" s="170" t="s">
        <v>1303</v>
      </c>
      <c r="D53" s="170"/>
      <c r="E53" s="1"/>
      <c r="F53" s="171" t="s">
        <v>822</v>
      </c>
      <c r="G53" s="150">
        <v>9.4999999999999998E-3</v>
      </c>
      <c r="H53" s="208" t="s">
        <v>1311</v>
      </c>
      <c r="I53" s="206" t="s">
        <v>1309</v>
      </c>
    </row>
    <row r="54" spans="2:9" s="21" customFormat="1" ht="25.15" customHeight="1" x14ac:dyDescent="0.25">
      <c r="B54" s="135" t="s">
        <v>833</v>
      </c>
      <c r="C54" s="148" t="s">
        <v>834</v>
      </c>
      <c r="D54" s="133"/>
      <c r="F54" s="152" t="s">
        <v>822</v>
      </c>
      <c r="G54" s="150">
        <v>2.9999999999999997E-4</v>
      </c>
      <c r="H54" s="149" t="s">
        <v>1306</v>
      </c>
      <c r="I54" s="149" t="s">
        <v>828</v>
      </c>
    </row>
    <row r="55" spans="2:9" s="21" customFormat="1" ht="25.15" customHeight="1" x14ac:dyDescent="0.25">
      <c r="B55" s="135" t="s">
        <v>929</v>
      </c>
      <c r="C55" s="148" t="s">
        <v>930</v>
      </c>
      <c r="D55" s="133"/>
      <c r="F55" s="152" t="s">
        <v>822</v>
      </c>
      <c r="G55" s="150">
        <v>9.4999999999999998E-3</v>
      </c>
      <c r="H55" s="149" t="s">
        <v>1307</v>
      </c>
      <c r="I55" s="206" t="s">
        <v>1308</v>
      </c>
    </row>
    <row r="56" spans="2:9" s="21" customFormat="1" ht="25.15" customHeight="1" x14ac:dyDescent="0.25">
      <c r="B56" s="135" t="s">
        <v>990</v>
      </c>
      <c r="C56" s="148" t="s">
        <v>991</v>
      </c>
      <c r="D56" s="133"/>
      <c r="F56" s="152" t="s">
        <v>822</v>
      </c>
      <c r="G56" s="150">
        <v>8.8999999999999999E-3</v>
      </c>
      <c r="H56" s="149" t="s">
        <v>1307</v>
      </c>
      <c r="I56" s="206" t="s">
        <v>1310</v>
      </c>
    </row>
    <row r="57" spans="2:9" s="21" customFormat="1" ht="25.15" customHeight="1" x14ac:dyDescent="0.25">
      <c r="B57" s="135" t="s">
        <v>931</v>
      </c>
      <c r="C57" s="148" t="s">
        <v>932</v>
      </c>
      <c r="D57" s="133"/>
      <c r="F57" s="152" t="s">
        <v>822</v>
      </c>
      <c r="G57" s="150">
        <v>8.8999999999999999E-3</v>
      </c>
      <c r="H57" s="149" t="s">
        <v>1311</v>
      </c>
      <c r="I57" s="206" t="s">
        <v>1310</v>
      </c>
    </row>
    <row r="58" spans="2:9" s="21" customFormat="1" ht="25.15" customHeight="1" x14ac:dyDescent="0.25">
      <c r="B58" s="181" t="s">
        <v>1318</v>
      </c>
      <c r="C58" s="182" t="s">
        <v>1319</v>
      </c>
      <c r="D58" s="182"/>
      <c r="E58" s="11"/>
      <c r="F58" s="146" t="s">
        <v>822</v>
      </c>
      <c r="G58" s="107">
        <v>7.9000000000000008E-3</v>
      </c>
      <c r="H58" s="149" t="s">
        <v>1320</v>
      </c>
      <c r="I58" s="183" t="s">
        <v>1309</v>
      </c>
    </row>
    <row r="59" spans="2:9" s="21" customFormat="1" ht="25.15" customHeight="1" x14ac:dyDescent="0.25">
      <c r="B59" s="169" t="s">
        <v>1323</v>
      </c>
      <c r="C59" s="170" t="s">
        <v>1324</v>
      </c>
      <c r="D59" s="170"/>
      <c r="E59" s="1"/>
      <c r="F59" s="171" t="s">
        <v>822</v>
      </c>
      <c r="G59" s="172">
        <v>1.0200000000000001E-2</v>
      </c>
      <c r="H59" s="173" t="s">
        <v>1317</v>
      </c>
      <c r="I59" s="206" t="s">
        <v>1310</v>
      </c>
    </row>
    <row r="60" spans="2:9" s="21" customFormat="1" ht="25.15" customHeight="1" x14ac:dyDescent="0.25">
      <c r="B60" s="135" t="s">
        <v>934</v>
      </c>
      <c r="C60" s="148" t="s">
        <v>935</v>
      </c>
      <c r="D60" s="133"/>
      <c r="F60" s="152" t="s">
        <v>822</v>
      </c>
      <c r="G60" s="150">
        <v>9.4999999999999998E-3</v>
      </c>
      <c r="H60" s="149" t="s">
        <v>1307</v>
      </c>
      <c r="I60" s="149" t="s">
        <v>1343</v>
      </c>
    </row>
    <row r="61" spans="2:9" s="186" customFormat="1" ht="25.15" customHeight="1" x14ac:dyDescent="0.25">
      <c r="B61" s="169" t="s">
        <v>1325</v>
      </c>
      <c r="C61" s="170" t="s">
        <v>1326</v>
      </c>
      <c r="D61" s="170"/>
      <c r="E61" s="1"/>
      <c r="F61" s="171" t="s">
        <v>822</v>
      </c>
      <c r="G61" s="172">
        <v>8.9999999999999993E-3</v>
      </c>
      <c r="H61" s="173" t="s">
        <v>1320</v>
      </c>
      <c r="I61" s="206" t="s">
        <v>1310</v>
      </c>
    </row>
    <row r="62" spans="2:9" s="186" customFormat="1" ht="25.15" customHeight="1" x14ac:dyDescent="0.25">
      <c r="B62" s="169" t="s">
        <v>1346</v>
      </c>
      <c r="C62" s="170" t="s">
        <v>1347</v>
      </c>
      <c r="D62" s="170"/>
      <c r="E62" s="1"/>
      <c r="F62" s="171" t="s">
        <v>822</v>
      </c>
      <c r="G62" s="172">
        <v>2.3999999999999998E-3</v>
      </c>
      <c r="H62" s="173" t="s">
        <v>1306</v>
      </c>
      <c r="I62" s="183" t="s">
        <v>1309</v>
      </c>
    </row>
    <row r="63" spans="2:9" s="186" customFormat="1" ht="25.15" customHeight="1" x14ac:dyDescent="0.25">
      <c r="B63" s="181" t="s">
        <v>1315</v>
      </c>
      <c r="C63" s="182" t="s">
        <v>1316</v>
      </c>
      <c r="D63" s="182"/>
      <c r="E63" s="11"/>
      <c r="F63" s="146" t="s">
        <v>822</v>
      </c>
      <c r="G63" s="107">
        <v>1.12E-2</v>
      </c>
      <c r="H63" s="149" t="s">
        <v>1317</v>
      </c>
      <c r="I63" s="183" t="s">
        <v>1309</v>
      </c>
    </row>
    <row r="64" spans="2:9" s="21" customFormat="1" ht="25.15" customHeight="1" x14ac:dyDescent="0.25">
      <c r="B64" s="135" t="s">
        <v>1321</v>
      </c>
      <c r="C64" s="148" t="s">
        <v>1322</v>
      </c>
      <c r="D64" s="133"/>
      <c r="F64" s="152" t="s">
        <v>822</v>
      </c>
      <c r="G64" s="150">
        <v>9.4999999999999998E-3</v>
      </c>
      <c r="H64" s="149" t="s">
        <v>1317</v>
      </c>
      <c r="I64" s="149" t="s">
        <v>1343</v>
      </c>
    </row>
    <row r="65" spans="2:9" s="21" customFormat="1" ht="25.15" customHeight="1" x14ac:dyDescent="0.25">
      <c r="B65" s="135" t="s">
        <v>1304</v>
      </c>
      <c r="C65" s="148" t="s">
        <v>1305</v>
      </c>
      <c r="D65" s="133"/>
      <c r="F65" s="152" t="s">
        <v>822</v>
      </c>
      <c r="G65" s="150">
        <v>9.4999999999999998E-3</v>
      </c>
      <c r="H65" s="149" t="s">
        <v>1307</v>
      </c>
      <c r="I65" s="206" t="s">
        <v>1309</v>
      </c>
    </row>
    <row r="66" spans="2:9" s="21" customFormat="1" ht="25.15" customHeight="1" x14ac:dyDescent="0.25">
      <c r="B66" s="135" t="s">
        <v>1344</v>
      </c>
      <c r="C66" s="148" t="s">
        <v>1345</v>
      </c>
      <c r="D66" s="133"/>
      <c r="F66" s="152" t="s">
        <v>822</v>
      </c>
      <c r="G66" s="150">
        <v>1.6000000000000001E-3</v>
      </c>
      <c r="H66" s="149" t="s">
        <v>1306</v>
      </c>
      <c r="I66" s="206" t="s">
        <v>1308</v>
      </c>
    </row>
    <row r="67" spans="2:9" s="21" customFormat="1" ht="25.15" customHeight="1" x14ac:dyDescent="0.25">
      <c r="B67" s="135" t="s">
        <v>1327</v>
      </c>
      <c r="C67" s="148" t="s">
        <v>1328</v>
      </c>
      <c r="D67" s="133"/>
      <c r="F67" s="152" t="s">
        <v>822</v>
      </c>
      <c r="G67" s="150">
        <v>9.4999999999999998E-3</v>
      </c>
      <c r="H67" s="149" t="s">
        <v>1317</v>
      </c>
      <c r="I67" s="206" t="s">
        <v>1308</v>
      </c>
    </row>
    <row r="68" spans="2:9" s="21" customFormat="1" ht="25.15" hidden="1" customHeight="1" x14ac:dyDescent="0.25">
      <c r="B68" s="174" t="s">
        <v>964</v>
      </c>
      <c r="C68" s="175" t="s">
        <v>965</v>
      </c>
      <c r="D68" s="175"/>
      <c r="E68" s="176"/>
      <c r="F68" s="177" t="s">
        <v>826</v>
      </c>
      <c r="G68" s="178">
        <v>8.0000000000000004E-4</v>
      </c>
      <c r="H68" s="209" t="s">
        <v>1306</v>
      </c>
      <c r="I68" s="179" t="s">
        <v>966</v>
      </c>
    </row>
    <row r="69" spans="2:9" s="21" customFormat="1" ht="25.15" customHeight="1" x14ac:dyDescent="0.25">
      <c r="B69" s="135" t="s">
        <v>942</v>
      </c>
      <c r="C69" s="148" t="s">
        <v>943</v>
      </c>
      <c r="D69" s="133"/>
      <c r="F69" s="152" t="s">
        <v>822</v>
      </c>
      <c r="G69" s="150">
        <v>1.5E-3</v>
      </c>
      <c r="H69" s="149" t="s">
        <v>1306</v>
      </c>
      <c r="I69" s="149" t="s">
        <v>944</v>
      </c>
    </row>
    <row r="70" spans="2:9" s="21" customFormat="1" ht="25.15" customHeight="1" x14ac:dyDescent="0.25">
      <c r="B70" s="135" t="s">
        <v>939</v>
      </c>
      <c r="C70" s="148" t="s">
        <v>940</v>
      </c>
      <c r="D70" s="133"/>
      <c r="F70" s="152" t="s">
        <v>822</v>
      </c>
      <c r="G70" s="150">
        <v>1.5E-3</v>
      </c>
      <c r="H70" s="149" t="s">
        <v>1306</v>
      </c>
      <c r="I70" s="149" t="s">
        <v>941</v>
      </c>
    </row>
    <row r="71" spans="2:9" s="21" customFormat="1" ht="25.15" customHeight="1" x14ac:dyDescent="0.25">
      <c r="B71" s="135" t="s">
        <v>945</v>
      </c>
      <c r="C71" s="148" t="s">
        <v>946</v>
      </c>
      <c r="D71" s="133"/>
      <c r="F71" s="152" t="s">
        <v>822</v>
      </c>
      <c r="G71" s="150">
        <v>1.5E-3</v>
      </c>
      <c r="H71" s="149" t="s">
        <v>1306</v>
      </c>
      <c r="I71" s="149" t="s">
        <v>1331</v>
      </c>
    </row>
    <row r="72" spans="2:9" s="21" customFormat="1" ht="25.15" hidden="1" customHeight="1" x14ac:dyDescent="0.25">
      <c r="B72" s="160" t="s">
        <v>824</v>
      </c>
      <c r="C72" s="161" t="s">
        <v>825</v>
      </c>
      <c r="D72" s="161"/>
      <c r="E72" s="14"/>
      <c r="F72" s="165" t="s">
        <v>826</v>
      </c>
      <c r="G72" s="163">
        <v>5.9999999999999995E-4</v>
      </c>
      <c r="H72" s="164" t="s">
        <v>1306</v>
      </c>
      <c r="I72" s="164" t="s">
        <v>827</v>
      </c>
    </row>
    <row r="73" spans="2:9" s="1" customFormat="1" ht="25.15" hidden="1" customHeight="1" x14ac:dyDescent="0.25">
      <c r="B73" s="135" t="s">
        <v>926</v>
      </c>
      <c r="C73" s="148" t="s">
        <v>927</v>
      </c>
      <c r="D73" s="133"/>
      <c r="E73" s="21"/>
      <c r="F73" s="152" t="s">
        <v>826</v>
      </c>
      <c r="G73" s="150">
        <v>2.2000000000000001E-3</v>
      </c>
      <c r="H73" s="149" t="s">
        <v>1306</v>
      </c>
      <c r="I73" s="149" t="s">
        <v>928</v>
      </c>
    </row>
    <row r="74" spans="2:9" s="1" customFormat="1" ht="25.15" hidden="1" customHeight="1" x14ac:dyDescent="0.25">
      <c r="B74" s="135" t="s">
        <v>843</v>
      </c>
      <c r="C74" s="148" t="s">
        <v>846</v>
      </c>
      <c r="D74" s="133"/>
      <c r="E74" s="21"/>
      <c r="F74" s="152" t="s">
        <v>826</v>
      </c>
      <c r="G74" s="150">
        <v>2.3E-3</v>
      </c>
      <c r="H74" s="149" t="s">
        <v>1306</v>
      </c>
      <c r="I74" s="149" t="s">
        <v>845</v>
      </c>
    </row>
    <row r="75" spans="2:9" s="21" customFormat="1" ht="25.15" hidden="1" customHeight="1" x14ac:dyDescent="0.25">
      <c r="B75" s="160" t="s">
        <v>960</v>
      </c>
      <c r="C75" s="161" t="s">
        <v>961</v>
      </c>
      <c r="D75" s="14"/>
      <c r="E75" s="14"/>
      <c r="F75" s="162" t="s">
        <v>826</v>
      </c>
      <c r="G75" s="163">
        <v>2.2000000000000001E-3</v>
      </c>
      <c r="H75" s="149" t="s">
        <v>1306</v>
      </c>
      <c r="I75" s="164" t="s">
        <v>841</v>
      </c>
    </row>
    <row r="76" spans="2:9" s="21" customFormat="1" ht="25.15" hidden="1" customHeight="1" x14ac:dyDescent="0.25">
      <c r="B76" s="135" t="s">
        <v>977</v>
      </c>
      <c r="C76" s="148" t="s">
        <v>820</v>
      </c>
      <c r="D76" s="133"/>
      <c r="F76" s="152" t="s">
        <v>826</v>
      </c>
      <c r="G76" s="150">
        <v>8.0000000000000004E-4</v>
      </c>
      <c r="H76" s="149" t="s">
        <v>1314</v>
      </c>
      <c r="I76" s="206" t="s">
        <v>1310</v>
      </c>
    </row>
    <row r="77" spans="2:9" s="21" customFormat="1" ht="25.15" customHeight="1" x14ac:dyDescent="0.25">
      <c r="B77" s="184" t="s">
        <v>981</v>
      </c>
      <c r="C77" s="185" t="s">
        <v>982</v>
      </c>
      <c r="D77" s="185"/>
      <c r="E77" s="186"/>
      <c r="F77" s="187" t="s">
        <v>822</v>
      </c>
      <c r="G77" s="188">
        <v>6.9999999999999999E-4</v>
      </c>
      <c r="H77" s="210" t="s">
        <v>1306</v>
      </c>
      <c r="I77" s="189" t="s">
        <v>983</v>
      </c>
    </row>
    <row r="78" spans="2:9" s="21" customFormat="1" ht="25.15" customHeight="1" x14ac:dyDescent="0.25">
      <c r="B78" s="135" t="s">
        <v>947</v>
      </c>
      <c r="C78" s="148" t="s">
        <v>948</v>
      </c>
      <c r="D78" s="133"/>
      <c r="F78" s="152" t="s">
        <v>822</v>
      </c>
      <c r="G78" s="150">
        <v>3.7000000000000002E-3</v>
      </c>
      <c r="H78" s="149" t="s">
        <v>1306</v>
      </c>
      <c r="I78" s="149" t="s">
        <v>949</v>
      </c>
    </row>
    <row r="79" spans="2:9" s="21" customFormat="1" ht="25.15" hidden="1" customHeight="1" x14ac:dyDescent="0.25">
      <c r="B79" s="160" t="s">
        <v>962</v>
      </c>
      <c r="C79" s="161" t="s">
        <v>963</v>
      </c>
      <c r="D79" s="14"/>
      <c r="E79" s="14"/>
      <c r="F79" s="162" t="s">
        <v>826</v>
      </c>
      <c r="G79" s="163">
        <v>2.5000000000000001E-3</v>
      </c>
      <c r="H79" s="164" t="s">
        <v>1306</v>
      </c>
      <c r="I79" s="164" t="s">
        <v>841</v>
      </c>
    </row>
    <row r="80" spans="2:9" s="21" customFormat="1" ht="25.15" customHeight="1" x14ac:dyDescent="0.25">
      <c r="B80" s="184" t="s">
        <v>997</v>
      </c>
      <c r="C80" s="185" t="s">
        <v>998</v>
      </c>
      <c r="D80" s="185"/>
      <c r="E80" s="186"/>
      <c r="F80" s="187" t="s">
        <v>822</v>
      </c>
      <c r="G80" s="188">
        <v>1.1999999999999999E-3</v>
      </c>
      <c r="H80" s="210" t="s">
        <v>1306</v>
      </c>
      <c r="I80" s="189" t="s">
        <v>999</v>
      </c>
    </row>
    <row r="81" spans="2:14" s="21" customFormat="1" ht="25.15" customHeight="1" x14ac:dyDescent="0.25">
      <c r="B81" s="184" t="s">
        <v>819</v>
      </c>
      <c r="C81" s="185" t="s">
        <v>820</v>
      </c>
      <c r="D81" s="186"/>
      <c r="E81" s="186"/>
      <c r="F81" s="190" t="s">
        <v>822</v>
      </c>
      <c r="G81" s="188">
        <v>4.0000000000000002E-4</v>
      </c>
      <c r="H81" s="189" t="s">
        <v>1306</v>
      </c>
      <c r="I81" s="189" t="s">
        <v>1310</v>
      </c>
    </row>
    <row r="82" spans="2:14" s="21" customFormat="1" ht="25.15" hidden="1" customHeight="1" x14ac:dyDescent="0.25">
      <c r="B82" s="174" t="s">
        <v>1002</v>
      </c>
      <c r="C82" s="175" t="s">
        <v>1000</v>
      </c>
      <c r="D82" s="175"/>
      <c r="E82" s="176"/>
      <c r="F82" s="177" t="s">
        <v>826</v>
      </c>
      <c r="G82" s="178">
        <v>3.8999999999999998E-3</v>
      </c>
      <c r="H82" s="209" t="s">
        <v>1306</v>
      </c>
      <c r="I82" s="179" t="s">
        <v>1001</v>
      </c>
    </row>
    <row r="83" spans="2:14" s="21" customFormat="1" ht="25.15" hidden="1" customHeight="1" x14ac:dyDescent="0.25">
      <c r="B83" s="135" t="s">
        <v>978</v>
      </c>
      <c r="C83" s="148" t="s">
        <v>1301</v>
      </c>
      <c r="D83" s="133"/>
      <c r="F83" s="152" t="s">
        <v>826</v>
      </c>
      <c r="G83" s="150">
        <v>8.9999999999999998E-4</v>
      </c>
      <c r="H83" s="173" t="s">
        <v>1312</v>
      </c>
      <c r="I83" s="206" t="s">
        <v>1310</v>
      </c>
    </row>
    <row r="84" spans="2:14" s="21" customFormat="1" ht="25.15" customHeight="1" x14ac:dyDescent="0.25">
      <c r="B84" s="135" t="s">
        <v>837</v>
      </c>
      <c r="C84" s="148" t="s">
        <v>838</v>
      </c>
      <c r="D84" s="133"/>
      <c r="F84" s="152" t="s">
        <v>822</v>
      </c>
      <c r="G84" s="150">
        <v>4.0000000000000002E-4</v>
      </c>
      <c r="H84" s="149" t="s">
        <v>1306</v>
      </c>
      <c r="I84" s="149" t="s">
        <v>828</v>
      </c>
    </row>
    <row r="85" spans="2:14" s="21" customFormat="1" ht="25.15" customHeight="1" x14ac:dyDescent="0.25">
      <c r="B85" s="135" t="s">
        <v>922</v>
      </c>
      <c r="C85" s="148" t="s">
        <v>923</v>
      </c>
      <c r="F85" s="151" t="s">
        <v>822</v>
      </c>
      <c r="G85" s="150">
        <v>1.4E-3</v>
      </c>
      <c r="H85" s="149" t="s">
        <v>1306</v>
      </c>
      <c r="I85" s="149" t="s">
        <v>845</v>
      </c>
    </row>
    <row r="86" spans="2:14" s="21" customFormat="1" ht="25.15" hidden="1" customHeight="1" x14ac:dyDescent="0.25">
      <c r="B86" s="135" t="s">
        <v>839</v>
      </c>
      <c r="C86" s="148" t="s">
        <v>840</v>
      </c>
      <c r="D86" s="133"/>
      <c r="F86" s="152" t="s">
        <v>826</v>
      </c>
      <c r="G86" s="150">
        <v>2.0999999999999999E-3</v>
      </c>
      <c r="H86" s="149" t="s">
        <v>1306</v>
      </c>
      <c r="I86" s="149" t="s">
        <v>841</v>
      </c>
    </row>
    <row r="87" spans="2:14" s="21" customFormat="1" ht="25.15" hidden="1" customHeight="1" x14ac:dyDescent="0.25">
      <c r="B87" s="135" t="s">
        <v>842</v>
      </c>
      <c r="C87" s="148" t="s">
        <v>844</v>
      </c>
      <c r="D87" s="133"/>
      <c r="F87" s="152" t="s">
        <v>826</v>
      </c>
      <c r="G87" s="150">
        <v>2E-3</v>
      </c>
      <c r="H87" s="149" t="s">
        <v>1306</v>
      </c>
      <c r="I87" s="149" t="s">
        <v>847</v>
      </c>
    </row>
    <row r="88" spans="2:14" s="14" customFormat="1" ht="25.15" hidden="1" customHeight="1" x14ac:dyDescent="0.25">
      <c r="B88" s="135" t="s">
        <v>831</v>
      </c>
      <c r="C88" s="148" t="s">
        <v>832</v>
      </c>
      <c r="D88" s="133"/>
      <c r="E88" s="21"/>
      <c r="F88" s="152" t="s">
        <v>826</v>
      </c>
      <c r="G88" s="150">
        <v>1.6999999999999999E-3</v>
      </c>
      <c r="H88" s="149" t="s">
        <v>1306</v>
      </c>
      <c r="I88" s="149" t="s">
        <v>827</v>
      </c>
    </row>
    <row r="89" spans="2:14" s="21" customFormat="1" ht="25.15" hidden="1" customHeight="1" x14ac:dyDescent="0.25">
      <c r="B89" s="174" t="s">
        <v>900</v>
      </c>
      <c r="C89" s="175" t="s">
        <v>901</v>
      </c>
      <c r="D89" s="175"/>
      <c r="E89" s="176"/>
      <c r="F89" s="177" t="s">
        <v>826</v>
      </c>
      <c r="G89" s="178">
        <v>1.1000000000000001E-3</v>
      </c>
      <c r="H89" s="179" t="s">
        <v>1312</v>
      </c>
      <c r="I89" s="179" t="s">
        <v>1310</v>
      </c>
    </row>
    <row r="90" spans="2:14" s="21" customFormat="1" ht="25.15" hidden="1" customHeight="1" x14ac:dyDescent="0.25">
      <c r="B90" s="169" t="s">
        <v>976</v>
      </c>
      <c r="C90" s="170" t="s">
        <v>901</v>
      </c>
      <c r="D90" s="170"/>
      <c r="E90" s="1"/>
      <c r="F90" s="171" t="s">
        <v>826</v>
      </c>
      <c r="G90" s="172">
        <v>1.1000000000000001E-3</v>
      </c>
      <c r="H90" s="173" t="s">
        <v>1314</v>
      </c>
      <c r="I90" s="206" t="s">
        <v>1310</v>
      </c>
    </row>
    <row r="91" spans="2:14" s="21" customFormat="1" ht="25.15" hidden="1" customHeight="1" x14ac:dyDescent="0.25">
      <c r="B91" s="135" t="s">
        <v>829</v>
      </c>
      <c r="C91" s="148" t="s">
        <v>830</v>
      </c>
      <c r="D91" s="133"/>
      <c r="F91" s="152" t="s">
        <v>826</v>
      </c>
      <c r="G91" s="150">
        <v>3.8999999999999998E-3</v>
      </c>
      <c r="H91" s="149" t="s">
        <v>1306</v>
      </c>
      <c r="I91" s="149" t="s">
        <v>827</v>
      </c>
    </row>
    <row r="92" spans="2:14" s="21" customFormat="1" ht="25.15" customHeight="1" x14ac:dyDescent="0.25">
      <c r="B92" s="132"/>
    </row>
    <row r="93" spans="2:14" s="18" customFormat="1" ht="25.5" x14ac:dyDescent="0.25">
      <c r="B93" s="48" t="s">
        <v>425</v>
      </c>
      <c r="C93" s="31"/>
      <c r="D93" s="33"/>
      <c r="E93" s="33"/>
      <c r="F93" s="33"/>
      <c r="G93" s="33"/>
      <c r="H93" s="33"/>
      <c r="I93" s="33"/>
      <c r="J93" s="37"/>
    </row>
    <row r="94" spans="2:14" s="36" customFormat="1" ht="4.5" customHeight="1" x14ac:dyDescent="0.25">
      <c r="B94" s="31"/>
      <c r="C94" s="32"/>
      <c r="D94" s="33"/>
      <c r="E94" s="33"/>
      <c r="F94" s="33"/>
      <c r="G94" s="33"/>
      <c r="H94" s="33"/>
      <c r="I94" s="33"/>
      <c r="J94" s="34"/>
      <c r="K94" s="35"/>
      <c r="L94" s="38"/>
      <c r="M94" s="38"/>
      <c r="N94" s="39"/>
    </row>
    <row r="95" spans="2:14" s="18" customFormat="1" ht="25.15" customHeight="1" x14ac:dyDescent="0.25">
      <c r="B95" s="53" t="s">
        <v>65</v>
      </c>
    </row>
    <row r="96" spans="2:14" s="18" customFormat="1" ht="25.15" customHeight="1" x14ac:dyDescent="0.25">
      <c r="B96" s="53" t="s">
        <v>403</v>
      </c>
    </row>
    <row r="97" spans="2:2" s="18" customFormat="1" ht="25.15" customHeight="1" x14ac:dyDescent="0.25">
      <c r="B97" s="53" t="s">
        <v>93</v>
      </c>
    </row>
    <row r="98" spans="2:2" s="18" customFormat="1" ht="25.15" customHeight="1" x14ac:dyDescent="0.25">
      <c r="B98" s="53" t="s">
        <v>66</v>
      </c>
    </row>
    <row r="99" spans="2:2" s="18" customFormat="1" ht="25.15" customHeight="1" x14ac:dyDescent="0.25">
      <c r="B99" s="53" t="s">
        <v>650</v>
      </c>
    </row>
    <row r="100" spans="2:2" s="18" customFormat="1" ht="25.15" customHeight="1" x14ac:dyDescent="0.25">
      <c r="B100" s="53" t="s">
        <v>802</v>
      </c>
    </row>
    <row r="101" spans="2:2" s="18" customFormat="1" ht="25.15" customHeight="1" x14ac:dyDescent="0.25">
      <c r="B101" s="53" t="s">
        <v>653</v>
      </c>
    </row>
    <row r="102" spans="2:2" s="18" customFormat="1" ht="25.15" customHeight="1" x14ac:dyDescent="0.25">
      <c r="B102" s="53" t="s">
        <v>432</v>
      </c>
    </row>
    <row r="103" spans="2:2" s="18" customFormat="1" ht="25.15" customHeight="1" x14ac:dyDescent="0.25">
      <c r="B103" s="53" t="s">
        <v>431</v>
      </c>
    </row>
    <row r="104" spans="2:2" s="18" customFormat="1" ht="25.15" customHeight="1" x14ac:dyDescent="0.25">
      <c r="B104" s="53" t="s">
        <v>1067</v>
      </c>
    </row>
    <row r="105" spans="2:2" s="18" customFormat="1" ht="25.15" customHeight="1" x14ac:dyDescent="0.25">
      <c r="B105" s="53" t="s">
        <v>457</v>
      </c>
    </row>
    <row r="106" spans="2:2" s="18" customFormat="1" ht="25.15" customHeight="1" x14ac:dyDescent="0.25">
      <c r="B106" s="53" t="s">
        <v>440</v>
      </c>
    </row>
    <row r="107" spans="2:2" s="18" customFormat="1" ht="25.15" customHeight="1" x14ac:dyDescent="0.25">
      <c r="B107" s="53" t="s">
        <v>694</v>
      </c>
    </row>
    <row r="108" spans="2:2" s="18" customFormat="1" ht="25.15" customHeight="1" x14ac:dyDescent="0.25">
      <c r="B108" s="53" t="s">
        <v>436</v>
      </c>
    </row>
    <row r="109" spans="2:2" s="18" customFormat="1" ht="25.15" customHeight="1" x14ac:dyDescent="0.25">
      <c r="B109" s="53" t="s">
        <v>450</v>
      </c>
    </row>
    <row r="110" spans="2:2" s="18" customFormat="1" ht="25.15" customHeight="1" x14ac:dyDescent="0.25">
      <c r="B110" s="53" t="s">
        <v>85</v>
      </c>
    </row>
    <row r="111" spans="2:2" s="18" customFormat="1" ht="25.15" customHeight="1" x14ac:dyDescent="0.25">
      <c r="B111" s="53" t="s">
        <v>389</v>
      </c>
    </row>
    <row r="112" spans="2:2" s="18" customFormat="1" ht="25.15" customHeight="1" x14ac:dyDescent="0.25">
      <c r="B112" s="53" t="s">
        <v>426</v>
      </c>
    </row>
    <row r="113" spans="2:14" s="18" customFormat="1" ht="25.15" customHeight="1" x14ac:dyDescent="0.25">
      <c r="B113" s="53" t="s">
        <v>11</v>
      </c>
    </row>
    <row r="114" spans="2:14" s="18" customFormat="1" ht="25.15" customHeight="1" x14ac:dyDescent="0.25">
      <c r="B114" s="53" t="s">
        <v>10</v>
      </c>
    </row>
    <row r="115" spans="2:14" s="18" customFormat="1" ht="25.15" customHeight="1" x14ac:dyDescent="0.25">
      <c r="B115" s="53" t="s">
        <v>68</v>
      </c>
    </row>
    <row r="116" spans="2:14" s="18" customFormat="1" ht="25.15" customHeight="1" x14ac:dyDescent="0.25">
      <c r="B116" s="53" t="s">
        <v>793</v>
      </c>
    </row>
    <row r="117" spans="2:14" s="18" customFormat="1" ht="25.15" customHeight="1" x14ac:dyDescent="0.25">
      <c r="B117" s="53" t="s">
        <v>648</v>
      </c>
    </row>
    <row r="118" spans="2:14" s="18" customFormat="1" ht="25.15" customHeight="1" x14ac:dyDescent="0.25">
      <c r="B118" s="53" t="s">
        <v>443</v>
      </c>
    </row>
    <row r="119" spans="2:14" s="18" customFormat="1" ht="25.15" customHeight="1" x14ac:dyDescent="0.25">
      <c r="B119" s="53" t="s">
        <v>433</v>
      </c>
    </row>
    <row r="120" spans="2:14" s="18" customFormat="1" ht="25.15" customHeight="1" x14ac:dyDescent="0.25">
      <c r="B120" s="53" t="s">
        <v>437</v>
      </c>
    </row>
    <row r="121" spans="2:14" s="18" customFormat="1" ht="25.15" customHeight="1" x14ac:dyDescent="0.25">
      <c r="B121" s="53" t="s">
        <v>428</v>
      </c>
    </row>
    <row r="122" spans="2:14" s="18" customFormat="1" ht="25.15" customHeight="1" x14ac:dyDescent="0.25">
      <c r="B122" s="53"/>
    </row>
    <row r="123" spans="2:14" s="36" customFormat="1" ht="25.5" customHeight="1" x14ac:dyDescent="0.25">
      <c r="B123" s="48" t="s">
        <v>791</v>
      </c>
      <c r="C123" s="31"/>
      <c r="D123" s="33"/>
      <c r="E123" s="33"/>
      <c r="F123" s="33"/>
      <c r="G123" s="33"/>
      <c r="H123" s="33"/>
      <c r="I123" s="33"/>
      <c r="J123" s="34"/>
      <c r="K123" s="35"/>
      <c r="L123" s="38"/>
      <c r="M123" s="38"/>
      <c r="N123" s="39"/>
    </row>
    <row r="124" spans="2:14" s="18" customFormat="1" ht="7.5" customHeight="1" x14ac:dyDescent="0.25">
      <c r="B124" s="31"/>
      <c r="C124" s="32"/>
      <c r="D124" s="33"/>
      <c r="E124" s="33"/>
      <c r="F124" s="33"/>
      <c r="G124" s="33"/>
      <c r="H124" s="33"/>
    </row>
    <row r="125" spans="2:14" s="18" customFormat="1" ht="25.15" customHeight="1" x14ac:dyDescent="0.25">
      <c r="B125" s="53" t="s">
        <v>92</v>
      </c>
    </row>
    <row r="126" spans="2:14" s="18" customFormat="1" ht="25.15" customHeight="1" x14ac:dyDescent="0.25">
      <c r="B126" s="53" t="s">
        <v>11</v>
      </c>
    </row>
    <row r="127" spans="2:14" s="18" customFormat="1" ht="25.15" customHeight="1" x14ac:dyDescent="0.25">
      <c r="B127" s="53" t="s">
        <v>389</v>
      </c>
    </row>
    <row r="128" spans="2:14" s="18" customFormat="1" ht="25.15" customHeight="1" x14ac:dyDescent="0.25">
      <c r="B128" s="53" t="s">
        <v>440</v>
      </c>
    </row>
    <row r="129" spans="2:14" s="18" customFormat="1" ht="25.15" customHeight="1" x14ac:dyDescent="0.25">
      <c r="B129" s="53" t="s">
        <v>437</v>
      </c>
    </row>
    <row r="130" spans="2:14" s="18" customFormat="1" ht="25.15" customHeight="1" x14ac:dyDescent="0.25">
      <c r="B130" s="53" t="s">
        <v>653</v>
      </c>
    </row>
    <row r="131" spans="2:14" s="18" customFormat="1" ht="25.15" customHeight="1" x14ac:dyDescent="0.25">
      <c r="B131" s="53" t="s">
        <v>10</v>
      </c>
    </row>
    <row r="132" spans="2:14" s="18" customFormat="1" ht="25.15" customHeight="1" x14ac:dyDescent="0.25">
      <c r="B132" s="53" t="s">
        <v>426</v>
      </c>
    </row>
    <row r="133" spans="2:14" s="18" customFormat="1" ht="25.15" customHeight="1" x14ac:dyDescent="0.25">
      <c r="B133" s="53" t="s">
        <v>650</v>
      </c>
    </row>
    <row r="134" spans="2:14" s="18" customFormat="1" ht="25.15" customHeight="1" x14ac:dyDescent="0.25">
      <c r="B134" s="53" t="s">
        <v>403</v>
      </c>
    </row>
    <row r="135" spans="2:14" s="18" customFormat="1" ht="25.15" customHeight="1" x14ac:dyDescent="0.25"/>
    <row r="136" spans="2:14" s="36" customFormat="1" ht="25.5" customHeight="1" x14ac:dyDescent="0.25">
      <c r="B136" s="48" t="s">
        <v>1005</v>
      </c>
      <c r="C136" s="31"/>
      <c r="D136" s="33"/>
      <c r="E136" s="33"/>
      <c r="F136" s="33"/>
      <c r="G136" s="33"/>
      <c r="H136" s="33"/>
      <c r="I136" s="33"/>
      <c r="J136" s="34"/>
      <c r="K136" s="35"/>
      <c r="L136" s="38"/>
      <c r="M136" s="38"/>
      <c r="N136" s="39"/>
    </row>
    <row r="137" spans="2:14" s="18" customFormat="1" ht="7.5" customHeight="1" x14ac:dyDescent="0.25">
      <c r="B137" s="31"/>
      <c r="C137" s="32"/>
      <c r="D137" s="33"/>
      <c r="E137" s="33"/>
      <c r="F137" s="33"/>
      <c r="G137" s="33"/>
      <c r="H137" s="33"/>
    </row>
    <row r="138" spans="2:14" s="21" customFormat="1" ht="25.15" customHeight="1" x14ac:dyDescent="0.25">
      <c r="B138" s="194" t="s">
        <v>1006</v>
      </c>
      <c r="C138" s="194"/>
      <c r="D138" s="195" t="s">
        <v>1007</v>
      </c>
    </row>
    <row r="139" spans="2:14" s="21" customFormat="1" ht="25.15" customHeight="1" x14ac:dyDescent="0.25">
      <c r="B139" s="64" t="s">
        <v>1008</v>
      </c>
      <c r="D139" s="193">
        <v>0.69</v>
      </c>
    </row>
    <row r="140" spans="2:14" s="21" customFormat="1" ht="25.15" customHeight="1" x14ac:dyDescent="0.25">
      <c r="B140" s="64" t="s">
        <v>1009</v>
      </c>
      <c r="D140" s="193">
        <v>0.18</v>
      </c>
    </row>
    <row r="141" spans="2:14" s="21" customFormat="1" ht="25.15" customHeight="1" x14ac:dyDescent="0.25">
      <c r="B141" s="64" t="s">
        <v>1010</v>
      </c>
      <c r="D141" s="193">
        <v>0.17</v>
      </c>
    </row>
    <row r="142" spans="2:14" s="21" customFormat="1" ht="25.15" customHeight="1" x14ac:dyDescent="0.25">
      <c r="B142" s="64" t="s">
        <v>1011</v>
      </c>
      <c r="D142" s="193">
        <v>-0.05</v>
      </c>
    </row>
    <row r="143" spans="2:14" s="21" customFormat="1" ht="25.15" customHeight="1" x14ac:dyDescent="0.25">
      <c r="D143" s="138"/>
    </row>
    <row r="144" spans="2:14" s="21" customFormat="1" ht="25.15" customHeight="1" x14ac:dyDescent="0.25"/>
    <row r="145" spans="2:9" s="21" customFormat="1" ht="25.15" customHeight="1" x14ac:dyDescent="0.25"/>
    <row r="146" spans="2:9" s="21" customFormat="1" ht="25.15" customHeight="1" x14ac:dyDescent="0.25"/>
    <row r="147" spans="2:9" s="21" customFormat="1" ht="25.15" customHeight="1" x14ac:dyDescent="0.25"/>
    <row r="148" spans="2:9" s="21" customFormat="1" ht="25.15" customHeight="1" x14ac:dyDescent="0.25"/>
    <row r="149" spans="2:9" s="21" customFormat="1" ht="25.15" customHeight="1" x14ac:dyDescent="0.25"/>
    <row r="150" spans="2:9" s="21" customFormat="1" ht="25.15" customHeight="1" x14ac:dyDescent="0.25"/>
    <row r="151" spans="2:9" s="21" customFormat="1" ht="25.15" customHeight="1" x14ac:dyDescent="0.25"/>
    <row r="152" spans="2:9" s="21" customFormat="1" ht="25.15" customHeight="1" x14ac:dyDescent="0.25"/>
    <row r="153" spans="2:9" s="21" customFormat="1" ht="25.15" customHeight="1" x14ac:dyDescent="0.25"/>
    <row r="154" spans="2:9" s="21" customFormat="1" ht="25.15" customHeight="1" x14ac:dyDescent="0.25"/>
    <row r="155" spans="2:9" s="21" customFormat="1" ht="25.15" customHeight="1" x14ac:dyDescent="0.25"/>
    <row r="156" spans="2:9" s="21" customFormat="1" ht="25.15" customHeight="1" x14ac:dyDescent="0.25"/>
    <row r="157" spans="2:9" s="21" customFormat="1" ht="25.15" customHeight="1" x14ac:dyDescent="0.25"/>
    <row r="158" spans="2:9" s="18" customFormat="1" ht="25.15" customHeight="1" x14ac:dyDescent="0.25">
      <c r="B158" s="21"/>
      <c r="C158" s="21"/>
      <c r="D158" s="21"/>
      <c r="E158" s="21"/>
      <c r="F158" s="21"/>
      <c r="G158" s="21"/>
      <c r="H158" s="21"/>
      <c r="I158" s="21"/>
    </row>
    <row r="159" spans="2:9" s="18" customFormat="1" ht="25.15" customHeight="1" x14ac:dyDescent="0.25">
      <c r="B159" s="21"/>
      <c r="C159" s="21"/>
      <c r="D159" s="21"/>
      <c r="E159" s="21"/>
      <c r="F159" s="21"/>
      <c r="G159" s="21"/>
      <c r="H159" s="21"/>
      <c r="I159" s="21"/>
    </row>
    <row r="160" spans="2:9" s="18" customFormat="1" ht="25.15" customHeight="1" x14ac:dyDescent="0.25">
      <c r="B160" s="21"/>
      <c r="C160" s="21"/>
      <c r="D160" s="21"/>
      <c r="E160" s="21"/>
      <c r="F160" s="21"/>
      <c r="G160" s="21"/>
      <c r="H160" s="21"/>
      <c r="I160" s="21"/>
    </row>
    <row r="161" spans="2:9" s="18" customFormat="1" ht="25.15" customHeight="1" x14ac:dyDescent="0.25">
      <c r="B161" s="21"/>
      <c r="C161" s="21"/>
      <c r="D161" s="21"/>
      <c r="E161" s="21"/>
      <c r="F161" s="21"/>
      <c r="G161" s="21"/>
      <c r="H161" s="21"/>
      <c r="I161" s="21"/>
    </row>
    <row r="162" spans="2:9" s="18" customFormat="1" ht="25.15" customHeight="1" x14ac:dyDescent="0.25">
      <c r="B162" s="21"/>
      <c r="C162" s="21"/>
      <c r="D162" s="21"/>
      <c r="E162" s="21"/>
      <c r="F162" s="21"/>
      <c r="G162" s="21"/>
      <c r="H162" s="21"/>
      <c r="I162" s="21"/>
    </row>
    <row r="163" spans="2:9" s="18" customFormat="1" ht="25.15" customHeight="1" x14ac:dyDescent="0.25">
      <c r="B163" s="21"/>
      <c r="C163" s="21"/>
      <c r="D163" s="21"/>
      <c r="E163" s="21"/>
      <c r="F163" s="21"/>
      <c r="G163" s="21"/>
      <c r="H163" s="21"/>
      <c r="I163" s="21"/>
    </row>
    <row r="164" spans="2:9" s="18" customFormat="1" ht="25.15" customHeight="1" x14ac:dyDescent="0.25">
      <c r="B164" s="21"/>
      <c r="C164" s="21"/>
      <c r="D164" s="21"/>
      <c r="E164" s="21"/>
      <c r="F164" s="21"/>
      <c r="G164" s="21"/>
      <c r="H164" s="21"/>
      <c r="I164" s="21"/>
    </row>
    <row r="165" spans="2:9" s="18" customFormat="1" ht="25.15" customHeight="1" x14ac:dyDescent="0.25">
      <c r="B165" s="21"/>
      <c r="C165" s="21"/>
      <c r="D165" s="21"/>
      <c r="E165" s="21"/>
      <c r="F165" s="21"/>
      <c r="G165" s="21"/>
      <c r="H165" s="21"/>
      <c r="I165" s="21"/>
    </row>
    <row r="166" spans="2:9" s="18" customFormat="1" ht="25.15" customHeight="1" x14ac:dyDescent="0.25">
      <c r="B166" s="21"/>
      <c r="C166" s="21"/>
      <c r="D166" s="21"/>
      <c r="E166" s="21"/>
      <c r="F166" s="21"/>
      <c r="G166" s="21"/>
      <c r="H166" s="21"/>
      <c r="I166" s="21"/>
    </row>
    <row r="167" spans="2:9" s="18" customFormat="1" ht="25.15" customHeight="1" x14ac:dyDescent="0.25">
      <c r="B167" s="21"/>
      <c r="C167" s="21"/>
      <c r="D167" s="21"/>
      <c r="E167" s="21"/>
      <c r="F167" s="21"/>
      <c r="G167" s="21"/>
      <c r="H167" s="21"/>
      <c r="I167" s="21"/>
    </row>
    <row r="168" spans="2:9" s="18" customFormat="1" ht="25.15" customHeight="1" x14ac:dyDescent="0.25"/>
    <row r="169" spans="2:9" s="18" customFormat="1" ht="25.15" customHeight="1" x14ac:dyDescent="0.25"/>
    <row r="170" spans="2:9" s="18" customFormat="1" ht="25.15" customHeight="1" x14ac:dyDescent="0.25"/>
    <row r="171" spans="2:9" s="18" customFormat="1" ht="25.15" customHeight="1" x14ac:dyDescent="0.25"/>
    <row r="172" spans="2:9" s="18" customFormat="1" ht="25.15" customHeight="1" x14ac:dyDescent="0.25"/>
    <row r="173" spans="2:9" s="18" customFormat="1" ht="25.15" customHeight="1" x14ac:dyDescent="0.25"/>
    <row r="174" spans="2:9" s="18" customFormat="1" ht="25.15" customHeight="1" x14ac:dyDescent="0.25"/>
    <row r="175" spans="2:9" s="18" customFormat="1" ht="25.15" customHeight="1" x14ac:dyDescent="0.25"/>
    <row r="176" spans="2:9" s="18" customFormat="1" ht="25.15" customHeight="1" x14ac:dyDescent="0.25"/>
    <row r="177" spans="2:10" s="18" customFormat="1" ht="25.15" customHeight="1" x14ac:dyDescent="0.25"/>
    <row r="178" spans="2:10" ht="25.15" customHeight="1" x14ac:dyDescent="0.3">
      <c r="B178" s="18"/>
      <c r="C178" s="18"/>
      <c r="D178" s="18"/>
      <c r="E178" s="18"/>
      <c r="F178" s="18"/>
      <c r="G178" s="18"/>
      <c r="H178" s="18"/>
      <c r="I178" s="18"/>
      <c r="J178" s="18"/>
    </row>
    <row r="179" spans="2:10" ht="25.15" customHeight="1" x14ac:dyDescent="0.3">
      <c r="B179" s="18"/>
      <c r="C179" s="18"/>
      <c r="D179" s="18"/>
      <c r="E179" s="18"/>
      <c r="F179" s="18"/>
      <c r="G179" s="18"/>
      <c r="H179" s="18"/>
      <c r="I179" s="18"/>
    </row>
    <row r="180" spans="2:10" ht="25.15" customHeight="1" x14ac:dyDescent="0.3">
      <c r="B180" s="18"/>
      <c r="C180" s="18"/>
      <c r="D180" s="18"/>
      <c r="E180" s="18"/>
      <c r="F180" s="18"/>
      <c r="G180" s="18"/>
      <c r="H180" s="18"/>
      <c r="I180" s="18"/>
    </row>
    <row r="181" spans="2:10" ht="25.15" customHeight="1" x14ac:dyDescent="0.3">
      <c r="B181" s="18"/>
      <c r="C181" s="18"/>
      <c r="D181" s="18"/>
      <c r="E181" s="18"/>
      <c r="F181" s="18"/>
      <c r="G181" s="18"/>
      <c r="H181" s="18"/>
      <c r="I181" s="18"/>
    </row>
    <row r="182" spans="2:10" ht="25.15" customHeight="1" x14ac:dyDescent="0.3">
      <c r="B182" s="18"/>
      <c r="C182" s="18"/>
      <c r="D182" s="18"/>
      <c r="E182" s="18"/>
      <c r="F182" s="18"/>
      <c r="G182" s="18"/>
      <c r="H182" s="18"/>
      <c r="I182" s="18"/>
    </row>
    <row r="183" spans="2:10" ht="25.15" customHeight="1" x14ac:dyDescent="0.3">
      <c r="B183" s="18"/>
      <c r="C183" s="18"/>
      <c r="D183" s="18"/>
      <c r="E183" s="18"/>
      <c r="F183" s="18"/>
      <c r="G183" s="18"/>
      <c r="H183" s="18"/>
      <c r="I183" s="18"/>
    </row>
    <row r="184" spans="2:10" ht="25.15" customHeight="1" x14ac:dyDescent="0.3">
      <c r="B184" s="18"/>
      <c r="C184" s="18"/>
      <c r="D184" s="18"/>
      <c r="E184" s="18"/>
      <c r="F184" s="18"/>
      <c r="G184" s="18"/>
      <c r="H184" s="18"/>
      <c r="I184" s="18"/>
    </row>
    <row r="185" spans="2:10" ht="25.15" customHeight="1" x14ac:dyDescent="0.3">
      <c r="B185" s="18"/>
      <c r="C185" s="18"/>
      <c r="D185" s="18"/>
      <c r="E185" s="18"/>
      <c r="F185" s="18"/>
      <c r="G185" s="18"/>
      <c r="H185" s="18"/>
      <c r="I185" s="18"/>
    </row>
    <row r="186" spans="2:10" ht="25.15" customHeight="1" x14ac:dyDescent="0.3">
      <c r="B186" s="18"/>
      <c r="C186" s="18"/>
      <c r="D186" s="18"/>
      <c r="E186" s="18"/>
      <c r="F186" s="18"/>
      <c r="G186" s="18"/>
      <c r="H186" s="18"/>
      <c r="I186" s="18"/>
    </row>
    <row r="187" spans="2:10" ht="25.15" customHeight="1" x14ac:dyDescent="0.3">
      <c r="B187" s="18"/>
      <c r="C187" s="18"/>
      <c r="D187" s="18"/>
      <c r="E187" s="18"/>
      <c r="F187" s="18"/>
      <c r="G187" s="18"/>
      <c r="H187" s="18"/>
      <c r="I187" s="18"/>
    </row>
    <row r="188" spans="2:10" ht="25.15" customHeight="1" x14ac:dyDescent="0.3">
      <c r="B188" s="18"/>
      <c r="C188" s="18"/>
      <c r="D188" s="18"/>
      <c r="E188" s="18"/>
      <c r="F188" s="18"/>
      <c r="G188" s="18"/>
      <c r="H188" s="18"/>
      <c r="I188" s="18"/>
    </row>
    <row r="189" spans="2:10" ht="25.15" customHeight="1" x14ac:dyDescent="0.3">
      <c r="B189" s="18"/>
      <c r="C189" s="18"/>
      <c r="D189" s="18"/>
      <c r="E189" s="18"/>
      <c r="F189" s="18"/>
      <c r="G189" s="18"/>
      <c r="H189" s="18"/>
    </row>
    <row r="190" spans="2:10" ht="25.15" customHeight="1" x14ac:dyDescent="0.3">
      <c r="B190" s="18"/>
      <c r="C190" s="18"/>
      <c r="D190" s="18"/>
      <c r="E190" s="18"/>
      <c r="F190" s="18"/>
      <c r="G190" s="18"/>
    </row>
    <row r="191" spans="2:10" ht="25.15" customHeight="1" x14ac:dyDescent="0.3">
      <c r="B191" s="18"/>
      <c r="C191" s="18"/>
      <c r="D191" s="18"/>
    </row>
    <row r="192" spans="2:10" ht="25.15" customHeight="1" x14ac:dyDescent="0.3">
      <c r="B192" s="18"/>
      <c r="C192" s="18"/>
      <c r="D192" s="18"/>
    </row>
    <row r="193" spans="2:3" ht="25.15" customHeight="1" x14ac:dyDescent="0.3">
      <c r="B193" s="18"/>
      <c r="C193" s="18"/>
    </row>
    <row r="194" spans="2:3" ht="25.15" customHeight="1" x14ac:dyDescent="0.3"/>
    <row r="195" spans="2:3" ht="25.15" customHeight="1" x14ac:dyDescent="0.3"/>
    <row r="196" spans="2:3" ht="25.15" customHeight="1" x14ac:dyDescent="0.3"/>
    <row r="197" spans="2:3" ht="25.15" customHeight="1" x14ac:dyDescent="0.3"/>
    <row r="198" spans="2:3" ht="25.15" customHeight="1" x14ac:dyDescent="0.3"/>
    <row r="199" spans="2:3" ht="25.15" customHeight="1" x14ac:dyDescent="0.3"/>
    <row r="200" spans="2:3" ht="25.15" customHeight="1" x14ac:dyDescent="0.3"/>
    <row r="201" spans="2:3" ht="25.15" customHeight="1" x14ac:dyDescent="0.3"/>
    <row r="202" spans="2:3" ht="25.15" customHeight="1" x14ac:dyDescent="0.3"/>
    <row r="203" spans="2:3" ht="25.15" customHeight="1" x14ac:dyDescent="0.3"/>
    <row r="204" spans="2:3" ht="25.15" customHeight="1" x14ac:dyDescent="0.3"/>
    <row r="205" spans="2:3" ht="25.15" customHeight="1" x14ac:dyDescent="0.3"/>
    <row r="206" spans="2:3" ht="25.15" customHeight="1" x14ac:dyDescent="0.3"/>
    <row r="207" spans="2:3" ht="25.15" customHeight="1" x14ac:dyDescent="0.3"/>
    <row r="208" spans="2:3" ht="25.15" customHeight="1" x14ac:dyDescent="0.3"/>
    <row r="209" ht="25.15" customHeight="1" x14ac:dyDescent="0.3"/>
    <row r="210" ht="25.15" customHeight="1" x14ac:dyDescent="0.3"/>
    <row r="211" ht="25.15" customHeight="1" x14ac:dyDescent="0.3"/>
    <row r="212" ht="25.15" customHeight="1" x14ac:dyDescent="0.3"/>
    <row r="213" ht="25.15" customHeight="1" x14ac:dyDescent="0.3"/>
    <row r="214" ht="25.15" customHeight="1" x14ac:dyDescent="0.3"/>
    <row r="215" ht="25.15" customHeight="1" x14ac:dyDescent="0.3"/>
    <row r="216" ht="25.15" customHeight="1" x14ac:dyDescent="0.3"/>
    <row r="217" ht="25.15" customHeight="1" x14ac:dyDescent="0.3"/>
    <row r="218" ht="25.15" customHeight="1" x14ac:dyDescent="0.3"/>
    <row r="219" ht="25.15" customHeight="1" x14ac:dyDescent="0.3"/>
    <row r="220" ht="25.15" customHeight="1" x14ac:dyDescent="0.3"/>
    <row r="221" ht="25.15" customHeight="1" x14ac:dyDescent="0.3"/>
    <row r="222" ht="25.15" customHeight="1" x14ac:dyDescent="0.3"/>
    <row r="223" ht="25.15" customHeight="1" x14ac:dyDescent="0.3"/>
    <row r="224" ht="25.15" customHeight="1" x14ac:dyDescent="0.3"/>
    <row r="225" ht="25.15" customHeight="1" x14ac:dyDescent="0.3"/>
    <row r="226" ht="25.15" customHeight="1" x14ac:dyDescent="0.3"/>
    <row r="227" ht="25.15" customHeight="1" x14ac:dyDescent="0.3"/>
    <row r="228" ht="25.15" customHeight="1" x14ac:dyDescent="0.3"/>
    <row r="229" ht="25.15" customHeight="1" x14ac:dyDescent="0.3"/>
    <row r="230" ht="25.15" customHeight="1" x14ac:dyDescent="0.3"/>
    <row r="231" ht="25.15" customHeight="1" x14ac:dyDescent="0.3"/>
    <row r="232" ht="25.15" customHeight="1" x14ac:dyDescent="0.3"/>
    <row r="233" ht="25.15" customHeight="1" x14ac:dyDescent="0.3"/>
    <row r="234" ht="25.15" customHeight="1" x14ac:dyDescent="0.3"/>
    <row r="235" ht="25.15" customHeight="1" x14ac:dyDescent="0.3"/>
    <row r="236" ht="25.15" customHeight="1" x14ac:dyDescent="0.3"/>
    <row r="237" ht="25.15" customHeight="1" x14ac:dyDescent="0.3"/>
    <row r="238" ht="25.15" customHeight="1" x14ac:dyDescent="0.3"/>
    <row r="239" ht="25.15" customHeight="1" x14ac:dyDescent="0.3"/>
    <row r="240" ht="25.15" customHeight="1" x14ac:dyDescent="0.3"/>
    <row r="241" ht="25.15" customHeight="1" x14ac:dyDescent="0.3"/>
    <row r="242" ht="25.15" customHeight="1" x14ac:dyDescent="0.3"/>
    <row r="243" ht="25.15" customHeight="1" x14ac:dyDescent="0.3"/>
    <row r="244" ht="25.15" customHeight="1" x14ac:dyDescent="0.3"/>
    <row r="245" ht="25.15" customHeight="1" x14ac:dyDescent="0.3"/>
    <row r="246" ht="25.15" customHeight="1" x14ac:dyDescent="0.3"/>
    <row r="247" ht="25.15" customHeight="1" x14ac:dyDescent="0.3"/>
    <row r="248" ht="25.15" customHeight="1" x14ac:dyDescent="0.3"/>
    <row r="249" ht="25.15" customHeight="1" x14ac:dyDescent="0.3"/>
    <row r="250" ht="25.15" customHeight="1" x14ac:dyDescent="0.3"/>
    <row r="251" ht="25.15" customHeight="1" x14ac:dyDescent="0.3"/>
    <row r="252" ht="25.15" customHeight="1" x14ac:dyDescent="0.3"/>
    <row r="253" ht="25.15" customHeight="1" x14ac:dyDescent="0.3"/>
    <row r="254" ht="25.15" customHeight="1" x14ac:dyDescent="0.3"/>
    <row r="255" ht="25.15" customHeight="1" x14ac:dyDescent="0.3"/>
    <row r="256" ht="25.15" customHeight="1" x14ac:dyDescent="0.3"/>
    <row r="257" ht="25.15" customHeight="1" x14ac:dyDescent="0.3"/>
    <row r="258" ht="25.15" customHeight="1" x14ac:dyDescent="0.3"/>
    <row r="259" ht="25.15" customHeight="1" x14ac:dyDescent="0.3"/>
    <row r="260" ht="25.15" customHeight="1" x14ac:dyDescent="0.3"/>
    <row r="261" ht="25.15" customHeight="1" x14ac:dyDescent="0.3"/>
    <row r="262" ht="25.15" customHeight="1" x14ac:dyDescent="0.3"/>
    <row r="263" ht="25.15" customHeight="1" x14ac:dyDescent="0.3"/>
    <row r="264" ht="25.15" customHeight="1" x14ac:dyDescent="0.3"/>
    <row r="265" ht="25.15" customHeight="1" x14ac:dyDescent="0.3"/>
    <row r="266" ht="25.15" customHeight="1" x14ac:dyDescent="0.3"/>
    <row r="267" ht="25.15" customHeight="1" x14ac:dyDescent="0.3"/>
    <row r="268" ht="25.15" customHeight="1" x14ac:dyDescent="0.3"/>
    <row r="269" ht="25.15" customHeight="1" x14ac:dyDescent="0.3"/>
    <row r="270" ht="25.15" customHeight="1" x14ac:dyDescent="0.3"/>
    <row r="271" ht="25.15" customHeight="1" x14ac:dyDescent="0.3"/>
    <row r="272" ht="25.15" customHeight="1" x14ac:dyDescent="0.3"/>
    <row r="273" ht="25.15" customHeight="1" x14ac:dyDescent="0.3"/>
    <row r="274" ht="25.15" customHeight="1" x14ac:dyDescent="0.3"/>
    <row r="275" ht="25.15" customHeight="1" x14ac:dyDescent="0.3"/>
    <row r="276" ht="25.15" customHeight="1" x14ac:dyDescent="0.3"/>
    <row r="277" ht="25.15" customHeight="1" x14ac:dyDescent="0.3"/>
    <row r="278" ht="25.15" customHeight="1" x14ac:dyDescent="0.3"/>
    <row r="279" ht="25.15" customHeight="1" x14ac:dyDescent="0.3"/>
    <row r="280" ht="25.15" customHeight="1" x14ac:dyDescent="0.3"/>
    <row r="281" ht="25.15" customHeight="1" x14ac:dyDescent="0.3"/>
    <row r="282" ht="25.15" customHeight="1" x14ac:dyDescent="0.3"/>
    <row r="283" ht="25.15" customHeight="1" x14ac:dyDescent="0.3"/>
    <row r="284" ht="25.15" customHeight="1" x14ac:dyDescent="0.3"/>
    <row r="285" ht="25.15" customHeight="1" x14ac:dyDescent="0.3"/>
    <row r="286" ht="25.15" customHeight="1" x14ac:dyDescent="0.3"/>
    <row r="287" ht="25.15" customHeight="1" x14ac:dyDescent="0.3"/>
    <row r="288" ht="25.15" customHeight="1" x14ac:dyDescent="0.3"/>
    <row r="289" ht="25.15" customHeight="1" x14ac:dyDescent="0.3"/>
    <row r="290" ht="25.15" customHeight="1" x14ac:dyDescent="0.3"/>
    <row r="291" ht="25.15" customHeight="1" x14ac:dyDescent="0.3"/>
    <row r="292" ht="25.15" customHeight="1" x14ac:dyDescent="0.3"/>
    <row r="293" ht="25.15" customHeight="1" x14ac:dyDescent="0.3"/>
    <row r="294" ht="25.15" customHeight="1" x14ac:dyDescent="0.3"/>
    <row r="295" ht="25.15" customHeight="1" x14ac:dyDescent="0.3"/>
    <row r="296" ht="25.15" customHeight="1" x14ac:dyDescent="0.3"/>
    <row r="297" ht="25.15" customHeight="1" x14ac:dyDescent="0.3"/>
    <row r="298" ht="25.15" customHeight="1" x14ac:dyDescent="0.3"/>
    <row r="299" ht="25.15" customHeight="1" x14ac:dyDescent="0.3"/>
    <row r="300" ht="25.15" customHeight="1" x14ac:dyDescent="0.3"/>
    <row r="301" ht="25.15" customHeight="1" x14ac:dyDescent="0.3"/>
    <row r="302" ht="25.15" customHeight="1" x14ac:dyDescent="0.3"/>
    <row r="303" ht="25.15" customHeight="1" x14ac:dyDescent="0.3"/>
    <row r="304" ht="25.15" customHeight="1" x14ac:dyDescent="0.3"/>
    <row r="305" ht="25.15" customHeight="1" x14ac:dyDescent="0.3"/>
    <row r="306" ht="25.15" customHeight="1" x14ac:dyDescent="0.3"/>
    <row r="307" ht="25.15" customHeight="1" x14ac:dyDescent="0.3"/>
    <row r="308" ht="25.15" customHeight="1" x14ac:dyDescent="0.3"/>
    <row r="309" ht="25.15" customHeight="1" x14ac:dyDescent="0.3"/>
    <row r="310" ht="25.15" customHeight="1" x14ac:dyDescent="0.3"/>
    <row r="311" ht="25.15" customHeight="1" x14ac:dyDescent="0.3"/>
    <row r="312" ht="25.15" customHeight="1" x14ac:dyDescent="0.3"/>
    <row r="313" ht="25.15" customHeight="1" x14ac:dyDescent="0.3"/>
    <row r="314" ht="25.15" customHeight="1" x14ac:dyDescent="0.3"/>
    <row r="315" ht="25.15" customHeight="1" x14ac:dyDescent="0.3"/>
    <row r="316" ht="25.15" customHeight="1" x14ac:dyDescent="0.3"/>
    <row r="317" ht="25.15" customHeight="1" x14ac:dyDescent="0.3"/>
    <row r="318" ht="25.15" customHeight="1" x14ac:dyDescent="0.3"/>
    <row r="319" ht="25.15" customHeight="1" x14ac:dyDescent="0.3"/>
    <row r="320" ht="25.15" customHeight="1" x14ac:dyDescent="0.3"/>
    <row r="321" ht="25.15" customHeight="1" x14ac:dyDescent="0.3"/>
    <row r="322" ht="25.15" customHeight="1" x14ac:dyDescent="0.3"/>
    <row r="323" ht="25.15" customHeight="1" x14ac:dyDescent="0.3"/>
    <row r="324" ht="25.15" customHeight="1" x14ac:dyDescent="0.3"/>
    <row r="325" ht="25.15" customHeight="1" x14ac:dyDescent="0.3"/>
    <row r="326" ht="25.15" customHeight="1" x14ac:dyDescent="0.3"/>
    <row r="327" ht="25.15" customHeight="1" x14ac:dyDescent="0.3"/>
    <row r="328" ht="25.15" customHeight="1" x14ac:dyDescent="0.3"/>
    <row r="329" ht="25.15" customHeight="1" x14ac:dyDescent="0.3"/>
    <row r="330" ht="25.15" customHeight="1" x14ac:dyDescent="0.3"/>
    <row r="331" ht="25.15" customHeight="1" x14ac:dyDescent="0.3"/>
    <row r="332" ht="25.15" customHeight="1" x14ac:dyDescent="0.3"/>
    <row r="333" ht="25.15" customHeight="1" x14ac:dyDescent="0.3"/>
    <row r="334" ht="25.15" customHeight="1" x14ac:dyDescent="0.3"/>
    <row r="335" ht="25.15" customHeight="1" x14ac:dyDescent="0.3"/>
    <row r="336" ht="25.15" customHeight="1" x14ac:dyDescent="0.3"/>
    <row r="337" ht="25.15" customHeight="1" x14ac:dyDescent="0.3"/>
    <row r="338" ht="25.15" customHeight="1" x14ac:dyDescent="0.3"/>
    <row r="339" ht="25.15" customHeight="1" x14ac:dyDescent="0.3"/>
    <row r="340" ht="25.15" customHeight="1" x14ac:dyDescent="0.3"/>
    <row r="341" ht="25.15" customHeight="1" x14ac:dyDescent="0.3"/>
    <row r="342" ht="25.15" customHeight="1" x14ac:dyDescent="0.3"/>
    <row r="343" ht="25.15" customHeight="1" x14ac:dyDescent="0.3"/>
    <row r="344" ht="25.15" customHeight="1" x14ac:dyDescent="0.3"/>
    <row r="345" ht="25.15" customHeight="1" x14ac:dyDescent="0.3"/>
    <row r="346" ht="25.15" customHeight="1" x14ac:dyDescent="0.3"/>
    <row r="347" ht="25.15" customHeight="1" x14ac:dyDescent="0.3"/>
    <row r="348" ht="25.15" customHeight="1" x14ac:dyDescent="0.3"/>
    <row r="349" ht="25.15" customHeight="1" x14ac:dyDescent="0.3"/>
    <row r="350" ht="25.15" customHeight="1" x14ac:dyDescent="0.3"/>
    <row r="351" ht="25.15" customHeight="1" x14ac:dyDescent="0.3"/>
    <row r="352" ht="25.15" customHeight="1" x14ac:dyDescent="0.3"/>
    <row r="353" ht="25.15" customHeight="1" x14ac:dyDescent="0.3"/>
    <row r="354" ht="25.15" customHeight="1" x14ac:dyDescent="0.3"/>
    <row r="355" ht="25.15" customHeight="1" x14ac:dyDescent="0.3"/>
    <row r="356" ht="25.15" customHeight="1" x14ac:dyDescent="0.3"/>
    <row r="357" ht="25.15" customHeight="1" x14ac:dyDescent="0.3"/>
    <row r="358" ht="25.15" customHeight="1" x14ac:dyDescent="0.3"/>
    <row r="359" ht="25.15" customHeight="1" x14ac:dyDescent="0.3"/>
    <row r="360" ht="25.15" customHeight="1" x14ac:dyDescent="0.3"/>
    <row r="361" ht="25.15" customHeight="1" x14ac:dyDescent="0.3"/>
    <row r="362" ht="25.15" customHeight="1" x14ac:dyDescent="0.3"/>
    <row r="363" ht="25.15" customHeight="1" x14ac:dyDescent="0.3"/>
    <row r="364" ht="25.15" customHeight="1" x14ac:dyDescent="0.3"/>
    <row r="365" ht="25.15" customHeight="1" x14ac:dyDescent="0.3"/>
    <row r="366" ht="25.15" customHeight="1" x14ac:dyDescent="0.3"/>
    <row r="367" ht="25.15" customHeight="1" x14ac:dyDescent="0.3"/>
    <row r="368" ht="25.15" customHeight="1" x14ac:dyDescent="0.3"/>
    <row r="369" ht="25.15" customHeight="1" x14ac:dyDescent="0.3"/>
    <row r="370" ht="25.15" customHeight="1" x14ac:dyDescent="0.3"/>
    <row r="371" ht="25.15" customHeight="1" x14ac:dyDescent="0.3"/>
    <row r="372" ht="25.15" customHeight="1" x14ac:dyDescent="0.3"/>
    <row r="373" ht="25.15" customHeight="1" x14ac:dyDescent="0.3"/>
    <row r="374" ht="25.15" customHeight="1" x14ac:dyDescent="0.3"/>
    <row r="375" ht="25.15" customHeight="1" x14ac:dyDescent="0.3"/>
    <row r="376" ht="25.15" customHeight="1" x14ac:dyDescent="0.3"/>
    <row r="377" ht="25.15" customHeight="1" x14ac:dyDescent="0.3"/>
    <row r="378" ht="25.15" customHeight="1" x14ac:dyDescent="0.3"/>
    <row r="379" ht="25.15" customHeight="1" x14ac:dyDescent="0.3"/>
    <row r="380" ht="25.15" customHeight="1" x14ac:dyDescent="0.3"/>
    <row r="381" ht="25.15" customHeight="1" x14ac:dyDescent="0.3"/>
    <row r="382" ht="25.15" customHeight="1" x14ac:dyDescent="0.3"/>
    <row r="383" ht="25.15" customHeight="1" x14ac:dyDescent="0.3"/>
    <row r="384" ht="25.15" customHeight="1" x14ac:dyDescent="0.3"/>
    <row r="385" ht="25.15" customHeight="1" x14ac:dyDescent="0.3"/>
    <row r="386" ht="25.15" customHeight="1" x14ac:dyDescent="0.3"/>
    <row r="387" ht="25.15" customHeight="1" x14ac:dyDescent="0.3"/>
    <row r="388" ht="25.15" customHeight="1" x14ac:dyDescent="0.3"/>
    <row r="389" ht="25.15" customHeight="1" x14ac:dyDescent="0.3"/>
    <row r="390" ht="25.15" customHeight="1" x14ac:dyDescent="0.3"/>
    <row r="391" ht="25.15" customHeight="1" x14ac:dyDescent="0.3"/>
    <row r="392" ht="25.15" customHeight="1" x14ac:dyDescent="0.3"/>
    <row r="393" ht="25.15" customHeight="1" x14ac:dyDescent="0.3"/>
    <row r="394" ht="25.15" customHeight="1" x14ac:dyDescent="0.3"/>
    <row r="395" ht="25.15" customHeight="1" x14ac:dyDescent="0.3"/>
    <row r="396" ht="25.15" customHeight="1" x14ac:dyDescent="0.3"/>
    <row r="397" ht="25.15" customHeight="1" x14ac:dyDescent="0.3"/>
    <row r="398" ht="25.15" customHeight="1" x14ac:dyDescent="0.3"/>
    <row r="399" ht="25.15" customHeight="1" x14ac:dyDescent="0.3"/>
    <row r="400" ht="25.15" customHeight="1" x14ac:dyDescent="0.3"/>
    <row r="401" ht="25.15" customHeight="1" x14ac:dyDescent="0.3"/>
    <row r="402" ht="25.15" customHeight="1" x14ac:dyDescent="0.3"/>
    <row r="403" ht="25.15" customHeight="1" x14ac:dyDescent="0.3"/>
    <row r="404" ht="25.15" customHeight="1" x14ac:dyDescent="0.3"/>
    <row r="405" ht="25.15" customHeight="1" x14ac:dyDescent="0.3"/>
    <row r="406" ht="25.15" customHeight="1" x14ac:dyDescent="0.3"/>
    <row r="407" ht="25.15" customHeight="1" x14ac:dyDescent="0.3"/>
    <row r="408" ht="25.15" customHeight="1" x14ac:dyDescent="0.3"/>
    <row r="409" ht="25.15" customHeight="1" x14ac:dyDescent="0.3"/>
    <row r="410" ht="25.15" customHeight="1" x14ac:dyDescent="0.3"/>
    <row r="411" ht="25.15" customHeight="1" x14ac:dyDescent="0.3"/>
    <row r="412" ht="25.15" customHeight="1" x14ac:dyDescent="0.3"/>
    <row r="413" ht="25.15" customHeight="1" x14ac:dyDescent="0.3"/>
    <row r="414" ht="25.15" customHeight="1" x14ac:dyDescent="0.3"/>
    <row r="415" ht="25.15" customHeight="1" x14ac:dyDescent="0.3"/>
    <row r="416" ht="25.15" customHeight="1" x14ac:dyDescent="0.3"/>
    <row r="417" ht="25.15" customHeight="1" x14ac:dyDescent="0.3"/>
    <row r="418" ht="25.15" customHeight="1" x14ac:dyDescent="0.3"/>
    <row r="419" ht="25.15" customHeight="1" x14ac:dyDescent="0.3"/>
    <row r="420" ht="25.15" customHeight="1" x14ac:dyDescent="0.3"/>
    <row r="421" ht="25.15" customHeight="1" x14ac:dyDescent="0.3"/>
    <row r="422" ht="25.15" customHeight="1" x14ac:dyDescent="0.3"/>
    <row r="423" ht="25.15" customHeight="1" x14ac:dyDescent="0.3"/>
    <row r="424" ht="25.15" customHeight="1" x14ac:dyDescent="0.3"/>
    <row r="425" ht="25.15" customHeight="1" x14ac:dyDescent="0.3"/>
    <row r="426" ht="25.15" customHeight="1" x14ac:dyDescent="0.3"/>
    <row r="427" ht="25.15" customHeight="1" x14ac:dyDescent="0.3"/>
    <row r="428" ht="25.15" customHeight="1" x14ac:dyDescent="0.3"/>
    <row r="429" ht="25.15" customHeight="1" x14ac:dyDescent="0.3"/>
    <row r="430" ht="25.15" customHeight="1" x14ac:dyDescent="0.3"/>
    <row r="431" ht="25.15" customHeight="1" x14ac:dyDescent="0.3"/>
    <row r="432" ht="25.15" customHeight="1" x14ac:dyDescent="0.3"/>
    <row r="433" ht="25.15" customHeight="1" x14ac:dyDescent="0.3"/>
    <row r="434" ht="25.15" customHeight="1" x14ac:dyDescent="0.3"/>
    <row r="435" ht="25.15" customHeight="1" x14ac:dyDescent="0.3"/>
    <row r="436" ht="25.15" customHeight="1" x14ac:dyDescent="0.3"/>
    <row r="437" ht="25.15" customHeight="1" x14ac:dyDescent="0.3"/>
    <row r="438" ht="25.15" customHeight="1" x14ac:dyDescent="0.3"/>
    <row r="439" ht="25.15" customHeight="1" x14ac:dyDescent="0.3"/>
    <row r="440" ht="25.15" customHeight="1" x14ac:dyDescent="0.3"/>
    <row r="441" ht="25.15" customHeight="1" x14ac:dyDescent="0.3"/>
    <row r="442" ht="25.15" customHeight="1" x14ac:dyDescent="0.3"/>
    <row r="443" ht="25.15" customHeight="1" x14ac:dyDescent="0.3"/>
    <row r="444" ht="25.15" customHeight="1" x14ac:dyDescent="0.3"/>
    <row r="445" ht="25.15" customHeight="1" x14ac:dyDescent="0.3"/>
    <row r="446" ht="25.15" customHeight="1" x14ac:dyDescent="0.3"/>
    <row r="447" ht="25.15" customHeight="1" x14ac:dyDescent="0.3"/>
    <row r="448" ht="25.15" customHeight="1" x14ac:dyDescent="0.3"/>
    <row r="449" ht="25.15" customHeight="1" x14ac:dyDescent="0.3"/>
    <row r="450" ht="25.15" customHeight="1" x14ac:dyDescent="0.3"/>
    <row r="451" ht="25.15" customHeight="1" x14ac:dyDescent="0.3"/>
    <row r="452" ht="25.15" customHeight="1" x14ac:dyDescent="0.3"/>
    <row r="453" ht="25.15" customHeight="1" x14ac:dyDescent="0.3"/>
    <row r="454" ht="25.15" customHeight="1" x14ac:dyDescent="0.3"/>
    <row r="455" ht="25.15" customHeight="1" x14ac:dyDescent="0.3"/>
    <row r="456" ht="25.15" customHeight="1" x14ac:dyDescent="0.3"/>
    <row r="457" ht="25.15" customHeight="1" x14ac:dyDescent="0.3"/>
    <row r="458" ht="25.15" customHeight="1" x14ac:dyDescent="0.3"/>
    <row r="459" ht="25.15" customHeight="1" x14ac:dyDescent="0.3"/>
    <row r="460" ht="25.15" customHeight="1" x14ac:dyDescent="0.3"/>
    <row r="461" ht="25.15" customHeight="1" x14ac:dyDescent="0.3"/>
    <row r="462" ht="25.15" customHeight="1" x14ac:dyDescent="0.3"/>
    <row r="463" ht="25.15" customHeight="1" x14ac:dyDescent="0.3"/>
    <row r="464" ht="25.15" customHeight="1" x14ac:dyDescent="0.3"/>
    <row r="465" ht="25.15" customHeight="1" x14ac:dyDescent="0.3"/>
    <row r="466" ht="25.15" customHeight="1" x14ac:dyDescent="0.3"/>
    <row r="467" ht="25.15" customHeight="1" x14ac:dyDescent="0.3"/>
    <row r="468" ht="25.15" customHeight="1" x14ac:dyDescent="0.3"/>
    <row r="469" ht="25.15" customHeight="1" x14ac:dyDescent="0.3"/>
    <row r="470" ht="25.15" customHeight="1" x14ac:dyDescent="0.3"/>
    <row r="471" ht="25.15" customHeight="1" x14ac:dyDescent="0.3"/>
    <row r="472" ht="25.15" customHeight="1" x14ac:dyDescent="0.3"/>
    <row r="473" ht="25.15" customHeight="1" x14ac:dyDescent="0.3"/>
    <row r="474" ht="25.15" customHeight="1" x14ac:dyDescent="0.3"/>
    <row r="475" ht="25.15" customHeight="1" x14ac:dyDescent="0.3"/>
    <row r="476" ht="25.15" customHeight="1" x14ac:dyDescent="0.3"/>
    <row r="477" ht="25.15" customHeight="1" x14ac:dyDescent="0.3"/>
    <row r="478" ht="25.15" customHeight="1" x14ac:dyDescent="0.3"/>
    <row r="479" ht="25.15" customHeight="1" x14ac:dyDescent="0.3"/>
    <row r="480" ht="25.15" customHeight="1" x14ac:dyDescent="0.3"/>
    <row r="481" ht="25.15" customHeight="1" x14ac:dyDescent="0.3"/>
    <row r="482" ht="25.15" customHeight="1" x14ac:dyDescent="0.3"/>
    <row r="483" ht="25.15" customHeight="1" x14ac:dyDescent="0.3"/>
    <row r="484" ht="25.15" customHeight="1" x14ac:dyDescent="0.3"/>
    <row r="485" ht="25.15" customHeight="1" x14ac:dyDescent="0.3"/>
    <row r="486" ht="25.15" customHeight="1" x14ac:dyDescent="0.3"/>
    <row r="487" ht="25.15" customHeight="1" x14ac:dyDescent="0.3"/>
    <row r="488" ht="25.15" customHeight="1" x14ac:dyDescent="0.3"/>
    <row r="489" ht="25.15" customHeight="1" x14ac:dyDescent="0.3"/>
    <row r="490" ht="25.15" customHeight="1" x14ac:dyDescent="0.3"/>
    <row r="491" ht="25.15" customHeight="1" x14ac:dyDescent="0.3"/>
    <row r="492" ht="25.15" customHeight="1" x14ac:dyDescent="0.3"/>
    <row r="493" ht="25.15" customHeight="1" x14ac:dyDescent="0.3"/>
    <row r="494" ht="25.15" customHeight="1" x14ac:dyDescent="0.3"/>
    <row r="495" ht="25.15" customHeight="1" x14ac:dyDescent="0.3"/>
    <row r="496" ht="25.15" customHeight="1" x14ac:dyDescent="0.3"/>
    <row r="497" ht="25.15" customHeight="1" x14ac:dyDescent="0.3"/>
    <row r="498" ht="25.15" customHeight="1" x14ac:dyDescent="0.3"/>
    <row r="499" ht="25.15" customHeight="1" x14ac:dyDescent="0.3"/>
    <row r="500" ht="25.15" customHeight="1" x14ac:dyDescent="0.3"/>
    <row r="501" ht="25.15" customHeight="1" x14ac:dyDescent="0.3"/>
    <row r="502" ht="25.15" customHeight="1" x14ac:dyDescent="0.3"/>
    <row r="503" ht="25.15" customHeight="1" x14ac:dyDescent="0.3"/>
    <row r="504" ht="25.15" customHeight="1" x14ac:dyDescent="0.3"/>
    <row r="505" ht="25.15" customHeight="1" x14ac:dyDescent="0.3"/>
    <row r="506" ht="25.15" customHeight="1" x14ac:dyDescent="0.3"/>
    <row r="507" ht="25.15" customHeight="1" x14ac:dyDescent="0.3"/>
    <row r="508" ht="25.15" customHeight="1" x14ac:dyDescent="0.3"/>
    <row r="509" ht="25.15" customHeight="1" x14ac:dyDescent="0.3"/>
    <row r="510" ht="25.15" customHeight="1" x14ac:dyDescent="0.3"/>
    <row r="511" ht="25.15" customHeight="1" x14ac:dyDescent="0.3"/>
    <row r="512" ht="25.15" customHeight="1" x14ac:dyDescent="0.3"/>
    <row r="513" ht="25.15" customHeight="1" x14ac:dyDescent="0.3"/>
    <row r="514" ht="25.15" customHeight="1" x14ac:dyDescent="0.3"/>
    <row r="515" ht="25.15" customHeight="1" x14ac:dyDescent="0.3"/>
    <row r="516" ht="25.15" customHeight="1" x14ac:dyDescent="0.3"/>
    <row r="517" ht="25.15" customHeight="1" x14ac:dyDescent="0.3"/>
    <row r="518" ht="25.15" customHeight="1" x14ac:dyDescent="0.3"/>
    <row r="519" ht="25.15" customHeight="1" x14ac:dyDescent="0.3"/>
    <row r="520" ht="25.15" customHeight="1" x14ac:dyDescent="0.3"/>
    <row r="521" ht="25.15" customHeight="1" x14ac:dyDescent="0.3"/>
    <row r="522" ht="25.15" customHeight="1" x14ac:dyDescent="0.3"/>
    <row r="523" ht="25.15" customHeight="1" x14ac:dyDescent="0.3"/>
    <row r="524" ht="25.15" customHeight="1" x14ac:dyDescent="0.3"/>
    <row r="525" ht="25.15" customHeight="1" x14ac:dyDescent="0.3"/>
    <row r="526" ht="25.15" customHeight="1" x14ac:dyDescent="0.3"/>
    <row r="527" ht="25.15" customHeight="1" x14ac:dyDescent="0.3"/>
    <row r="528" ht="25.15" customHeight="1" x14ac:dyDescent="0.3"/>
    <row r="529" ht="25.15" customHeight="1" x14ac:dyDescent="0.3"/>
    <row r="530" ht="25.15" customHeight="1" x14ac:dyDescent="0.3"/>
    <row r="531" ht="25.15" customHeight="1" x14ac:dyDescent="0.3"/>
    <row r="532" ht="25.15" customHeight="1" x14ac:dyDescent="0.3"/>
    <row r="533" ht="25.15" customHeight="1" x14ac:dyDescent="0.3"/>
    <row r="534" ht="25.15" customHeight="1" x14ac:dyDescent="0.3"/>
    <row r="535" ht="25.15" customHeight="1" x14ac:dyDescent="0.3"/>
    <row r="536" ht="25.15" customHeight="1" x14ac:dyDescent="0.3"/>
    <row r="537" ht="25.15" customHeight="1" x14ac:dyDescent="0.3"/>
    <row r="538" ht="25.15" customHeight="1" x14ac:dyDescent="0.3"/>
    <row r="539" ht="25.15" customHeight="1" x14ac:dyDescent="0.3"/>
    <row r="540" ht="25.15" customHeight="1" x14ac:dyDescent="0.3"/>
    <row r="541" ht="25.15" customHeight="1" x14ac:dyDescent="0.3"/>
    <row r="542" ht="25.15" customHeight="1" x14ac:dyDescent="0.3"/>
    <row r="543" ht="25.15" customHeight="1" x14ac:dyDescent="0.3"/>
    <row r="544" ht="25.15" customHeight="1" x14ac:dyDescent="0.3"/>
    <row r="545" ht="25.15" customHeight="1" x14ac:dyDescent="0.3"/>
    <row r="546" ht="25.15" customHeight="1" x14ac:dyDescent="0.3"/>
    <row r="547" ht="25.15" customHeight="1" x14ac:dyDescent="0.3"/>
    <row r="548" ht="25.15" customHeight="1" x14ac:dyDescent="0.3"/>
    <row r="549" ht="25.15" customHeight="1" x14ac:dyDescent="0.3"/>
    <row r="550" ht="25.15" customHeight="1" x14ac:dyDescent="0.3"/>
    <row r="551" ht="25.15" customHeight="1" x14ac:dyDescent="0.3"/>
    <row r="552" ht="25.15" customHeight="1" x14ac:dyDescent="0.3"/>
    <row r="553" ht="25.15" customHeight="1" x14ac:dyDescent="0.3"/>
    <row r="554" ht="25.15" customHeight="1" x14ac:dyDescent="0.3"/>
    <row r="555" ht="25.15" customHeight="1" x14ac:dyDescent="0.3"/>
    <row r="556" ht="25.15" customHeight="1" x14ac:dyDescent="0.3"/>
    <row r="557" ht="25.15" customHeight="1" x14ac:dyDescent="0.3"/>
    <row r="558" ht="25.15" customHeight="1" x14ac:dyDescent="0.3"/>
    <row r="559" ht="25.15" customHeight="1" x14ac:dyDescent="0.3"/>
    <row r="560" ht="25.15" customHeight="1" x14ac:dyDescent="0.3"/>
    <row r="561" ht="25.15" customHeight="1" x14ac:dyDescent="0.3"/>
    <row r="562" ht="25.15" customHeight="1" x14ac:dyDescent="0.3"/>
    <row r="563" ht="25.15" customHeight="1" x14ac:dyDescent="0.3"/>
    <row r="564" ht="25.15" customHeight="1" x14ac:dyDescent="0.3"/>
    <row r="565" ht="25.15" customHeight="1" x14ac:dyDescent="0.3"/>
    <row r="566" ht="25.15" customHeight="1" x14ac:dyDescent="0.3"/>
    <row r="567" ht="25.15" customHeight="1" x14ac:dyDescent="0.3"/>
    <row r="568" ht="25.15" customHeight="1" x14ac:dyDescent="0.3"/>
    <row r="569" ht="25.15" customHeight="1" x14ac:dyDescent="0.3"/>
    <row r="570" ht="25.15" customHeight="1" x14ac:dyDescent="0.3"/>
    <row r="571" ht="25.15" customHeight="1" x14ac:dyDescent="0.3"/>
    <row r="572" ht="25.15" customHeight="1" x14ac:dyDescent="0.3"/>
    <row r="573" ht="25.15" customHeight="1" x14ac:dyDescent="0.3"/>
    <row r="574" ht="25.15" customHeight="1" x14ac:dyDescent="0.3"/>
    <row r="575" ht="25.15" customHeight="1" x14ac:dyDescent="0.3"/>
    <row r="576" ht="25.15" customHeight="1" x14ac:dyDescent="0.3"/>
    <row r="577" ht="25.15" customHeight="1" x14ac:dyDescent="0.3"/>
    <row r="578" ht="25.15" customHeight="1" x14ac:dyDescent="0.3"/>
    <row r="579" ht="25.15" customHeight="1" x14ac:dyDescent="0.3"/>
    <row r="580" ht="25.15" customHeight="1" x14ac:dyDescent="0.3"/>
    <row r="581" ht="25.15" customHeight="1" x14ac:dyDescent="0.3"/>
    <row r="582" ht="25.15" customHeight="1" x14ac:dyDescent="0.3"/>
    <row r="583" ht="25.15" customHeight="1" x14ac:dyDescent="0.3"/>
    <row r="584" ht="25.15" customHeight="1" x14ac:dyDescent="0.3"/>
    <row r="585" ht="25.15" customHeight="1" x14ac:dyDescent="0.3"/>
    <row r="586" ht="25.15" customHeight="1" x14ac:dyDescent="0.3"/>
    <row r="587" ht="25.15" customHeight="1" x14ac:dyDescent="0.3"/>
    <row r="588" ht="25.15" customHeight="1" x14ac:dyDescent="0.3"/>
    <row r="589" ht="25.15" customHeight="1" x14ac:dyDescent="0.3"/>
    <row r="590" ht="25.15" customHeight="1" x14ac:dyDescent="0.3"/>
    <row r="591" ht="25.15" customHeight="1" x14ac:dyDescent="0.3"/>
    <row r="592" ht="25.15" customHeight="1" x14ac:dyDescent="0.3"/>
    <row r="593" ht="25.15" customHeight="1" x14ac:dyDescent="0.3"/>
    <row r="594" ht="25.15" customHeight="1" x14ac:dyDescent="0.3"/>
    <row r="595" ht="25.15" customHeight="1" x14ac:dyDescent="0.3"/>
    <row r="596" ht="25.15" customHeight="1" x14ac:dyDescent="0.3"/>
    <row r="597" ht="25.15" customHeight="1" x14ac:dyDescent="0.3"/>
    <row r="598" ht="25.15" customHeight="1" x14ac:dyDescent="0.3"/>
    <row r="599" ht="25.15" customHeight="1" x14ac:dyDescent="0.3"/>
    <row r="600" ht="25.15" customHeight="1" x14ac:dyDescent="0.3"/>
    <row r="601" ht="25.15" customHeight="1" x14ac:dyDescent="0.3"/>
    <row r="602" ht="25.15" customHeight="1" x14ac:dyDescent="0.3"/>
    <row r="603" ht="25.15" customHeight="1" x14ac:dyDescent="0.3"/>
    <row r="604" ht="25.15" customHeight="1" x14ac:dyDescent="0.3"/>
    <row r="605" ht="25.15" customHeight="1" x14ac:dyDescent="0.3"/>
    <row r="606" ht="25.15" customHeight="1" x14ac:dyDescent="0.3"/>
    <row r="607" ht="25.15" customHeight="1" x14ac:dyDescent="0.3"/>
    <row r="608" ht="25.15" customHeight="1" x14ac:dyDescent="0.3"/>
    <row r="609" ht="25.15" customHeight="1" x14ac:dyDescent="0.3"/>
    <row r="610" ht="25.15" customHeight="1" x14ac:dyDescent="0.3"/>
    <row r="611" ht="25.15" customHeight="1" x14ac:dyDescent="0.3"/>
    <row r="612" ht="25.15" customHeight="1" x14ac:dyDescent="0.3"/>
    <row r="613" ht="25.15" customHeight="1" x14ac:dyDescent="0.3"/>
    <row r="614" ht="25.15" customHeight="1" x14ac:dyDescent="0.3"/>
    <row r="615" ht="25.15" customHeight="1" x14ac:dyDescent="0.3"/>
    <row r="616" ht="25.15" customHeight="1" x14ac:dyDescent="0.3"/>
    <row r="617" ht="25.15" customHeight="1" x14ac:dyDescent="0.3"/>
    <row r="618" ht="25.15" customHeight="1" x14ac:dyDescent="0.3"/>
    <row r="619" ht="25.15" customHeight="1" x14ac:dyDescent="0.3"/>
    <row r="620" ht="25.15" customHeight="1" x14ac:dyDescent="0.3"/>
    <row r="621" ht="25.15" customHeight="1" x14ac:dyDescent="0.3"/>
    <row r="622" ht="25.15" customHeight="1" x14ac:dyDescent="0.3"/>
    <row r="623" ht="25.15" customHeight="1" x14ac:dyDescent="0.3"/>
    <row r="624" ht="25.15" customHeight="1" x14ac:dyDescent="0.3"/>
    <row r="625" ht="25.15" customHeight="1" x14ac:dyDescent="0.3"/>
    <row r="626" ht="25.15" customHeight="1" x14ac:dyDescent="0.3"/>
    <row r="627" ht="25.15" customHeight="1" x14ac:dyDescent="0.3"/>
    <row r="628" ht="25.15" customHeight="1" x14ac:dyDescent="0.3"/>
    <row r="629" ht="25.15" customHeight="1" x14ac:dyDescent="0.3"/>
    <row r="630" ht="25.15" customHeight="1" x14ac:dyDescent="0.3"/>
    <row r="631" ht="25.15" customHeight="1" x14ac:dyDescent="0.3"/>
    <row r="632" ht="25.15" customHeight="1" x14ac:dyDescent="0.3"/>
    <row r="633" ht="25.15" customHeight="1" x14ac:dyDescent="0.3"/>
    <row r="634" ht="25.15" customHeight="1" x14ac:dyDescent="0.3"/>
    <row r="635" ht="25.15" customHeight="1" x14ac:dyDescent="0.3"/>
    <row r="636" ht="25.15" customHeight="1" x14ac:dyDescent="0.3"/>
    <row r="637" ht="25.15" customHeight="1" x14ac:dyDescent="0.3"/>
    <row r="638" ht="25.15" customHeight="1" x14ac:dyDescent="0.3"/>
    <row r="639" ht="25.15" customHeight="1" x14ac:dyDescent="0.3"/>
    <row r="640" ht="25.15" customHeight="1" x14ac:dyDescent="0.3"/>
    <row r="641" ht="25.15" customHeight="1" x14ac:dyDescent="0.3"/>
    <row r="642" ht="25.15" customHeight="1" x14ac:dyDescent="0.3"/>
    <row r="643" ht="25.15" customHeight="1" x14ac:dyDescent="0.3"/>
    <row r="644" ht="25.15" customHeight="1" x14ac:dyDescent="0.3"/>
    <row r="645" ht="25.15" customHeight="1" x14ac:dyDescent="0.3"/>
    <row r="646" ht="25.15" customHeight="1" x14ac:dyDescent="0.3"/>
    <row r="647" ht="25.15" customHeight="1" x14ac:dyDescent="0.3"/>
    <row r="648" ht="25.15" customHeight="1" x14ac:dyDescent="0.3"/>
    <row r="649" ht="25.15" customHeight="1" x14ac:dyDescent="0.3"/>
    <row r="650" ht="25.15" customHeight="1" x14ac:dyDescent="0.3"/>
    <row r="651" ht="25.15" customHeight="1" x14ac:dyDescent="0.3"/>
    <row r="652" ht="25.15" customHeight="1" x14ac:dyDescent="0.3"/>
    <row r="653" ht="25.15" customHeight="1" x14ac:dyDescent="0.3"/>
    <row r="654" ht="25.15" customHeight="1" x14ac:dyDescent="0.3"/>
    <row r="655" ht="25.15" customHeight="1" x14ac:dyDescent="0.3"/>
    <row r="656" ht="25.15" customHeight="1" x14ac:dyDescent="0.3"/>
    <row r="657" ht="25.15" customHeight="1" x14ac:dyDescent="0.3"/>
    <row r="658" ht="25.15" customHeight="1" x14ac:dyDescent="0.3"/>
    <row r="659" ht="25.15" customHeight="1" x14ac:dyDescent="0.3"/>
    <row r="660" ht="25.15" customHeight="1" x14ac:dyDescent="0.3"/>
    <row r="661" ht="25.15" customHeight="1" x14ac:dyDescent="0.3"/>
    <row r="662" ht="25.15" customHeight="1" x14ac:dyDescent="0.3"/>
    <row r="663" ht="25.15" customHeight="1" x14ac:dyDescent="0.3"/>
    <row r="664" ht="25.15" customHeight="1" x14ac:dyDescent="0.3"/>
    <row r="665" ht="25.15" customHeight="1" x14ac:dyDescent="0.3"/>
    <row r="666" ht="25.15" customHeight="1" x14ac:dyDescent="0.3"/>
    <row r="667" ht="25.15" customHeight="1" x14ac:dyDescent="0.3"/>
    <row r="668" ht="25.15" customHeight="1" x14ac:dyDescent="0.3"/>
    <row r="669" ht="25.15" customHeight="1" x14ac:dyDescent="0.3"/>
    <row r="670" ht="25.15" customHeight="1" x14ac:dyDescent="0.3"/>
    <row r="671" ht="25.15" customHeight="1" x14ac:dyDescent="0.3"/>
    <row r="672" ht="25.15" customHeight="1" x14ac:dyDescent="0.3"/>
    <row r="673" ht="25.15" customHeight="1" x14ac:dyDescent="0.3"/>
    <row r="674" ht="25.15" customHeight="1" x14ac:dyDescent="0.3"/>
    <row r="675" ht="25.15" customHeight="1" x14ac:dyDescent="0.3"/>
    <row r="676" ht="25.15" customHeight="1" x14ac:dyDescent="0.3"/>
    <row r="677" ht="25.15" customHeight="1" x14ac:dyDescent="0.3"/>
    <row r="678" ht="25.15" customHeight="1" x14ac:dyDescent="0.3"/>
    <row r="679" ht="25.15" customHeight="1" x14ac:dyDescent="0.3"/>
    <row r="680" ht="25.15" customHeight="1" x14ac:dyDescent="0.3"/>
    <row r="681" ht="25.15" customHeight="1" x14ac:dyDescent="0.3"/>
    <row r="682" ht="25.15" customHeight="1" x14ac:dyDescent="0.3"/>
    <row r="683" ht="25.15" customHeight="1" x14ac:dyDescent="0.3"/>
    <row r="684" ht="25.15" customHeight="1" x14ac:dyDescent="0.3"/>
    <row r="685" ht="25.15" customHeight="1" x14ac:dyDescent="0.3"/>
    <row r="686" ht="25.15" customHeight="1" x14ac:dyDescent="0.3"/>
    <row r="687" ht="25.15" customHeight="1" x14ac:dyDescent="0.3"/>
    <row r="688" ht="25.15" customHeight="1" x14ac:dyDescent="0.3"/>
    <row r="689" ht="25.15" customHeight="1" x14ac:dyDescent="0.3"/>
    <row r="690" ht="25.15" customHeight="1" x14ac:dyDescent="0.3"/>
    <row r="691" ht="25.15" customHeight="1" x14ac:dyDescent="0.3"/>
    <row r="692" ht="25.15" customHeight="1" x14ac:dyDescent="0.3"/>
    <row r="693" ht="25.15" customHeight="1" x14ac:dyDescent="0.3"/>
    <row r="694" ht="25.15" customHeight="1" x14ac:dyDescent="0.3"/>
    <row r="695" ht="25.15" customHeight="1" x14ac:dyDescent="0.3"/>
    <row r="696" ht="25.15" customHeight="1" x14ac:dyDescent="0.3"/>
    <row r="697" ht="25.15" customHeight="1" x14ac:dyDescent="0.3"/>
    <row r="698" ht="25.15" customHeight="1" x14ac:dyDescent="0.3"/>
    <row r="699" ht="25.15" customHeight="1" x14ac:dyDescent="0.3"/>
    <row r="700" ht="25.15" customHeight="1" x14ac:dyDescent="0.3"/>
    <row r="701" ht="25.15" customHeight="1" x14ac:dyDescent="0.3"/>
    <row r="702" ht="25.15" customHeight="1" x14ac:dyDescent="0.3"/>
    <row r="703" ht="25.15" customHeight="1" x14ac:dyDescent="0.3"/>
    <row r="704" ht="25.15" customHeight="1" x14ac:dyDescent="0.3"/>
    <row r="705" ht="25.15" customHeight="1" x14ac:dyDescent="0.3"/>
    <row r="706" ht="25.15" customHeight="1" x14ac:dyDescent="0.3"/>
    <row r="707" ht="25.15" customHeight="1" x14ac:dyDescent="0.3"/>
    <row r="708" ht="25.15" customHeight="1" x14ac:dyDescent="0.3"/>
    <row r="709" ht="25.15" customHeight="1" x14ac:dyDescent="0.3"/>
    <row r="710" ht="25.15" customHeight="1" x14ac:dyDescent="0.3"/>
    <row r="711" ht="25.15" customHeight="1" x14ac:dyDescent="0.3"/>
    <row r="712" ht="25.15" customHeight="1" x14ac:dyDescent="0.3"/>
    <row r="713" ht="25.15" customHeight="1" x14ac:dyDescent="0.3"/>
    <row r="714" ht="25.15" customHeight="1" x14ac:dyDescent="0.3"/>
    <row r="715" ht="25.15" customHeight="1" x14ac:dyDescent="0.3"/>
    <row r="716" ht="25.15" customHeight="1" x14ac:dyDescent="0.3"/>
    <row r="717" ht="25.15" customHeight="1" x14ac:dyDescent="0.3"/>
    <row r="718" ht="25.15" customHeight="1" x14ac:dyDescent="0.3"/>
    <row r="719" ht="25.15" customHeight="1" x14ac:dyDescent="0.3"/>
    <row r="720" ht="25.15" customHeight="1" x14ac:dyDescent="0.3"/>
    <row r="721" ht="25.15" customHeight="1" x14ac:dyDescent="0.3"/>
    <row r="722" ht="25.15" customHeight="1" x14ac:dyDescent="0.3"/>
    <row r="723" ht="25.15" customHeight="1" x14ac:dyDescent="0.3"/>
    <row r="724" ht="25.15" customHeight="1" x14ac:dyDescent="0.3"/>
    <row r="725" ht="25.15" customHeight="1" x14ac:dyDescent="0.3"/>
    <row r="726" ht="25.15" customHeight="1" x14ac:dyDescent="0.3"/>
    <row r="727" ht="25.15" customHeight="1" x14ac:dyDescent="0.3"/>
    <row r="728" ht="25.15" customHeight="1" x14ac:dyDescent="0.3"/>
    <row r="729" ht="25.15" customHeight="1" x14ac:dyDescent="0.3"/>
    <row r="730" ht="25.15" customHeight="1" x14ac:dyDescent="0.3"/>
    <row r="731" ht="25.15" customHeight="1" x14ac:dyDescent="0.3"/>
    <row r="732" ht="25.15" customHeight="1" x14ac:dyDescent="0.3"/>
    <row r="733" ht="25.15" customHeight="1" x14ac:dyDescent="0.3"/>
    <row r="734" ht="25.15" customHeight="1" x14ac:dyDescent="0.3"/>
    <row r="735" ht="25.15" customHeight="1" x14ac:dyDescent="0.3"/>
    <row r="736" ht="25.15" customHeight="1" x14ac:dyDescent="0.3"/>
    <row r="737" ht="25.15" customHeight="1" x14ac:dyDescent="0.3"/>
    <row r="738" ht="25.15" customHeight="1" x14ac:dyDescent="0.3"/>
    <row r="739" ht="25.15" customHeight="1" x14ac:dyDescent="0.3"/>
    <row r="740" ht="25.15" customHeight="1" x14ac:dyDescent="0.3"/>
    <row r="741" ht="25.15" customHeight="1" x14ac:dyDescent="0.3"/>
    <row r="742" ht="25.15" customHeight="1" x14ac:dyDescent="0.3"/>
    <row r="743" ht="25.15" customHeight="1" x14ac:dyDescent="0.3"/>
    <row r="744" ht="25.15" customHeight="1" x14ac:dyDescent="0.3"/>
    <row r="745" ht="25.15" customHeight="1" x14ac:dyDescent="0.3"/>
    <row r="746" ht="25.15" customHeight="1" x14ac:dyDescent="0.3"/>
    <row r="747" ht="25.15" customHeight="1" x14ac:dyDescent="0.3"/>
    <row r="748" ht="25.15" customHeight="1" x14ac:dyDescent="0.3"/>
    <row r="749" ht="25.15" customHeight="1" x14ac:dyDescent="0.3"/>
    <row r="750" ht="25.15" customHeight="1" x14ac:dyDescent="0.3"/>
    <row r="751" ht="25.15" customHeight="1" x14ac:dyDescent="0.3"/>
    <row r="752" ht="25.15" customHeight="1" x14ac:dyDescent="0.3"/>
    <row r="753" ht="25.15" customHeight="1" x14ac:dyDescent="0.3"/>
    <row r="754" ht="25.15" customHeight="1" x14ac:dyDescent="0.3"/>
    <row r="755" ht="25.15" customHeight="1" x14ac:dyDescent="0.3"/>
    <row r="756" ht="25.15" customHeight="1" x14ac:dyDescent="0.3"/>
    <row r="757" ht="25.15" customHeight="1" x14ac:dyDescent="0.3"/>
    <row r="758" ht="25.15" customHeight="1" x14ac:dyDescent="0.3"/>
    <row r="759" ht="25.15" customHeight="1" x14ac:dyDescent="0.3"/>
    <row r="760" ht="25.15" customHeight="1" x14ac:dyDescent="0.3"/>
    <row r="761" ht="25.15" customHeight="1" x14ac:dyDescent="0.3"/>
    <row r="762" ht="25.15" customHeight="1" x14ac:dyDescent="0.3"/>
    <row r="763" ht="25.15" customHeight="1" x14ac:dyDescent="0.3"/>
    <row r="764" ht="25.15" customHeight="1" x14ac:dyDescent="0.3"/>
    <row r="765" ht="25.15" customHeight="1" x14ac:dyDescent="0.3"/>
    <row r="766" ht="25.15" customHeight="1" x14ac:dyDescent="0.3"/>
    <row r="767" ht="25.15" customHeight="1" x14ac:dyDescent="0.3"/>
    <row r="768" ht="25.15" customHeight="1" x14ac:dyDescent="0.3"/>
    <row r="769" ht="25.15" customHeight="1" x14ac:dyDescent="0.3"/>
    <row r="770" ht="25.15" customHeight="1" x14ac:dyDescent="0.3"/>
    <row r="771" ht="25.15" customHeight="1" x14ac:dyDescent="0.3"/>
    <row r="772" ht="25.15" customHeight="1" x14ac:dyDescent="0.3"/>
    <row r="773" ht="25.15" customHeight="1" x14ac:dyDescent="0.3"/>
    <row r="774" ht="25.15" customHeight="1" x14ac:dyDescent="0.3"/>
    <row r="775" ht="25.15" customHeight="1" x14ac:dyDescent="0.3"/>
    <row r="776" ht="25.15" customHeight="1" x14ac:dyDescent="0.3"/>
    <row r="777" ht="25.15" customHeight="1" x14ac:dyDescent="0.3"/>
    <row r="778" ht="25.15" customHeight="1" x14ac:dyDescent="0.3"/>
    <row r="779" ht="25.15" customHeight="1" x14ac:dyDescent="0.3"/>
    <row r="780" ht="25.15" customHeight="1" x14ac:dyDescent="0.3"/>
    <row r="781" ht="25.15" customHeight="1" x14ac:dyDescent="0.3"/>
    <row r="782" ht="25.15" customHeight="1" x14ac:dyDescent="0.3"/>
    <row r="783" ht="25.15" customHeight="1" x14ac:dyDescent="0.3"/>
    <row r="784" ht="25.15" customHeight="1" x14ac:dyDescent="0.3"/>
    <row r="785" ht="25.15" customHeight="1" x14ac:dyDescent="0.3"/>
    <row r="786" ht="25.15" customHeight="1" x14ac:dyDescent="0.3"/>
    <row r="787" ht="25.15" customHeight="1" x14ac:dyDescent="0.3"/>
    <row r="788" ht="25.15" customHeight="1" x14ac:dyDescent="0.3"/>
    <row r="789" ht="25.15" customHeight="1" x14ac:dyDescent="0.3"/>
    <row r="790" ht="25.15" customHeight="1" x14ac:dyDescent="0.3"/>
    <row r="791" ht="25.15" customHeight="1" x14ac:dyDescent="0.3"/>
    <row r="792" ht="25.15" customHeight="1" x14ac:dyDescent="0.3"/>
    <row r="793" ht="25.15" customHeight="1" x14ac:dyDescent="0.3"/>
    <row r="794" ht="25.15" customHeight="1" x14ac:dyDescent="0.3"/>
    <row r="795" ht="25.15" customHeight="1" x14ac:dyDescent="0.3"/>
    <row r="796" ht="25.15" customHeight="1" x14ac:dyDescent="0.3"/>
    <row r="797" ht="25.15" customHeight="1" x14ac:dyDescent="0.3"/>
    <row r="798" ht="25.15" customHeight="1" x14ac:dyDescent="0.3"/>
    <row r="799" ht="25.15" customHeight="1" x14ac:dyDescent="0.3"/>
    <row r="800" ht="25.15" customHeight="1" x14ac:dyDescent="0.3"/>
    <row r="801" ht="25.15" customHeight="1" x14ac:dyDescent="0.3"/>
    <row r="802" ht="25.15" customHeight="1" x14ac:dyDescent="0.3"/>
    <row r="803" ht="25.15" customHeight="1" x14ac:dyDescent="0.3"/>
    <row r="804" ht="25.15" customHeight="1" x14ac:dyDescent="0.3"/>
    <row r="805" ht="25.15" customHeight="1" x14ac:dyDescent="0.3"/>
    <row r="806" ht="25.15" customHeight="1" x14ac:dyDescent="0.3"/>
    <row r="807" ht="25.15" customHeight="1" x14ac:dyDescent="0.3"/>
    <row r="808" ht="25.15" customHeight="1" x14ac:dyDescent="0.3"/>
    <row r="809" ht="25.15" customHeight="1" x14ac:dyDescent="0.3"/>
    <row r="810" ht="25.15" customHeight="1" x14ac:dyDescent="0.3"/>
    <row r="811" ht="25.15" customHeight="1" x14ac:dyDescent="0.3"/>
    <row r="812" ht="25.15" customHeight="1" x14ac:dyDescent="0.3"/>
    <row r="813" ht="25.15" customHeight="1" x14ac:dyDescent="0.3"/>
    <row r="814" ht="25.15" customHeight="1" x14ac:dyDescent="0.3"/>
    <row r="815" ht="25.15" customHeight="1" x14ac:dyDescent="0.3"/>
    <row r="816" ht="25.15" customHeight="1" x14ac:dyDescent="0.3"/>
    <row r="817" ht="25.15" customHeight="1" x14ac:dyDescent="0.3"/>
    <row r="818" ht="25.15" customHeight="1" x14ac:dyDescent="0.3"/>
    <row r="819" ht="25.15" customHeight="1" x14ac:dyDescent="0.3"/>
    <row r="820" ht="25.15" customHeight="1" x14ac:dyDescent="0.3"/>
    <row r="821" ht="25.15" customHeight="1" x14ac:dyDescent="0.3"/>
    <row r="822" ht="25.15" customHeight="1" x14ac:dyDescent="0.3"/>
    <row r="823" ht="25.15" customHeight="1" x14ac:dyDescent="0.3"/>
    <row r="824" ht="25.15" customHeight="1" x14ac:dyDescent="0.3"/>
    <row r="825" ht="25.15" customHeight="1" x14ac:dyDescent="0.3"/>
    <row r="826" ht="25.15" customHeight="1" x14ac:dyDescent="0.3"/>
    <row r="827" ht="25.15" customHeight="1" x14ac:dyDescent="0.3"/>
    <row r="828" ht="25.15" customHeight="1" x14ac:dyDescent="0.3"/>
    <row r="829" ht="25.15" customHeight="1" x14ac:dyDescent="0.3"/>
    <row r="830" ht="25.15" customHeight="1" x14ac:dyDescent="0.3"/>
    <row r="831" ht="25.15" customHeight="1" x14ac:dyDescent="0.3"/>
    <row r="832" ht="25.15" customHeight="1" x14ac:dyDescent="0.3"/>
    <row r="833" ht="25.15" customHeight="1" x14ac:dyDescent="0.3"/>
    <row r="834" ht="25.15" customHeight="1" x14ac:dyDescent="0.3"/>
    <row r="835" ht="25.15" customHeight="1" x14ac:dyDescent="0.3"/>
    <row r="836" ht="25.15" customHeight="1" x14ac:dyDescent="0.3"/>
    <row r="837" ht="25.15" customHeight="1" x14ac:dyDescent="0.3"/>
    <row r="838" ht="25.15" customHeight="1" x14ac:dyDescent="0.3"/>
    <row r="839" ht="25.15" customHeight="1" x14ac:dyDescent="0.3"/>
    <row r="840" ht="25.15" customHeight="1" x14ac:dyDescent="0.3"/>
    <row r="841" ht="25.15" customHeight="1" x14ac:dyDescent="0.3"/>
    <row r="842" ht="25.15" customHeight="1" x14ac:dyDescent="0.3"/>
    <row r="843" ht="25.15" customHeight="1" x14ac:dyDescent="0.3"/>
    <row r="844" ht="25.15" customHeight="1" x14ac:dyDescent="0.3"/>
    <row r="845" ht="25.15" customHeight="1" x14ac:dyDescent="0.3"/>
    <row r="846" ht="25.15" customHeight="1" x14ac:dyDescent="0.3"/>
    <row r="847" ht="25.15" customHeight="1" x14ac:dyDescent="0.3"/>
    <row r="848" ht="25.15" customHeight="1" x14ac:dyDescent="0.3"/>
    <row r="849" ht="25.15" customHeight="1" x14ac:dyDescent="0.3"/>
    <row r="850" ht="25.15" customHeight="1" x14ac:dyDescent="0.3"/>
    <row r="851" ht="25.15" customHeight="1" x14ac:dyDescent="0.3"/>
    <row r="852" ht="25.15" customHeight="1" x14ac:dyDescent="0.3"/>
    <row r="853" ht="25.15" customHeight="1" x14ac:dyDescent="0.3"/>
    <row r="854" ht="25.15" customHeight="1" x14ac:dyDescent="0.3"/>
    <row r="855" ht="25.15" customHeight="1" x14ac:dyDescent="0.3"/>
    <row r="856" ht="25.15" customHeight="1" x14ac:dyDescent="0.3"/>
    <row r="857" ht="25.15" customHeight="1" x14ac:dyDescent="0.3"/>
    <row r="858" ht="25.15" customHeight="1" x14ac:dyDescent="0.3"/>
    <row r="859" ht="25.15" customHeight="1" x14ac:dyDescent="0.3"/>
    <row r="860" ht="25.15" customHeight="1" x14ac:dyDescent="0.3"/>
    <row r="861" ht="25.15" customHeight="1" x14ac:dyDescent="0.3"/>
    <row r="862" ht="25.15" customHeight="1" x14ac:dyDescent="0.3"/>
    <row r="863" ht="25.15" customHeight="1" x14ac:dyDescent="0.3"/>
    <row r="864" ht="25.15" customHeight="1" x14ac:dyDescent="0.3"/>
    <row r="865" ht="25.15" customHeight="1" x14ac:dyDescent="0.3"/>
    <row r="866" ht="25.15" customHeight="1" x14ac:dyDescent="0.3"/>
    <row r="867" ht="25.15" customHeight="1" x14ac:dyDescent="0.3"/>
    <row r="868" ht="25.15" customHeight="1" x14ac:dyDescent="0.3"/>
    <row r="869" ht="25.15" customHeight="1" x14ac:dyDescent="0.3"/>
    <row r="870" ht="25.15" customHeight="1" x14ac:dyDescent="0.3"/>
    <row r="871" ht="25.15" customHeight="1" x14ac:dyDescent="0.3"/>
    <row r="872" ht="25.15" customHeight="1" x14ac:dyDescent="0.3"/>
    <row r="873" ht="25.15" customHeight="1" x14ac:dyDescent="0.3"/>
    <row r="874" ht="25.15" customHeight="1" x14ac:dyDescent="0.3"/>
    <row r="875" ht="25.15" customHeight="1" x14ac:dyDescent="0.3"/>
    <row r="876" ht="25.15" customHeight="1" x14ac:dyDescent="0.3"/>
    <row r="877" ht="25.15" customHeight="1" x14ac:dyDescent="0.3"/>
    <row r="878" ht="25.15" customHeight="1" x14ac:dyDescent="0.3"/>
    <row r="879" ht="25.15" customHeight="1" x14ac:dyDescent="0.3"/>
    <row r="880" ht="25.15" customHeight="1" x14ac:dyDescent="0.3"/>
    <row r="881" ht="25.15" customHeight="1" x14ac:dyDescent="0.3"/>
    <row r="882" ht="25.15" customHeight="1" x14ac:dyDescent="0.3"/>
    <row r="883" ht="25.15" customHeight="1" x14ac:dyDescent="0.3"/>
    <row r="884" ht="25.15" customHeight="1" x14ac:dyDescent="0.3"/>
    <row r="885" ht="25.15" customHeight="1" x14ac:dyDescent="0.3"/>
    <row r="886" ht="25.15" customHeight="1" x14ac:dyDescent="0.3"/>
    <row r="887" ht="25.15" customHeight="1" x14ac:dyDescent="0.3"/>
    <row r="888" ht="25.15" customHeight="1" x14ac:dyDescent="0.3"/>
    <row r="889" ht="25.15" customHeight="1" x14ac:dyDescent="0.3"/>
    <row r="890" ht="25.15" customHeight="1" x14ac:dyDescent="0.3"/>
    <row r="891" ht="25.15" customHeight="1" x14ac:dyDescent="0.3"/>
    <row r="892" ht="25.15" customHeight="1" x14ac:dyDescent="0.3"/>
    <row r="893" ht="25.15" customHeight="1" x14ac:dyDescent="0.3"/>
    <row r="894" ht="25.15" customHeight="1" x14ac:dyDescent="0.3"/>
    <row r="895" ht="25.15" customHeight="1" x14ac:dyDescent="0.3"/>
    <row r="896" ht="25.15" customHeight="1" x14ac:dyDescent="0.3"/>
    <row r="897" ht="25.15" customHeight="1" x14ac:dyDescent="0.3"/>
    <row r="898" ht="25.15" customHeight="1" x14ac:dyDescent="0.3"/>
    <row r="899" ht="25.15" customHeight="1" x14ac:dyDescent="0.3"/>
    <row r="900" ht="25.15" customHeight="1" x14ac:dyDescent="0.3"/>
    <row r="901" ht="25.15" customHeight="1" x14ac:dyDescent="0.3"/>
    <row r="902" ht="25.15" customHeight="1" x14ac:dyDescent="0.3"/>
    <row r="903" ht="25.15" customHeight="1" x14ac:dyDescent="0.3"/>
    <row r="904" ht="25.15" customHeight="1" x14ac:dyDescent="0.3"/>
    <row r="905" ht="25.15" customHeight="1" x14ac:dyDescent="0.3"/>
    <row r="906" ht="25.15" customHeight="1" x14ac:dyDescent="0.3"/>
    <row r="907" ht="25.15" customHeight="1" x14ac:dyDescent="0.3"/>
    <row r="908" ht="25.15" customHeight="1" x14ac:dyDescent="0.3"/>
    <row r="909" ht="25.15" customHeight="1" x14ac:dyDescent="0.3"/>
    <row r="910" ht="25.15" customHeight="1" x14ac:dyDescent="0.3"/>
    <row r="911" ht="25.15" customHeight="1" x14ac:dyDescent="0.3"/>
    <row r="912" ht="25.15" customHeight="1" x14ac:dyDescent="0.3"/>
    <row r="913" ht="25.15" customHeight="1" x14ac:dyDescent="0.3"/>
    <row r="914" ht="25.15" customHeight="1" x14ac:dyDescent="0.3"/>
    <row r="915" ht="25.15" customHeight="1" x14ac:dyDescent="0.3"/>
    <row r="916" ht="25.15" customHeight="1" x14ac:dyDescent="0.3"/>
    <row r="917" ht="25.15" customHeight="1" x14ac:dyDescent="0.3"/>
    <row r="918" ht="25.15" customHeight="1" x14ac:dyDescent="0.3"/>
    <row r="919" ht="25.15" customHeight="1" x14ac:dyDescent="0.3"/>
    <row r="920" ht="25.15" customHeight="1" x14ac:dyDescent="0.3"/>
    <row r="921" ht="25.15" customHeight="1" x14ac:dyDescent="0.3"/>
    <row r="922" ht="25.15" customHeight="1" x14ac:dyDescent="0.3"/>
    <row r="923" ht="25.15" customHeight="1" x14ac:dyDescent="0.3"/>
    <row r="924" ht="25.15" customHeight="1" x14ac:dyDescent="0.3"/>
    <row r="925" ht="25.15" customHeight="1" x14ac:dyDescent="0.3"/>
    <row r="926" ht="25.15" customHeight="1" x14ac:dyDescent="0.3"/>
    <row r="927" ht="25.15" customHeight="1" x14ac:dyDescent="0.3"/>
    <row r="928" ht="25.15" customHeight="1" x14ac:dyDescent="0.3"/>
    <row r="929" ht="25.15" customHeight="1" x14ac:dyDescent="0.3"/>
    <row r="930" ht="25.15" customHeight="1" x14ac:dyDescent="0.3"/>
    <row r="931" ht="25.15" customHeight="1" x14ac:dyDescent="0.3"/>
    <row r="932" ht="25.15" customHeight="1" x14ac:dyDescent="0.3"/>
    <row r="933" ht="25.15" customHeight="1" x14ac:dyDescent="0.3"/>
    <row r="934" ht="25.15" customHeight="1" x14ac:dyDescent="0.3"/>
    <row r="935" ht="25.15" customHeight="1" x14ac:dyDescent="0.3"/>
    <row r="936" ht="25.15" customHeight="1" x14ac:dyDescent="0.3"/>
    <row r="937" ht="25.15" customHeight="1" x14ac:dyDescent="0.3"/>
    <row r="938" ht="25.15" customHeight="1" x14ac:dyDescent="0.3"/>
    <row r="939" ht="25.15" customHeight="1" x14ac:dyDescent="0.3"/>
    <row r="940" ht="25.15" customHeight="1" x14ac:dyDescent="0.3"/>
    <row r="941" ht="25.15" customHeight="1" x14ac:dyDescent="0.3"/>
    <row r="942" ht="25.15" customHeight="1" x14ac:dyDescent="0.3"/>
    <row r="943" ht="25.15" customHeight="1" x14ac:dyDescent="0.3"/>
    <row r="944" ht="25.15" customHeight="1" x14ac:dyDescent="0.3"/>
    <row r="945" ht="25.15" customHeight="1" x14ac:dyDescent="0.3"/>
    <row r="946" ht="25.15" customHeight="1" x14ac:dyDescent="0.3"/>
    <row r="947" ht="25.15" customHeight="1" x14ac:dyDescent="0.3"/>
    <row r="948" ht="25.15" customHeight="1" x14ac:dyDescent="0.3"/>
    <row r="949" ht="25.15" customHeight="1" x14ac:dyDescent="0.3"/>
    <row r="950" ht="25.15" customHeight="1" x14ac:dyDescent="0.3"/>
    <row r="951" ht="25.15" customHeight="1" x14ac:dyDescent="0.3"/>
    <row r="952" ht="25.15" customHeight="1" x14ac:dyDescent="0.3"/>
    <row r="953" ht="25.15" customHeight="1" x14ac:dyDescent="0.3"/>
    <row r="954" ht="25.15" customHeight="1" x14ac:dyDescent="0.3"/>
    <row r="955" ht="25.15" customHeight="1" x14ac:dyDescent="0.3"/>
    <row r="956" ht="25.15" customHeight="1" x14ac:dyDescent="0.3"/>
    <row r="957" ht="25.15" customHeight="1" x14ac:dyDescent="0.3"/>
    <row r="958" ht="25.15" customHeight="1" x14ac:dyDescent="0.3"/>
    <row r="959" ht="25.15" customHeight="1" x14ac:dyDescent="0.3"/>
    <row r="960" ht="25.15" customHeight="1" x14ac:dyDescent="0.3"/>
    <row r="961" ht="25.15" customHeight="1" x14ac:dyDescent="0.3"/>
    <row r="962" ht="25.15" customHeight="1" x14ac:dyDescent="0.3"/>
    <row r="963" ht="25.15" customHeight="1" x14ac:dyDescent="0.3"/>
    <row r="964" ht="25.15" customHeight="1" x14ac:dyDescent="0.3"/>
    <row r="965" ht="25.15" customHeight="1" x14ac:dyDescent="0.3"/>
    <row r="966" ht="25.15" customHeight="1" x14ac:dyDescent="0.3"/>
    <row r="967" ht="25.15" customHeight="1" x14ac:dyDescent="0.3"/>
    <row r="968" ht="25.15" customHeight="1" x14ac:dyDescent="0.3"/>
    <row r="969" ht="25.15" customHeight="1" x14ac:dyDescent="0.3"/>
    <row r="970" ht="25.15" customHeight="1" x14ac:dyDescent="0.3"/>
    <row r="971" ht="25.15" customHeight="1" x14ac:dyDescent="0.3"/>
    <row r="972" ht="25.15" customHeight="1" x14ac:dyDescent="0.3"/>
    <row r="973" ht="25.15" customHeight="1" x14ac:dyDescent="0.3"/>
    <row r="974" ht="25.15" customHeight="1" x14ac:dyDescent="0.3"/>
    <row r="975" ht="25.15" customHeight="1" x14ac:dyDescent="0.3"/>
    <row r="976" ht="25.15" customHeight="1" x14ac:dyDescent="0.3"/>
    <row r="977" ht="25.15" customHeight="1" x14ac:dyDescent="0.3"/>
    <row r="978" ht="25.15" customHeight="1" x14ac:dyDescent="0.3"/>
    <row r="979" ht="25.15" customHeight="1" x14ac:dyDescent="0.3"/>
    <row r="980" ht="25.15" customHeight="1" x14ac:dyDescent="0.3"/>
    <row r="981" ht="25.15" customHeight="1" x14ac:dyDescent="0.3"/>
    <row r="982" ht="25.15" customHeight="1" x14ac:dyDescent="0.3"/>
    <row r="983" ht="25.15" customHeight="1" x14ac:dyDescent="0.3"/>
    <row r="984" ht="25.15" customHeight="1" x14ac:dyDescent="0.3"/>
    <row r="985" ht="25.15" customHeight="1" x14ac:dyDescent="0.3"/>
    <row r="986" ht="25.15" customHeight="1" x14ac:dyDescent="0.3"/>
    <row r="987" ht="25.15" customHeight="1" x14ac:dyDescent="0.3"/>
    <row r="988" ht="25.15" customHeight="1" x14ac:dyDescent="0.3"/>
    <row r="989" ht="25.15" customHeight="1" x14ac:dyDescent="0.3"/>
    <row r="990" ht="25.15" customHeight="1" x14ac:dyDescent="0.3"/>
    <row r="991" ht="25.15" customHeight="1" x14ac:dyDescent="0.3"/>
    <row r="992" ht="25.15" customHeight="1" x14ac:dyDescent="0.3"/>
    <row r="993" ht="25.15" customHeight="1" x14ac:dyDescent="0.3"/>
    <row r="994" ht="25.15" customHeight="1" x14ac:dyDescent="0.3"/>
    <row r="995" ht="25.15" customHeight="1" x14ac:dyDescent="0.3"/>
    <row r="996" ht="25.15" customHeight="1" x14ac:dyDescent="0.3"/>
    <row r="997" ht="25.15" customHeight="1" x14ac:dyDescent="0.3"/>
    <row r="998" ht="25.15" customHeight="1" x14ac:dyDescent="0.3"/>
    <row r="999" ht="25.15" customHeight="1" x14ac:dyDescent="0.3"/>
    <row r="1000" ht="25.15" customHeight="1" x14ac:dyDescent="0.3"/>
    <row r="1001" ht="25.15" customHeight="1" x14ac:dyDescent="0.3"/>
    <row r="1002" ht="25.15" customHeight="1" x14ac:dyDescent="0.3"/>
    <row r="1003" ht="25.15" customHeight="1" x14ac:dyDescent="0.3"/>
    <row r="1004" ht="25.15" customHeight="1" x14ac:dyDescent="0.3"/>
    <row r="1005" ht="25.15" customHeight="1" x14ac:dyDescent="0.3"/>
    <row r="1006" ht="25.15" customHeight="1" x14ac:dyDescent="0.3"/>
    <row r="1007" ht="25.15" customHeight="1" x14ac:dyDescent="0.3"/>
    <row r="1008" ht="25.15" customHeight="1" x14ac:dyDescent="0.3"/>
    <row r="1009" ht="25.15" customHeight="1" x14ac:dyDescent="0.3"/>
    <row r="1010" ht="25.15" customHeight="1" x14ac:dyDescent="0.3"/>
    <row r="1011" ht="25.15" customHeight="1" x14ac:dyDescent="0.3"/>
    <row r="1012" ht="25.15" customHeight="1" x14ac:dyDescent="0.3"/>
    <row r="1013" ht="25.15" customHeight="1" x14ac:dyDescent="0.3"/>
    <row r="1014" ht="25.15" customHeight="1" x14ac:dyDescent="0.3"/>
    <row r="1015" ht="25.15" customHeight="1" x14ac:dyDescent="0.3"/>
    <row r="1016" ht="25.15" customHeight="1" x14ac:dyDescent="0.3"/>
    <row r="1017" ht="25.15" customHeight="1" x14ac:dyDescent="0.3"/>
    <row r="1018" ht="25.15" customHeight="1" x14ac:dyDescent="0.3"/>
    <row r="1019" ht="25.15" customHeight="1" x14ac:dyDescent="0.3"/>
    <row r="1020" ht="25.15" customHeight="1" x14ac:dyDescent="0.3"/>
    <row r="1021" ht="25.15" customHeight="1" x14ac:dyDescent="0.3"/>
    <row r="1022" ht="25.15" customHeight="1" x14ac:dyDescent="0.3"/>
    <row r="1023" ht="25.15" customHeight="1" x14ac:dyDescent="0.3"/>
    <row r="1024" ht="25.15" customHeight="1" x14ac:dyDescent="0.3"/>
    <row r="1025" ht="25.15" customHeight="1" x14ac:dyDescent="0.3"/>
    <row r="1026" ht="25.15" customHeight="1" x14ac:dyDescent="0.3"/>
    <row r="1027" ht="25.15" customHeight="1" x14ac:dyDescent="0.3"/>
    <row r="1028" ht="25.15" customHeight="1" x14ac:dyDescent="0.3"/>
    <row r="1029" ht="25.15" customHeight="1" x14ac:dyDescent="0.3"/>
    <row r="1030" ht="25.15" customHeight="1" x14ac:dyDescent="0.3"/>
    <row r="1031" ht="25.15" customHeight="1" x14ac:dyDescent="0.3"/>
    <row r="1032" ht="25.15" customHeight="1" x14ac:dyDescent="0.3"/>
    <row r="1033" ht="25.15" customHeight="1" x14ac:dyDescent="0.3"/>
    <row r="1034" ht="25.15" customHeight="1" x14ac:dyDescent="0.3"/>
    <row r="1035" ht="25.15" customHeight="1" x14ac:dyDescent="0.3"/>
    <row r="1036" ht="25.15" customHeight="1" x14ac:dyDescent="0.3"/>
    <row r="1037" ht="25.15" customHeight="1" x14ac:dyDescent="0.3"/>
    <row r="1038" ht="25.15" customHeight="1" x14ac:dyDescent="0.3"/>
    <row r="1039" ht="25.15" customHeight="1" x14ac:dyDescent="0.3"/>
    <row r="1040" ht="25.15" customHeight="1" x14ac:dyDescent="0.3"/>
    <row r="1041" ht="25.15" customHeight="1" x14ac:dyDescent="0.3"/>
    <row r="1042" ht="25.15" customHeight="1" x14ac:dyDescent="0.3"/>
    <row r="1043" ht="25.15" customHeight="1" x14ac:dyDescent="0.3"/>
    <row r="1044" ht="25.15" customHeight="1" x14ac:dyDescent="0.3"/>
    <row r="1045" ht="25.15" customHeight="1" x14ac:dyDescent="0.3"/>
    <row r="1046" ht="25.15" customHeight="1" x14ac:dyDescent="0.3"/>
    <row r="1047" ht="25.15" customHeight="1" x14ac:dyDescent="0.3"/>
    <row r="1048" ht="25.15" customHeight="1" x14ac:dyDescent="0.3"/>
    <row r="1049" ht="25.15" customHeight="1" x14ac:dyDescent="0.3"/>
    <row r="1050" ht="25.15" customHeight="1" x14ac:dyDescent="0.3"/>
    <row r="1051" ht="25.15" customHeight="1" x14ac:dyDescent="0.3"/>
    <row r="1052" ht="25.15" customHeight="1" x14ac:dyDescent="0.3"/>
    <row r="1053" ht="25.15" customHeight="1" x14ac:dyDescent="0.3"/>
    <row r="1054" ht="25.15" customHeight="1" x14ac:dyDescent="0.3"/>
    <row r="1055" ht="25.15" customHeight="1" x14ac:dyDescent="0.3"/>
    <row r="1056" ht="25.15" customHeight="1" x14ac:dyDescent="0.3"/>
    <row r="1057" ht="25.15" customHeight="1" x14ac:dyDescent="0.3"/>
    <row r="1058" ht="25.15" customHeight="1" x14ac:dyDescent="0.3"/>
    <row r="1059" ht="25.15" customHeight="1" x14ac:dyDescent="0.3"/>
    <row r="1060" ht="25.15" customHeight="1" x14ac:dyDescent="0.3"/>
    <row r="1061" ht="25.15" customHeight="1" x14ac:dyDescent="0.3"/>
    <row r="1062" ht="25.15" customHeight="1" x14ac:dyDescent="0.3"/>
    <row r="1063" ht="25.15" customHeight="1" x14ac:dyDescent="0.3"/>
    <row r="1064" ht="25.15" customHeight="1" x14ac:dyDescent="0.3"/>
    <row r="1065" ht="25.15" customHeight="1" x14ac:dyDescent="0.3"/>
    <row r="1066" ht="25.15" customHeight="1" x14ac:dyDescent="0.3"/>
    <row r="1067" ht="25.15" customHeight="1" x14ac:dyDescent="0.3"/>
    <row r="1068" ht="25.15" customHeight="1" x14ac:dyDescent="0.3"/>
    <row r="1069" ht="25.15" customHeight="1" x14ac:dyDescent="0.3"/>
    <row r="1070" ht="25.15" customHeight="1" x14ac:dyDescent="0.3"/>
    <row r="1071" ht="25.15" customHeight="1" x14ac:dyDescent="0.3"/>
    <row r="1072" ht="25.15" customHeight="1" x14ac:dyDescent="0.3"/>
    <row r="1073" ht="25.15" customHeight="1" x14ac:dyDescent="0.3"/>
    <row r="1074" ht="25.15" customHeight="1" x14ac:dyDescent="0.3"/>
    <row r="1075" ht="25.15" customHeight="1" x14ac:dyDescent="0.3"/>
    <row r="1076" ht="25.15" customHeight="1" x14ac:dyDescent="0.3"/>
    <row r="1077" ht="25.15" customHeight="1" x14ac:dyDescent="0.3"/>
    <row r="1078" ht="25.15" customHeight="1" x14ac:dyDescent="0.3"/>
    <row r="1079" ht="25.15" customHeight="1" x14ac:dyDescent="0.3"/>
    <row r="1080" ht="25.15" customHeight="1" x14ac:dyDescent="0.3"/>
    <row r="1081" ht="25.15" customHeight="1" x14ac:dyDescent="0.3"/>
    <row r="1082" ht="25.15" customHeight="1" x14ac:dyDescent="0.3"/>
    <row r="1083" ht="25.15" customHeight="1" x14ac:dyDescent="0.3"/>
    <row r="1084" ht="25.15" customHeight="1" x14ac:dyDescent="0.3"/>
    <row r="1085" ht="25.15" customHeight="1" x14ac:dyDescent="0.3"/>
    <row r="1086" ht="25.15" customHeight="1" x14ac:dyDescent="0.3"/>
    <row r="1087" ht="25.15" customHeight="1" x14ac:dyDescent="0.3"/>
    <row r="1088" ht="25.15" customHeight="1" x14ac:dyDescent="0.3"/>
    <row r="1089" ht="25.15" customHeight="1" x14ac:dyDescent="0.3"/>
    <row r="1090" ht="25.15" customHeight="1" x14ac:dyDescent="0.3"/>
    <row r="1091" ht="25.15" customHeight="1" x14ac:dyDescent="0.3"/>
    <row r="1092" ht="25.15" customHeight="1" x14ac:dyDescent="0.3"/>
    <row r="1093" ht="25.15" customHeight="1" x14ac:dyDescent="0.3"/>
    <row r="1094" ht="25.15" customHeight="1" x14ac:dyDescent="0.3"/>
    <row r="1095" ht="25.15" customHeight="1" x14ac:dyDescent="0.3"/>
    <row r="1096" ht="25.15" customHeight="1" x14ac:dyDescent="0.3"/>
    <row r="1097" ht="25.15" customHeight="1" x14ac:dyDescent="0.3"/>
    <row r="1098" ht="25.15" customHeight="1" x14ac:dyDescent="0.3"/>
    <row r="1099" ht="25.15" customHeight="1" x14ac:dyDescent="0.3"/>
    <row r="1100" ht="25.15" customHeight="1" x14ac:dyDescent="0.3"/>
    <row r="1101" ht="25.15" customHeight="1" x14ac:dyDescent="0.3"/>
    <row r="1102" ht="25.15" customHeight="1" x14ac:dyDescent="0.3"/>
    <row r="1103" ht="25.15" customHeight="1" x14ac:dyDescent="0.3"/>
    <row r="1104" ht="25.15" customHeight="1" x14ac:dyDescent="0.3"/>
    <row r="1105" ht="25.15" customHeight="1" x14ac:dyDescent="0.3"/>
    <row r="1106" ht="25.15" customHeight="1" x14ac:dyDescent="0.3"/>
    <row r="1107" ht="25.15" customHeight="1" x14ac:dyDescent="0.3"/>
    <row r="1108" ht="25.15" customHeight="1" x14ac:dyDescent="0.3"/>
    <row r="1109" ht="25.15" customHeight="1" x14ac:dyDescent="0.3"/>
    <row r="1110" ht="25.15" customHeight="1" x14ac:dyDescent="0.3"/>
    <row r="1111" ht="25.15" customHeight="1" x14ac:dyDescent="0.3"/>
    <row r="1112" ht="25.15" customHeight="1" x14ac:dyDescent="0.3"/>
    <row r="1113" ht="25.15" customHeight="1" x14ac:dyDescent="0.3"/>
    <row r="1114" ht="25.15" customHeight="1" x14ac:dyDescent="0.3"/>
    <row r="1115" ht="25.15" customHeight="1" x14ac:dyDescent="0.3"/>
    <row r="1116" ht="25.15" customHeight="1" x14ac:dyDescent="0.3"/>
    <row r="1117" ht="25.15" customHeight="1" x14ac:dyDescent="0.3"/>
    <row r="1118" ht="25.15" customHeight="1" x14ac:dyDescent="0.3"/>
    <row r="1119" ht="25.15" customHeight="1" x14ac:dyDescent="0.3"/>
    <row r="1120" ht="25.15" customHeight="1" x14ac:dyDescent="0.3"/>
    <row r="1121" ht="25.15" customHeight="1" x14ac:dyDescent="0.3"/>
    <row r="1122" ht="25.15" customHeight="1" x14ac:dyDescent="0.3"/>
    <row r="1123" ht="25.15" customHeight="1" x14ac:dyDescent="0.3"/>
    <row r="1124" ht="25.15" customHeight="1" x14ac:dyDescent="0.3"/>
    <row r="1125" ht="25.15" customHeight="1" x14ac:dyDescent="0.3"/>
    <row r="1126" ht="25.15" customHeight="1" x14ac:dyDescent="0.3"/>
    <row r="1127" ht="25.15" customHeight="1" x14ac:dyDescent="0.3"/>
    <row r="1128" ht="25.15" customHeight="1" x14ac:dyDescent="0.3"/>
    <row r="1129" ht="25.15" customHeight="1" x14ac:dyDescent="0.3"/>
    <row r="1130" ht="25.15" customHeight="1" x14ac:dyDescent="0.3"/>
    <row r="1131" ht="25.15" customHeight="1" x14ac:dyDescent="0.3"/>
    <row r="1132" ht="25.15" customHeight="1" x14ac:dyDescent="0.3"/>
    <row r="1133" ht="25.15" customHeight="1" x14ac:dyDescent="0.3"/>
    <row r="1134" ht="25.15" customHeight="1" x14ac:dyDescent="0.3"/>
    <row r="1135" ht="25.15" customHeight="1" x14ac:dyDescent="0.3"/>
    <row r="1136" ht="25.15" customHeight="1" x14ac:dyDescent="0.3"/>
    <row r="1137" ht="25.15" customHeight="1" x14ac:dyDescent="0.3"/>
    <row r="1138" ht="25.15" customHeight="1" x14ac:dyDescent="0.3"/>
    <row r="1139" ht="25.15" customHeight="1" x14ac:dyDescent="0.3"/>
    <row r="1140" ht="25.15" customHeight="1" x14ac:dyDescent="0.3"/>
    <row r="1141" ht="25.15" customHeight="1" x14ac:dyDescent="0.3"/>
    <row r="1142" ht="25.15" customHeight="1" x14ac:dyDescent="0.3"/>
    <row r="1143" ht="25.15" customHeight="1" x14ac:dyDescent="0.3"/>
    <row r="1144" ht="25.15" customHeight="1" x14ac:dyDescent="0.3"/>
    <row r="1145" ht="25.15" customHeight="1" x14ac:dyDescent="0.3"/>
    <row r="1146" ht="25.15" customHeight="1" x14ac:dyDescent="0.3"/>
    <row r="1147" ht="25.15" customHeight="1" x14ac:dyDescent="0.3"/>
    <row r="1148" ht="25.15" customHeight="1" x14ac:dyDescent="0.3"/>
    <row r="1149" ht="25.15" customHeight="1" x14ac:dyDescent="0.3"/>
    <row r="1150" ht="25.15" customHeight="1" x14ac:dyDescent="0.3"/>
    <row r="1151" ht="25.15" customHeight="1" x14ac:dyDescent="0.3"/>
    <row r="1152" ht="25.15" customHeight="1" x14ac:dyDescent="0.3"/>
    <row r="1153" ht="25.15" customHeight="1" x14ac:dyDescent="0.3"/>
    <row r="1154" ht="25.15" customHeight="1" x14ac:dyDescent="0.3"/>
    <row r="1155" ht="25.15" customHeight="1" x14ac:dyDescent="0.3"/>
    <row r="1156" ht="25.15" customHeight="1" x14ac:dyDescent="0.3"/>
    <row r="1157" ht="25.15" customHeight="1" x14ac:dyDescent="0.3"/>
    <row r="1158" ht="25.15" customHeight="1" x14ac:dyDescent="0.3"/>
    <row r="1159" ht="25.15" customHeight="1" x14ac:dyDescent="0.3"/>
    <row r="1160" ht="25.15" customHeight="1" x14ac:dyDescent="0.3"/>
    <row r="1161" ht="25.15" customHeight="1" x14ac:dyDescent="0.3"/>
    <row r="1162" ht="25.15" customHeight="1" x14ac:dyDescent="0.3"/>
    <row r="1163" ht="25.15" customHeight="1" x14ac:dyDescent="0.3"/>
    <row r="1164" ht="25.15" customHeight="1" x14ac:dyDescent="0.3"/>
    <row r="1165" ht="25.15" customHeight="1" x14ac:dyDescent="0.3"/>
    <row r="1166" ht="25.15" customHeight="1" x14ac:dyDescent="0.3"/>
    <row r="1167" ht="25.15" customHeight="1" x14ac:dyDescent="0.3"/>
    <row r="1168" ht="25.15" customHeight="1" x14ac:dyDescent="0.3"/>
    <row r="1169" ht="25.15" customHeight="1" x14ac:dyDescent="0.3"/>
    <row r="1170" ht="25.15" customHeight="1" x14ac:dyDescent="0.3"/>
    <row r="1171" ht="25.15" customHeight="1" x14ac:dyDescent="0.3"/>
    <row r="1172" ht="25.15" customHeight="1" x14ac:dyDescent="0.3"/>
    <row r="1173" ht="25.15" customHeight="1" x14ac:dyDescent="0.3"/>
    <row r="1174" ht="25.15" customHeight="1" x14ac:dyDescent="0.3"/>
    <row r="1175" ht="25.15" customHeight="1" x14ac:dyDescent="0.3"/>
    <row r="1176" ht="25.15" customHeight="1" x14ac:dyDescent="0.3"/>
    <row r="1177" ht="25.15" customHeight="1" x14ac:dyDescent="0.3"/>
    <row r="1178" ht="25.15" customHeight="1" x14ac:dyDescent="0.3"/>
    <row r="1179" ht="25.15" customHeight="1" x14ac:dyDescent="0.3"/>
    <row r="1180" ht="25.15" customHeight="1" x14ac:dyDescent="0.3"/>
    <row r="1181" ht="25.15" customHeight="1" x14ac:dyDescent="0.3"/>
    <row r="1182" ht="25.15" customHeight="1" x14ac:dyDescent="0.3"/>
    <row r="1183" ht="25.15" customHeight="1" x14ac:dyDescent="0.3"/>
    <row r="1184" ht="25.15" customHeight="1" x14ac:dyDescent="0.3"/>
    <row r="1185" ht="25.15" customHeight="1" x14ac:dyDescent="0.3"/>
    <row r="1186" ht="25.15" customHeight="1" x14ac:dyDescent="0.3"/>
    <row r="1187" ht="25.15" customHeight="1" x14ac:dyDescent="0.3"/>
    <row r="1188" ht="25.15" customHeight="1" x14ac:dyDescent="0.3"/>
    <row r="1189" ht="25.15" customHeight="1" x14ac:dyDescent="0.3"/>
    <row r="1190" ht="25.15" customHeight="1" x14ac:dyDescent="0.3"/>
    <row r="1191" ht="25.15" customHeight="1" x14ac:dyDescent="0.3"/>
    <row r="1192" ht="25.15" customHeight="1" x14ac:dyDescent="0.3"/>
    <row r="1193" ht="25.15" customHeight="1" x14ac:dyDescent="0.3"/>
    <row r="1194" ht="25.15" customHeight="1" x14ac:dyDescent="0.3"/>
    <row r="1195" ht="25.15" customHeight="1" x14ac:dyDescent="0.3"/>
    <row r="1196" ht="25.15" customHeight="1" x14ac:dyDescent="0.3"/>
    <row r="1197" ht="25.15" customHeight="1" x14ac:dyDescent="0.3"/>
    <row r="1198" ht="25.15" customHeight="1" x14ac:dyDescent="0.3"/>
    <row r="1199" ht="25.15" customHeight="1" x14ac:dyDescent="0.3"/>
    <row r="1200" ht="25.15" customHeight="1" x14ac:dyDescent="0.3"/>
    <row r="1201" ht="25.15" customHeight="1" x14ac:dyDescent="0.3"/>
    <row r="1202" ht="25.15" customHeight="1" x14ac:dyDescent="0.3"/>
    <row r="1203" ht="25.15" customHeight="1" x14ac:dyDescent="0.3"/>
    <row r="1204" ht="25.15" customHeight="1" x14ac:dyDescent="0.3"/>
    <row r="1205" ht="25.15" customHeight="1" x14ac:dyDescent="0.3"/>
    <row r="1206" ht="25.15" customHeight="1" x14ac:dyDescent="0.3"/>
    <row r="1207" ht="25.15" customHeight="1" x14ac:dyDescent="0.3"/>
    <row r="1208" ht="25.15" customHeight="1" x14ac:dyDescent="0.3"/>
    <row r="1209" ht="25.15" customHeight="1" x14ac:dyDescent="0.3"/>
    <row r="1210" ht="25.15" customHeight="1" x14ac:dyDescent="0.3"/>
    <row r="1211" ht="25.15" customHeight="1" x14ac:dyDescent="0.3"/>
    <row r="1212" ht="25.15" customHeight="1" x14ac:dyDescent="0.3"/>
    <row r="1213" ht="25.15" customHeight="1" x14ac:dyDescent="0.3"/>
    <row r="1214" ht="25.15" customHeight="1" x14ac:dyDescent="0.3"/>
    <row r="1215" ht="25.15" customHeight="1" x14ac:dyDescent="0.3"/>
    <row r="1216" ht="25.15" customHeight="1" x14ac:dyDescent="0.3"/>
    <row r="1217" ht="25.15" customHeight="1" x14ac:dyDescent="0.3"/>
    <row r="1218" ht="25.15" customHeight="1" x14ac:dyDescent="0.3"/>
    <row r="1219" ht="25.15" customHeight="1" x14ac:dyDescent="0.3"/>
    <row r="1220" ht="25.15" customHeight="1" x14ac:dyDescent="0.3"/>
    <row r="1221" ht="25.15" customHeight="1" x14ac:dyDescent="0.3"/>
    <row r="1222" ht="25.15" customHeight="1" x14ac:dyDescent="0.3"/>
    <row r="1223" ht="25.15" customHeight="1" x14ac:dyDescent="0.3"/>
    <row r="1224" ht="25.15" customHeight="1" x14ac:dyDescent="0.3"/>
    <row r="1225" ht="25.15" customHeight="1" x14ac:dyDescent="0.3"/>
    <row r="1226" ht="25.15" customHeight="1" x14ac:dyDescent="0.3"/>
    <row r="1227" ht="25.15" customHeight="1" x14ac:dyDescent="0.3"/>
    <row r="1228" ht="25.15" customHeight="1" x14ac:dyDescent="0.3"/>
    <row r="1229" ht="25.15" customHeight="1" x14ac:dyDescent="0.3"/>
    <row r="1230" ht="25.15" customHeight="1" x14ac:dyDescent="0.3"/>
    <row r="1231" ht="25.15" customHeight="1" x14ac:dyDescent="0.3"/>
    <row r="1232" ht="25.15" customHeight="1" x14ac:dyDescent="0.3"/>
    <row r="1233" ht="25.15" customHeight="1" x14ac:dyDescent="0.3"/>
    <row r="1234" ht="25.15" customHeight="1" x14ac:dyDescent="0.3"/>
    <row r="1235" ht="25.15" customHeight="1" x14ac:dyDescent="0.3"/>
    <row r="1236" ht="25.15" customHeight="1" x14ac:dyDescent="0.3"/>
    <row r="1237" ht="25.15" customHeight="1" x14ac:dyDescent="0.3"/>
    <row r="1238" ht="25.15" customHeight="1" x14ac:dyDescent="0.3"/>
    <row r="1239" ht="25.15" customHeight="1" x14ac:dyDescent="0.3"/>
    <row r="1240" ht="25.15" customHeight="1" x14ac:dyDescent="0.3"/>
    <row r="1241" ht="25.15" customHeight="1" x14ac:dyDescent="0.3"/>
    <row r="1242" ht="25.15" customHeight="1" x14ac:dyDescent="0.3"/>
    <row r="1243" ht="25.15" customHeight="1" x14ac:dyDescent="0.3"/>
    <row r="1244" ht="25.15" customHeight="1" x14ac:dyDescent="0.3"/>
    <row r="1245" ht="25.15" customHeight="1" x14ac:dyDescent="0.3"/>
    <row r="1246" ht="25.15" customHeight="1" x14ac:dyDescent="0.3"/>
    <row r="1247" ht="25.15" customHeight="1" x14ac:dyDescent="0.3"/>
    <row r="1248" ht="25.15" customHeight="1" x14ac:dyDescent="0.3"/>
    <row r="1249" ht="25.15" customHeight="1" x14ac:dyDescent="0.3"/>
    <row r="1250" ht="25.15" customHeight="1" x14ac:dyDescent="0.3"/>
    <row r="1251" ht="25.15" customHeight="1" x14ac:dyDescent="0.3"/>
    <row r="1252" ht="25.15" customHeight="1" x14ac:dyDescent="0.3"/>
    <row r="1253" ht="25.15" customHeight="1" x14ac:dyDescent="0.3"/>
    <row r="1254" ht="25.15" customHeight="1" x14ac:dyDescent="0.3"/>
    <row r="1255" ht="25.15" customHeight="1" x14ac:dyDescent="0.3"/>
    <row r="1256" ht="25.15" customHeight="1" x14ac:dyDescent="0.3"/>
    <row r="1257" ht="25.15" customHeight="1" x14ac:dyDescent="0.3"/>
    <row r="1258" ht="25.15" customHeight="1" x14ac:dyDescent="0.3"/>
    <row r="1259" ht="25.15" customHeight="1" x14ac:dyDescent="0.3"/>
    <row r="1260" ht="25.15" customHeight="1" x14ac:dyDescent="0.3"/>
    <row r="1261" ht="25.15" customHeight="1" x14ac:dyDescent="0.3"/>
    <row r="1262" ht="25.15" customHeight="1" x14ac:dyDescent="0.3"/>
    <row r="1263" ht="25.15" customHeight="1" x14ac:dyDescent="0.3"/>
    <row r="1264" ht="25.15" customHeight="1" x14ac:dyDescent="0.3"/>
    <row r="1265" ht="25.15" customHeight="1" x14ac:dyDescent="0.3"/>
    <row r="1266" ht="25.15" customHeight="1" x14ac:dyDescent="0.3"/>
    <row r="1267" ht="25.15" customHeight="1" x14ac:dyDescent="0.3"/>
    <row r="1268" ht="25.15" customHeight="1" x14ac:dyDescent="0.3"/>
    <row r="1269" ht="25.15" customHeight="1" x14ac:dyDescent="0.3"/>
    <row r="1270" ht="25.15" customHeight="1" x14ac:dyDescent="0.3"/>
    <row r="1271" ht="25.15" customHeight="1" x14ac:dyDescent="0.3"/>
    <row r="1272" ht="25.15" customHeight="1" x14ac:dyDescent="0.3"/>
    <row r="1273" ht="25.15" customHeight="1" x14ac:dyDescent="0.3"/>
    <row r="1274" ht="25.15" customHeight="1" x14ac:dyDescent="0.3"/>
    <row r="1275" ht="25.15" customHeight="1" x14ac:dyDescent="0.3"/>
    <row r="1276" ht="25.15" customHeight="1" x14ac:dyDescent="0.3"/>
    <row r="1277" ht="25.15" customHeight="1" x14ac:dyDescent="0.3"/>
    <row r="1278" ht="25.15" customHeight="1" x14ac:dyDescent="0.3"/>
    <row r="1279" ht="25.15" customHeight="1" x14ac:dyDescent="0.3"/>
    <row r="1280" ht="25.15" customHeight="1" x14ac:dyDescent="0.3"/>
    <row r="1281" ht="25.15" customHeight="1" x14ac:dyDescent="0.3"/>
    <row r="1282" ht="25.15" customHeight="1" x14ac:dyDescent="0.3"/>
    <row r="1283" ht="25.15" customHeight="1" x14ac:dyDescent="0.3"/>
    <row r="1284" ht="25.15" customHeight="1" x14ac:dyDescent="0.3"/>
    <row r="1285" ht="25.15" customHeight="1" x14ac:dyDescent="0.3"/>
    <row r="1286" ht="25.15" customHeight="1" x14ac:dyDescent="0.3"/>
    <row r="1287" ht="25.15" customHeight="1" x14ac:dyDescent="0.3"/>
    <row r="1288" ht="25.15" customHeight="1" x14ac:dyDescent="0.3"/>
    <row r="1289" ht="25.15" customHeight="1" x14ac:dyDescent="0.3"/>
    <row r="1290" ht="25.15" customHeight="1" x14ac:dyDescent="0.3"/>
    <row r="1291" ht="25.15" customHeight="1" x14ac:dyDescent="0.3"/>
    <row r="1292" ht="25.15" customHeight="1" x14ac:dyDescent="0.3"/>
    <row r="1293" ht="25.15" customHeight="1" x14ac:dyDescent="0.3"/>
    <row r="1294" ht="25.15" customHeight="1" x14ac:dyDescent="0.3"/>
    <row r="1295" ht="25.15" customHeight="1" x14ac:dyDescent="0.3"/>
    <row r="1296" ht="25.15" customHeight="1" x14ac:dyDescent="0.3"/>
    <row r="1297" ht="25.15" customHeight="1" x14ac:dyDescent="0.3"/>
    <row r="1298" ht="24.6" customHeight="1" x14ac:dyDescent="0.3"/>
    <row r="1299" ht="24.6" customHeight="1" x14ac:dyDescent="0.3"/>
    <row r="1300" ht="24.6" customHeight="1" x14ac:dyDescent="0.3"/>
    <row r="1301" ht="24.6" customHeight="1" x14ac:dyDescent="0.3"/>
    <row r="1302" ht="24.6" customHeight="1" x14ac:dyDescent="0.3"/>
    <row r="1303" ht="24.6" customHeight="1" x14ac:dyDescent="0.3"/>
    <row r="1304" ht="24.6" customHeight="1" x14ac:dyDescent="0.3"/>
    <row r="1305" ht="24.6" customHeight="1" x14ac:dyDescent="0.3"/>
    <row r="1306" ht="24.6" customHeight="1" x14ac:dyDescent="0.3"/>
    <row r="1307" ht="24.6" customHeight="1" x14ac:dyDescent="0.3"/>
  </sheetData>
  <mergeCells count="1">
    <mergeCell ref="L10:M10"/>
  </mergeCell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3:B22"/>
  <sheetViews>
    <sheetView topLeftCell="B1" workbookViewId="0">
      <selection activeCell="B2" sqref="B2"/>
    </sheetView>
  </sheetViews>
  <sheetFormatPr defaultRowHeight="14.25" x14ac:dyDescent="0.25"/>
  <cols>
    <col min="1" max="1" width="13.42578125" bestFit="1" customWidth="1"/>
    <col min="2" max="2" width="23.28515625" bestFit="1" customWidth="1"/>
    <col min="3" max="3" width="11" bestFit="1" customWidth="1"/>
    <col min="4" max="4" width="22.5703125" bestFit="1" customWidth="1"/>
    <col min="5" max="5" width="12.28515625" bestFit="1" customWidth="1"/>
    <col min="6" max="6" width="26.28515625" bestFit="1" customWidth="1"/>
    <col min="7" max="7" width="12.5703125" bestFit="1" customWidth="1"/>
    <col min="8" max="8" width="38.5703125" bestFit="1" customWidth="1"/>
    <col min="9" max="9" width="20.85546875" bestFit="1" customWidth="1"/>
    <col min="10" max="10" width="42" bestFit="1" customWidth="1"/>
    <col min="11" max="11" width="26.85546875" bestFit="1" customWidth="1"/>
    <col min="12" max="12" width="13.28515625" bestFit="1" customWidth="1"/>
    <col min="13" max="13" width="11.28515625" bestFit="1" customWidth="1"/>
    <col min="14" max="14" width="22.85546875" bestFit="1" customWidth="1"/>
    <col min="15" max="15" width="19" bestFit="1" customWidth="1"/>
    <col min="16" max="16" width="9.28515625" bestFit="1" customWidth="1"/>
    <col min="17" max="17" width="22.140625" bestFit="1" customWidth="1"/>
    <col min="18" max="18" width="15.28515625" bestFit="1" customWidth="1"/>
    <col min="19" max="19" width="10.5703125" bestFit="1" customWidth="1"/>
    <col min="20" max="20" width="17.42578125" bestFit="1" customWidth="1"/>
    <col min="21" max="21" width="22.28515625" bestFit="1" customWidth="1"/>
    <col min="22" max="22" width="18.28515625" bestFit="1" customWidth="1"/>
    <col min="23" max="23" width="22.42578125" bestFit="1" customWidth="1"/>
    <col min="24" max="24" width="26.85546875" bestFit="1" customWidth="1"/>
    <col min="25" max="25" width="24.85546875" bestFit="1" customWidth="1"/>
    <col min="26" max="26" width="37.140625" bestFit="1" customWidth="1"/>
    <col min="27" max="27" width="13.7109375" bestFit="1" customWidth="1"/>
    <col min="28" max="28" width="12.7109375" bestFit="1" customWidth="1"/>
    <col min="29" max="29" width="19.28515625" bestFit="1" customWidth="1"/>
    <col min="30" max="30" width="21.140625" bestFit="1" customWidth="1"/>
    <col min="31" max="31" width="28.28515625" bestFit="1" customWidth="1"/>
    <col min="32" max="32" width="34.42578125" bestFit="1" customWidth="1"/>
    <col min="33" max="33" width="33.140625" bestFit="1" customWidth="1"/>
    <col min="34" max="34" width="34" bestFit="1" customWidth="1"/>
    <col min="35" max="35" width="10.5703125" bestFit="1" customWidth="1"/>
    <col min="36" max="36" width="16.85546875" bestFit="1" customWidth="1"/>
    <col min="37" max="37" width="25.5703125" bestFit="1" customWidth="1"/>
    <col min="38" max="38" width="41.140625" bestFit="1" customWidth="1"/>
    <col min="39" max="39" width="14.140625" bestFit="1" customWidth="1"/>
    <col min="40" max="40" width="9.5703125" bestFit="1" customWidth="1"/>
    <col min="41" max="41" width="11.28515625" bestFit="1" customWidth="1"/>
    <col min="42" max="42" width="15.140625" bestFit="1" customWidth="1"/>
    <col min="43" max="43" width="15.42578125" bestFit="1" customWidth="1"/>
    <col min="44" max="44" width="16.28515625" bestFit="1" customWidth="1"/>
    <col min="45" max="45" width="15.140625" bestFit="1" customWidth="1"/>
    <col min="46" max="46" width="8.7109375" bestFit="1" customWidth="1"/>
    <col min="47" max="47" width="21.28515625" bestFit="1" customWidth="1"/>
    <col min="48" max="48" width="22" bestFit="1" customWidth="1"/>
    <col min="49" max="49" width="14.85546875" bestFit="1" customWidth="1"/>
    <col min="50" max="50" width="12.5703125" bestFit="1" customWidth="1"/>
    <col min="51" max="51" width="24.7109375" bestFit="1" customWidth="1"/>
    <col min="52" max="52" width="22" bestFit="1" customWidth="1"/>
    <col min="53" max="53" width="19.140625" bestFit="1" customWidth="1"/>
    <col min="54" max="54" width="16.7109375" bestFit="1" customWidth="1"/>
    <col min="55" max="55" width="9" bestFit="1" customWidth="1"/>
    <col min="56" max="56" width="17.7109375" bestFit="1" customWidth="1"/>
    <col min="57" max="57" width="17.85546875" bestFit="1" customWidth="1"/>
    <col min="58" max="58" width="13.7109375" bestFit="1" customWidth="1"/>
    <col min="59" max="59" width="28" bestFit="1" customWidth="1"/>
    <col min="60" max="60" width="15.28515625" bestFit="1" customWidth="1"/>
    <col min="61" max="61" width="15.7109375" bestFit="1" customWidth="1"/>
    <col min="62" max="62" width="15.85546875" bestFit="1" customWidth="1"/>
    <col min="63" max="63" width="22.85546875" bestFit="1" customWidth="1"/>
    <col min="64" max="64" width="12.5703125" bestFit="1" customWidth="1"/>
    <col min="65" max="65" width="10.5703125" bestFit="1" customWidth="1"/>
    <col min="66" max="66" width="16.28515625" bestFit="1" customWidth="1"/>
    <col min="67" max="67" width="18.140625" bestFit="1" customWidth="1"/>
    <col min="68" max="68" width="22.140625" bestFit="1" customWidth="1"/>
    <col min="69" max="69" width="6.85546875" bestFit="1" customWidth="1"/>
    <col min="70" max="70" width="15.28515625" bestFit="1" customWidth="1"/>
    <col min="71" max="71" width="11.140625" bestFit="1" customWidth="1"/>
    <col min="72" max="72" width="12.140625" bestFit="1" customWidth="1"/>
    <col min="73" max="73" width="10.42578125" bestFit="1" customWidth="1"/>
    <col min="74" max="74" width="28" bestFit="1" customWidth="1"/>
    <col min="75" max="75" width="33.28515625" bestFit="1" customWidth="1"/>
    <col min="76" max="76" width="9.28515625" bestFit="1" customWidth="1"/>
    <col min="77" max="77" width="11.85546875" bestFit="1" customWidth="1"/>
    <col min="78" max="78" width="13.28515625" bestFit="1" customWidth="1"/>
    <col min="79" max="79" width="19.140625" bestFit="1" customWidth="1"/>
    <col min="80" max="81" width="12.140625" bestFit="1" customWidth="1"/>
    <col min="82" max="82" width="19" bestFit="1" customWidth="1"/>
    <col min="83" max="83" width="28.140625" bestFit="1" customWidth="1"/>
    <col min="84" max="84" width="31.140625" bestFit="1" customWidth="1"/>
    <col min="85" max="85" width="19.28515625" bestFit="1" customWidth="1"/>
    <col min="86" max="86" width="10.42578125" bestFit="1" customWidth="1"/>
    <col min="87" max="87" width="17.5703125" bestFit="1" customWidth="1"/>
    <col min="88" max="88" width="16.28515625" bestFit="1" customWidth="1"/>
    <col min="89" max="89" width="16.85546875" bestFit="1" customWidth="1"/>
    <col min="90" max="90" width="16.7109375" bestFit="1" customWidth="1"/>
    <col min="91" max="91" width="15.28515625" bestFit="1" customWidth="1"/>
    <col min="92" max="92" width="11" bestFit="1" customWidth="1"/>
    <col min="93" max="93" width="24.85546875" bestFit="1" customWidth="1"/>
    <col min="94" max="94" width="27.5703125" bestFit="1" customWidth="1"/>
    <col min="95" max="95" width="25.7109375" bestFit="1" customWidth="1"/>
    <col min="96" max="96" width="15.28515625" bestFit="1" customWidth="1"/>
    <col min="97" max="97" width="27.140625" bestFit="1" customWidth="1"/>
    <col min="98" max="98" width="18.28515625" bestFit="1" customWidth="1"/>
    <col min="99" max="99" width="24.5703125" bestFit="1" customWidth="1"/>
    <col min="100" max="100" width="9.42578125" bestFit="1" customWidth="1"/>
    <col min="101" max="101" width="27.85546875" bestFit="1" customWidth="1"/>
    <col min="102" max="102" width="25.28515625" bestFit="1" customWidth="1"/>
    <col min="103" max="103" width="9.42578125" bestFit="1" customWidth="1"/>
    <col min="104" max="104" width="20.7109375" bestFit="1" customWidth="1"/>
    <col min="105" max="105" width="14.5703125" bestFit="1" customWidth="1"/>
    <col min="106" max="106" width="25.5703125" bestFit="1" customWidth="1"/>
    <col min="107" max="107" width="27.42578125" bestFit="1" customWidth="1"/>
    <col min="108" max="108" width="22.42578125" bestFit="1" customWidth="1"/>
    <col min="109" max="109" width="32.7109375" bestFit="1" customWidth="1"/>
    <col min="110" max="110" width="21.7109375" bestFit="1" customWidth="1"/>
    <col min="111" max="111" width="12.7109375" bestFit="1" customWidth="1"/>
    <col min="112" max="112" width="15.140625" bestFit="1" customWidth="1"/>
    <col min="113" max="113" width="18.42578125" bestFit="1" customWidth="1"/>
    <col min="114" max="114" width="26.140625" bestFit="1" customWidth="1"/>
    <col min="115" max="115" width="15" bestFit="1" customWidth="1"/>
    <col min="116" max="116" width="12.7109375" bestFit="1" customWidth="1"/>
    <col min="117" max="117" width="12.5703125" bestFit="1" customWidth="1"/>
    <col min="118" max="118" width="18.7109375" bestFit="1" customWidth="1"/>
    <col min="119" max="119" width="25.28515625" bestFit="1" customWidth="1"/>
    <col min="120" max="120" width="21.5703125" bestFit="1" customWidth="1"/>
    <col min="121" max="121" width="18.140625" bestFit="1" customWidth="1"/>
    <col min="122" max="122" width="26" bestFit="1" customWidth="1"/>
    <col min="123" max="123" width="17.85546875" bestFit="1" customWidth="1"/>
    <col min="124" max="124" width="25.28515625" bestFit="1" customWidth="1"/>
    <col min="125" max="125" width="22" bestFit="1" customWidth="1"/>
    <col min="126" max="126" width="18.28515625" bestFit="1" customWidth="1"/>
    <col min="127" max="127" width="12.85546875" bestFit="1" customWidth="1"/>
    <col min="128" max="128" width="30.140625" bestFit="1" customWidth="1"/>
    <col min="129" max="129" width="8.5703125" bestFit="1" customWidth="1"/>
    <col min="130" max="130" width="22.140625" bestFit="1" customWidth="1"/>
    <col min="131" max="131" width="12.7109375" bestFit="1" customWidth="1"/>
    <col min="132" max="132" width="10.140625" bestFit="1" customWidth="1"/>
    <col min="133" max="133" width="9.5703125" bestFit="1" customWidth="1"/>
    <col min="134" max="134" width="23.28515625" bestFit="1" customWidth="1"/>
    <col min="135" max="135" width="24.28515625" bestFit="1" customWidth="1"/>
    <col min="136" max="136" width="16.7109375" bestFit="1" customWidth="1"/>
    <col min="137" max="137" width="14.5703125" bestFit="1" customWidth="1"/>
    <col min="138" max="138" width="10.85546875" bestFit="1" customWidth="1"/>
    <col min="139" max="139" width="6.140625" bestFit="1" customWidth="1"/>
    <col min="140" max="140" width="11.5703125" bestFit="1" customWidth="1"/>
  </cols>
  <sheetData>
    <row r="3" spans="1:2" x14ac:dyDescent="0.25">
      <c r="A3" s="155" t="s">
        <v>918</v>
      </c>
      <c r="B3" t="s">
        <v>920</v>
      </c>
    </row>
    <row r="4" spans="1:2" x14ac:dyDescent="0.25">
      <c r="A4" s="156" t="s">
        <v>804</v>
      </c>
      <c r="B4" s="157">
        <v>-0.11673448062558069</v>
      </c>
    </row>
    <row r="5" spans="1:2" x14ac:dyDescent="0.25">
      <c r="A5" s="156" t="s">
        <v>1031</v>
      </c>
      <c r="B5" s="157">
        <v>-8.3025804796383745E-2</v>
      </c>
    </row>
    <row r="6" spans="1:2" x14ac:dyDescent="0.25">
      <c r="A6" s="156" t="s">
        <v>1020</v>
      </c>
      <c r="B6" s="157">
        <v>-5.1913659969799769E-2</v>
      </c>
    </row>
    <row r="7" spans="1:2" x14ac:dyDescent="0.25">
      <c r="A7" s="156" t="s">
        <v>798</v>
      </c>
      <c r="B7" s="157">
        <v>-2.3498724063983498E-2</v>
      </c>
    </row>
    <row r="8" spans="1:2" x14ac:dyDescent="0.25">
      <c r="A8" s="156" t="s">
        <v>1022</v>
      </c>
      <c r="B8" s="157">
        <v>-1.6710642040457434E-2</v>
      </c>
    </row>
    <row r="9" spans="1:2" x14ac:dyDescent="0.25">
      <c r="A9" s="156" t="s">
        <v>1023</v>
      </c>
      <c r="B9" s="157">
        <v>-9.8990150854008519E-3</v>
      </c>
    </row>
    <row r="10" spans="1:2" x14ac:dyDescent="0.25">
      <c r="A10" s="156" t="s">
        <v>1003</v>
      </c>
      <c r="B10" s="157">
        <v>-5.7203079728955272E-3</v>
      </c>
    </row>
    <row r="11" spans="1:2" x14ac:dyDescent="0.25">
      <c r="A11" s="156" t="s">
        <v>1012</v>
      </c>
      <c r="B11" s="157">
        <v>-2.1395455727294867E-3</v>
      </c>
    </row>
    <row r="12" spans="1:2" x14ac:dyDescent="0.25">
      <c r="A12" s="156" t="s">
        <v>981</v>
      </c>
      <c r="B12" s="157">
        <v>4.4838373305534912E-4</v>
      </c>
    </row>
    <row r="13" spans="1:2" x14ac:dyDescent="0.25">
      <c r="A13" s="156" t="s">
        <v>1026</v>
      </c>
      <c r="B13" s="157">
        <v>8.4210526315795582E-4</v>
      </c>
    </row>
    <row r="14" spans="1:2" x14ac:dyDescent="0.25">
      <c r="A14" s="156" t="s">
        <v>819</v>
      </c>
      <c r="B14" s="157">
        <v>1.6013005022780891E-3</v>
      </c>
    </row>
    <row r="15" spans="1:2" x14ac:dyDescent="0.25">
      <c r="A15" s="156" t="s">
        <v>856</v>
      </c>
      <c r="B15" s="157">
        <v>2.1826197708813078E-3</v>
      </c>
    </row>
    <row r="16" spans="1:2" x14ac:dyDescent="0.25">
      <c r="A16" s="156" t="s">
        <v>1019</v>
      </c>
      <c r="B16" s="157">
        <v>4.1071021108746017E-3</v>
      </c>
    </row>
    <row r="17" spans="1:2" x14ac:dyDescent="0.25">
      <c r="A17" s="156" t="s">
        <v>304</v>
      </c>
      <c r="B17" s="157">
        <v>1.6251390797525658E-2</v>
      </c>
    </row>
    <row r="18" spans="1:2" x14ac:dyDescent="0.25">
      <c r="A18" s="156" t="s">
        <v>1025</v>
      </c>
      <c r="B18" s="157">
        <v>1.6579779578341714E-2</v>
      </c>
    </row>
    <row r="19" spans="1:2" x14ac:dyDescent="0.25">
      <c r="A19" s="156" t="s">
        <v>990</v>
      </c>
      <c r="B19" s="157">
        <v>2.0056408649326032E-2</v>
      </c>
    </row>
    <row r="20" spans="1:2" x14ac:dyDescent="0.25">
      <c r="A20" s="156" t="s">
        <v>1027</v>
      </c>
      <c r="B20" s="157">
        <v>7.2006315936128329E-2</v>
      </c>
    </row>
    <row r="21" spans="1:2" x14ac:dyDescent="0.25">
      <c r="A21" s="156" t="s">
        <v>67</v>
      </c>
      <c r="B21" s="157" t="e">
        <v>#DIV/0!</v>
      </c>
    </row>
    <row r="22" spans="1:2" x14ac:dyDescent="0.25">
      <c r="A22" s="156" t="s">
        <v>919</v>
      </c>
      <c r="B22" s="157" t="e">
        <v>#DIV/0!</v>
      </c>
    </row>
  </sheetData>
  <pageMargins left="0.7" right="0.7" top="0.75" bottom="0.75" header="0.3" footer="0.3"/>
  <pageSetup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B1:L346"/>
  <sheetViews>
    <sheetView showGridLines="0" topLeftCell="J1" workbookViewId="0">
      <selection activeCell="G352" sqref="G352"/>
    </sheetView>
  </sheetViews>
  <sheetFormatPr defaultRowHeight="14.25" x14ac:dyDescent="0.25"/>
  <cols>
    <col min="1" max="1" width="1.42578125" customWidth="1"/>
    <col min="2" max="2" width="8.85546875" bestFit="1" customWidth="1"/>
    <col min="3" max="3" width="37.5703125" bestFit="1" customWidth="1"/>
    <col min="4" max="4" width="15" customWidth="1"/>
    <col min="5" max="5" width="10.7109375" customWidth="1"/>
    <col min="6" max="6" width="16" customWidth="1"/>
    <col min="7" max="7" width="14.140625" customWidth="1"/>
    <col min="8" max="8" width="14" customWidth="1"/>
    <col min="9" max="9" width="11.5703125" customWidth="1"/>
    <col min="10" max="10" width="9.85546875" customWidth="1"/>
    <col min="11" max="11" width="9.7109375" customWidth="1"/>
    <col min="12" max="12" width="11.140625" customWidth="1"/>
    <col min="13" max="13" width="10" bestFit="1" customWidth="1"/>
    <col min="14" max="14" width="14.140625" customWidth="1"/>
  </cols>
  <sheetData>
    <row r="1" spans="2:12" ht="7.5" customHeight="1" x14ac:dyDescent="0.25"/>
    <row r="2" spans="2:12" s="52" customFormat="1" ht="40.5" customHeight="1" x14ac:dyDescent="0.25">
      <c r="B2" s="202" t="s">
        <v>0</v>
      </c>
      <c r="C2" s="202" t="s">
        <v>1</v>
      </c>
      <c r="D2" s="52" t="s">
        <v>100</v>
      </c>
      <c r="E2" s="52" t="s">
        <v>101</v>
      </c>
      <c r="F2" s="52" t="s">
        <v>105</v>
      </c>
      <c r="G2" s="202" t="s">
        <v>1053</v>
      </c>
      <c r="H2" s="52" t="s">
        <v>1054</v>
      </c>
      <c r="I2" s="52" t="s">
        <v>1055</v>
      </c>
      <c r="J2" s="52" t="s">
        <v>1056</v>
      </c>
      <c r="K2" s="52" t="s">
        <v>1057</v>
      </c>
      <c r="L2" s="52" t="s">
        <v>696</v>
      </c>
    </row>
    <row r="3" spans="2:12" x14ac:dyDescent="0.25">
      <c r="B3" s="57" t="s">
        <v>870</v>
      </c>
      <c r="C3" s="57" t="s">
        <v>1193</v>
      </c>
      <c r="D3">
        <v>0</v>
      </c>
      <c r="E3" s="58">
        <v>0</v>
      </c>
      <c r="F3" s="58"/>
      <c r="G3" s="57"/>
      <c r="I3" s="58"/>
      <c r="J3" s="58"/>
      <c r="K3" s="58"/>
      <c r="L3" s="58"/>
    </row>
    <row r="4" spans="2:12" x14ac:dyDescent="0.25">
      <c r="B4" s="57" t="s">
        <v>786</v>
      </c>
      <c r="C4" s="57" t="s">
        <v>788</v>
      </c>
      <c r="D4">
        <v>108.98</v>
      </c>
      <c r="E4" s="58">
        <v>-0.19</v>
      </c>
      <c r="F4" s="58">
        <v>7545.57</v>
      </c>
      <c r="G4" s="57">
        <v>-30.03</v>
      </c>
      <c r="H4">
        <v>-29.35</v>
      </c>
      <c r="I4" s="58">
        <v>0.8</v>
      </c>
      <c r="J4" s="58">
        <v>0.61</v>
      </c>
      <c r="K4" s="58" t="s">
        <v>405</v>
      </c>
      <c r="L4" s="58">
        <v>0.22</v>
      </c>
    </row>
    <row r="5" spans="2:12" x14ac:dyDescent="0.25">
      <c r="B5" s="57" t="s">
        <v>579</v>
      </c>
      <c r="C5" s="57" t="s">
        <v>580</v>
      </c>
      <c r="D5">
        <v>2.63</v>
      </c>
      <c r="E5" s="58">
        <v>0.02</v>
      </c>
      <c r="F5" s="58">
        <v>38129.29</v>
      </c>
      <c r="G5" s="57">
        <v>-40.24</v>
      </c>
      <c r="H5">
        <v>-38.08</v>
      </c>
      <c r="I5" s="58">
        <v>3.69</v>
      </c>
      <c r="J5" s="58">
        <v>0.53</v>
      </c>
      <c r="K5" s="58" t="s">
        <v>407</v>
      </c>
      <c r="L5" s="58">
        <v>4.63</v>
      </c>
    </row>
    <row r="6" spans="2:12" x14ac:dyDescent="0.25">
      <c r="B6" s="57" t="s">
        <v>717</v>
      </c>
      <c r="C6" s="57" t="s">
        <v>718</v>
      </c>
      <c r="D6">
        <v>26.16</v>
      </c>
      <c r="E6" s="58">
        <v>1.99</v>
      </c>
      <c r="F6" s="58">
        <v>1743.07</v>
      </c>
      <c r="G6" s="57">
        <v>-35.82</v>
      </c>
      <c r="H6">
        <v>-25.17</v>
      </c>
      <c r="I6" s="58">
        <v>0.27</v>
      </c>
      <c r="J6" s="58">
        <v>0.65</v>
      </c>
      <c r="K6" s="58" t="s">
        <v>405</v>
      </c>
      <c r="L6" s="58">
        <v>3</v>
      </c>
    </row>
    <row r="7" spans="2:12" x14ac:dyDescent="0.25">
      <c r="B7" s="57" t="s">
        <v>13</v>
      </c>
      <c r="C7" s="57" t="s">
        <v>418</v>
      </c>
      <c r="D7">
        <v>5.66</v>
      </c>
      <c r="E7" s="58">
        <v>0.2</v>
      </c>
      <c r="F7" s="58">
        <v>7057.57</v>
      </c>
      <c r="G7" s="57">
        <v>-34.9</v>
      </c>
      <c r="H7">
        <v>-44.85</v>
      </c>
      <c r="I7" s="58">
        <v>0.13</v>
      </c>
      <c r="J7" s="58">
        <v>0.76</v>
      </c>
      <c r="K7" s="58"/>
      <c r="L7" s="58">
        <v>0</v>
      </c>
    </row>
    <row r="8" spans="2:12" x14ac:dyDescent="0.25">
      <c r="B8" s="57" t="s">
        <v>77</v>
      </c>
      <c r="C8" s="57" t="s">
        <v>353</v>
      </c>
      <c r="D8">
        <v>12.96</v>
      </c>
      <c r="E8" s="58">
        <v>-0.28000000000000003</v>
      </c>
      <c r="F8" s="58">
        <v>1215.57</v>
      </c>
      <c r="G8" s="57">
        <v>-46.2</v>
      </c>
      <c r="H8">
        <v>-11.97</v>
      </c>
      <c r="I8" s="58">
        <v>0.08</v>
      </c>
      <c r="J8" s="58">
        <v>0.22</v>
      </c>
      <c r="K8" s="58" t="s">
        <v>408</v>
      </c>
      <c r="L8" s="58">
        <v>0</v>
      </c>
    </row>
    <row r="9" spans="2:12" x14ac:dyDescent="0.25">
      <c r="B9" s="57" t="s">
        <v>94</v>
      </c>
      <c r="C9" s="57" t="s">
        <v>419</v>
      </c>
      <c r="D9">
        <v>18.04</v>
      </c>
      <c r="E9" s="58">
        <v>1.38</v>
      </c>
      <c r="F9" s="58">
        <v>1646.9</v>
      </c>
      <c r="G9" s="57">
        <v>-44.76</v>
      </c>
      <c r="H9">
        <v>-43.28</v>
      </c>
      <c r="I9" s="58">
        <v>0.82</v>
      </c>
      <c r="J9" s="58">
        <v>0.56000000000000005</v>
      </c>
      <c r="K9" s="58" t="s">
        <v>408</v>
      </c>
      <c r="L9" s="58">
        <v>1.8</v>
      </c>
    </row>
    <row r="10" spans="2:12" x14ac:dyDescent="0.25">
      <c r="B10" s="57" t="s">
        <v>357</v>
      </c>
      <c r="C10" s="57" t="s">
        <v>358</v>
      </c>
      <c r="D10">
        <v>182.83</v>
      </c>
      <c r="E10" s="58">
        <v>8.02</v>
      </c>
      <c r="F10" s="58">
        <v>60149.79</v>
      </c>
      <c r="G10" s="57">
        <v>-6.88</v>
      </c>
      <c r="H10">
        <v>20.149999999999999</v>
      </c>
      <c r="I10" s="58">
        <v>3.74</v>
      </c>
      <c r="J10" s="58">
        <v>0.83</v>
      </c>
      <c r="K10" s="58" t="s">
        <v>407</v>
      </c>
      <c r="L10" s="58">
        <v>1.7</v>
      </c>
    </row>
    <row r="11" spans="2:12" x14ac:dyDescent="0.25">
      <c r="B11" s="57" t="s">
        <v>719</v>
      </c>
      <c r="C11" s="57" t="s">
        <v>720</v>
      </c>
      <c r="D11">
        <v>35.9</v>
      </c>
      <c r="E11" s="58">
        <v>4.13</v>
      </c>
      <c r="F11" s="58">
        <v>561.24</v>
      </c>
      <c r="G11" s="57">
        <v>-12.54</v>
      </c>
      <c r="H11">
        <v>-32.270000000000003</v>
      </c>
      <c r="I11" s="58">
        <v>2.17</v>
      </c>
      <c r="J11" s="58">
        <v>0.82</v>
      </c>
      <c r="K11" s="58" t="s">
        <v>407</v>
      </c>
      <c r="L11" s="58">
        <v>3.15</v>
      </c>
    </row>
    <row r="12" spans="2:12" x14ac:dyDescent="0.25">
      <c r="B12" s="57" t="s">
        <v>581</v>
      </c>
      <c r="C12" s="57" t="s">
        <v>582</v>
      </c>
      <c r="D12">
        <v>27.01</v>
      </c>
      <c r="E12" s="58">
        <v>1.66</v>
      </c>
      <c r="F12" s="58">
        <v>23679.42</v>
      </c>
      <c r="G12" s="57">
        <v>-49.7</v>
      </c>
      <c r="H12">
        <v>-37.4</v>
      </c>
      <c r="I12" s="58">
        <v>0.49</v>
      </c>
      <c r="J12" s="58">
        <v>0.36</v>
      </c>
      <c r="K12" s="58" t="s">
        <v>405</v>
      </c>
      <c r="L12" s="58">
        <v>4.99</v>
      </c>
    </row>
    <row r="13" spans="2:12" x14ac:dyDescent="0.25">
      <c r="B13" s="57" t="s">
        <v>869</v>
      </c>
      <c r="C13" s="57" t="s">
        <v>883</v>
      </c>
      <c r="D13">
        <v>80.510000000000005</v>
      </c>
      <c r="E13" s="58">
        <v>3.8</v>
      </c>
      <c r="F13" s="58">
        <v>17824.98</v>
      </c>
      <c r="G13" s="57">
        <v>-31.8</v>
      </c>
      <c r="H13">
        <v>-42.88</v>
      </c>
      <c r="I13" s="58">
        <v>3.63</v>
      </c>
      <c r="J13" s="58">
        <v>0.52</v>
      </c>
      <c r="K13" s="58" t="s">
        <v>407</v>
      </c>
      <c r="L13" s="58">
        <v>0</v>
      </c>
    </row>
    <row r="14" spans="2:12" x14ac:dyDescent="0.25">
      <c r="B14" s="57" t="s">
        <v>263</v>
      </c>
      <c r="C14" s="57" t="s">
        <v>271</v>
      </c>
      <c r="D14">
        <v>12.44</v>
      </c>
      <c r="E14" s="58">
        <v>-0.12</v>
      </c>
      <c r="F14" s="58">
        <v>656.62</v>
      </c>
      <c r="G14" s="57">
        <v>-30.43</v>
      </c>
      <c r="H14">
        <v>-34.33</v>
      </c>
      <c r="I14" s="58">
        <v>0.96</v>
      </c>
      <c r="J14" s="58">
        <v>0.67</v>
      </c>
      <c r="K14" s="58" t="s">
        <v>405</v>
      </c>
      <c r="L14" s="58">
        <v>0</v>
      </c>
    </row>
    <row r="15" spans="2:12" x14ac:dyDescent="0.25">
      <c r="B15" s="57" t="s">
        <v>264</v>
      </c>
      <c r="C15" s="57" t="s">
        <v>272</v>
      </c>
      <c r="D15">
        <v>15.85</v>
      </c>
      <c r="E15" s="58">
        <v>-0.16</v>
      </c>
      <c r="F15" s="58">
        <v>750.98</v>
      </c>
      <c r="G15" s="57">
        <v>-2.38</v>
      </c>
      <c r="H15">
        <v>-1.29</v>
      </c>
      <c r="I15" s="58">
        <v>0.87</v>
      </c>
      <c r="J15" s="58">
        <v>0.72</v>
      </c>
      <c r="K15" s="58" t="s">
        <v>405</v>
      </c>
      <c r="L15" s="58">
        <v>0</v>
      </c>
    </row>
    <row r="16" spans="2:12" x14ac:dyDescent="0.25">
      <c r="B16" s="57" t="s">
        <v>265</v>
      </c>
      <c r="C16" s="57" t="s">
        <v>273</v>
      </c>
      <c r="D16">
        <v>10.99</v>
      </c>
      <c r="E16" s="58">
        <v>0.92</v>
      </c>
      <c r="F16" s="58">
        <v>690.02</v>
      </c>
      <c r="G16" s="57">
        <v>-40.770000000000003</v>
      </c>
      <c r="H16">
        <v>-59.3</v>
      </c>
      <c r="I16" s="58">
        <v>0.2</v>
      </c>
      <c r="J16" s="58">
        <v>0.4</v>
      </c>
      <c r="K16" s="58" t="s">
        <v>408</v>
      </c>
      <c r="L16" s="58">
        <v>7.94</v>
      </c>
    </row>
    <row r="17" spans="2:12" x14ac:dyDescent="0.25">
      <c r="B17" s="57" t="s">
        <v>122</v>
      </c>
      <c r="C17" s="57" t="s">
        <v>123</v>
      </c>
      <c r="D17">
        <v>258.77999999999997</v>
      </c>
      <c r="E17" s="58">
        <v>3.52</v>
      </c>
      <c r="F17" s="58">
        <v>65540.960000000006</v>
      </c>
      <c r="G17" s="57">
        <v>-9.92</v>
      </c>
      <c r="H17">
        <v>-12.65</v>
      </c>
      <c r="I17" s="58">
        <v>0.65</v>
      </c>
      <c r="J17" s="58">
        <v>0.74</v>
      </c>
      <c r="K17" s="58" t="s">
        <v>407</v>
      </c>
      <c r="L17" s="58">
        <v>1.25</v>
      </c>
    </row>
    <row r="18" spans="2:12" x14ac:dyDescent="0.25">
      <c r="B18" s="57" t="s">
        <v>655</v>
      </c>
      <c r="C18" s="57" t="s">
        <v>656</v>
      </c>
      <c r="D18">
        <v>2.29</v>
      </c>
      <c r="E18" s="58">
        <v>-0.04</v>
      </c>
      <c r="F18" s="58">
        <v>30.38</v>
      </c>
      <c r="G18" s="57">
        <v>-67.28</v>
      </c>
      <c r="H18">
        <v>-84.36</v>
      </c>
      <c r="I18" s="58">
        <v>7.0000000000000007E-2</v>
      </c>
      <c r="J18" s="58">
        <v>0.34</v>
      </c>
      <c r="K18" s="58" t="s">
        <v>408</v>
      </c>
      <c r="L18" s="58">
        <v>0</v>
      </c>
    </row>
    <row r="19" spans="2:12" x14ac:dyDescent="0.25">
      <c r="B19" s="57" t="s">
        <v>314</v>
      </c>
      <c r="C19" s="57" t="s">
        <v>321</v>
      </c>
      <c r="D19">
        <v>18.059999999999999</v>
      </c>
      <c r="E19" s="58">
        <v>0.56999999999999995</v>
      </c>
      <c r="F19" s="58">
        <v>457.43</v>
      </c>
      <c r="G19" s="57">
        <v>-38.22</v>
      </c>
      <c r="H19">
        <v>-47.01</v>
      </c>
      <c r="I19" s="58">
        <v>0.15</v>
      </c>
      <c r="J19" s="58">
        <v>0.62</v>
      </c>
      <c r="K19" s="58" t="s">
        <v>405</v>
      </c>
      <c r="L19" s="58">
        <v>1.83</v>
      </c>
    </row>
    <row r="20" spans="2:12" x14ac:dyDescent="0.25">
      <c r="B20" s="57" t="s">
        <v>721</v>
      </c>
      <c r="C20" s="57" t="s">
        <v>722</v>
      </c>
      <c r="D20">
        <v>20.170000000000002</v>
      </c>
      <c r="E20" s="58">
        <v>0.28999999999999998</v>
      </c>
      <c r="F20" s="58">
        <v>8790.2999999999993</v>
      </c>
      <c r="G20" s="57">
        <v>-37.07</v>
      </c>
      <c r="H20">
        <v>5.78</v>
      </c>
      <c r="I20" s="58">
        <v>0.66</v>
      </c>
      <c r="J20" s="58">
        <v>0.81</v>
      </c>
      <c r="K20" s="58" t="s">
        <v>405</v>
      </c>
      <c r="L20" s="58">
        <v>0.4</v>
      </c>
    </row>
    <row r="21" spans="2:12" x14ac:dyDescent="0.25">
      <c r="B21" s="57" t="s">
        <v>14</v>
      </c>
      <c r="C21" s="57" t="s">
        <v>106</v>
      </c>
      <c r="D21">
        <v>9.7100000000000009</v>
      </c>
      <c r="E21" s="58">
        <v>1.2</v>
      </c>
      <c r="F21" s="58">
        <v>271.05</v>
      </c>
      <c r="G21" s="57">
        <v>-57.98</v>
      </c>
      <c r="H21">
        <v>-72.569999999999993</v>
      </c>
      <c r="I21" s="58">
        <v>0.22</v>
      </c>
      <c r="J21" s="58">
        <v>0.42</v>
      </c>
      <c r="K21" s="58" t="s">
        <v>405</v>
      </c>
      <c r="L21" s="58">
        <v>0</v>
      </c>
    </row>
    <row r="22" spans="2:12" x14ac:dyDescent="0.25">
      <c r="B22" s="57" t="s">
        <v>318</v>
      </c>
      <c r="C22" s="57" t="s">
        <v>322</v>
      </c>
      <c r="D22">
        <v>1.62</v>
      </c>
      <c r="E22" s="58">
        <v>0.14000000000000001</v>
      </c>
      <c r="F22" s="58">
        <v>16.13</v>
      </c>
      <c r="G22" s="57">
        <v>-84.21</v>
      </c>
      <c r="H22">
        <v>-96.35</v>
      </c>
      <c r="I22" s="58">
        <v>0</v>
      </c>
      <c r="J22" s="58">
        <v>0.39</v>
      </c>
      <c r="K22" s="58" t="s">
        <v>406</v>
      </c>
      <c r="L22" s="58">
        <v>0</v>
      </c>
    </row>
    <row r="23" spans="2:12" x14ac:dyDescent="0.25">
      <c r="B23" s="57" t="s">
        <v>905</v>
      </c>
      <c r="C23" s="57" t="s">
        <v>1269</v>
      </c>
      <c r="D23">
        <v>0</v>
      </c>
      <c r="E23" s="58">
        <v>0</v>
      </c>
      <c r="F23" s="58"/>
      <c r="G23" s="57"/>
      <c r="I23" s="58"/>
      <c r="J23" s="58"/>
      <c r="K23" s="58"/>
      <c r="L23" s="58"/>
    </row>
    <row r="24" spans="2:12" x14ac:dyDescent="0.25">
      <c r="B24" s="57" t="s">
        <v>151</v>
      </c>
      <c r="C24" s="57" t="s">
        <v>152</v>
      </c>
      <c r="D24">
        <v>10.07</v>
      </c>
      <c r="E24">
        <v>7.0000000000000007E-2</v>
      </c>
      <c r="F24" s="58">
        <v>1269.05</v>
      </c>
      <c r="G24" s="57">
        <v>-57.14</v>
      </c>
      <c r="H24">
        <v>-61.39</v>
      </c>
      <c r="I24" s="58">
        <v>0.36</v>
      </c>
      <c r="J24" s="58">
        <v>0.37</v>
      </c>
      <c r="K24" s="58" t="s">
        <v>405</v>
      </c>
      <c r="L24" s="58">
        <v>0</v>
      </c>
    </row>
    <row r="25" spans="2:12" x14ac:dyDescent="0.25">
      <c r="B25" s="57" t="s">
        <v>723</v>
      </c>
      <c r="C25" s="57" t="s">
        <v>724</v>
      </c>
      <c r="D25">
        <v>21.17</v>
      </c>
      <c r="E25" s="58">
        <v>0.38</v>
      </c>
      <c r="F25" s="58">
        <v>13400.51</v>
      </c>
      <c r="G25" s="57">
        <v>-21.45</v>
      </c>
      <c r="H25">
        <v>-0.62</v>
      </c>
      <c r="I25" s="58">
        <v>1.44</v>
      </c>
      <c r="J25" s="58">
        <v>0.81</v>
      </c>
      <c r="K25" s="58" t="s">
        <v>405</v>
      </c>
      <c r="L25" s="58">
        <v>0</v>
      </c>
    </row>
    <row r="26" spans="2:12" x14ac:dyDescent="0.25">
      <c r="B26" s="57" t="s">
        <v>865</v>
      </c>
      <c r="C26" s="57" t="s">
        <v>867</v>
      </c>
      <c r="D26">
        <v>205.03</v>
      </c>
      <c r="E26" s="58">
        <v>-12.69</v>
      </c>
      <c r="F26" s="58">
        <v>81900.990000000005</v>
      </c>
      <c r="G26" s="57">
        <v>-32.270000000000003</v>
      </c>
      <c r="H26">
        <v>-14.71</v>
      </c>
      <c r="I26" s="58">
        <v>3.8</v>
      </c>
      <c r="J26" s="58">
        <v>0.66</v>
      </c>
      <c r="K26" s="58" t="s">
        <v>407</v>
      </c>
      <c r="L26" s="58">
        <v>5.12</v>
      </c>
    </row>
    <row r="27" spans="2:12" x14ac:dyDescent="0.25">
      <c r="B27" s="57" t="s">
        <v>171</v>
      </c>
      <c r="C27" s="57" t="s">
        <v>172</v>
      </c>
      <c r="D27">
        <v>88.3</v>
      </c>
      <c r="E27">
        <v>0.56999999999999995</v>
      </c>
      <c r="F27" s="58">
        <v>3002.33</v>
      </c>
      <c r="G27" s="57">
        <v>-2.36</v>
      </c>
      <c r="H27">
        <v>53.51</v>
      </c>
      <c r="I27" s="58">
        <v>0.34</v>
      </c>
      <c r="J27" s="58">
        <v>0.79</v>
      </c>
      <c r="K27" s="58" t="s">
        <v>407</v>
      </c>
      <c r="L27" s="58">
        <v>0</v>
      </c>
    </row>
    <row r="28" spans="2:12" x14ac:dyDescent="0.25">
      <c r="B28" s="57" t="s">
        <v>224</v>
      </c>
      <c r="C28" s="57" t="s">
        <v>225</v>
      </c>
      <c r="D28">
        <v>170.06</v>
      </c>
      <c r="E28">
        <v>15.22</v>
      </c>
      <c r="F28" s="58">
        <v>95771.07</v>
      </c>
      <c r="G28" s="57">
        <v>-54.69</v>
      </c>
      <c r="H28">
        <v>-56.56</v>
      </c>
      <c r="I28" s="58">
        <v>1.25</v>
      </c>
      <c r="J28" s="58">
        <v>0.49</v>
      </c>
      <c r="K28" s="58" t="s">
        <v>405</v>
      </c>
      <c r="L28" s="58">
        <v>5.31</v>
      </c>
    </row>
    <row r="29" spans="2:12" x14ac:dyDescent="0.25">
      <c r="B29" s="57" t="s">
        <v>87</v>
      </c>
      <c r="C29" s="57" t="s">
        <v>125</v>
      </c>
      <c r="D29">
        <v>8.09</v>
      </c>
      <c r="E29">
        <v>1.0900000000000001</v>
      </c>
      <c r="F29" s="58">
        <v>3752.96</v>
      </c>
      <c r="G29" s="57">
        <v>-51.15</v>
      </c>
      <c r="H29">
        <v>-74.069999999999993</v>
      </c>
      <c r="I29" s="58">
        <v>0.28000000000000003</v>
      </c>
      <c r="J29" s="58">
        <v>0.51</v>
      </c>
      <c r="K29" s="58"/>
      <c r="L29" s="58">
        <v>5.8</v>
      </c>
    </row>
    <row r="30" spans="2:12" x14ac:dyDescent="0.25">
      <c r="B30" s="57" t="s">
        <v>285</v>
      </c>
      <c r="C30" s="57" t="s">
        <v>292</v>
      </c>
      <c r="D30">
        <v>49.48</v>
      </c>
      <c r="E30" s="58">
        <v>1.48</v>
      </c>
      <c r="F30" s="58">
        <v>372.51</v>
      </c>
      <c r="G30" s="57">
        <v>-47.13</v>
      </c>
      <c r="H30">
        <v>-38.47</v>
      </c>
      <c r="I30" s="58">
        <v>0.4</v>
      </c>
      <c r="J30" s="58">
        <v>0.56000000000000005</v>
      </c>
      <c r="K30" s="58" t="s">
        <v>405</v>
      </c>
      <c r="L30" s="58">
        <v>2.4</v>
      </c>
    </row>
    <row r="31" spans="2:12" x14ac:dyDescent="0.25">
      <c r="B31" s="57" t="s">
        <v>212</v>
      </c>
      <c r="C31" s="57" t="s">
        <v>226</v>
      </c>
      <c r="D31">
        <v>2.27</v>
      </c>
      <c r="E31" s="58">
        <v>0.17</v>
      </c>
      <c r="F31" s="58">
        <v>217.55</v>
      </c>
      <c r="G31" s="57">
        <v>-54.86</v>
      </c>
      <c r="H31">
        <v>-65.540000000000006</v>
      </c>
      <c r="I31" s="58">
        <v>0.25</v>
      </c>
      <c r="J31" s="58">
        <v>0.44</v>
      </c>
      <c r="K31" s="58" t="s">
        <v>408</v>
      </c>
      <c r="L31" s="58">
        <v>2.38</v>
      </c>
    </row>
    <row r="32" spans="2:12" x14ac:dyDescent="0.25">
      <c r="B32" s="57" t="s">
        <v>251</v>
      </c>
      <c r="C32" s="57" t="s">
        <v>257</v>
      </c>
      <c r="D32">
        <v>57.02</v>
      </c>
      <c r="E32" s="58">
        <v>1.62</v>
      </c>
      <c r="F32" s="58">
        <v>14755.49</v>
      </c>
      <c r="G32" s="57">
        <v>-34.5</v>
      </c>
      <c r="H32">
        <v>-16.61</v>
      </c>
      <c r="I32" s="58">
        <v>0.35</v>
      </c>
      <c r="J32" s="58">
        <v>0.84</v>
      </c>
      <c r="K32" s="58" t="s">
        <v>405</v>
      </c>
      <c r="L32" s="58">
        <v>3.61</v>
      </c>
    </row>
    <row r="33" spans="2:12" x14ac:dyDescent="0.25">
      <c r="B33" s="57" t="s">
        <v>88</v>
      </c>
      <c r="C33" s="57" t="s">
        <v>89</v>
      </c>
      <c r="D33">
        <v>26.6</v>
      </c>
      <c r="E33" s="58">
        <v>2.2200000000000002</v>
      </c>
      <c r="F33" s="58">
        <v>1037.07</v>
      </c>
      <c r="G33" s="57">
        <v>-35.26</v>
      </c>
      <c r="H33">
        <v>-6.73</v>
      </c>
      <c r="I33" s="58">
        <v>0.23</v>
      </c>
      <c r="J33" s="58">
        <v>0.72</v>
      </c>
      <c r="K33" s="58" t="s">
        <v>405</v>
      </c>
      <c r="L33" s="58">
        <v>1.56</v>
      </c>
    </row>
    <row r="34" spans="2:12" x14ac:dyDescent="0.25">
      <c r="B34" s="57" t="s">
        <v>153</v>
      </c>
      <c r="C34" s="57" t="s">
        <v>154</v>
      </c>
      <c r="D34">
        <v>20.100000000000001</v>
      </c>
      <c r="E34" s="58">
        <v>0</v>
      </c>
      <c r="F34" s="58"/>
      <c r="G34" s="57"/>
      <c r="I34" s="58"/>
      <c r="J34" s="58"/>
      <c r="K34" s="58"/>
      <c r="L34" s="58"/>
    </row>
    <row r="35" spans="2:12" x14ac:dyDescent="0.25">
      <c r="B35" s="57" t="s">
        <v>711</v>
      </c>
      <c r="C35" s="57" t="s">
        <v>725</v>
      </c>
      <c r="D35">
        <v>2.29</v>
      </c>
      <c r="E35" s="58">
        <v>0.02</v>
      </c>
      <c r="F35" s="58">
        <v>97.28</v>
      </c>
      <c r="G35" s="57">
        <v>-56.72</v>
      </c>
      <c r="H35">
        <v>-79.150000000000006</v>
      </c>
      <c r="I35" s="58">
        <v>0.05</v>
      </c>
      <c r="J35" s="58">
        <v>0.41</v>
      </c>
      <c r="K35" s="58" t="s">
        <v>406</v>
      </c>
      <c r="L35" s="58">
        <v>16.739999999999998</v>
      </c>
    </row>
    <row r="36" spans="2:12" x14ac:dyDescent="0.25">
      <c r="B36" s="57" t="s">
        <v>649</v>
      </c>
      <c r="C36" s="57" t="s">
        <v>652</v>
      </c>
      <c r="D36">
        <v>292.26</v>
      </c>
      <c r="E36" s="58">
        <v>23.38</v>
      </c>
      <c r="F36" s="58">
        <v>50871.95</v>
      </c>
      <c r="G36" s="57">
        <v>-8.5</v>
      </c>
      <c r="H36">
        <v>-14.02</v>
      </c>
      <c r="I36" s="58">
        <v>3.8</v>
      </c>
      <c r="J36" s="58">
        <v>0.69</v>
      </c>
      <c r="K36" s="58" t="s">
        <v>407</v>
      </c>
      <c r="L36" s="58">
        <v>0</v>
      </c>
    </row>
    <row r="37" spans="2:12" x14ac:dyDescent="0.25">
      <c r="B37" s="57" t="s">
        <v>657</v>
      </c>
      <c r="C37" s="57" t="s">
        <v>658</v>
      </c>
      <c r="D37">
        <v>3.3</v>
      </c>
      <c r="E37" s="58">
        <v>-0.03</v>
      </c>
      <c r="F37" s="58">
        <v>607.14</v>
      </c>
      <c r="G37" s="57">
        <v>-52.02</v>
      </c>
      <c r="H37">
        <v>-52.84</v>
      </c>
      <c r="I37" s="58">
        <v>0.15</v>
      </c>
      <c r="J37" s="58">
        <v>0.41</v>
      </c>
      <c r="K37" s="58" t="s">
        <v>405</v>
      </c>
      <c r="L37" s="58">
        <v>0</v>
      </c>
    </row>
    <row r="38" spans="2:12" x14ac:dyDescent="0.25">
      <c r="B38" s="57" t="s">
        <v>218</v>
      </c>
      <c r="C38" s="57" t="s">
        <v>227</v>
      </c>
      <c r="D38">
        <v>78.069999999999993</v>
      </c>
      <c r="E38" s="58">
        <v>2.58</v>
      </c>
      <c r="F38" s="58">
        <v>2614.13</v>
      </c>
      <c r="G38" s="57">
        <v>-28.17</v>
      </c>
      <c r="H38">
        <v>16.91</v>
      </c>
      <c r="I38" s="58">
        <v>1.02</v>
      </c>
      <c r="J38" s="58">
        <v>0.71</v>
      </c>
      <c r="K38" s="58" t="s">
        <v>407</v>
      </c>
      <c r="L38" s="58">
        <v>0</v>
      </c>
    </row>
    <row r="39" spans="2:12" x14ac:dyDescent="0.25">
      <c r="B39" s="57" t="s">
        <v>202</v>
      </c>
      <c r="C39" s="57" t="s">
        <v>203</v>
      </c>
      <c r="D39">
        <v>15.04</v>
      </c>
      <c r="E39">
        <v>0.28000000000000003</v>
      </c>
      <c r="F39" s="58">
        <v>1746.6</v>
      </c>
      <c r="G39" s="57">
        <v>-41.66</v>
      </c>
      <c r="H39">
        <v>7.03</v>
      </c>
      <c r="I39" s="58">
        <v>0.24</v>
      </c>
      <c r="J39" s="58">
        <v>0.53</v>
      </c>
      <c r="K39" s="58" t="s">
        <v>405</v>
      </c>
      <c r="L39" s="58">
        <v>0</v>
      </c>
    </row>
    <row r="40" spans="2:12" x14ac:dyDescent="0.25">
      <c r="B40" s="57" t="s">
        <v>583</v>
      </c>
      <c r="C40" s="57" t="s">
        <v>584</v>
      </c>
      <c r="D40">
        <v>400.65</v>
      </c>
      <c r="E40" s="58">
        <v>14.43</v>
      </c>
      <c r="F40" s="58">
        <v>62418.94</v>
      </c>
      <c r="G40" s="57">
        <v>-22.36</v>
      </c>
      <c r="H40">
        <v>-6.57</v>
      </c>
      <c r="I40" s="58">
        <v>4.34</v>
      </c>
      <c r="J40" s="58">
        <v>0.7</v>
      </c>
      <c r="K40" s="58" t="s">
        <v>407</v>
      </c>
      <c r="L40" s="58">
        <v>3.5</v>
      </c>
    </row>
    <row r="41" spans="2:12" x14ac:dyDescent="0.25">
      <c r="B41" s="57" t="s">
        <v>1270</v>
      </c>
      <c r="C41" s="57" t="s">
        <v>1271</v>
      </c>
      <c r="D41">
        <v>17.2</v>
      </c>
      <c r="E41" s="58">
        <v>0.55000000000000004</v>
      </c>
      <c r="F41" s="58">
        <v>33048.82</v>
      </c>
      <c r="G41" s="57">
        <v>-40.06</v>
      </c>
      <c r="H41">
        <v>-34.64</v>
      </c>
      <c r="I41" s="58">
        <v>0.3</v>
      </c>
      <c r="J41" s="58">
        <v>0.39</v>
      </c>
      <c r="K41" s="58" t="s">
        <v>405</v>
      </c>
      <c r="L41" s="58">
        <v>7.81</v>
      </c>
    </row>
    <row r="42" spans="2:12" x14ac:dyDescent="0.25">
      <c r="B42" s="57" t="s">
        <v>848</v>
      </c>
      <c r="C42" s="57" t="s">
        <v>849</v>
      </c>
      <c r="D42">
        <v>83.53</v>
      </c>
      <c r="E42" s="58">
        <v>2.74</v>
      </c>
      <c r="F42" s="58">
        <v>0</v>
      </c>
      <c r="G42" s="57">
        <v>-3.54</v>
      </c>
      <c r="H42">
        <v>2.94</v>
      </c>
      <c r="I42" s="58">
        <v>0</v>
      </c>
      <c r="J42" s="58"/>
      <c r="K42" s="58"/>
      <c r="L42" s="58">
        <v>2.61</v>
      </c>
    </row>
    <row r="43" spans="2:12" x14ac:dyDescent="0.25">
      <c r="B43" s="57" t="s">
        <v>266</v>
      </c>
      <c r="C43" s="57" t="s">
        <v>274</v>
      </c>
      <c r="D43">
        <v>19.89</v>
      </c>
      <c r="E43" s="58">
        <v>0.89</v>
      </c>
      <c r="F43" s="58">
        <v>572.27</v>
      </c>
      <c r="G43" s="57">
        <v>-55.91</v>
      </c>
      <c r="H43">
        <v>-32.619999999999997</v>
      </c>
      <c r="I43" s="58">
        <v>0.68</v>
      </c>
      <c r="J43" s="58">
        <v>0.5</v>
      </c>
      <c r="K43" s="58" t="s">
        <v>405</v>
      </c>
      <c r="L43" s="58">
        <v>0</v>
      </c>
    </row>
    <row r="44" spans="2:12" x14ac:dyDescent="0.25">
      <c r="B44" s="57" t="s">
        <v>585</v>
      </c>
      <c r="C44" s="57" t="s">
        <v>586</v>
      </c>
      <c r="D44">
        <v>280672</v>
      </c>
      <c r="E44" s="58">
        <v>8672</v>
      </c>
      <c r="F44" s="58">
        <v>448250.97</v>
      </c>
      <c r="G44" s="57">
        <v>-19.72</v>
      </c>
      <c r="H44">
        <v>-10.6</v>
      </c>
      <c r="I44" s="58">
        <v>1.4</v>
      </c>
      <c r="J44" s="58">
        <v>0.74</v>
      </c>
      <c r="K44" s="58" t="s">
        <v>459</v>
      </c>
      <c r="L44" s="58">
        <v>0</v>
      </c>
    </row>
    <row r="45" spans="2:12" x14ac:dyDescent="0.25">
      <c r="B45" s="57" t="s">
        <v>587</v>
      </c>
      <c r="C45" s="57" t="s">
        <v>588</v>
      </c>
      <c r="D45">
        <v>184.94</v>
      </c>
      <c r="E45" s="58">
        <v>8.9700000000000006</v>
      </c>
      <c r="F45" s="58">
        <v>456544.67</v>
      </c>
      <c r="G45" s="57">
        <v>-22.11</v>
      </c>
      <c r="H45">
        <v>-13.1</v>
      </c>
      <c r="I45" s="58">
        <v>1.39</v>
      </c>
      <c r="J45" s="58">
        <v>0.73</v>
      </c>
      <c r="K45" s="58" t="s">
        <v>459</v>
      </c>
      <c r="L45" s="58">
        <v>0</v>
      </c>
    </row>
    <row r="46" spans="2:12" x14ac:dyDescent="0.25">
      <c r="B46" s="57" t="s">
        <v>591</v>
      </c>
      <c r="C46" s="57" t="s">
        <v>592</v>
      </c>
      <c r="D46">
        <v>34.520000000000003</v>
      </c>
      <c r="E46" s="58">
        <v>0.38</v>
      </c>
      <c r="F46" s="58">
        <v>76931.839999999997</v>
      </c>
      <c r="G46" s="57">
        <v>-11.78</v>
      </c>
      <c r="H46">
        <v>-8.84</v>
      </c>
      <c r="I46" s="58">
        <v>2.37</v>
      </c>
      <c r="J46" s="58">
        <v>0.59</v>
      </c>
      <c r="K46" s="58"/>
      <c r="L46" s="58">
        <v>7.58</v>
      </c>
    </row>
    <row r="47" spans="2:12" x14ac:dyDescent="0.25">
      <c r="B47" s="57" t="s">
        <v>1043</v>
      </c>
      <c r="C47" s="57" t="s">
        <v>590</v>
      </c>
      <c r="D47">
        <v>0</v>
      </c>
      <c r="E47" s="58">
        <v>0</v>
      </c>
      <c r="F47" s="58"/>
      <c r="G47" s="57"/>
      <c r="I47" s="58"/>
      <c r="J47" s="58"/>
      <c r="K47" s="58"/>
      <c r="L47" s="58"/>
    </row>
    <row r="48" spans="2:12" x14ac:dyDescent="0.25">
      <c r="B48" s="57" t="s">
        <v>368</v>
      </c>
      <c r="C48" s="57" t="s">
        <v>369</v>
      </c>
      <c r="D48">
        <v>3.04</v>
      </c>
      <c r="E48">
        <v>0.46</v>
      </c>
      <c r="F48" s="58">
        <v>295.20999999999998</v>
      </c>
      <c r="G48" s="57">
        <v>-74.53</v>
      </c>
      <c r="H48">
        <v>-89.68</v>
      </c>
      <c r="I48" s="58">
        <v>7.0000000000000007E-2</v>
      </c>
      <c r="J48" s="58">
        <v>0.42</v>
      </c>
      <c r="K48" s="58" t="s">
        <v>406</v>
      </c>
      <c r="L48" s="58">
        <v>21.71</v>
      </c>
    </row>
    <row r="49" spans="2:12" x14ac:dyDescent="0.25">
      <c r="B49" s="57" t="s">
        <v>593</v>
      </c>
      <c r="C49" s="57" t="s">
        <v>594</v>
      </c>
      <c r="D49">
        <v>43.47</v>
      </c>
      <c r="E49">
        <v>-0.64</v>
      </c>
      <c r="F49" s="58">
        <v>80481.8</v>
      </c>
      <c r="G49" s="57">
        <v>-43.41</v>
      </c>
      <c r="H49">
        <v>-42.98</v>
      </c>
      <c r="I49" s="58">
        <v>1.68</v>
      </c>
      <c r="J49" s="58">
        <v>0.4</v>
      </c>
      <c r="K49" s="58" t="s">
        <v>405</v>
      </c>
      <c r="L49" s="58">
        <v>4.5599999999999996</v>
      </c>
    </row>
    <row r="50" spans="2:12" x14ac:dyDescent="0.25">
      <c r="B50" s="57" t="s">
        <v>595</v>
      </c>
      <c r="C50" s="57" t="s">
        <v>596</v>
      </c>
      <c r="D50">
        <v>115.64</v>
      </c>
      <c r="E50" s="58">
        <v>3.75</v>
      </c>
      <c r="F50" s="58">
        <v>17938.259999999998</v>
      </c>
      <c r="G50" s="57">
        <v>-16.47</v>
      </c>
      <c r="H50">
        <v>-14.28</v>
      </c>
      <c r="I50" s="58">
        <v>6.05</v>
      </c>
      <c r="J50" s="58">
        <v>0.85</v>
      </c>
      <c r="K50" s="58" t="s">
        <v>407</v>
      </c>
      <c r="L50" s="58">
        <v>3.42</v>
      </c>
    </row>
    <row r="51" spans="2:12" x14ac:dyDescent="0.25">
      <c r="B51" s="57" t="s">
        <v>33</v>
      </c>
      <c r="C51" s="57" t="s">
        <v>124</v>
      </c>
      <c r="D51">
        <v>7.99</v>
      </c>
      <c r="E51">
        <v>0.16</v>
      </c>
      <c r="F51" s="58">
        <v>250.76</v>
      </c>
      <c r="G51" s="57">
        <v>-50.06</v>
      </c>
      <c r="H51">
        <v>-35.340000000000003</v>
      </c>
      <c r="I51" s="58">
        <v>0.11</v>
      </c>
      <c r="J51" s="58">
        <v>0.44</v>
      </c>
      <c r="K51" s="58" t="s">
        <v>408</v>
      </c>
      <c r="L51" s="58">
        <v>0</v>
      </c>
    </row>
    <row r="52" spans="2:12" x14ac:dyDescent="0.25">
      <c r="B52" s="57" t="s">
        <v>654</v>
      </c>
      <c r="C52" s="57" t="s">
        <v>659</v>
      </c>
      <c r="D52">
        <v>45.58</v>
      </c>
      <c r="E52" s="58">
        <v>3.19</v>
      </c>
      <c r="F52" s="58">
        <v>13298.15</v>
      </c>
      <c r="G52" s="57">
        <v>-21.57</v>
      </c>
      <c r="H52">
        <v>-10.18</v>
      </c>
      <c r="I52" s="58">
        <v>0.09</v>
      </c>
      <c r="J52" s="58">
        <v>0.76</v>
      </c>
      <c r="K52" s="58" t="s">
        <v>405</v>
      </c>
      <c r="L52" s="58">
        <v>4.53</v>
      </c>
    </row>
    <row r="53" spans="2:12" x14ac:dyDescent="0.25">
      <c r="B53" s="57" t="s">
        <v>713</v>
      </c>
      <c r="C53" s="57" t="s">
        <v>726</v>
      </c>
      <c r="D53">
        <v>12.57</v>
      </c>
      <c r="E53" s="58">
        <v>0.02</v>
      </c>
      <c r="F53" s="58">
        <v>465.38</v>
      </c>
      <c r="G53" s="57">
        <v>-23.67</v>
      </c>
      <c r="H53">
        <v>-15.85</v>
      </c>
      <c r="I53" s="58">
        <v>0.2</v>
      </c>
      <c r="J53" s="58">
        <v>0.68</v>
      </c>
      <c r="K53" s="58" t="s">
        <v>405</v>
      </c>
      <c r="L53" s="58">
        <v>16.73</v>
      </c>
    </row>
    <row r="54" spans="2:12" x14ac:dyDescent="0.25">
      <c r="B54" s="57" t="s">
        <v>441</v>
      </c>
      <c r="C54" s="57" t="s">
        <v>447</v>
      </c>
      <c r="D54">
        <v>6.64</v>
      </c>
      <c r="E54" s="58">
        <v>0.2</v>
      </c>
      <c r="F54" s="58">
        <v>2654.35</v>
      </c>
      <c r="G54" s="57">
        <v>-30.53</v>
      </c>
      <c r="H54">
        <v>-45.38</v>
      </c>
      <c r="I54" s="58">
        <v>1.94</v>
      </c>
      <c r="J54" s="58">
        <v>0.43</v>
      </c>
      <c r="K54" s="58"/>
      <c r="L54" s="58">
        <v>0.94</v>
      </c>
    </row>
    <row r="55" spans="2:12" x14ac:dyDescent="0.25">
      <c r="B55" s="57" t="s">
        <v>727</v>
      </c>
      <c r="C55" s="57" t="s">
        <v>728</v>
      </c>
      <c r="D55">
        <v>58.08</v>
      </c>
      <c r="E55" s="58">
        <v>3.64</v>
      </c>
      <c r="F55" s="58">
        <v>7884.56</v>
      </c>
      <c r="G55" s="57">
        <v>-23.97</v>
      </c>
      <c r="H55">
        <v>-0.38</v>
      </c>
      <c r="I55" s="58">
        <v>0.67</v>
      </c>
      <c r="J55" s="58">
        <v>0.95</v>
      </c>
      <c r="K55" s="58" t="s">
        <v>405</v>
      </c>
      <c r="L55" s="58">
        <v>0</v>
      </c>
    </row>
    <row r="56" spans="2:12" x14ac:dyDescent="0.25">
      <c r="B56" s="57" t="s">
        <v>866</v>
      </c>
      <c r="C56" s="57" t="s">
        <v>868</v>
      </c>
      <c r="D56">
        <v>0</v>
      </c>
      <c r="E56" s="58">
        <v>0</v>
      </c>
      <c r="F56" s="58"/>
      <c r="G56" s="57"/>
      <c r="I56" s="58"/>
      <c r="J56" s="58"/>
      <c r="K56" s="58"/>
      <c r="L56" s="58"/>
    </row>
    <row r="57" spans="2:12" x14ac:dyDescent="0.25">
      <c r="B57" s="57" t="s">
        <v>15</v>
      </c>
      <c r="C57" s="57" t="s">
        <v>161</v>
      </c>
      <c r="D57">
        <v>4.96</v>
      </c>
      <c r="E57">
        <v>-0.11</v>
      </c>
      <c r="F57" s="58">
        <v>441.92</v>
      </c>
      <c r="G57" s="57">
        <v>-35.46</v>
      </c>
      <c r="H57">
        <v>-38.14</v>
      </c>
      <c r="I57" s="58">
        <v>0.24</v>
      </c>
      <c r="J57" s="58">
        <v>0.44</v>
      </c>
      <c r="K57" s="58" t="s">
        <v>405</v>
      </c>
      <c r="L57" s="58">
        <v>0</v>
      </c>
    </row>
    <row r="58" spans="2:12" x14ac:dyDescent="0.25">
      <c r="B58" s="57" t="s">
        <v>204</v>
      </c>
      <c r="C58" s="57" t="s">
        <v>1044</v>
      </c>
      <c r="D58">
        <v>22.11</v>
      </c>
      <c r="E58" s="58">
        <v>1.35</v>
      </c>
      <c r="F58" s="58">
        <v>12769.78</v>
      </c>
      <c r="G58" s="57">
        <v>-29.57</v>
      </c>
      <c r="H58">
        <v>22.02</v>
      </c>
      <c r="I58" s="58">
        <v>1</v>
      </c>
      <c r="J58" s="58">
        <v>0.73</v>
      </c>
      <c r="K58" s="58" t="s">
        <v>405</v>
      </c>
      <c r="L58" s="58">
        <v>5.68</v>
      </c>
    </row>
    <row r="59" spans="2:12" x14ac:dyDescent="0.25">
      <c r="B59" s="57" t="s">
        <v>281</v>
      </c>
      <c r="C59" s="57" t="s">
        <v>293</v>
      </c>
      <c r="D59">
        <v>17.77</v>
      </c>
      <c r="E59">
        <v>0.82</v>
      </c>
      <c r="F59" s="58">
        <v>538.55999999999995</v>
      </c>
      <c r="G59" s="57">
        <v>-53.38</v>
      </c>
      <c r="H59">
        <v>-46.43</v>
      </c>
      <c r="I59" s="58">
        <v>0.34</v>
      </c>
      <c r="J59" s="58">
        <v>0.53</v>
      </c>
      <c r="K59" s="58" t="s">
        <v>405</v>
      </c>
      <c r="L59" s="58">
        <v>0</v>
      </c>
    </row>
    <row r="60" spans="2:12" x14ac:dyDescent="0.25">
      <c r="B60" s="57" t="s">
        <v>729</v>
      </c>
      <c r="C60" s="57" t="s">
        <v>730</v>
      </c>
      <c r="D60">
        <v>0</v>
      </c>
      <c r="E60" s="58">
        <v>0</v>
      </c>
      <c r="F60" s="58"/>
      <c r="G60" s="57"/>
      <c r="I60" s="58"/>
      <c r="J60" s="58"/>
      <c r="K60" s="58"/>
      <c r="L60" s="58"/>
    </row>
    <row r="61" spans="2:12" x14ac:dyDescent="0.25">
      <c r="B61" s="57" t="s">
        <v>597</v>
      </c>
      <c r="C61" s="57" t="s">
        <v>598</v>
      </c>
      <c r="D61">
        <v>67.28</v>
      </c>
      <c r="E61" s="58">
        <v>3.39</v>
      </c>
      <c r="F61" s="58">
        <v>57526.400000000001</v>
      </c>
      <c r="G61" s="57">
        <v>-4.33</v>
      </c>
      <c r="H61">
        <v>-0.2</v>
      </c>
      <c r="I61" s="58">
        <v>3.7</v>
      </c>
      <c r="J61" s="58">
        <v>0.96</v>
      </c>
      <c r="K61" s="58" t="s">
        <v>459</v>
      </c>
      <c r="L61" s="58">
        <v>2.69</v>
      </c>
    </row>
    <row r="62" spans="2:12" x14ac:dyDescent="0.25">
      <c r="B62" s="57" t="s">
        <v>1272</v>
      </c>
      <c r="C62" s="57" t="s">
        <v>1273</v>
      </c>
      <c r="D62">
        <v>8.4600000000000009</v>
      </c>
      <c r="E62" s="58">
        <v>0.4</v>
      </c>
      <c r="F62" s="58">
        <v>376.01</v>
      </c>
      <c r="G62" s="57">
        <v>-81.75</v>
      </c>
      <c r="H62">
        <v>-85.35</v>
      </c>
      <c r="I62" s="58">
        <v>0.56999999999999995</v>
      </c>
      <c r="J62" s="58">
        <v>0.16</v>
      </c>
      <c r="K62" s="58" t="s">
        <v>408</v>
      </c>
      <c r="L62" s="58">
        <v>23.57</v>
      </c>
    </row>
    <row r="63" spans="2:12" x14ac:dyDescent="0.25">
      <c r="B63" s="57" t="s">
        <v>16</v>
      </c>
      <c r="C63" s="57" t="s">
        <v>108</v>
      </c>
      <c r="D63">
        <v>1.83</v>
      </c>
      <c r="E63">
        <v>-0.06</v>
      </c>
      <c r="F63" s="58">
        <v>142.13</v>
      </c>
      <c r="G63" s="57">
        <v>-48.78</v>
      </c>
      <c r="H63">
        <v>-54.13</v>
      </c>
      <c r="I63" s="58">
        <v>0.04</v>
      </c>
      <c r="J63" s="58">
        <v>0.45</v>
      </c>
      <c r="K63" s="58" t="s">
        <v>408</v>
      </c>
      <c r="L63" s="58">
        <v>0</v>
      </c>
    </row>
    <row r="64" spans="2:12" x14ac:dyDescent="0.25">
      <c r="B64" s="57" t="s">
        <v>660</v>
      </c>
      <c r="C64" s="57" t="s">
        <v>661</v>
      </c>
      <c r="D64">
        <v>1.43</v>
      </c>
      <c r="E64" s="58">
        <v>0.36</v>
      </c>
      <c r="F64" s="58">
        <v>293.98</v>
      </c>
      <c r="G64" s="57">
        <v>-45.45</v>
      </c>
      <c r="H64">
        <v>-52.42</v>
      </c>
      <c r="I64" s="58">
        <v>0.86</v>
      </c>
      <c r="J64" s="58">
        <v>0.54</v>
      </c>
      <c r="K64" s="58" t="s">
        <v>405</v>
      </c>
      <c r="L64" s="58">
        <v>0</v>
      </c>
    </row>
    <row r="65" spans="2:12" x14ac:dyDescent="0.25">
      <c r="B65" s="57" t="s">
        <v>731</v>
      </c>
      <c r="C65" s="57" t="s">
        <v>968</v>
      </c>
      <c r="D65">
        <v>2.27</v>
      </c>
      <c r="E65" s="58">
        <v>0.23</v>
      </c>
      <c r="F65" s="58">
        <v>1106.3399999999999</v>
      </c>
      <c r="G65" s="57">
        <v>-53.36</v>
      </c>
      <c r="H65">
        <v>-53.47</v>
      </c>
      <c r="I65" s="58">
        <v>0.47</v>
      </c>
      <c r="J65" s="58">
        <v>0.42</v>
      </c>
      <c r="K65" s="58" t="s">
        <v>408</v>
      </c>
      <c r="L65" s="58">
        <v>21.57</v>
      </c>
    </row>
    <row r="66" spans="2:12" x14ac:dyDescent="0.25">
      <c r="B66" s="57" t="s">
        <v>210</v>
      </c>
      <c r="C66" s="57" t="s">
        <v>354</v>
      </c>
      <c r="D66">
        <v>0.9</v>
      </c>
      <c r="E66" s="58">
        <v>-0.05</v>
      </c>
      <c r="F66" s="58">
        <v>25.05</v>
      </c>
      <c r="G66" s="57">
        <v>-40.619999999999997</v>
      </c>
      <c r="H66">
        <v>-60.08</v>
      </c>
      <c r="I66" s="58">
        <v>35.85</v>
      </c>
      <c r="J66" s="58">
        <v>0.42</v>
      </c>
      <c r="K66" s="58" t="s">
        <v>405</v>
      </c>
      <c r="L66" s="58">
        <v>0</v>
      </c>
    </row>
    <row r="67" spans="2:12" x14ac:dyDescent="0.25">
      <c r="B67" s="57" t="s">
        <v>599</v>
      </c>
      <c r="C67" s="57" t="s">
        <v>600</v>
      </c>
      <c r="D67">
        <v>160.84</v>
      </c>
      <c r="E67" s="58">
        <v>2.14</v>
      </c>
      <c r="F67" s="58">
        <v>20121.02</v>
      </c>
      <c r="G67" s="57">
        <v>4.93</v>
      </c>
      <c r="H67">
        <v>2.29</v>
      </c>
      <c r="I67" s="58">
        <v>3.36</v>
      </c>
      <c r="J67" s="58">
        <v>1.1599999999999999</v>
      </c>
      <c r="K67" s="58" t="s">
        <v>459</v>
      </c>
      <c r="L67" s="58">
        <v>2.61</v>
      </c>
    </row>
    <row r="68" spans="2:12" x14ac:dyDescent="0.25">
      <c r="B68" s="57" t="s">
        <v>601</v>
      </c>
      <c r="C68" s="57" t="s">
        <v>602</v>
      </c>
      <c r="D68">
        <v>36.94</v>
      </c>
      <c r="E68" s="58">
        <v>2</v>
      </c>
      <c r="F68" s="58">
        <v>168189.1</v>
      </c>
      <c r="G68" s="57">
        <v>-18.27</v>
      </c>
      <c r="H68">
        <v>-9.39</v>
      </c>
      <c r="I68" s="58">
        <v>1.56</v>
      </c>
      <c r="J68" s="58">
        <v>0.75</v>
      </c>
      <c r="K68" s="58" t="s">
        <v>407</v>
      </c>
      <c r="L68" s="58">
        <v>2.4</v>
      </c>
    </row>
    <row r="69" spans="2:12" x14ac:dyDescent="0.25">
      <c r="B69" s="57" t="s">
        <v>576</v>
      </c>
      <c r="C69" s="57" t="s">
        <v>603</v>
      </c>
      <c r="D69">
        <v>41.75</v>
      </c>
      <c r="E69" s="58">
        <v>2.1</v>
      </c>
      <c r="F69" s="58">
        <v>1414.99</v>
      </c>
      <c r="G69" s="57">
        <v>-30.83</v>
      </c>
      <c r="H69">
        <v>-16.61</v>
      </c>
      <c r="I69" s="58">
        <v>0.95</v>
      </c>
      <c r="J69" s="58">
        <v>0.52</v>
      </c>
      <c r="K69" s="58" t="s">
        <v>405</v>
      </c>
      <c r="L69" s="58">
        <v>7.26</v>
      </c>
    </row>
    <row r="70" spans="2:12" x14ac:dyDescent="0.25">
      <c r="B70" s="57" t="s">
        <v>576</v>
      </c>
      <c r="C70" s="57" t="s">
        <v>603</v>
      </c>
      <c r="D70">
        <v>41.75</v>
      </c>
      <c r="E70" s="58">
        <v>2.1</v>
      </c>
      <c r="F70" s="58">
        <v>1414.99</v>
      </c>
      <c r="G70" s="57">
        <v>-30.83</v>
      </c>
      <c r="H70">
        <v>-16.61</v>
      </c>
      <c r="I70" s="58">
        <v>0.95</v>
      </c>
      <c r="J70" s="58">
        <v>0.52</v>
      </c>
      <c r="K70" s="58" t="s">
        <v>405</v>
      </c>
      <c r="L70" s="58">
        <v>7.26</v>
      </c>
    </row>
    <row r="71" spans="2:12" x14ac:dyDescent="0.25">
      <c r="B71" s="57" t="s">
        <v>17</v>
      </c>
      <c r="C71" s="57" t="s">
        <v>162</v>
      </c>
      <c r="D71">
        <v>18.04</v>
      </c>
      <c r="E71" s="58">
        <v>0.25</v>
      </c>
      <c r="F71" s="58">
        <v>445.94</v>
      </c>
      <c r="G71" s="57">
        <v>-48.67</v>
      </c>
      <c r="H71">
        <v>-19.62</v>
      </c>
      <c r="I71" s="58">
        <v>0.66</v>
      </c>
      <c r="J71" s="58">
        <v>0.56999999999999995</v>
      </c>
      <c r="K71" s="58" t="s">
        <v>405</v>
      </c>
      <c r="L71" s="58">
        <v>2.25</v>
      </c>
    </row>
    <row r="72" spans="2:12" x14ac:dyDescent="0.25">
      <c r="B72" s="57" t="s">
        <v>184</v>
      </c>
      <c r="C72" s="57" t="s">
        <v>185</v>
      </c>
      <c r="D72">
        <v>59.82</v>
      </c>
      <c r="E72" s="58">
        <v>2.69</v>
      </c>
      <c r="F72" s="58">
        <v>35097.58</v>
      </c>
      <c r="G72" s="57">
        <v>-2.38</v>
      </c>
      <c r="H72">
        <v>-1.97</v>
      </c>
      <c r="I72" s="58">
        <v>0.34</v>
      </c>
      <c r="J72" s="58">
        <v>0.85</v>
      </c>
      <c r="K72" s="58" t="s">
        <v>405</v>
      </c>
      <c r="L72" s="58">
        <v>0</v>
      </c>
    </row>
    <row r="73" spans="2:12" x14ac:dyDescent="0.25">
      <c r="B73" s="57" t="s">
        <v>127</v>
      </c>
      <c r="C73" s="57" t="s">
        <v>128</v>
      </c>
      <c r="D73">
        <v>7.33</v>
      </c>
      <c r="E73">
        <v>0.96</v>
      </c>
      <c r="F73" s="58">
        <v>9896.73</v>
      </c>
      <c r="G73" s="57">
        <v>-40.630000000000003</v>
      </c>
      <c r="H73">
        <v>-37.770000000000003</v>
      </c>
      <c r="I73" s="58">
        <v>0.36</v>
      </c>
      <c r="J73" s="58">
        <v>0.64</v>
      </c>
      <c r="K73" s="58" t="s">
        <v>405</v>
      </c>
      <c r="L73" s="58">
        <v>3.16</v>
      </c>
    </row>
    <row r="74" spans="2:12" x14ac:dyDescent="0.25">
      <c r="B74" s="57" t="s">
        <v>732</v>
      </c>
      <c r="C74" s="57" t="s">
        <v>733</v>
      </c>
      <c r="D74">
        <v>5.4</v>
      </c>
      <c r="E74" s="58">
        <v>0.02</v>
      </c>
      <c r="F74" s="58">
        <v>388.55</v>
      </c>
      <c r="G74" s="57">
        <v>50.7</v>
      </c>
      <c r="H74">
        <v>-43.79</v>
      </c>
      <c r="I74" s="58">
        <v>0.28999999999999998</v>
      </c>
      <c r="J74" s="58">
        <v>0.61</v>
      </c>
      <c r="K74" s="58" t="s">
        <v>408</v>
      </c>
      <c r="L74" s="58">
        <v>7.2</v>
      </c>
    </row>
    <row r="75" spans="2:12" x14ac:dyDescent="0.25">
      <c r="B75" s="57" t="s">
        <v>604</v>
      </c>
      <c r="C75" s="57" t="s">
        <v>605</v>
      </c>
      <c r="D75">
        <v>69.81</v>
      </c>
      <c r="E75" s="58">
        <v>6.19</v>
      </c>
      <c r="F75" s="58">
        <v>31911.74</v>
      </c>
      <c r="G75" s="57">
        <v>-38.450000000000003</v>
      </c>
      <c r="H75">
        <v>-21.36</v>
      </c>
      <c r="I75" s="58">
        <v>1.17</v>
      </c>
      <c r="J75" s="58">
        <v>0.51</v>
      </c>
      <c r="K75" s="58" t="s">
        <v>405</v>
      </c>
      <c r="L75" s="58">
        <v>2.5099999999999998</v>
      </c>
    </row>
    <row r="76" spans="2:12" x14ac:dyDescent="0.25">
      <c r="B76" s="57" t="s">
        <v>734</v>
      </c>
      <c r="C76" s="57" t="s">
        <v>957</v>
      </c>
      <c r="D76">
        <v>214.99</v>
      </c>
      <c r="E76" s="58">
        <v>11.46</v>
      </c>
      <c r="F76" s="58">
        <v>1535.34</v>
      </c>
      <c r="G76" s="57">
        <v>-25.37</v>
      </c>
      <c r="H76">
        <v>-19.760000000000002</v>
      </c>
      <c r="I76" s="58">
        <v>0.52</v>
      </c>
      <c r="J76" s="58">
        <v>0.65</v>
      </c>
      <c r="K76" s="58" t="s">
        <v>405</v>
      </c>
      <c r="L76" s="58">
        <v>0.49</v>
      </c>
    </row>
    <row r="77" spans="2:12" x14ac:dyDescent="0.25">
      <c r="B77" s="57" t="s">
        <v>21</v>
      </c>
      <c r="C77" s="57" t="s">
        <v>109</v>
      </c>
      <c r="D77">
        <v>5.59</v>
      </c>
      <c r="E77" s="58">
        <v>1.04</v>
      </c>
      <c r="F77" s="58">
        <v>160.41</v>
      </c>
      <c r="G77" s="57">
        <v>-65.459999999999994</v>
      </c>
      <c r="H77">
        <v>-80.709999999999994</v>
      </c>
      <c r="I77" s="58">
        <v>0.15</v>
      </c>
      <c r="J77" s="58">
        <v>0.45</v>
      </c>
      <c r="K77" s="58" t="s">
        <v>408</v>
      </c>
      <c r="L77" s="58">
        <v>0</v>
      </c>
    </row>
    <row r="78" spans="2:12" x14ac:dyDescent="0.25">
      <c r="B78" s="57" t="s">
        <v>735</v>
      </c>
      <c r="C78" s="57" t="s">
        <v>736</v>
      </c>
      <c r="D78">
        <v>22.76</v>
      </c>
      <c r="E78" s="58">
        <v>-0.83</v>
      </c>
      <c r="F78" s="58">
        <v>1031.47</v>
      </c>
      <c r="G78" s="57">
        <v>-9.1199999999999992</v>
      </c>
      <c r="H78">
        <v>-37.020000000000003</v>
      </c>
      <c r="I78" s="58">
        <v>0.06</v>
      </c>
      <c r="J78" s="58">
        <v>0.56000000000000005</v>
      </c>
      <c r="K78" s="58" t="s">
        <v>405</v>
      </c>
      <c r="L78" s="58">
        <v>1.91</v>
      </c>
    </row>
    <row r="79" spans="2:12" x14ac:dyDescent="0.25">
      <c r="B79" s="57" t="s">
        <v>902</v>
      </c>
      <c r="C79" s="57" t="s">
        <v>908</v>
      </c>
      <c r="D79">
        <v>7.11</v>
      </c>
      <c r="E79" s="58">
        <v>0.81</v>
      </c>
      <c r="F79" s="58">
        <v>5407.52</v>
      </c>
      <c r="G79" s="57">
        <v>-44.94</v>
      </c>
      <c r="H79">
        <v>-37.56</v>
      </c>
      <c r="I79" s="58">
        <v>0.64</v>
      </c>
      <c r="J79" s="58">
        <v>0.76</v>
      </c>
      <c r="K79" s="58" t="s">
        <v>405</v>
      </c>
      <c r="L79" s="58">
        <v>7.94</v>
      </c>
    </row>
    <row r="80" spans="2:12" x14ac:dyDescent="0.25">
      <c r="B80" s="57" t="s">
        <v>311</v>
      </c>
      <c r="C80" s="57" t="s">
        <v>323</v>
      </c>
      <c r="D80">
        <v>2.97</v>
      </c>
      <c r="E80" s="58">
        <v>0.03</v>
      </c>
      <c r="F80" s="58">
        <v>146.06</v>
      </c>
      <c r="G80" s="57">
        <v>-65.930000000000007</v>
      </c>
      <c r="H80">
        <v>-87.01</v>
      </c>
      <c r="I80" s="58">
        <v>0.05</v>
      </c>
      <c r="J80" s="58">
        <v>0.42</v>
      </c>
      <c r="K80" s="58" t="s">
        <v>406</v>
      </c>
      <c r="L80" s="58">
        <v>0</v>
      </c>
    </row>
    <row r="81" spans="2:12" x14ac:dyDescent="0.25">
      <c r="B81" s="57" t="s">
        <v>875</v>
      </c>
      <c r="C81" s="57" t="s">
        <v>880</v>
      </c>
      <c r="D81">
        <v>141.82</v>
      </c>
      <c r="E81" s="58">
        <v>1.23</v>
      </c>
      <c r="F81" s="58">
        <v>126928.9</v>
      </c>
      <c r="G81" s="57">
        <v>-11.35</v>
      </c>
      <c r="H81">
        <v>-11.18</v>
      </c>
      <c r="I81" s="58">
        <v>7.05</v>
      </c>
      <c r="J81" s="58">
        <v>0.7</v>
      </c>
      <c r="K81" s="58" t="s">
        <v>459</v>
      </c>
      <c r="L81" s="58">
        <v>0</v>
      </c>
    </row>
    <row r="82" spans="2:12" x14ac:dyDescent="0.25">
      <c r="B82" s="57" t="s">
        <v>241</v>
      </c>
      <c r="C82" s="57" t="s">
        <v>244</v>
      </c>
      <c r="D82">
        <v>18.579999999999998</v>
      </c>
      <c r="E82" s="58">
        <v>0.42</v>
      </c>
      <c r="F82" s="58">
        <v>1268.42</v>
      </c>
      <c r="G82" s="57">
        <v>-49.43</v>
      </c>
      <c r="H82">
        <v>-27.07</v>
      </c>
      <c r="I82" s="58">
        <v>1.08</v>
      </c>
      <c r="J82" s="58">
        <v>0.59</v>
      </c>
      <c r="K82" s="58" t="s">
        <v>405</v>
      </c>
      <c r="L82" s="58">
        <v>0</v>
      </c>
    </row>
    <row r="83" spans="2:12" x14ac:dyDescent="0.25">
      <c r="B83" s="57" t="s">
        <v>606</v>
      </c>
      <c r="C83" s="57" t="s">
        <v>607</v>
      </c>
      <c r="D83">
        <v>8.86</v>
      </c>
      <c r="E83" s="58">
        <v>0.85</v>
      </c>
      <c r="F83" s="58">
        <v>548.62</v>
      </c>
      <c r="G83" s="57">
        <v>-53.48</v>
      </c>
      <c r="H83">
        <v>-71.45</v>
      </c>
      <c r="I83" s="58">
        <v>0.25</v>
      </c>
      <c r="J83" s="58">
        <v>0.49</v>
      </c>
      <c r="K83" s="58" t="s">
        <v>405</v>
      </c>
      <c r="L83" s="58">
        <v>0</v>
      </c>
    </row>
    <row r="84" spans="2:12" x14ac:dyDescent="0.25">
      <c r="B84" s="57" t="s">
        <v>19</v>
      </c>
      <c r="C84" s="57" t="s">
        <v>1045</v>
      </c>
      <c r="D84">
        <v>6.34</v>
      </c>
      <c r="E84" s="58">
        <v>-0.23</v>
      </c>
      <c r="F84" s="58">
        <v>873.39</v>
      </c>
      <c r="G84" s="57">
        <v>-55.68</v>
      </c>
      <c r="H84">
        <v>-25.54</v>
      </c>
      <c r="I84" s="58">
        <v>0.14000000000000001</v>
      </c>
      <c r="J84" s="58">
        <v>0.44</v>
      </c>
      <c r="K84" s="58" t="s">
        <v>405</v>
      </c>
      <c r="L84" s="58">
        <v>0</v>
      </c>
    </row>
    <row r="85" spans="2:12" x14ac:dyDescent="0.25">
      <c r="B85" s="57" t="s">
        <v>712</v>
      </c>
      <c r="C85" s="57" t="s">
        <v>737</v>
      </c>
      <c r="D85">
        <v>20.260000000000002</v>
      </c>
      <c r="E85" s="58">
        <v>0.98</v>
      </c>
      <c r="F85" s="58">
        <v>1018.07</v>
      </c>
      <c r="G85" s="57">
        <v>-35.6</v>
      </c>
      <c r="H85">
        <v>-31.95</v>
      </c>
      <c r="I85" s="58">
        <v>0.37</v>
      </c>
      <c r="J85" s="58">
        <v>0.69</v>
      </c>
      <c r="K85" s="58" t="s">
        <v>405</v>
      </c>
      <c r="L85" s="58">
        <v>2.1800000000000002</v>
      </c>
    </row>
    <row r="86" spans="2:12" x14ac:dyDescent="0.25">
      <c r="B86" s="57" t="s">
        <v>211</v>
      </c>
      <c r="C86" s="57" t="s">
        <v>355</v>
      </c>
      <c r="D86">
        <v>42.61</v>
      </c>
      <c r="E86" s="58">
        <v>0.87</v>
      </c>
      <c r="F86" s="58">
        <v>1333.54</v>
      </c>
      <c r="G86" s="57">
        <v>-35.67</v>
      </c>
      <c r="H86">
        <v>-24.17</v>
      </c>
      <c r="I86" s="58">
        <v>0.88</v>
      </c>
      <c r="J86" s="58">
        <v>0.65</v>
      </c>
      <c r="K86" s="58" t="s">
        <v>405</v>
      </c>
      <c r="L86" s="58">
        <v>0.65</v>
      </c>
    </row>
    <row r="87" spans="2:12" x14ac:dyDescent="0.25">
      <c r="B87" s="57" t="s">
        <v>662</v>
      </c>
      <c r="C87" s="57" t="s">
        <v>663</v>
      </c>
      <c r="D87">
        <v>7.22</v>
      </c>
      <c r="E87" s="58">
        <v>0.65</v>
      </c>
      <c r="F87" s="58">
        <v>294.02</v>
      </c>
      <c r="G87" s="57">
        <v>-42.74</v>
      </c>
      <c r="H87">
        <v>-33.75</v>
      </c>
      <c r="I87" s="58">
        <v>0.33</v>
      </c>
      <c r="J87" s="58">
        <v>0.49</v>
      </c>
      <c r="K87" s="58" t="s">
        <v>405</v>
      </c>
      <c r="L87" s="58">
        <v>0.84</v>
      </c>
    </row>
    <row r="88" spans="2:12" x14ac:dyDescent="0.25">
      <c r="B88" s="57" t="s">
        <v>442</v>
      </c>
      <c r="C88" s="57" t="s">
        <v>446</v>
      </c>
      <c r="D88">
        <v>2.91</v>
      </c>
      <c r="E88" s="58">
        <v>0.3</v>
      </c>
      <c r="F88" s="58">
        <v>3584.26</v>
      </c>
      <c r="G88" s="57">
        <v>-72.400000000000006</v>
      </c>
      <c r="H88">
        <v>-67.56</v>
      </c>
      <c r="I88" s="58">
        <v>0.23</v>
      </c>
      <c r="J88" s="58">
        <v>0.36</v>
      </c>
      <c r="K88" s="58" t="s">
        <v>405</v>
      </c>
      <c r="L88" s="58">
        <v>6.54</v>
      </c>
    </row>
    <row r="89" spans="2:12" x14ac:dyDescent="0.25">
      <c r="B89" s="57" t="s">
        <v>24</v>
      </c>
      <c r="C89" s="57" t="s">
        <v>110</v>
      </c>
      <c r="D89">
        <v>16.07</v>
      </c>
      <c r="E89" s="58">
        <v>0.83</v>
      </c>
      <c r="F89" s="58">
        <v>1615.53</v>
      </c>
      <c r="G89" s="57">
        <v>-61.48</v>
      </c>
      <c r="H89">
        <v>-54.12</v>
      </c>
      <c r="I89" s="58">
        <v>0.25</v>
      </c>
      <c r="J89" s="58">
        <v>0.4</v>
      </c>
      <c r="K89" s="58" t="s">
        <v>405</v>
      </c>
      <c r="L89" s="58">
        <v>20.34</v>
      </c>
    </row>
    <row r="90" spans="2:12" x14ac:dyDescent="0.25">
      <c r="B90" s="57" t="s">
        <v>129</v>
      </c>
      <c r="C90" s="57" t="s">
        <v>130</v>
      </c>
      <c r="D90">
        <v>12.3</v>
      </c>
      <c r="E90" s="58">
        <v>0</v>
      </c>
      <c r="F90" s="58"/>
      <c r="G90" s="57"/>
      <c r="I90" s="58"/>
      <c r="J90" s="58"/>
      <c r="K90" s="58"/>
      <c r="L90" s="58"/>
    </row>
    <row r="91" spans="2:12" x14ac:dyDescent="0.25">
      <c r="B91" s="57" t="s">
        <v>173</v>
      </c>
      <c r="C91" s="57" t="s">
        <v>412</v>
      </c>
      <c r="D91">
        <v>57.18</v>
      </c>
      <c r="E91">
        <v>2.58</v>
      </c>
      <c r="F91" s="58">
        <v>74571.850000000006</v>
      </c>
      <c r="G91" s="57">
        <v>-25.8</v>
      </c>
      <c r="H91">
        <v>3.57</v>
      </c>
      <c r="I91" s="58">
        <v>0.28999999999999998</v>
      </c>
      <c r="J91" s="58">
        <v>0.62</v>
      </c>
      <c r="K91" s="58" t="s">
        <v>407</v>
      </c>
      <c r="L91" s="58">
        <v>3.66</v>
      </c>
    </row>
    <row r="92" spans="2:12" x14ac:dyDescent="0.25">
      <c r="B92" s="57" t="s">
        <v>20</v>
      </c>
      <c r="C92" s="57" t="s">
        <v>163</v>
      </c>
      <c r="D92">
        <v>10.45</v>
      </c>
      <c r="E92">
        <v>0.52</v>
      </c>
      <c r="F92" s="58">
        <v>193.5</v>
      </c>
      <c r="G92" s="57">
        <v>-26.01</v>
      </c>
      <c r="H92">
        <v>-56.24</v>
      </c>
      <c r="I92" s="58">
        <v>0.22</v>
      </c>
      <c r="J92" s="58">
        <v>0.57999999999999996</v>
      </c>
      <c r="K92" s="58" t="s">
        <v>405</v>
      </c>
      <c r="L92" s="58">
        <v>0</v>
      </c>
    </row>
    <row r="93" spans="2:12" x14ac:dyDescent="0.25">
      <c r="B93" s="57" t="s">
        <v>18</v>
      </c>
      <c r="C93" s="57" t="s">
        <v>126</v>
      </c>
      <c r="D93">
        <v>10.11</v>
      </c>
      <c r="E93" s="58">
        <v>-0.21</v>
      </c>
      <c r="F93" s="58">
        <v>413.08</v>
      </c>
      <c r="G93" s="57">
        <v>-23.16</v>
      </c>
      <c r="H93">
        <v>-34.33</v>
      </c>
      <c r="I93" s="58">
        <v>0.17</v>
      </c>
      <c r="J93" s="58">
        <v>0.65</v>
      </c>
      <c r="K93" s="58" t="s">
        <v>405</v>
      </c>
      <c r="L93" s="58">
        <v>8.24</v>
      </c>
    </row>
    <row r="94" spans="2:12" x14ac:dyDescent="0.25">
      <c r="B94" s="57" t="s">
        <v>97</v>
      </c>
      <c r="C94" s="57" t="s">
        <v>107</v>
      </c>
      <c r="D94">
        <v>8.15</v>
      </c>
      <c r="E94">
        <v>0.26</v>
      </c>
      <c r="F94" s="58">
        <v>5560.49</v>
      </c>
      <c r="G94" s="57">
        <v>-40.18</v>
      </c>
      <c r="H94">
        <v>-7.18</v>
      </c>
      <c r="I94" s="58">
        <v>0.63</v>
      </c>
      <c r="J94" s="58">
        <v>0.66</v>
      </c>
      <c r="K94" s="58"/>
      <c r="L94" s="58">
        <v>0</v>
      </c>
    </row>
    <row r="95" spans="2:12" x14ac:dyDescent="0.25">
      <c r="B95" s="57" t="s">
        <v>408</v>
      </c>
      <c r="C95" s="57" t="s">
        <v>608</v>
      </c>
      <c r="D95">
        <v>74.09</v>
      </c>
      <c r="E95" s="58">
        <v>2.78</v>
      </c>
      <c r="F95" s="58">
        <v>62087.44</v>
      </c>
      <c r="G95" s="57">
        <v>-10.46</v>
      </c>
      <c r="H95">
        <v>-1.74</v>
      </c>
      <c r="I95" s="58">
        <v>3.62</v>
      </c>
      <c r="J95" s="58">
        <v>0.86</v>
      </c>
      <c r="K95" s="58" t="s">
        <v>407</v>
      </c>
      <c r="L95" s="58">
        <v>5.18</v>
      </c>
    </row>
    <row r="96" spans="2:12" x14ac:dyDescent="0.25">
      <c r="B96" s="57" t="s">
        <v>25</v>
      </c>
      <c r="C96" s="57" t="s">
        <v>111</v>
      </c>
      <c r="D96">
        <v>8.57</v>
      </c>
      <c r="E96" s="58">
        <v>0.34</v>
      </c>
      <c r="F96" s="58">
        <v>1237.93</v>
      </c>
      <c r="G96" s="57">
        <v>-55.95</v>
      </c>
      <c r="H96">
        <v>-54.36</v>
      </c>
      <c r="I96" s="58">
        <v>0.15</v>
      </c>
      <c r="J96" s="58">
        <v>0.38</v>
      </c>
      <c r="K96" s="58" t="s">
        <v>405</v>
      </c>
      <c r="L96" s="58">
        <v>4.8600000000000003</v>
      </c>
    </row>
    <row r="97" spans="2:12" x14ac:dyDescent="0.25">
      <c r="B97" s="57" t="s">
        <v>1274</v>
      </c>
      <c r="C97" s="57" t="s">
        <v>1275</v>
      </c>
      <c r="D97">
        <v>29.33</v>
      </c>
      <c r="E97" s="58">
        <v>1.03</v>
      </c>
      <c r="F97" s="58">
        <v>31332.3</v>
      </c>
      <c r="G97" s="57">
        <v>-49.24</v>
      </c>
      <c r="H97">
        <v>-43.99</v>
      </c>
      <c r="I97" s="58">
        <v>0.16</v>
      </c>
      <c r="J97" s="58">
        <v>0.35</v>
      </c>
      <c r="K97" s="58" t="s">
        <v>405</v>
      </c>
      <c r="L97" s="58">
        <v>12.87</v>
      </c>
    </row>
    <row r="98" spans="2:12" x14ac:dyDescent="0.25">
      <c r="B98" s="57" t="s">
        <v>287</v>
      </c>
      <c r="C98" s="57" t="s">
        <v>1046</v>
      </c>
      <c r="D98">
        <v>41.5</v>
      </c>
      <c r="E98" s="58">
        <v>2.8</v>
      </c>
      <c r="F98" s="58">
        <v>1025.0899999999999</v>
      </c>
      <c r="G98" s="57">
        <v>-45.15</v>
      </c>
      <c r="H98">
        <v>-46.62</v>
      </c>
      <c r="I98" s="58">
        <v>0.16</v>
      </c>
      <c r="J98" s="58">
        <v>0.52</v>
      </c>
      <c r="K98" s="58" t="s">
        <v>405</v>
      </c>
      <c r="L98" s="58">
        <v>1.29</v>
      </c>
    </row>
    <row r="99" spans="2:12" x14ac:dyDescent="0.25">
      <c r="B99" s="57" t="s">
        <v>223</v>
      </c>
      <c r="C99" s="57" t="s">
        <v>228</v>
      </c>
      <c r="D99">
        <v>37.49</v>
      </c>
      <c r="E99">
        <v>-1.74</v>
      </c>
      <c r="F99" s="58">
        <v>13733.15</v>
      </c>
      <c r="G99" s="57">
        <v>-27.53</v>
      </c>
      <c r="H99">
        <v>-3.7</v>
      </c>
      <c r="I99" s="58">
        <v>0.77</v>
      </c>
      <c r="J99" s="58">
        <v>0.72</v>
      </c>
      <c r="K99" s="58" t="s">
        <v>407</v>
      </c>
      <c r="L99" s="58">
        <v>1.66</v>
      </c>
    </row>
    <row r="100" spans="2:12" x14ac:dyDescent="0.25">
      <c r="B100" s="57" t="s">
        <v>174</v>
      </c>
      <c r="C100" s="57" t="s">
        <v>275</v>
      </c>
      <c r="D100">
        <v>22.11</v>
      </c>
      <c r="E100" s="58">
        <v>-0.17</v>
      </c>
      <c r="F100" s="58">
        <v>11182.58</v>
      </c>
      <c r="G100" s="57">
        <v>-31.15</v>
      </c>
      <c r="H100">
        <v>-21.47</v>
      </c>
      <c r="I100" s="58">
        <v>1.41</v>
      </c>
      <c r="J100" s="58">
        <v>0.69</v>
      </c>
      <c r="K100" s="58" t="s">
        <v>405</v>
      </c>
      <c r="L100" s="58">
        <v>0</v>
      </c>
    </row>
    <row r="101" spans="2:12" x14ac:dyDescent="0.25">
      <c r="B101" s="57" t="s">
        <v>131</v>
      </c>
      <c r="C101" s="57" t="s">
        <v>132</v>
      </c>
      <c r="D101">
        <v>9.69</v>
      </c>
      <c r="E101" s="58">
        <v>0.84</v>
      </c>
      <c r="F101" s="58">
        <v>711.39</v>
      </c>
      <c r="G101" s="57">
        <v>-73.069999999999993</v>
      </c>
      <c r="H101">
        <v>-71.239999999999995</v>
      </c>
      <c r="I101" s="58">
        <v>0.08</v>
      </c>
      <c r="J101" s="58">
        <v>0.39</v>
      </c>
      <c r="K101" s="58" t="s">
        <v>408</v>
      </c>
      <c r="L101" s="58">
        <v>13.33</v>
      </c>
    </row>
    <row r="102" spans="2:12" x14ac:dyDescent="0.25">
      <c r="B102" s="57" t="s">
        <v>331</v>
      </c>
      <c r="C102" s="57" t="s">
        <v>332</v>
      </c>
      <c r="D102">
        <v>0.28000000000000003</v>
      </c>
      <c r="E102">
        <v>0.01</v>
      </c>
      <c r="F102" s="58">
        <v>140.04</v>
      </c>
      <c r="G102" s="57">
        <v>-78.55</v>
      </c>
      <c r="H102">
        <v>-84.89</v>
      </c>
      <c r="I102" s="58">
        <v>0.11</v>
      </c>
      <c r="J102" s="58">
        <v>0.55000000000000004</v>
      </c>
      <c r="K102" s="58" t="s">
        <v>408</v>
      </c>
      <c r="L102" s="58">
        <v>0</v>
      </c>
    </row>
    <row r="103" spans="2:12" x14ac:dyDescent="0.25">
      <c r="B103" s="57" t="s">
        <v>243</v>
      </c>
      <c r="C103" s="57" t="s">
        <v>245</v>
      </c>
      <c r="D103">
        <v>4</v>
      </c>
      <c r="E103">
        <v>0</v>
      </c>
      <c r="F103" s="58">
        <v>0</v>
      </c>
      <c r="G103" s="57"/>
      <c r="I103" s="58">
        <v>0</v>
      </c>
      <c r="J103" s="58"/>
      <c r="K103" s="58"/>
      <c r="L103" s="58"/>
    </row>
    <row r="104" spans="2:12" x14ac:dyDescent="0.25">
      <c r="B104" s="57" t="s">
        <v>390</v>
      </c>
      <c r="C104" s="57" t="s">
        <v>395</v>
      </c>
      <c r="D104">
        <v>1.62</v>
      </c>
      <c r="E104">
        <v>0.22</v>
      </c>
      <c r="F104" s="58">
        <v>108.32</v>
      </c>
      <c r="G104" s="57">
        <v>-62.26</v>
      </c>
      <c r="H104">
        <v>-68.89</v>
      </c>
      <c r="I104" s="58">
        <v>0.39</v>
      </c>
      <c r="J104" s="58">
        <v>0.4</v>
      </c>
      <c r="K104" s="58" t="s">
        <v>408</v>
      </c>
      <c r="L104" s="58">
        <v>0</v>
      </c>
    </row>
    <row r="105" spans="2:12" x14ac:dyDescent="0.25">
      <c r="B105" s="57" t="s">
        <v>738</v>
      </c>
      <c r="C105" s="57" t="s">
        <v>739</v>
      </c>
      <c r="D105">
        <v>2.06</v>
      </c>
      <c r="E105" s="58">
        <v>0.23</v>
      </c>
      <c r="F105" s="58">
        <v>133.07</v>
      </c>
      <c r="G105" s="57">
        <v>-47.12</v>
      </c>
      <c r="H105">
        <v>-63.74</v>
      </c>
      <c r="I105" s="58">
        <v>0.08</v>
      </c>
      <c r="J105" s="58">
        <v>0.44</v>
      </c>
      <c r="K105" s="58" t="s">
        <v>408</v>
      </c>
      <c r="L105" s="58">
        <v>0</v>
      </c>
    </row>
    <row r="106" spans="2:12" x14ac:dyDescent="0.25">
      <c r="B106" s="57" t="s">
        <v>267</v>
      </c>
      <c r="C106" s="57" t="s">
        <v>276</v>
      </c>
      <c r="D106">
        <v>0</v>
      </c>
      <c r="E106" s="58">
        <v>0</v>
      </c>
      <c r="F106" s="58"/>
      <c r="G106" s="57"/>
      <c r="I106" s="58"/>
      <c r="J106" s="58"/>
      <c r="K106" s="58"/>
      <c r="L106" s="58"/>
    </row>
    <row r="107" spans="2:12" x14ac:dyDescent="0.25">
      <c r="B107" s="57" t="s">
        <v>664</v>
      </c>
      <c r="C107" s="57" t="s">
        <v>665</v>
      </c>
      <c r="D107">
        <v>2.2000000000000002</v>
      </c>
      <c r="E107" s="58">
        <v>0.05</v>
      </c>
      <c r="F107" s="58">
        <v>324.18</v>
      </c>
      <c r="G107" s="57">
        <v>-49.05</v>
      </c>
      <c r="H107">
        <v>-70.510000000000005</v>
      </c>
      <c r="I107" s="58">
        <v>0.28999999999999998</v>
      </c>
      <c r="J107" s="58">
        <v>0.44</v>
      </c>
      <c r="K107" s="58" t="s">
        <v>408</v>
      </c>
      <c r="L107" s="58">
        <v>0</v>
      </c>
    </row>
    <row r="108" spans="2:12" x14ac:dyDescent="0.25">
      <c r="B108" s="57" t="s">
        <v>1293</v>
      </c>
      <c r="C108" s="57" t="s">
        <v>1296</v>
      </c>
      <c r="D108">
        <v>47.14</v>
      </c>
      <c r="E108" s="58">
        <v>0.96</v>
      </c>
      <c r="F108" s="58">
        <v>28842.19</v>
      </c>
      <c r="G108" s="57">
        <v>-39.35</v>
      </c>
      <c r="H108">
        <v>-28.46</v>
      </c>
      <c r="I108" s="58">
        <v>1.58</v>
      </c>
      <c r="J108" s="58">
        <v>0.62</v>
      </c>
      <c r="K108" s="58" t="s">
        <v>407</v>
      </c>
      <c r="L108" s="58">
        <v>4.29</v>
      </c>
    </row>
    <row r="109" spans="2:12" x14ac:dyDescent="0.25">
      <c r="B109" s="57" t="s">
        <v>304</v>
      </c>
      <c r="C109" s="57" t="s">
        <v>448</v>
      </c>
      <c r="D109">
        <v>27.89</v>
      </c>
      <c r="E109" s="58">
        <v>1.93</v>
      </c>
      <c r="F109" s="58">
        <v>56651.76</v>
      </c>
      <c r="G109" s="57">
        <v>-30.55</v>
      </c>
      <c r="H109">
        <v>-23.22</v>
      </c>
      <c r="I109" s="58">
        <v>1.55</v>
      </c>
      <c r="J109" s="58">
        <v>0.63</v>
      </c>
      <c r="K109" s="58" t="s">
        <v>407</v>
      </c>
      <c r="L109" s="58">
        <v>8.68</v>
      </c>
    </row>
    <row r="110" spans="2:12" x14ac:dyDescent="0.25">
      <c r="B110" s="57" t="s">
        <v>333</v>
      </c>
      <c r="C110" s="57" t="s">
        <v>334</v>
      </c>
      <c r="D110">
        <v>32.86</v>
      </c>
      <c r="E110" s="58">
        <v>-0.16</v>
      </c>
      <c r="F110" s="58">
        <v>4047.67</v>
      </c>
      <c r="G110" s="57">
        <v>39.44</v>
      </c>
      <c r="H110">
        <v>266.89</v>
      </c>
      <c r="I110" s="58">
        <v>6.93</v>
      </c>
      <c r="J110" s="58">
        <v>0.66</v>
      </c>
      <c r="K110" s="58" t="s">
        <v>405</v>
      </c>
      <c r="L110" s="58">
        <v>0</v>
      </c>
    </row>
    <row r="111" spans="2:12" x14ac:dyDescent="0.25">
      <c r="B111" s="57" t="s">
        <v>288</v>
      </c>
      <c r="C111" s="57" t="s">
        <v>294</v>
      </c>
      <c r="D111">
        <v>31.75</v>
      </c>
      <c r="E111">
        <v>0.9</v>
      </c>
      <c r="F111" s="58">
        <v>1699.61</v>
      </c>
      <c r="G111" s="57">
        <v>-28.75</v>
      </c>
      <c r="H111">
        <v>-23.15</v>
      </c>
      <c r="I111" s="58">
        <v>0.87</v>
      </c>
      <c r="J111" s="58">
        <v>0.67</v>
      </c>
      <c r="K111" s="58" t="s">
        <v>405</v>
      </c>
      <c r="L111" s="58">
        <v>0.62</v>
      </c>
    </row>
    <row r="112" spans="2:12" x14ac:dyDescent="0.25">
      <c r="B112" s="57" t="s">
        <v>335</v>
      </c>
      <c r="C112" s="57" t="s">
        <v>336</v>
      </c>
      <c r="D112">
        <v>16.600000000000001</v>
      </c>
      <c r="E112" s="58">
        <v>1.36</v>
      </c>
      <c r="F112" s="58">
        <v>538.89</v>
      </c>
      <c r="G112" s="57">
        <v>-34.869999999999997</v>
      </c>
      <c r="H112">
        <v>-35.64</v>
      </c>
      <c r="I112" s="58">
        <v>0.49</v>
      </c>
      <c r="J112" s="58">
        <v>0.63</v>
      </c>
      <c r="K112" s="58" t="s">
        <v>405</v>
      </c>
      <c r="L112" s="58">
        <v>0</v>
      </c>
    </row>
    <row r="113" spans="2:12" x14ac:dyDescent="0.25">
      <c r="B113" s="57" t="s">
        <v>609</v>
      </c>
      <c r="C113" s="57" t="s">
        <v>610</v>
      </c>
      <c r="D113">
        <v>15.69</v>
      </c>
      <c r="E113" s="58">
        <v>1.43</v>
      </c>
      <c r="F113" s="58">
        <v>35203.5</v>
      </c>
      <c r="G113" s="57">
        <v>-47.78</v>
      </c>
      <c r="H113">
        <v>-43.47</v>
      </c>
      <c r="I113" s="58">
        <v>1.06</v>
      </c>
      <c r="J113" s="58">
        <v>0.62</v>
      </c>
      <c r="K113" s="58" t="s">
        <v>405</v>
      </c>
      <c r="L113" s="58">
        <v>12.38</v>
      </c>
    </row>
    <row r="114" spans="2:12" x14ac:dyDescent="0.25">
      <c r="B114" s="57" t="s">
        <v>362</v>
      </c>
      <c r="C114" s="57" t="s">
        <v>370</v>
      </c>
      <c r="D114">
        <v>16.73</v>
      </c>
      <c r="E114" s="58">
        <v>1.25</v>
      </c>
      <c r="F114" s="58">
        <v>1301.1600000000001</v>
      </c>
      <c r="G114" s="57">
        <v>-71.78</v>
      </c>
      <c r="H114">
        <v>-66.849999999999994</v>
      </c>
      <c r="I114" s="58">
        <v>0.52</v>
      </c>
      <c r="J114" s="58">
        <v>0.36</v>
      </c>
      <c r="K114" s="58" t="s">
        <v>408</v>
      </c>
      <c r="L114" s="58">
        <v>0</v>
      </c>
    </row>
    <row r="115" spans="2:12" x14ac:dyDescent="0.25">
      <c r="B115" s="57" t="s">
        <v>359</v>
      </c>
      <c r="C115" s="57" t="s">
        <v>371</v>
      </c>
      <c r="D115">
        <v>0</v>
      </c>
      <c r="E115" s="58">
        <v>0</v>
      </c>
      <c r="F115" s="58"/>
      <c r="G115" s="57"/>
      <c r="I115" s="58"/>
      <c r="J115" s="58"/>
      <c r="K115" s="58"/>
      <c r="L115" s="58"/>
    </row>
    <row r="116" spans="2:12" x14ac:dyDescent="0.25">
      <c r="B116" s="57" t="s">
        <v>666</v>
      </c>
      <c r="C116" s="57" t="s">
        <v>667</v>
      </c>
      <c r="D116">
        <v>0</v>
      </c>
      <c r="E116" s="58">
        <v>0</v>
      </c>
      <c r="F116" s="58"/>
      <c r="G116" s="57"/>
      <c r="I116" s="58"/>
      <c r="J116" s="58"/>
      <c r="K116" s="58"/>
      <c r="L116" s="58"/>
    </row>
    <row r="117" spans="2:12" x14ac:dyDescent="0.25">
      <c r="B117" s="57" t="s">
        <v>937</v>
      </c>
      <c r="C117" s="57" t="s">
        <v>938</v>
      </c>
      <c r="D117">
        <v>6.43</v>
      </c>
      <c r="E117" s="58">
        <v>0.13</v>
      </c>
      <c r="F117" s="58">
        <v>17282.599999999999</v>
      </c>
      <c r="G117" s="57">
        <v>-47.75</v>
      </c>
      <c r="H117">
        <v>-50.59</v>
      </c>
      <c r="I117" s="58">
        <v>0.32</v>
      </c>
      <c r="J117" s="58">
        <v>0.31</v>
      </c>
      <c r="K117" s="58" t="s">
        <v>405</v>
      </c>
      <c r="L117" s="58">
        <v>19.37</v>
      </c>
    </row>
    <row r="118" spans="2:12" x14ac:dyDescent="0.25">
      <c r="B118" s="57" t="s">
        <v>937</v>
      </c>
      <c r="C118" s="57" t="s">
        <v>938</v>
      </c>
      <c r="D118">
        <v>6.42</v>
      </c>
      <c r="E118" s="58">
        <v>0.12</v>
      </c>
      <c r="F118" s="58">
        <v>17269.150000000001</v>
      </c>
      <c r="G118" s="57">
        <v>-47.75</v>
      </c>
      <c r="H118">
        <v>-50.59</v>
      </c>
      <c r="I118" s="58">
        <v>0.32</v>
      </c>
      <c r="J118" s="58">
        <v>0.31</v>
      </c>
      <c r="K118" s="58" t="s">
        <v>405</v>
      </c>
      <c r="L118" s="58">
        <v>19.37</v>
      </c>
    </row>
    <row r="119" spans="2:12" x14ac:dyDescent="0.25">
      <c r="B119" s="57" t="s">
        <v>740</v>
      </c>
      <c r="C119" s="57" t="s">
        <v>741</v>
      </c>
      <c r="D119">
        <v>2.2400000000000002</v>
      </c>
      <c r="E119" s="58">
        <v>0.23</v>
      </c>
      <c r="F119" s="58">
        <v>308.93</v>
      </c>
      <c r="G119" s="57">
        <v>-58.4</v>
      </c>
      <c r="H119">
        <v>-63.11</v>
      </c>
      <c r="I119" s="58">
        <v>0.2</v>
      </c>
      <c r="J119" s="58">
        <v>0.41</v>
      </c>
      <c r="K119" s="58" t="s">
        <v>408</v>
      </c>
      <c r="L119" s="58">
        <v>7.46</v>
      </c>
    </row>
    <row r="120" spans="2:12" x14ac:dyDescent="0.25">
      <c r="B120" s="57" t="s">
        <v>26</v>
      </c>
      <c r="C120" s="57" t="s">
        <v>112</v>
      </c>
      <c r="D120">
        <v>6.93</v>
      </c>
      <c r="E120" s="58">
        <v>0.67</v>
      </c>
      <c r="F120" s="58">
        <v>586.01</v>
      </c>
      <c r="G120" s="57">
        <v>-54.7</v>
      </c>
      <c r="H120">
        <v>-21.46</v>
      </c>
      <c r="I120" s="58">
        <v>1.03</v>
      </c>
      <c r="J120" s="58">
        <v>0.6</v>
      </c>
      <c r="K120" s="58" t="s">
        <v>405</v>
      </c>
      <c r="L120" s="58">
        <v>0</v>
      </c>
    </row>
    <row r="121" spans="2:12" x14ac:dyDescent="0.25">
      <c r="B121" s="57" t="s">
        <v>742</v>
      </c>
      <c r="C121" s="57" t="s">
        <v>743</v>
      </c>
      <c r="D121">
        <v>64.31</v>
      </c>
      <c r="E121" s="58">
        <v>-0.73</v>
      </c>
      <c r="F121" s="58">
        <v>9002.7000000000007</v>
      </c>
      <c r="G121" s="57">
        <v>-42.4</v>
      </c>
      <c r="H121">
        <v>-44.94</v>
      </c>
      <c r="I121" s="58">
        <v>0.8</v>
      </c>
      <c r="J121" s="58">
        <v>0.39</v>
      </c>
      <c r="K121" s="58" t="s">
        <v>405</v>
      </c>
      <c r="L121" s="58">
        <v>2.06</v>
      </c>
    </row>
    <row r="122" spans="2:12" x14ac:dyDescent="0.25">
      <c r="B122" s="57" t="s">
        <v>74</v>
      </c>
      <c r="C122" s="57" t="s">
        <v>356</v>
      </c>
      <c r="D122">
        <v>6.97</v>
      </c>
      <c r="E122" s="58">
        <v>1.51</v>
      </c>
      <c r="F122" s="58">
        <v>230.28</v>
      </c>
      <c r="G122" s="57">
        <v>-17.649999999999999</v>
      </c>
      <c r="H122">
        <v>-68.55</v>
      </c>
      <c r="I122" s="58">
        <v>0.18</v>
      </c>
      <c r="J122" s="58">
        <v>0.5</v>
      </c>
      <c r="K122" s="58" t="s">
        <v>408</v>
      </c>
      <c r="L122" s="58">
        <v>0</v>
      </c>
    </row>
    <row r="123" spans="2:12" x14ac:dyDescent="0.25">
      <c r="B123" s="57" t="s">
        <v>282</v>
      </c>
      <c r="C123" s="57" t="s">
        <v>295</v>
      </c>
      <c r="D123">
        <v>4.01</v>
      </c>
      <c r="E123" s="58">
        <v>0.18</v>
      </c>
      <c r="F123" s="58">
        <v>223.04</v>
      </c>
      <c r="G123" s="57">
        <v>-39.11</v>
      </c>
      <c r="H123">
        <v>-60.35</v>
      </c>
      <c r="I123" s="58">
        <v>0.26</v>
      </c>
      <c r="J123" s="58">
        <v>0.42</v>
      </c>
      <c r="K123" s="58" t="s">
        <v>408</v>
      </c>
      <c r="L123" s="58">
        <v>0</v>
      </c>
    </row>
    <row r="124" spans="2:12" x14ac:dyDescent="0.25">
      <c r="B124" s="57" t="s">
        <v>406</v>
      </c>
      <c r="C124" s="57" t="s">
        <v>744</v>
      </c>
      <c r="D124">
        <v>5.4</v>
      </c>
      <c r="E124" s="58">
        <v>0.05</v>
      </c>
      <c r="F124" s="58">
        <v>21410.63</v>
      </c>
      <c r="G124" s="57">
        <v>-40.99</v>
      </c>
      <c r="H124">
        <v>-30.57</v>
      </c>
      <c r="I124" s="58">
        <v>0.14000000000000001</v>
      </c>
      <c r="J124" s="58">
        <v>0.49</v>
      </c>
      <c r="K124" s="58" t="s">
        <v>405</v>
      </c>
      <c r="L124" s="58">
        <v>11.21</v>
      </c>
    </row>
    <row r="125" spans="2:12" x14ac:dyDescent="0.25">
      <c r="B125" s="57" t="s">
        <v>577</v>
      </c>
      <c r="C125" s="57" t="s">
        <v>611</v>
      </c>
      <c r="D125">
        <v>13.56</v>
      </c>
      <c r="E125" s="58">
        <v>0.22</v>
      </c>
      <c r="F125" s="58">
        <v>28966.25</v>
      </c>
      <c r="G125" s="57">
        <v>-32.96</v>
      </c>
      <c r="H125">
        <v>-17.18</v>
      </c>
      <c r="I125" s="58">
        <v>5.21</v>
      </c>
      <c r="J125" s="58">
        <v>0.7</v>
      </c>
      <c r="K125" s="58" t="s">
        <v>459</v>
      </c>
      <c r="L125" s="58">
        <v>3.68</v>
      </c>
    </row>
    <row r="126" spans="2:12" x14ac:dyDescent="0.25">
      <c r="B126" s="57" t="s">
        <v>23</v>
      </c>
      <c r="C126" s="57" t="s">
        <v>133</v>
      </c>
      <c r="D126">
        <v>9.56</v>
      </c>
      <c r="E126" s="58">
        <v>0.56999999999999995</v>
      </c>
      <c r="F126" s="58">
        <v>19280.240000000002</v>
      </c>
      <c r="G126" s="57">
        <v>-38.840000000000003</v>
      </c>
      <c r="H126">
        <v>-22.91</v>
      </c>
      <c r="I126" s="58">
        <v>0.13</v>
      </c>
      <c r="J126" s="58">
        <v>0.3</v>
      </c>
      <c r="K126" s="58" t="s">
        <v>405</v>
      </c>
      <c r="L126" s="58">
        <v>8.1</v>
      </c>
    </row>
    <row r="127" spans="2:12" x14ac:dyDescent="0.25">
      <c r="B127" s="57" t="s">
        <v>668</v>
      </c>
      <c r="C127" s="57" t="s">
        <v>669</v>
      </c>
      <c r="D127">
        <v>6.21</v>
      </c>
      <c r="E127" s="58">
        <v>0.05</v>
      </c>
      <c r="F127" s="58">
        <v>1647.36</v>
      </c>
      <c r="G127" s="57">
        <v>-7.51</v>
      </c>
      <c r="H127">
        <v>5.3</v>
      </c>
      <c r="I127" s="58">
        <v>1.1200000000000001</v>
      </c>
      <c r="J127" s="58">
        <v>0.61</v>
      </c>
      <c r="K127" s="58" t="s">
        <v>405</v>
      </c>
      <c r="L127" s="58">
        <v>0</v>
      </c>
    </row>
    <row r="128" spans="2:12" x14ac:dyDescent="0.25">
      <c r="B128" s="57" t="s">
        <v>200</v>
      </c>
      <c r="C128" s="57" t="s">
        <v>413</v>
      </c>
      <c r="D128">
        <v>22.08</v>
      </c>
      <c r="E128">
        <v>0.59</v>
      </c>
      <c r="F128" s="58">
        <v>2308.2800000000002</v>
      </c>
      <c r="G128" s="57">
        <v>-43.49</v>
      </c>
      <c r="H128">
        <v>-61.71</v>
      </c>
      <c r="I128" s="58">
        <v>0.3</v>
      </c>
      <c r="J128" s="58">
        <v>0.38</v>
      </c>
      <c r="K128" s="58" t="s">
        <v>405</v>
      </c>
      <c r="L128" s="58">
        <v>7.07</v>
      </c>
    </row>
    <row r="129" spans="2:12" x14ac:dyDescent="0.25">
      <c r="B129" s="57" t="s">
        <v>146</v>
      </c>
      <c r="C129" s="57" t="s">
        <v>147</v>
      </c>
      <c r="D129">
        <v>25.09</v>
      </c>
      <c r="E129">
        <v>-0.93</v>
      </c>
      <c r="F129" s="58">
        <v>1068.21</v>
      </c>
      <c r="G129" s="57">
        <v>-47.1</v>
      </c>
      <c r="H129">
        <v>-20.59</v>
      </c>
      <c r="I129" s="58">
        <v>0.71</v>
      </c>
      <c r="J129" s="58">
        <v>0.59</v>
      </c>
      <c r="K129" s="58" t="s">
        <v>405</v>
      </c>
      <c r="L129" s="58">
        <v>0</v>
      </c>
    </row>
    <row r="130" spans="2:12" x14ac:dyDescent="0.25">
      <c r="B130" s="57" t="s">
        <v>313</v>
      </c>
      <c r="C130" s="57" t="s">
        <v>324</v>
      </c>
      <c r="D130">
        <v>4.22</v>
      </c>
      <c r="E130" s="58">
        <v>0.38</v>
      </c>
      <c r="F130" s="58">
        <v>213.43</v>
      </c>
      <c r="G130" s="57">
        <v>-50.52</v>
      </c>
      <c r="H130">
        <v>-73.790000000000006</v>
      </c>
      <c r="I130" s="58">
        <v>0.1</v>
      </c>
      <c r="J130" s="58">
        <v>0.4</v>
      </c>
      <c r="K130" s="58" t="s">
        <v>408</v>
      </c>
      <c r="L130" s="58">
        <v>0</v>
      </c>
    </row>
    <row r="131" spans="2:12" x14ac:dyDescent="0.25">
      <c r="B131" s="57" t="s">
        <v>670</v>
      </c>
      <c r="C131" s="57" t="s">
        <v>671</v>
      </c>
      <c r="D131">
        <v>4.84</v>
      </c>
      <c r="E131" s="58">
        <v>0.11</v>
      </c>
      <c r="F131" s="58">
        <v>125.65</v>
      </c>
      <c r="G131" s="57">
        <v>-48.75</v>
      </c>
      <c r="H131">
        <v>-64.959999999999994</v>
      </c>
      <c r="I131" s="58">
        <v>0.19</v>
      </c>
      <c r="J131" s="58">
        <v>0.33</v>
      </c>
      <c r="K131" s="58" t="s">
        <v>405</v>
      </c>
      <c r="L131" s="58">
        <v>0</v>
      </c>
    </row>
    <row r="132" spans="2:12" x14ac:dyDescent="0.25">
      <c r="B132" s="57" t="s">
        <v>715</v>
      </c>
      <c r="C132" s="57" t="s">
        <v>745</v>
      </c>
      <c r="D132">
        <v>0.27</v>
      </c>
      <c r="E132" s="58">
        <v>0.02</v>
      </c>
      <c r="F132" s="58">
        <v>28.56</v>
      </c>
      <c r="G132" s="57">
        <v>-77.22</v>
      </c>
      <c r="H132">
        <v>-97.27</v>
      </c>
      <c r="I132" s="58">
        <v>0.04</v>
      </c>
      <c r="J132" s="58">
        <v>0.34</v>
      </c>
      <c r="K132" s="58" t="s">
        <v>406</v>
      </c>
      <c r="L132" s="58">
        <v>0</v>
      </c>
    </row>
    <row r="133" spans="2:12" x14ac:dyDescent="0.25">
      <c r="B133" s="57" t="s">
        <v>365</v>
      </c>
      <c r="C133" s="57" t="s">
        <v>372</v>
      </c>
      <c r="D133">
        <v>9.0500000000000007</v>
      </c>
      <c r="E133" s="58">
        <v>0.55000000000000004</v>
      </c>
      <c r="F133" s="58">
        <v>594.03</v>
      </c>
      <c r="G133" s="57">
        <v>-58.19</v>
      </c>
      <c r="H133">
        <v>-59.9</v>
      </c>
      <c r="I133" s="58">
        <v>0.26</v>
      </c>
      <c r="J133" s="58">
        <v>0.4</v>
      </c>
      <c r="K133" s="58" t="s">
        <v>408</v>
      </c>
      <c r="L133" s="58">
        <v>6.62</v>
      </c>
    </row>
    <row r="134" spans="2:12" x14ac:dyDescent="0.25">
      <c r="B134" s="57" t="s">
        <v>289</v>
      </c>
      <c r="C134" s="57" t="s">
        <v>296</v>
      </c>
      <c r="D134">
        <v>14.42</v>
      </c>
      <c r="E134" s="58">
        <v>1.18</v>
      </c>
      <c r="F134" s="58">
        <v>689.64</v>
      </c>
      <c r="G134" s="57">
        <v>-58.66</v>
      </c>
      <c r="H134">
        <v>-63.1</v>
      </c>
      <c r="I134" s="58">
        <v>0.23</v>
      </c>
      <c r="J134" s="58">
        <v>0.38</v>
      </c>
      <c r="K134" s="58" t="s">
        <v>405</v>
      </c>
      <c r="L134" s="58">
        <v>0</v>
      </c>
    </row>
    <row r="135" spans="2:12" x14ac:dyDescent="0.25">
      <c r="B135" s="57" t="s">
        <v>612</v>
      </c>
      <c r="C135" s="57" t="s">
        <v>613</v>
      </c>
      <c r="D135">
        <v>70.34</v>
      </c>
      <c r="E135" s="58">
        <v>1.76</v>
      </c>
      <c r="F135" s="58">
        <v>88877.88</v>
      </c>
      <c r="G135" s="57">
        <v>2.41</v>
      </c>
      <c r="H135">
        <v>10.72</v>
      </c>
      <c r="I135" s="58">
        <v>4</v>
      </c>
      <c r="J135" s="58">
        <v>0.83</v>
      </c>
      <c r="K135" s="58" t="s">
        <v>459</v>
      </c>
      <c r="L135" s="58">
        <v>3.75</v>
      </c>
    </row>
    <row r="136" spans="2:12" x14ac:dyDescent="0.25">
      <c r="B136" s="57" t="s">
        <v>453</v>
      </c>
      <c r="C136" s="57" t="s">
        <v>614</v>
      </c>
      <c r="D136">
        <v>52.12</v>
      </c>
      <c r="E136" s="58">
        <v>2.12</v>
      </c>
      <c r="F136" s="58">
        <v>31523.05</v>
      </c>
      <c r="G136" s="57">
        <v>-2.2599999999999998</v>
      </c>
      <c r="H136">
        <v>10.95</v>
      </c>
      <c r="I136" s="58">
        <v>1.9</v>
      </c>
      <c r="J136" s="58">
        <v>0.97</v>
      </c>
      <c r="K136" s="58" t="s">
        <v>459</v>
      </c>
      <c r="L136" s="58">
        <v>3.92</v>
      </c>
    </row>
    <row r="137" spans="2:12" x14ac:dyDescent="0.25">
      <c r="B137" s="57" t="s">
        <v>856</v>
      </c>
      <c r="C137" s="57" t="s">
        <v>936</v>
      </c>
      <c r="D137">
        <v>143.44</v>
      </c>
      <c r="E137" s="58">
        <v>-4.3499999999999996</v>
      </c>
      <c r="F137" s="58">
        <v>0</v>
      </c>
      <c r="G137" s="57">
        <v>6.76</v>
      </c>
      <c r="H137">
        <v>20.170000000000002</v>
      </c>
      <c r="I137" s="58">
        <v>0</v>
      </c>
      <c r="J137" s="58"/>
      <c r="K137" s="58"/>
      <c r="L137" s="58">
        <v>0</v>
      </c>
    </row>
    <row r="138" spans="2:12" x14ac:dyDescent="0.25">
      <c r="B138" s="57" t="s">
        <v>746</v>
      </c>
      <c r="C138" s="57" t="s">
        <v>747</v>
      </c>
      <c r="D138">
        <v>23.92</v>
      </c>
      <c r="E138" s="58">
        <v>0.88</v>
      </c>
      <c r="F138" s="58">
        <v>34174.589999999997</v>
      </c>
      <c r="G138" s="57">
        <v>-35.119999999999997</v>
      </c>
      <c r="H138">
        <v>-36.409999999999997</v>
      </c>
      <c r="I138" s="58">
        <v>0.25</v>
      </c>
      <c r="J138" s="58">
        <v>0.5</v>
      </c>
      <c r="K138" s="58" t="s">
        <v>405</v>
      </c>
      <c r="L138" s="58">
        <v>6.6</v>
      </c>
    </row>
    <row r="139" spans="2:12" x14ac:dyDescent="0.25">
      <c r="B139" s="57" t="s">
        <v>186</v>
      </c>
      <c r="C139" s="57" t="s">
        <v>187</v>
      </c>
      <c r="D139">
        <v>23.05</v>
      </c>
      <c r="E139" s="58">
        <v>0</v>
      </c>
      <c r="F139" s="58">
        <v>0</v>
      </c>
      <c r="G139" s="57"/>
      <c r="I139" s="58">
        <v>0</v>
      </c>
      <c r="J139" s="58"/>
      <c r="K139" s="58"/>
      <c r="L139" s="58"/>
    </row>
    <row r="140" spans="2:12" x14ac:dyDescent="0.25">
      <c r="B140" s="57" t="s">
        <v>215</v>
      </c>
      <c r="C140" s="57" t="s">
        <v>229</v>
      </c>
      <c r="D140">
        <v>10.199999999999999</v>
      </c>
      <c r="E140" s="58">
        <v>1.38</v>
      </c>
      <c r="F140" s="58">
        <v>605.92999999999995</v>
      </c>
      <c r="G140" s="57">
        <v>-54.47</v>
      </c>
      <c r="H140">
        <v>-53.25</v>
      </c>
      <c r="I140" s="58">
        <v>0.96</v>
      </c>
      <c r="J140" s="58">
        <v>0.59</v>
      </c>
      <c r="K140" s="58" t="s">
        <v>405</v>
      </c>
      <c r="L140" s="58">
        <v>0.47</v>
      </c>
    </row>
    <row r="141" spans="2:12" x14ac:dyDescent="0.25">
      <c r="B141" s="57" t="s">
        <v>672</v>
      </c>
      <c r="C141" s="57" t="s">
        <v>673</v>
      </c>
      <c r="D141">
        <v>2.82</v>
      </c>
      <c r="E141" s="58">
        <v>0.13</v>
      </c>
      <c r="F141" s="58">
        <v>439.13</v>
      </c>
      <c r="G141" s="57">
        <v>-38.299999999999997</v>
      </c>
      <c r="H141">
        <v>-56.89</v>
      </c>
      <c r="I141" s="58">
        <v>0.35</v>
      </c>
      <c r="J141" s="58">
        <v>0.46</v>
      </c>
      <c r="K141" s="58" t="s">
        <v>405</v>
      </c>
      <c r="L141" s="58">
        <v>0</v>
      </c>
    </row>
    <row r="142" spans="2:12" x14ac:dyDescent="0.25">
      <c r="B142" s="57" t="s">
        <v>871</v>
      </c>
      <c r="C142" s="57" t="s">
        <v>887</v>
      </c>
      <c r="D142">
        <v>18.91</v>
      </c>
      <c r="E142" s="58">
        <v>0.39</v>
      </c>
      <c r="F142" s="58">
        <v>17080.55</v>
      </c>
      <c r="G142" s="57">
        <v>-18.52</v>
      </c>
      <c r="H142">
        <v>-1.32</v>
      </c>
      <c r="I142" s="58">
        <v>2.25</v>
      </c>
      <c r="J142" s="58">
        <v>0.79</v>
      </c>
      <c r="K142" s="58"/>
      <c r="L142" s="58">
        <v>2.15</v>
      </c>
    </row>
    <row r="143" spans="2:12" x14ac:dyDescent="0.25">
      <c r="B143" s="57" t="s">
        <v>817</v>
      </c>
      <c r="C143" s="57" t="s">
        <v>818</v>
      </c>
      <c r="D143">
        <v>36.92</v>
      </c>
      <c r="E143" s="58">
        <v>1.42</v>
      </c>
      <c r="F143" s="58">
        <v>3390.28</v>
      </c>
      <c r="G143" s="57">
        <v>-16.63</v>
      </c>
      <c r="H143">
        <v>-54.53</v>
      </c>
      <c r="I143" s="58">
        <v>2.57</v>
      </c>
      <c r="J143" s="58">
        <v>0.77</v>
      </c>
      <c r="K143" s="58" t="s">
        <v>405</v>
      </c>
      <c r="L143" s="58">
        <v>0</v>
      </c>
    </row>
    <row r="144" spans="2:12" x14ac:dyDescent="0.25">
      <c r="B144" s="57" t="s">
        <v>794</v>
      </c>
      <c r="C144" s="57" t="s">
        <v>795</v>
      </c>
      <c r="D144">
        <v>36.35</v>
      </c>
      <c r="E144" s="58">
        <v>-0.16</v>
      </c>
      <c r="F144" s="58">
        <v>89917.99</v>
      </c>
      <c r="G144" s="57">
        <v>-19.2</v>
      </c>
      <c r="H144">
        <v>-3.75</v>
      </c>
      <c r="I144" s="58">
        <v>2.09</v>
      </c>
      <c r="J144" s="58">
        <v>0.77</v>
      </c>
      <c r="K144" s="58" t="s">
        <v>459</v>
      </c>
      <c r="L144" s="58">
        <v>5.58</v>
      </c>
    </row>
    <row r="145" spans="2:12" x14ac:dyDescent="0.25">
      <c r="B145" s="57" t="s">
        <v>748</v>
      </c>
      <c r="C145" s="57" t="s">
        <v>749</v>
      </c>
      <c r="D145">
        <v>12.01</v>
      </c>
      <c r="E145" s="58">
        <v>1.98</v>
      </c>
      <c r="F145" s="58">
        <v>1190.74</v>
      </c>
      <c r="G145" s="57">
        <v>-51.12</v>
      </c>
      <c r="H145">
        <v>-56.6</v>
      </c>
      <c r="I145" s="58">
        <v>0.56000000000000005</v>
      </c>
      <c r="J145" s="58">
        <v>0.57999999999999996</v>
      </c>
      <c r="K145" s="58" t="s">
        <v>405</v>
      </c>
      <c r="L145" s="58">
        <v>0</v>
      </c>
    </row>
    <row r="146" spans="2:12" x14ac:dyDescent="0.25">
      <c r="B146" s="57" t="s">
        <v>674</v>
      </c>
      <c r="C146" s="57" t="s">
        <v>675</v>
      </c>
      <c r="D146">
        <v>11.07</v>
      </c>
      <c r="E146" s="58">
        <v>2.04</v>
      </c>
      <c r="F146" s="58">
        <v>1222.74</v>
      </c>
      <c r="G146" s="57">
        <v>-51.06</v>
      </c>
      <c r="H146">
        <v>-56.9</v>
      </c>
      <c r="I146" s="58">
        <v>0.53</v>
      </c>
      <c r="J146" s="58">
        <v>0.59</v>
      </c>
      <c r="K146" s="58" t="s">
        <v>405</v>
      </c>
      <c r="L146" s="58">
        <v>0</v>
      </c>
    </row>
    <row r="147" spans="2:12" x14ac:dyDescent="0.25">
      <c r="B147" s="57" t="s">
        <v>787</v>
      </c>
      <c r="C147" s="57" t="s">
        <v>789</v>
      </c>
      <c r="D147">
        <v>76.72</v>
      </c>
      <c r="E147" s="58">
        <v>-0.77</v>
      </c>
      <c r="F147" s="58">
        <v>6359</v>
      </c>
      <c r="G147" s="57">
        <v>-26.5</v>
      </c>
      <c r="H147">
        <v>-15.36</v>
      </c>
      <c r="I147" s="58">
        <v>9.06</v>
      </c>
      <c r="J147" s="58">
        <v>0.71</v>
      </c>
      <c r="K147" s="58" t="s">
        <v>459</v>
      </c>
      <c r="L147" s="58">
        <v>0</v>
      </c>
    </row>
    <row r="148" spans="2:12" x14ac:dyDescent="0.25">
      <c r="B148" s="57" t="s">
        <v>452</v>
      </c>
      <c r="C148" s="57" t="s">
        <v>454</v>
      </c>
      <c r="D148">
        <v>9.2200000000000006</v>
      </c>
      <c r="E148" s="58">
        <v>-0.09</v>
      </c>
      <c r="F148" s="58">
        <v>3340.03</v>
      </c>
      <c r="G148" s="57">
        <v>-37.75</v>
      </c>
      <c r="H148">
        <v>-44.19</v>
      </c>
      <c r="I148" s="58">
        <v>0.49</v>
      </c>
      <c r="J148" s="58">
        <v>0.34</v>
      </c>
      <c r="K148" s="58" t="s">
        <v>405</v>
      </c>
      <c r="L148" s="58">
        <v>6.45</v>
      </c>
    </row>
    <row r="149" spans="2:12" x14ac:dyDescent="0.25">
      <c r="B149" s="57" t="s">
        <v>337</v>
      </c>
      <c r="C149" s="57" t="s">
        <v>338</v>
      </c>
      <c r="D149">
        <v>12.5</v>
      </c>
      <c r="E149">
        <v>0.99</v>
      </c>
      <c r="F149" s="58">
        <v>638.64</v>
      </c>
      <c r="G149" s="57">
        <v>-43.69</v>
      </c>
      <c r="H149">
        <v>-42.39</v>
      </c>
      <c r="I149" s="58">
        <v>0.51</v>
      </c>
      <c r="J149" s="58">
        <v>0.47</v>
      </c>
      <c r="K149" s="58" t="s">
        <v>405</v>
      </c>
      <c r="L149" s="58">
        <v>1.74</v>
      </c>
    </row>
    <row r="150" spans="2:12" x14ac:dyDescent="0.25">
      <c r="B150" s="57" t="s">
        <v>363</v>
      </c>
      <c r="C150" s="57" t="s">
        <v>373</v>
      </c>
      <c r="D150">
        <v>14.57</v>
      </c>
      <c r="E150" s="58">
        <v>-0.39</v>
      </c>
      <c r="F150" s="58">
        <v>522.63</v>
      </c>
      <c r="G150" s="57">
        <v>-54.53</v>
      </c>
      <c r="H150">
        <v>-40.78</v>
      </c>
      <c r="I150" s="58">
        <v>0.39</v>
      </c>
      <c r="J150" s="58">
        <v>0.48</v>
      </c>
      <c r="K150" s="58" t="s">
        <v>405</v>
      </c>
      <c r="L150" s="58">
        <v>7.35</v>
      </c>
    </row>
    <row r="151" spans="2:12" x14ac:dyDescent="0.25">
      <c r="B151" s="57" t="s">
        <v>188</v>
      </c>
      <c r="C151" s="57" t="s">
        <v>189</v>
      </c>
      <c r="D151">
        <v>19.850000000000001</v>
      </c>
      <c r="E151" s="58">
        <v>0.41</v>
      </c>
      <c r="F151" s="58">
        <v>3213.11</v>
      </c>
      <c r="G151" s="57">
        <v>-60.77</v>
      </c>
      <c r="H151">
        <v>-58.97</v>
      </c>
      <c r="I151" s="58">
        <v>0.19</v>
      </c>
      <c r="J151" s="58">
        <v>0.35</v>
      </c>
      <c r="K151" s="58" t="s">
        <v>405</v>
      </c>
      <c r="L151" s="58">
        <v>7</v>
      </c>
    </row>
    <row r="152" spans="2:12" x14ac:dyDescent="0.25">
      <c r="B152" s="57" t="s">
        <v>27</v>
      </c>
      <c r="C152" s="57" t="s">
        <v>164</v>
      </c>
      <c r="D152">
        <v>14.51</v>
      </c>
      <c r="E152" s="58">
        <v>0.57999999999999996</v>
      </c>
      <c r="F152" s="58">
        <v>171.78</v>
      </c>
      <c r="G152" s="57">
        <v>-43.31</v>
      </c>
      <c r="H152">
        <v>-52.06</v>
      </c>
      <c r="I152" s="58">
        <v>0.26</v>
      </c>
      <c r="J152" s="58">
        <v>0.57999999999999996</v>
      </c>
      <c r="K152" s="58" t="s">
        <v>405</v>
      </c>
      <c r="L152" s="58">
        <v>4.38</v>
      </c>
    </row>
    <row r="153" spans="2:12" x14ac:dyDescent="0.25">
      <c r="B153" s="57" t="s">
        <v>214</v>
      </c>
      <c r="C153" s="57" t="s">
        <v>230</v>
      </c>
      <c r="D153">
        <v>3.19</v>
      </c>
      <c r="E153" s="58">
        <v>0.25</v>
      </c>
      <c r="F153" s="58">
        <v>204.5</v>
      </c>
      <c r="G153" s="57">
        <v>-53.99</v>
      </c>
      <c r="H153">
        <v>-86.98</v>
      </c>
      <c r="I153" s="58">
        <v>0.15</v>
      </c>
      <c r="J153" s="58">
        <v>0.4</v>
      </c>
      <c r="K153" s="58" t="s">
        <v>406</v>
      </c>
      <c r="L153" s="58">
        <v>0</v>
      </c>
    </row>
    <row r="154" spans="2:12" x14ac:dyDescent="0.25">
      <c r="B154" s="57" t="s">
        <v>155</v>
      </c>
      <c r="C154" s="57" t="s">
        <v>156</v>
      </c>
      <c r="D154">
        <v>17.16</v>
      </c>
      <c r="E154" s="58">
        <v>-0.35</v>
      </c>
      <c r="F154" s="58">
        <v>24596.21</v>
      </c>
      <c r="G154" s="57">
        <v>-13.43</v>
      </c>
      <c r="H154">
        <v>-4.5999999999999996</v>
      </c>
      <c r="I154" s="58">
        <v>0.44</v>
      </c>
      <c r="J154" s="58">
        <v>0.86</v>
      </c>
      <c r="K154" s="58" t="s">
        <v>407</v>
      </c>
      <c r="L154" s="58">
        <v>3.84</v>
      </c>
    </row>
    <row r="155" spans="2:12" x14ac:dyDescent="0.25">
      <c r="B155" s="57" t="s">
        <v>367</v>
      </c>
      <c r="C155" s="57" t="s">
        <v>374</v>
      </c>
      <c r="D155">
        <v>7.35</v>
      </c>
      <c r="E155" s="58">
        <v>0.34</v>
      </c>
      <c r="F155" s="58">
        <v>1043.9100000000001</v>
      </c>
      <c r="G155" s="57">
        <v>-54.57</v>
      </c>
      <c r="H155">
        <v>-52.91</v>
      </c>
      <c r="I155" s="58">
        <v>0.08</v>
      </c>
      <c r="J155" s="58">
        <v>0.4</v>
      </c>
      <c r="K155" s="58" t="s">
        <v>408</v>
      </c>
      <c r="L155" s="58">
        <v>0</v>
      </c>
    </row>
    <row r="156" spans="2:12" x14ac:dyDescent="0.25">
      <c r="B156" s="57" t="s">
        <v>28</v>
      </c>
      <c r="C156" s="57" t="s">
        <v>29</v>
      </c>
      <c r="D156">
        <v>15.07</v>
      </c>
      <c r="E156" s="58">
        <v>0.76</v>
      </c>
      <c r="F156" s="58">
        <v>3392.22</v>
      </c>
      <c r="G156" s="57">
        <v>-41.19</v>
      </c>
      <c r="H156">
        <v>-37.200000000000003</v>
      </c>
      <c r="I156" s="58">
        <v>0.52</v>
      </c>
      <c r="J156" s="58">
        <v>0.66</v>
      </c>
      <c r="K156" s="58" t="s">
        <v>405</v>
      </c>
      <c r="L156" s="58">
        <v>4.54</v>
      </c>
    </row>
    <row r="157" spans="2:12" x14ac:dyDescent="0.25">
      <c r="B157" s="57" t="s">
        <v>80</v>
      </c>
      <c r="C157" s="57" t="s">
        <v>420</v>
      </c>
      <c r="D157">
        <v>2.25</v>
      </c>
      <c r="E157" s="58">
        <v>0.34</v>
      </c>
      <c r="F157" s="58">
        <v>317.62</v>
      </c>
      <c r="G157" s="57">
        <v>-68.84</v>
      </c>
      <c r="H157">
        <v>-89.25</v>
      </c>
      <c r="I157" s="58">
        <v>0.15</v>
      </c>
      <c r="J157" s="58">
        <v>0.53</v>
      </c>
      <c r="K157" s="58" t="s">
        <v>406</v>
      </c>
      <c r="L157" s="58">
        <v>0</v>
      </c>
    </row>
    <row r="158" spans="2:12" x14ac:dyDescent="0.25">
      <c r="B158" s="57" t="s">
        <v>979</v>
      </c>
      <c r="C158" s="57" t="s">
        <v>980</v>
      </c>
      <c r="D158">
        <v>14.61</v>
      </c>
      <c r="E158" s="58">
        <v>-0.4</v>
      </c>
      <c r="F158" s="58">
        <v>0</v>
      </c>
      <c r="G158" s="57">
        <v>6.69</v>
      </c>
      <c r="H158">
        <v>20.21</v>
      </c>
      <c r="I158" s="58">
        <v>0</v>
      </c>
      <c r="J158" s="58"/>
      <c r="K158" s="58"/>
      <c r="L158" s="58">
        <v>0</v>
      </c>
    </row>
    <row r="159" spans="2:12" x14ac:dyDescent="0.25">
      <c r="B159" s="57" t="s">
        <v>785</v>
      </c>
      <c r="C159" s="57" t="s">
        <v>790</v>
      </c>
      <c r="D159">
        <v>67.16</v>
      </c>
      <c r="E159" s="58">
        <v>1.06</v>
      </c>
      <c r="F159" s="58">
        <v>2206.41</v>
      </c>
      <c r="G159" s="57">
        <v>-42.98</v>
      </c>
      <c r="H159">
        <v>-38.04</v>
      </c>
      <c r="I159" s="58">
        <v>8.43</v>
      </c>
      <c r="J159" s="58">
        <v>0.44</v>
      </c>
      <c r="K159" s="58" t="s">
        <v>405</v>
      </c>
      <c r="L159" s="58">
        <v>0</v>
      </c>
    </row>
    <row r="160" spans="2:12" x14ac:dyDescent="0.25">
      <c r="B160" s="57" t="s">
        <v>808</v>
      </c>
      <c r="C160" s="57" t="s">
        <v>812</v>
      </c>
      <c r="D160">
        <v>103.49</v>
      </c>
      <c r="E160" s="58">
        <v>3.55</v>
      </c>
      <c r="F160" s="58">
        <v>11052.96</v>
      </c>
      <c r="G160" s="57">
        <v>-25.19</v>
      </c>
      <c r="H160">
        <v>-18.45</v>
      </c>
      <c r="I160" s="58">
        <v>2.2799999999999998</v>
      </c>
      <c r="J160" s="58">
        <v>0.82</v>
      </c>
      <c r="K160" s="58" t="s">
        <v>407</v>
      </c>
      <c r="L160" s="58">
        <v>2.96</v>
      </c>
    </row>
    <row r="161" spans="2:12" x14ac:dyDescent="0.25">
      <c r="B161" s="57" t="s">
        <v>895</v>
      </c>
      <c r="C161" s="57" t="s">
        <v>896</v>
      </c>
      <c r="D161">
        <v>218.5</v>
      </c>
      <c r="E161" s="58">
        <v>-4.93</v>
      </c>
      <c r="F161" s="58">
        <v>32119.5</v>
      </c>
      <c r="G161" s="57">
        <v>-30.66</v>
      </c>
      <c r="H161">
        <v>-26.86</v>
      </c>
      <c r="I161" s="58">
        <v>9.19</v>
      </c>
      <c r="J161" s="58">
        <v>0.77</v>
      </c>
      <c r="K161" s="58" t="s">
        <v>459</v>
      </c>
      <c r="L161" s="58">
        <v>0</v>
      </c>
    </row>
    <row r="162" spans="2:12" x14ac:dyDescent="0.25">
      <c r="B162" s="57" t="s">
        <v>615</v>
      </c>
      <c r="C162" s="57" t="s">
        <v>615</v>
      </c>
      <c r="D162">
        <v>0</v>
      </c>
      <c r="E162" s="58">
        <v>0</v>
      </c>
      <c r="F162" s="58"/>
      <c r="G162" s="57"/>
      <c r="I162" s="58"/>
      <c r="J162" s="58"/>
      <c r="K162" s="58"/>
      <c r="L162" s="58"/>
    </row>
    <row r="163" spans="2:12" x14ac:dyDescent="0.25">
      <c r="B163" s="57" t="s">
        <v>903</v>
      </c>
      <c r="C163" s="57" t="s">
        <v>909</v>
      </c>
      <c r="D163">
        <v>5.87</v>
      </c>
      <c r="E163" s="58">
        <v>0.03</v>
      </c>
      <c r="F163" s="58">
        <v>22762.91</v>
      </c>
      <c r="G163" s="57">
        <v>-51.01</v>
      </c>
      <c r="H163">
        <v>-45.31</v>
      </c>
      <c r="I163" s="58">
        <v>1.2</v>
      </c>
      <c r="J163" s="58">
        <v>0.33</v>
      </c>
      <c r="K163" s="58" t="s">
        <v>408</v>
      </c>
      <c r="L163" s="58">
        <v>13.12</v>
      </c>
    </row>
    <row r="164" spans="2:12" x14ac:dyDescent="0.25">
      <c r="B164" s="57" t="s">
        <v>750</v>
      </c>
      <c r="C164" s="57" t="s">
        <v>751</v>
      </c>
      <c r="D164">
        <v>68.03</v>
      </c>
      <c r="E164" s="58">
        <v>-1.49</v>
      </c>
      <c r="F164" s="58">
        <v>4549.9799999999996</v>
      </c>
      <c r="G164" s="57">
        <v>-21.75</v>
      </c>
      <c r="H164">
        <v>-21.94</v>
      </c>
      <c r="I164" s="58">
        <v>0.73</v>
      </c>
      <c r="J164" s="58">
        <v>0.54</v>
      </c>
      <c r="K164" s="58" t="s">
        <v>407</v>
      </c>
      <c r="L164" s="58">
        <v>3.61</v>
      </c>
    </row>
    <row r="165" spans="2:12" x14ac:dyDescent="0.25">
      <c r="B165" s="57" t="s">
        <v>221</v>
      </c>
      <c r="C165" s="57" t="s">
        <v>231</v>
      </c>
      <c r="D165">
        <v>73.84</v>
      </c>
      <c r="E165" s="58">
        <v>-0.28000000000000003</v>
      </c>
      <c r="F165" s="58">
        <v>2422.36</v>
      </c>
      <c r="G165" s="57">
        <v>-7.08</v>
      </c>
      <c r="H165">
        <v>-12.81</v>
      </c>
      <c r="I165" s="58">
        <v>1.94</v>
      </c>
      <c r="J165" s="58">
        <v>0.91</v>
      </c>
      <c r="K165" s="58" t="s">
        <v>407</v>
      </c>
      <c r="L165" s="58">
        <v>0</v>
      </c>
    </row>
    <row r="166" spans="2:12" x14ac:dyDescent="0.25">
      <c r="B166" s="57" t="s">
        <v>134</v>
      </c>
      <c r="C166" s="57" t="s">
        <v>135</v>
      </c>
      <c r="D166">
        <v>5.36</v>
      </c>
      <c r="E166" s="58">
        <v>0.13</v>
      </c>
      <c r="F166" s="58">
        <v>181.77</v>
      </c>
      <c r="G166" s="57">
        <v>-45.61</v>
      </c>
      <c r="H166">
        <v>-48.23</v>
      </c>
      <c r="I166" s="58">
        <v>0.2</v>
      </c>
      <c r="J166" s="58">
        <v>0.42</v>
      </c>
      <c r="K166" s="58" t="s">
        <v>408</v>
      </c>
      <c r="L166" s="58">
        <v>0.96</v>
      </c>
    </row>
    <row r="167" spans="2:12" x14ac:dyDescent="0.25">
      <c r="B167" s="57" t="s">
        <v>616</v>
      </c>
      <c r="C167" s="57" t="s">
        <v>617</v>
      </c>
      <c r="D167">
        <v>9.6300000000000008</v>
      </c>
      <c r="E167" s="58">
        <v>0.18</v>
      </c>
      <c r="F167" s="58">
        <v>4366.29</v>
      </c>
      <c r="G167" s="57">
        <v>-44.89</v>
      </c>
      <c r="H167">
        <v>-43.65</v>
      </c>
      <c r="I167" s="58">
        <v>0.69</v>
      </c>
      <c r="J167" s="58">
        <v>0.54</v>
      </c>
      <c r="K167" s="58" t="s">
        <v>405</v>
      </c>
      <c r="L167" s="58">
        <v>13.12</v>
      </c>
    </row>
    <row r="168" spans="2:12" x14ac:dyDescent="0.25">
      <c r="B168" s="57" t="s">
        <v>618</v>
      </c>
      <c r="C168" s="57" t="s">
        <v>619</v>
      </c>
      <c r="D168">
        <v>31.53</v>
      </c>
      <c r="E168" s="58">
        <v>1.27</v>
      </c>
      <c r="F168" s="58">
        <v>24257.11</v>
      </c>
      <c r="G168" s="57">
        <v>-26.73</v>
      </c>
      <c r="H168">
        <v>-12.55</v>
      </c>
      <c r="I168" s="58">
        <v>1.1000000000000001</v>
      </c>
      <c r="J168" s="58">
        <v>0.67</v>
      </c>
      <c r="K168" s="58" t="s">
        <v>407</v>
      </c>
      <c r="L168" s="58">
        <v>3.41</v>
      </c>
    </row>
    <row r="169" spans="2:12" x14ac:dyDescent="0.25">
      <c r="B169" s="57" t="s">
        <v>136</v>
      </c>
      <c r="C169" s="57" t="s">
        <v>137</v>
      </c>
      <c r="D169">
        <v>14.85</v>
      </c>
      <c r="E169" s="58">
        <v>-2.96</v>
      </c>
      <c r="F169" s="58">
        <v>664.28</v>
      </c>
      <c r="G169" s="57">
        <v>-18.420000000000002</v>
      </c>
      <c r="H169">
        <v>-3.52</v>
      </c>
      <c r="I169" s="58">
        <v>0.16</v>
      </c>
      <c r="J169" s="58">
        <v>0.45</v>
      </c>
      <c r="K169" s="58" t="s">
        <v>405</v>
      </c>
      <c r="L169" s="58">
        <v>0</v>
      </c>
    </row>
    <row r="170" spans="2:12" x14ac:dyDescent="0.25">
      <c r="B170" s="57" t="s">
        <v>138</v>
      </c>
      <c r="C170" s="57" t="s">
        <v>139</v>
      </c>
      <c r="D170">
        <v>127.88</v>
      </c>
      <c r="E170" s="58">
        <v>5.62</v>
      </c>
      <c r="F170" s="58">
        <v>6594.17</v>
      </c>
      <c r="G170" s="57">
        <v>-28.62</v>
      </c>
      <c r="H170">
        <v>-23.85</v>
      </c>
      <c r="I170" s="58">
        <v>0.35</v>
      </c>
      <c r="J170" s="58">
        <v>0.72</v>
      </c>
      <c r="K170" s="58" t="s">
        <v>405</v>
      </c>
      <c r="L170" s="58">
        <v>0.7</v>
      </c>
    </row>
    <row r="171" spans="2:12" x14ac:dyDescent="0.25">
      <c r="B171" s="57" t="s">
        <v>1263</v>
      </c>
      <c r="C171" s="57" t="s">
        <v>1264</v>
      </c>
      <c r="D171">
        <v>62.14</v>
      </c>
      <c r="E171" s="58">
        <v>3.95</v>
      </c>
      <c r="F171" s="58">
        <v>21282.86</v>
      </c>
      <c r="G171" s="57">
        <v>-11.23</v>
      </c>
      <c r="H171">
        <v>11.63</v>
      </c>
      <c r="I171" s="58">
        <v>1.57</v>
      </c>
      <c r="J171" s="58">
        <v>0.8</v>
      </c>
      <c r="K171" s="58" t="s">
        <v>407</v>
      </c>
      <c r="L171" s="58">
        <v>3.9</v>
      </c>
    </row>
    <row r="172" spans="2:12" x14ac:dyDescent="0.25">
      <c r="B172" s="57" t="s">
        <v>86</v>
      </c>
      <c r="C172" s="57" t="s">
        <v>140</v>
      </c>
      <c r="D172">
        <v>22.28</v>
      </c>
      <c r="E172" s="58">
        <v>-1.04</v>
      </c>
      <c r="F172" s="58">
        <v>2177.4499999999998</v>
      </c>
      <c r="G172" s="57">
        <v>-32.54</v>
      </c>
      <c r="H172">
        <v>-1.77</v>
      </c>
      <c r="I172" s="58">
        <v>0.46</v>
      </c>
      <c r="J172" s="58">
        <v>0.59</v>
      </c>
      <c r="K172" s="58" t="s">
        <v>405</v>
      </c>
      <c r="L172" s="58">
        <v>1.27</v>
      </c>
    </row>
    <row r="173" spans="2:12" x14ac:dyDescent="0.25">
      <c r="B173" s="57" t="s">
        <v>183</v>
      </c>
      <c r="C173" s="57" t="s">
        <v>190</v>
      </c>
      <c r="D173">
        <v>23.12</v>
      </c>
      <c r="E173" s="58">
        <v>0.56999999999999995</v>
      </c>
      <c r="F173" s="58">
        <v>1347.15</v>
      </c>
      <c r="G173" s="57">
        <v>-15.13</v>
      </c>
      <c r="H173">
        <v>24.52</v>
      </c>
      <c r="I173" s="58">
        <v>1.04</v>
      </c>
      <c r="J173" s="58">
        <v>0.93</v>
      </c>
      <c r="K173" s="58" t="s">
        <v>407</v>
      </c>
      <c r="L173" s="58">
        <v>0.67</v>
      </c>
    </row>
    <row r="174" spans="2:12" x14ac:dyDescent="0.25">
      <c r="B174" s="57" t="s">
        <v>95</v>
      </c>
      <c r="C174" s="57" t="s">
        <v>141</v>
      </c>
      <c r="D174">
        <v>11.96</v>
      </c>
      <c r="E174" s="58">
        <v>0.2</v>
      </c>
      <c r="F174" s="58">
        <v>643.51</v>
      </c>
      <c r="G174" s="57">
        <v>-43.77</v>
      </c>
      <c r="H174">
        <v>-32.130000000000003</v>
      </c>
      <c r="I174" s="58">
        <v>1.8</v>
      </c>
      <c r="J174" s="58">
        <v>0.66</v>
      </c>
      <c r="K174" s="58" t="s">
        <v>405</v>
      </c>
      <c r="L174" s="58">
        <v>10.29</v>
      </c>
    </row>
    <row r="175" spans="2:12" x14ac:dyDescent="0.25">
      <c r="B175" s="57" t="s">
        <v>366</v>
      </c>
      <c r="C175" s="57" t="s">
        <v>375</v>
      </c>
      <c r="D175">
        <v>26.83</v>
      </c>
      <c r="E175" s="58">
        <v>0.71</v>
      </c>
      <c r="F175" s="58">
        <v>609.27</v>
      </c>
      <c r="G175" s="57">
        <v>-35.28</v>
      </c>
      <c r="H175">
        <v>-24</v>
      </c>
      <c r="I175" s="58">
        <v>0.47</v>
      </c>
      <c r="J175" s="58">
        <v>0.78</v>
      </c>
      <c r="K175" s="58" t="s">
        <v>407</v>
      </c>
      <c r="L175" s="58">
        <v>2.83</v>
      </c>
    </row>
    <row r="176" spans="2:12" x14ac:dyDescent="0.25">
      <c r="B176" s="57" t="s">
        <v>216</v>
      </c>
      <c r="C176" s="57" t="s">
        <v>956</v>
      </c>
      <c r="D176">
        <v>25.59</v>
      </c>
      <c r="E176" s="58">
        <v>1.99</v>
      </c>
      <c r="F176" s="58">
        <v>1408.59</v>
      </c>
      <c r="G176" s="57">
        <v>-42.55</v>
      </c>
      <c r="H176">
        <v>-48.52</v>
      </c>
      <c r="I176" s="58">
        <v>0.69</v>
      </c>
      <c r="J176" s="58">
        <v>0.63</v>
      </c>
      <c r="K176" s="58" t="s">
        <v>405</v>
      </c>
      <c r="L176" s="58">
        <v>1.69</v>
      </c>
    </row>
    <row r="177" spans="2:12" x14ac:dyDescent="0.25">
      <c r="B177" s="57" t="s">
        <v>1031</v>
      </c>
      <c r="C177" s="57" t="s">
        <v>1047</v>
      </c>
      <c r="D177">
        <v>22.15</v>
      </c>
      <c r="E177" s="58">
        <v>2.09</v>
      </c>
      <c r="F177" s="58">
        <v>27047.9</v>
      </c>
      <c r="G177" s="57">
        <v>-35.94</v>
      </c>
      <c r="H177">
        <v>-32.29</v>
      </c>
      <c r="I177" s="58">
        <v>1.08</v>
      </c>
      <c r="J177" s="58">
        <v>0.44</v>
      </c>
      <c r="K177" s="58" t="s">
        <v>405</v>
      </c>
      <c r="L177" s="58">
        <v>7.98</v>
      </c>
    </row>
    <row r="178" spans="2:12" x14ac:dyDescent="0.25">
      <c r="B178" s="57" t="s">
        <v>219</v>
      </c>
      <c r="C178" s="57" t="s">
        <v>232</v>
      </c>
      <c r="D178">
        <v>71.48</v>
      </c>
      <c r="E178" s="58">
        <v>4.8600000000000003</v>
      </c>
      <c r="F178" s="58">
        <v>4765.1000000000004</v>
      </c>
      <c r="G178" s="57">
        <v>-11.56</v>
      </c>
      <c r="H178">
        <v>-15.24</v>
      </c>
      <c r="I178" s="58">
        <v>0.94</v>
      </c>
      <c r="J178" s="58">
        <v>0.93</v>
      </c>
      <c r="K178" s="58" t="s">
        <v>407</v>
      </c>
      <c r="L178" s="58">
        <v>1.62</v>
      </c>
    </row>
    <row r="179" spans="2:12" x14ac:dyDescent="0.25">
      <c r="B179" s="57" t="s">
        <v>620</v>
      </c>
      <c r="C179" s="57" t="s">
        <v>621</v>
      </c>
      <c r="D179">
        <v>48.29</v>
      </c>
      <c r="E179" s="58">
        <v>1.54</v>
      </c>
      <c r="F179" s="58">
        <v>209146.64</v>
      </c>
      <c r="G179" s="57">
        <v>-12.89</v>
      </c>
      <c r="H179">
        <v>5.88</v>
      </c>
      <c r="I179" s="58">
        <v>5.64</v>
      </c>
      <c r="J179" s="58">
        <v>0.85</v>
      </c>
      <c r="K179" s="58" t="s">
        <v>459</v>
      </c>
      <c r="L179" s="58">
        <v>3.39</v>
      </c>
    </row>
    <row r="180" spans="2:12" x14ac:dyDescent="0.25">
      <c r="B180" s="57" t="s">
        <v>31</v>
      </c>
      <c r="C180" s="57" t="s">
        <v>32</v>
      </c>
      <c r="D180">
        <v>6.08</v>
      </c>
      <c r="E180" s="58">
        <v>0.5</v>
      </c>
      <c r="F180" s="58">
        <v>193.05</v>
      </c>
      <c r="G180" s="57">
        <v>-76.900000000000006</v>
      </c>
      <c r="H180">
        <v>-83.74</v>
      </c>
      <c r="I180" s="58">
        <v>0.11</v>
      </c>
      <c r="J180" s="58">
        <v>0.39</v>
      </c>
      <c r="K180" s="58" t="s">
        <v>408</v>
      </c>
      <c r="L180" s="58">
        <v>0</v>
      </c>
    </row>
    <row r="181" spans="2:12" x14ac:dyDescent="0.25">
      <c r="B181" s="57" t="s">
        <v>904</v>
      </c>
      <c r="C181" s="57" t="s">
        <v>910</v>
      </c>
      <c r="D181">
        <v>64.510000000000005</v>
      </c>
      <c r="E181" s="58">
        <v>5.17</v>
      </c>
      <c r="F181" s="58">
        <v>6848.84</v>
      </c>
      <c r="G181" s="57">
        <v>-26.73</v>
      </c>
      <c r="H181">
        <v>-18.309999999999999</v>
      </c>
      <c r="I181" s="58">
        <v>8</v>
      </c>
      <c r="J181" s="58">
        <v>0.82</v>
      </c>
      <c r="K181" s="58" t="s">
        <v>407</v>
      </c>
      <c r="L181" s="58">
        <v>3.22</v>
      </c>
    </row>
    <row r="182" spans="2:12" x14ac:dyDescent="0.25">
      <c r="B182" s="57" t="s">
        <v>283</v>
      </c>
      <c r="C182" s="57" t="s">
        <v>297</v>
      </c>
      <c r="D182">
        <v>23.29</v>
      </c>
      <c r="E182" s="58">
        <v>0.28000000000000003</v>
      </c>
      <c r="F182" s="58">
        <v>3646.47</v>
      </c>
      <c r="G182" s="57">
        <v>-53.16</v>
      </c>
      <c r="H182">
        <v>-63.14</v>
      </c>
      <c r="I182" s="58">
        <v>0.18</v>
      </c>
      <c r="J182" s="58">
        <v>0.32</v>
      </c>
      <c r="K182" s="58" t="s">
        <v>405</v>
      </c>
      <c r="L182" s="58">
        <v>11.65</v>
      </c>
    </row>
    <row r="183" spans="2:12" x14ac:dyDescent="0.25">
      <c r="B183" s="57" t="s">
        <v>622</v>
      </c>
      <c r="C183" s="57" t="s">
        <v>623</v>
      </c>
      <c r="D183">
        <v>16.72</v>
      </c>
      <c r="E183" s="58">
        <v>0.88</v>
      </c>
      <c r="F183" s="58">
        <v>4622.66</v>
      </c>
      <c r="G183" s="57">
        <v>-12.66</v>
      </c>
      <c r="H183">
        <v>-35.14</v>
      </c>
      <c r="I183" s="58">
        <v>0.36</v>
      </c>
      <c r="J183" s="58">
        <v>0.42</v>
      </c>
      <c r="K183" s="58" t="s">
        <v>405</v>
      </c>
      <c r="L183" s="58">
        <v>7.58</v>
      </c>
    </row>
    <row r="184" spans="2:12" x14ac:dyDescent="0.25">
      <c r="B184" s="57" t="s">
        <v>394</v>
      </c>
      <c r="C184" s="57" t="s">
        <v>396</v>
      </c>
      <c r="D184">
        <v>5.84</v>
      </c>
      <c r="E184" s="58">
        <v>0.28000000000000003</v>
      </c>
      <c r="F184" s="58">
        <v>189.05</v>
      </c>
      <c r="G184" s="57">
        <v>-67.239999999999995</v>
      </c>
      <c r="H184">
        <v>-68.37</v>
      </c>
      <c r="I184" s="58">
        <v>0.14000000000000001</v>
      </c>
      <c r="J184" s="58">
        <v>0.4</v>
      </c>
      <c r="K184" s="58" t="s">
        <v>408</v>
      </c>
      <c r="L184" s="58">
        <v>0</v>
      </c>
    </row>
    <row r="185" spans="2:12" x14ac:dyDescent="0.25">
      <c r="B185" s="57" t="s">
        <v>752</v>
      </c>
      <c r="C185" s="57" t="s">
        <v>753</v>
      </c>
      <c r="D185">
        <v>44.4</v>
      </c>
      <c r="E185" s="58">
        <v>-2.02</v>
      </c>
      <c r="F185" s="58">
        <v>13492.82</v>
      </c>
      <c r="G185" s="57">
        <v>-19.829999999999998</v>
      </c>
      <c r="H185">
        <v>-3.9</v>
      </c>
      <c r="I185" s="58">
        <v>0.63</v>
      </c>
      <c r="J185" s="58">
        <v>0.57999999999999996</v>
      </c>
      <c r="K185" s="58" t="s">
        <v>407</v>
      </c>
      <c r="L185" s="58">
        <v>0.53</v>
      </c>
    </row>
    <row r="186" spans="2:12" x14ac:dyDescent="0.25">
      <c r="B186" s="57" t="s">
        <v>704</v>
      </c>
      <c r="C186" s="57" t="s">
        <v>754</v>
      </c>
      <c r="D186">
        <v>34.49</v>
      </c>
      <c r="E186" s="58">
        <v>-1.23</v>
      </c>
      <c r="F186" s="58">
        <v>13620.92</v>
      </c>
      <c r="G186" s="57">
        <v>-22.18</v>
      </c>
      <c r="H186">
        <v>-7.28</v>
      </c>
      <c r="I186" s="58">
        <v>0.49</v>
      </c>
      <c r="J186" s="58">
        <v>0.63</v>
      </c>
      <c r="K186" s="58" t="s">
        <v>407</v>
      </c>
      <c r="L186" s="58">
        <v>0.69</v>
      </c>
    </row>
    <row r="187" spans="2:12" x14ac:dyDescent="0.25">
      <c r="B187" s="57" t="s">
        <v>1048</v>
      </c>
      <c r="C187" s="57" t="s">
        <v>950</v>
      </c>
      <c r="D187">
        <v>0</v>
      </c>
      <c r="E187" s="58">
        <v>0</v>
      </c>
      <c r="F187" s="58"/>
      <c r="G187" s="57"/>
      <c r="I187" s="58"/>
      <c r="J187" s="58"/>
      <c r="K187" s="58"/>
      <c r="L187" s="58"/>
    </row>
    <row r="188" spans="2:12" x14ac:dyDescent="0.25">
      <c r="B188" s="57" t="s">
        <v>703</v>
      </c>
      <c r="C188" s="57" t="s">
        <v>755</v>
      </c>
      <c r="D188">
        <v>23.96</v>
      </c>
      <c r="E188" s="58">
        <v>0.14000000000000001</v>
      </c>
      <c r="F188" s="58">
        <v>7359.26</v>
      </c>
      <c r="G188" s="57">
        <v>-33.83</v>
      </c>
      <c r="H188">
        <v>-11.33</v>
      </c>
      <c r="I188" s="58">
        <v>0.59</v>
      </c>
      <c r="J188" s="58">
        <v>0.63</v>
      </c>
      <c r="K188" s="58" t="s">
        <v>407</v>
      </c>
      <c r="L188" s="58">
        <v>0</v>
      </c>
    </row>
    <row r="189" spans="2:12" x14ac:dyDescent="0.25">
      <c r="B189" s="57" t="s">
        <v>75</v>
      </c>
      <c r="C189" s="57" t="s">
        <v>142</v>
      </c>
      <c r="D189">
        <v>5.87</v>
      </c>
      <c r="E189" s="58">
        <v>-0.83</v>
      </c>
      <c r="F189" s="58">
        <v>168.62</v>
      </c>
      <c r="G189" s="57">
        <v>-40.07</v>
      </c>
      <c r="H189">
        <v>-39.53</v>
      </c>
      <c r="I189" s="58">
        <v>0.16</v>
      </c>
      <c r="J189" s="58">
        <v>0.37</v>
      </c>
      <c r="K189" s="58" t="s">
        <v>405</v>
      </c>
      <c r="L189" s="58">
        <v>0</v>
      </c>
    </row>
    <row r="190" spans="2:12" x14ac:dyDescent="0.25">
      <c r="B190" s="57" t="s">
        <v>756</v>
      </c>
      <c r="C190" s="57" t="s">
        <v>1276</v>
      </c>
      <c r="D190">
        <v>49</v>
      </c>
      <c r="E190" s="58">
        <v>1</v>
      </c>
      <c r="F190" s="58">
        <v>4259.21</v>
      </c>
      <c r="G190" s="57">
        <v>32.39</v>
      </c>
      <c r="H190">
        <v>74.930000000000007</v>
      </c>
      <c r="I190" s="58">
        <v>1.47</v>
      </c>
      <c r="J190" s="58">
        <v>0.98</v>
      </c>
      <c r="K190" s="58" t="s">
        <v>407</v>
      </c>
      <c r="L190" s="58">
        <v>3.21</v>
      </c>
    </row>
    <row r="191" spans="2:12" x14ac:dyDescent="0.25">
      <c r="B191" s="57" t="s">
        <v>676</v>
      </c>
      <c r="C191" s="57" t="s">
        <v>677</v>
      </c>
      <c r="D191">
        <v>1.42</v>
      </c>
      <c r="E191" s="58">
        <v>0.2</v>
      </c>
      <c r="F191" s="58">
        <v>112.92</v>
      </c>
      <c r="G191" s="57">
        <v>-83.22</v>
      </c>
      <c r="H191">
        <v>-91.46</v>
      </c>
      <c r="I191" s="58">
        <v>7.0000000000000007E-2</v>
      </c>
      <c r="J191" s="58">
        <v>0.39</v>
      </c>
      <c r="K191" s="58" t="s">
        <v>408</v>
      </c>
      <c r="L191" s="58">
        <v>0</v>
      </c>
    </row>
    <row r="192" spans="2:12" x14ac:dyDescent="0.25">
      <c r="B192" s="57" t="s">
        <v>286</v>
      </c>
      <c r="C192" s="57" t="s">
        <v>298</v>
      </c>
      <c r="D192">
        <v>3.49</v>
      </c>
      <c r="E192" s="58">
        <v>-0.01</v>
      </c>
      <c r="F192" s="58">
        <v>0</v>
      </c>
      <c r="G192" s="57"/>
      <c r="I192" s="58">
        <v>0</v>
      </c>
      <c r="J192" s="58"/>
      <c r="K192" s="58"/>
      <c r="L192" s="58"/>
    </row>
    <row r="193" spans="2:12" x14ac:dyDescent="0.25">
      <c r="B193" s="57" t="s">
        <v>79</v>
      </c>
      <c r="C193" s="57" t="s">
        <v>113</v>
      </c>
      <c r="D193">
        <v>40.869999999999997</v>
      </c>
      <c r="E193" s="58">
        <v>4.67</v>
      </c>
      <c r="F193" s="58">
        <v>8767.8799999999992</v>
      </c>
      <c r="G193" s="57">
        <v>-47.86</v>
      </c>
      <c r="H193">
        <v>-42.66</v>
      </c>
      <c r="I193" s="58">
        <v>0.75</v>
      </c>
      <c r="J193" s="58">
        <v>0.63</v>
      </c>
      <c r="K193" s="58" t="s">
        <v>405</v>
      </c>
      <c r="L193" s="58">
        <v>0</v>
      </c>
    </row>
    <row r="194" spans="2:12" x14ac:dyDescent="0.25">
      <c r="B194" s="57" t="s">
        <v>195</v>
      </c>
      <c r="C194" s="57" t="s">
        <v>196</v>
      </c>
      <c r="D194">
        <v>7.87</v>
      </c>
      <c r="E194" s="58">
        <v>0.49</v>
      </c>
      <c r="F194" s="58">
        <v>2430.0100000000002</v>
      </c>
      <c r="G194" s="57">
        <v>-50.62</v>
      </c>
      <c r="H194">
        <v>-61.09</v>
      </c>
      <c r="I194" s="58">
        <v>0.1</v>
      </c>
      <c r="J194" s="58">
        <v>0.31</v>
      </c>
      <c r="K194" s="58" t="s">
        <v>408</v>
      </c>
      <c r="L194" s="58">
        <v>20.46</v>
      </c>
    </row>
    <row r="195" spans="2:12" x14ac:dyDescent="0.25">
      <c r="B195" s="57" t="s">
        <v>1277</v>
      </c>
      <c r="C195" s="57" t="s">
        <v>1278</v>
      </c>
      <c r="D195">
        <v>12.29</v>
      </c>
      <c r="E195" s="58">
        <v>-1.36</v>
      </c>
      <c r="F195" s="58">
        <v>1736.54</v>
      </c>
      <c r="G195" s="57">
        <v>-45.66</v>
      </c>
      <c r="H195">
        <v>-61.49</v>
      </c>
      <c r="I195" s="58">
        <v>1.87</v>
      </c>
      <c r="J195" s="58">
        <v>0.24</v>
      </c>
      <c r="K195" s="58" t="s">
        <v>405</v>
      </c>
      <c r="L195" s="58">
        <v>21.98</v>
      </c>
    </row>
    <row r="196" spans="2:12" x14ac:dyDescent="0.25">
      <c r="B196" s="57" t="s">
        <v>757</v>
      </c>
      <c r="C196" s="57" t="s">
        <v>758</v>
      </c>
      <c r="D196">
        <v>8.15</v>
      </c>
      <c r="E196" s="58">
        <v>0.25</v>
      </c>
      <c r="F196" s="58">
        <v>2825.26</v>
      </c>
      <c r="G196" s="57">
        <v>-38.18</v>
      </c>
      <c r="H196">
        <v>-46.3</v>
      </c>
      <c r="I196" s="58">
        <v>0.63</v>
      </c>
      <c r="J196" s="58">
        <v>0.41</v>
      </c>
      <c r="K196" s="58" t="s">
        <v>405</v>
      </c>
      <c r="L196" s="58">
        <v>0</v>
      </c>
    </row>
    <row r="197" spans="2:12" x14ac:dyDescent="0.25">
      <c r="B197" s="57" t="s">
        <v>859</v>
      </c>
      <c r="C197" s="57" t="s">
        <v>860</v>
      </c>
      <c r="D197">
        <v>172.24</v>
      </c>
      <c r="E197" s="58">
        <v>2.11</v>
      </c>
      <c r="F197" s="58">
        <v>128395.73</v>
      </c>
      <c r="G197" s="57">
        <v>-12.7</v>
      </c>
      <c r="H197">
        <v>-3.78</v>
      </c>
      <c r="I197" s="58">
        <v>6.25</v>
      </c>
      <c r="J197" s="58">
        <v>0.77</v>
      </c>
      <c r="K197" s="58" t="s">
        <v>459</v>
      </c>
      <c r="L197" s="58">
        <v>2.83</v>
      </c>
    </row>
    <row r="198" spans="2:12" x14ac:dyDescent="0.25">
      <c r="B198" s="57" t="s">
        <v>624</v>
      </c>
      <c r="C198" s="57" t="s">
        <v>625</v>
      </c>
      <c r="D198">
        <v>65.400000000000006</v>
      </c>
      <c r="E198" s="58">
        <v>3.08</v>
      </c>
      <c r="F198" s="58">
        <v>15665.79</v>
      </c>
      <c r="G198" s="57">
        <v>-39.229999999999997</v>
      </c>
      <c r="H198">
        <v>-26.09</v>
      </c>
      <c r="I198" s="58">
        <v>3.16</v>
      </c>
      <c r="J198" s="58">
        <v>0.61</v>
      </c>
      <c r="K198" s="58" t="s">
        <v>405</v>
      </c>
      <c r="L198" s="58">
        <v>2.35</v>
      </c>
    </row>
    <row r="199" spans="2:12" x14ac:dyDescent="0.25">
      <c r="B199" s="57" t="s">
        <v>626</v>
      </c>
      <c r="C199" s="57" t="s">
        <v>627</v>
      </c>
      <c r="D199">
        <v>130.02000000000001</v>
      </c>
      <c r="E199" s="58">
        <v>6</v>
      </c>
      <c r="F199" s="58">
        <v>23004.49</v>
      </c>
      <c r="G199" s="57">
        <v>-13.54</v>
      </c>
      <c r="H199">
        <v>8.68</v>
      </c>
      <c r="I199" s="58">
        <v>0.1</v>
      </c>
      <c r="J199" s="58">
        <v>0.87</v>
      </c>
      <c r="K199" s="58" t="s">
        <v>405</v>
      </c>
      <c r="L199" s="58">
        <v>1.31</v>
      </c>
    </row>
    <row r="200" spans="2:12" x14ac:dyDescent="0.25">
      <c r="B200" s="57" t="s">
        <v>78</v>
      </c>
      <c r="C200" s="57" t="s">
        <v>414</v>
      </c>
      <c r="D200">
        <v>26.49</v>
      </c>
      <c r="E200" s="58">
        <v>-0.45</v>
      </c>
      <c r="F200" s="58">
        <v>1670.27</v>
      </c>
      <c r="G200" s="57">
        <v>-30.61</v>
      </c>
      <c r="H200">
        <v>-2.2200000000000002</v>
      </c>
      <c r="I200" s="58">
        <v>0.51</v>
      </c>
      <c r="J200" s="58">
        <v>0.64</v>
      </c>
      <c r="K200" s="58" t="s">
        <v>405</v>
      </c>
      <c r="L200" s="58">
        <v>4.57</v>
      </c>
    </row>
    <row r="201" spans="2:12" x14ac:dyDescent="0.25">
      <c r="B201" s="57" t="s">
        <v>628</v>
      </c>
      <c r="C201" s="57" t="s">
        <v>629</v>
      </c>
      <c r="D201">
        <v>84.28</v>
      </c>
      <c r="E201" s="58">
        <v>-0.12</v>
      </c>
      <c r="F201" s="58">
        <v>112949.2</v>
      </c>
      <c r="G201" s="57">
        <v>-24.42</v>
      </c>
      <c r="H201">
        <v>-6.4</v>
      </c>
      <c r="I201" s="58">
        <v>3.66</v>
      </c>
      <c r="J201" s="58">
        <v>0.71</v>
      </c>
      <c r="K201" s="58" t="s">
        <v>459</v>
      </c>
      <c r="L201" s="58">
        <v>2.5099999999999998</v>
      </c>
    </row>
    <row r="202" spans="2:12" x14ac:dyDescent="0.25">
      <c r="B202" s="57" t="s">
        <v>30</v>
      </c>
      <c r="C202" s="57" t="s">
        <v>415</v>
      </c>
      <c r="D202">
        <v>1.63</v>
      </c>
      <c r="E202" s="58">
        <v>7.0000000000000007E-2</v>
      </c>
      <c r="F202" s="58">
        <v>103.09</v>
      </c>
      <c r="G202" s="57">
        <v>-31.58</v>
      </c>
      <c r="H202">
        <v>-32.47</v>
      </c>
      <c r="I202" s="58">
        <v>0.09</v>
      </c>
      <c r="J202" s="58">
        <v>0.46</v>
      </c>
      <c r="K202" s="58" t="s">
        <v>408</v>
      </c>
      <c r="L202" s="58">
        <v>0</v>
      </c>
    </row>
    <row r="203" spans="2:12" x14ac:dyDescent="0.25">
      <c r="B203" s="57" t="s">
        <v>284</v>
      </c>
      <c r="C203" s="57" t="s">
        <v>299</v>
      </c>
      <c r="D203">
        <v>47.94</v>
      </c>
      <c r="E203" s="58">
        <v>0.11</v>
      </c>
      <c r="F203" s="58">
        <v>1184.04</v>
      </c>
      <c r="G203" s="57">
        <v>-38.5</v>
      </c>
      <c r="H203">
        <v>-24.94</v>
      </c>
      <c r="I203" s="58">
        <v>0.16</v>
      </c>
      <c r="J203" s="58">
        <v>0.64</v>
      </c>
      <c r="K203" s="58" t="s">
        <v>405</v>
      </c>
      <c r="L203" s="58">
        <v>0</v>
      </c>
    </row>
    <row r="204" spans="2:12" x14ac:dyDescent="0.25">
      <c r="B204" s="57" t="s">
        <v>705</v>
      </c>
      <c r="C204" s="57" t="s">
        <v>759</v>
      </c>
      <c r="D204">
        <v>14.35</v>
      </c>
      <c r="E204" s="58">
        <v>-0.91</v>
      </c>
      <c r="F204" s="58">
        <v>7066.43</v>
      </c>
      <c r="G204" s="57">
        <v>-52.64</v>
      </c>
      <c r="H204">
        <v>-40.619999999999997</v>
      </c>
      <c r="I204" s="58">
        <v>0.57999999999999996</v>
      </c>
      <c r="J204" s="58">
        <v>0.37</v>
      </c>
      <c r="K204" s="58" t="s">
        <v>405</v>
      </c>
      <c r="L204" s="58">
        <v>3.54</v>
      </c>
    </row>
    <row r="205" spans="2:12" x14ac:dyDescent="0.25">
      <c r="B205" s="57" t="s">
        <v>630</v>
      </c>
      <c r="C205" s="57" t="s">
        <v>631</v>
      </c>
      <c r="D205">
        <v>190</v>
      </c>
      <c r="E205" s="58">
        <v>3.91</v>
      </c>
      <c r="F205" s="58">
        <v>11817.78</v>
      </c>
      <c r="G205" s="57">
        <v>-32.270000000000003</v>
      </c>
      <c r="H205">
        <v>-4.16</v>
      </c>
      <c r="I205" s="58">
        <v>2.52</v>
      </c>
      <c r="J205" s="58">
        <v>0.75</v>
      </c>
      <c r="K205" s="58" t="s">
        <v>407</v>
      </c>
      <c r="L205" s="58">
        <v>1.1499999999999999</v>
      </c>
    </row>
    <row r="206" spans="2:12" x14ac:dyDescent="0.25">
      <c r="B206" s="57" t="s">
        <v>1294</v>
      </c>
      <c r="C206" s="57" t="s">
        <v>1297</v>
      </c>
      <c r="D206">
        <v>40.229999999999997</v>
      </c>
      <c r="E206" s="58">
        <v>2.23</v>
      </c>
      <c r="F206" s="58">
        <v>9160.2099999999991</v>
      </c>
      <c r="G206" s="57">
        <v>-37.520000000000003</v>
      </c>
      <c r="H206">
        <v>-30.1</v>
      </c>
      <c r="I206" s="58">
        <v>3.38</v>
      </c>
      <c r="J206" s="58">
        <v>0.73</v>
      </c>
      <c r="K206" s="58" t="s">
        <v>407</v>
      </c>
      <c r="L206" s="58">
        <v>10.7</v>
      </c>
    </row>
    <row r="207" spans="2:12" x14ac:dyDescent="0.25">
      <c r="B207" s="57" t="s">
        <v>34</v>
      </c>
      <c r="C207" s="57" t="s">
        <v>116</v>
      </c>
      <c r="D207">
        <v>4.71</v>
      </c>
      <c r="E207" s="58">
        <v>0.34</v>
      </c>
      <c r="F207" s="58">
        <v>239.3</v>
      </c>
      <c r="G207" s="57">
        <v>-42.35</v>
      </c>
      <c r="H207">
        <v>-69.5</v>
      </c>
      <c r="I207" s="58">
        <v>0.12</v>
      </c>
      <c r="J207" s="58">
        <v>0.4</v>
      </c>
      <c r="K207" s="58" t="s">
        <v>408</v>
      </c>
      <c r="L207" s="58">
        <v>0</v>
      </c>
    </row>
    <row r="208" spans="2:12" x14ac:dyDescent="0.25">
      <c r="B208" s="57" t="s">
        <v>268</v>
      </c>
      <c r="C208" s="57" t="s">
        <v>277</v>
      </c>
      <c r="D208">
        <v>136.44999999999999</v>
      </c>
      <c r="E208" s="58">
        <v>6.41</v>
      </c>
      <c r="F208" s="58">
        <v>8296.16</v>
      </c>
      <c r="G208" s="57">
        <v>0.25</v>
      </c>
      <c r="H208">
        <v>-6.41</v>
      </c>
      <c r="I208" s="58">
        <v>0.52</v>
      </c>
      <c r="J208" s="58">
        <v>0.78</v>
      </c>
      <c r="K208" s="58" t="s">
        <v>407</v>
      </c>
      <c r="L208" s="58">
        <v>0</v>
      </c>
    </row>
    <row r="209" spans="2:12" x14ac:dyDescent="0.25">
      <c r="B209" s="57" t="s">
        <v>393</v>
      </c>
      <c r="C209" s="57" t="s">
        <v>397</v>
      </c>
      <c r="D209">
        <v>11.89</v>
      </c>
      <c r="E209" s="58">
        <v>0.24</v>
      </c>
      <c r="F209" s="58">
        <v>273.68</v>
      </c>
      <c r="G209" s="57">
        <v>-43.77</v>
      </c>
      <c r="H209">
        <v>-63.63</v>
      </c>
      <c r="I209" s="58">
        <v>0.39</v>
      </c>
      <c r="J209" s="58">
        <v>0.39</v>
      </c>
      <c r="K209" s="58" t="s">
        <v>405</v>
      </c>
      <c r="L209" s="58">
        <v>6.87</v>
      </c>
    </row>
    <row r="210" spans="2:12" x14ac:dyDescent="0.25">
      <c r="B210" s="57" t="s">
        <v>239</v>
      </c>
      <c r="C210" s="57" t="s">
        <v>246</v>
      </c>
      <c r="D210">
        <v>0</v>
      </c>
      <c r="E210" s="58">
        <v>0</v>
      </c>
      <c r="F210" s="58"/>
      <c r="G210" s="57"/>
      <c r="I210" s="58"/>
      <c r="J210" s="58"/>
      <c r="K210" s="58"/>
      <c r="L210" s="58"/>
    </row>
    <row r="211" spans="2:12" x14ac:dyDescent="0.25">
      <c r="B211" s="57" t="s">
        <v>969</v>
      </c>
      <c r="C211" s="57" t="s">
        <v>970</v>
      </c>
      <c r="D211">
        <v>2.46</v>
      </c>
      <c r="E211" s="58">
        <v>0.17</v>
      </c>
      <c r="F211" s="58">
        <v>88.13</v>
      </c>
      <c r="G211" s="57">
        <v>-66.02</v>
      </c>
      <c r="H211">
        <v>-84.83</v>
      </c>
      <c r="I211" s="58">
        <v>0.13</v>
      </c>
      <c r="J211" s="58">
        <v>0.45</v>
      </c>
      <c r="K211" s="58" t="s">
        <v>408</v>
      </c>
      <c r="L211" s="58">
        <v>0</v>
      </c>
    </row>
    <row r="212" spans="2:12" x14ac:dyDescent="0.25">
      <c r="B212" s="57" t="s">
        <v>803</v>
      </c>
      <c r="C212" s="57" t="s">
        <v>809</v>
      </c>
      <c r="D212">
        <v>74.87</v>
      </c>
      <c r="E212" s="58">
        <v>1.03</v>
      </c>
      <c r="F212" s="58">
        <v>191459.15</v>
      </c>
      <c r="G212" s="57">
        <v>-16.2</v>
      </c>
      <c r="H212">
        <v>-5.56</v>
      </c>
      <c r="I212" s="58">
        <v>4.16</v>
      </c>
      <c r="J212" s="58">
        <v>0.73</v>
      </c>
      <c r="K212" s="58" t="s">
        <v>459</v>
      </c>
      <c r="L212" s="58">
        <v>3.04</v>
      </c>
    </row>
    <row r="213" spans="2:12" x14ac:dyDescent="0.25">
      <c r="B213" s="57" t="s">
        <v>67</v>
      </c>
      <c r="C213" s="57" t="s">
        <v>458</v>
      </c>
      <c r="D213">
        <v>145.51</v>
      </c>
      <c r="E213" s="58">
        <v>6.45</v>
      </c>
      <c r="F213" s="58">
        <v>1106755.8999999999</v>
      </c>
      <c r="G213" s="57">
        <v>-8.92</v>
      </c>
      <c r="H213">
        <v>24.1</v>
      </c>
      <c r="I213" s="58">
        <v>8.3699999999999992</v>
      </c>
      <c r="J213" s="58">
        <v>0.79</v>
      </c>
      <c r="K213" s="58" t="s">
        <v>459</v>
      </c>
      <c r="L213" s="58">
        <v>1.4</v>
      </c>
    </row>
    <row r="214" spans="2:12" x14ac:dyDescent="0.25">
      <c r="B214" s="57" t="s">
        <v>897</v>
      </c>
      <c r="C214" s="57" t="s">
        <v>898</v>
      </c>
      <c r="D214">
        <v>58.94</v>
      </c>
      <c r="E214" s="58">
        <v>1.36</v>
      </c>
      <c r="F214" s="58">
        <v>16664.080000000002</v>
      </c>
      <c r="G214" s="57">
        <v>-16.670000000000002</v>
      </c>
      <c r="H214">
        <v>6.81</v>
      </c>
      <c r="I214" s="58">
        <v>8.06</v>
      </c>
      <c r="J214" s="58">
        <v>0.94</v>
      </c>
      <c r="K214" s="58" t="s">
        <v>407</v>
      </c>
      <c r="L214" s="58">
        <v>0</v>
      </c>
    </row>
    <row r="215" spans="2:12" x14ac:dyDescent="0.25">
      <c r="B215" s="57" t="s">
        <v>35</v>
      </c>
      <c r="C215" s="57" t="s">
        <v>115</v>
      </c>
      <c r="D215">
        <v>16.440000000000001</v>
      </c>
      <c r="E215" s="58">
        <v>-0.15</v>
      </c>
      <c r="F215" s="58">
        <v>1214.71</v>
      </c>
      <c r="G215" s="57">
        <v>-32.9</v>
      </c>
      <c r="H215">
        <v>-20.97</v>
      </c>
      <c r="I215" s="58">
        <v>0.33</v>
      </c>
      <c r="J215" s="58">
        <v>0.61</v>
      </c>
      <c r="K215" s="58" t="s">
        <v>405</v>
      </c>
      <c r="L215" s="58">
        <v>0</v>
      </c>
    </row>
    <row r="216" spans="2:12" x14ac:dyDescent="0.25">
      <c r="B216" s="57" t="s">
        <v>269</v>
      </c>
      <c r="C216" s="57" t="s">
        <v>278</v>
      </c>
      <c r="D216">
        <v>36.42</v>
      </c>
      <c r="E216" s="58">
        <v>1.44</v>
      </c>
      <c r="F216" s="58">
        <v>743.16</v>
      </c>
      <c r="G216" s="57">
        <v>-42.41</v>
      </c>
      <c r="H216">
        <v>-38.65</v>
      </c>
      <c r="I216" s="58">
        <v>0.64</v>
      </c>
      <c r="J216" s="58">
        <v>0.61</v>
      </c>
      <c r="K216" s="58" t="s">
        <v>407</v>
      </c>
      <c r="L216" s="58">
        <v>1.26</v>
      </c>
    </row>
    <row r="217" spans="2:12" x14ac:dyDescent="0.25">
      <c r="B217" s="57" t="s">
        <v>315</v>
      </c>
      <c r="C217" s="57" t="s">
        <v>325</v>
      </c>
      <c r="D217">
        <v>11.27</v>
      </c>
      <c r="E217" s="58">
        <v>1.21</v>
      </c>
      <c r="F217" s="58">
        <v>300.64999999999998</v>
      </c>
      <c r="G217" s="57">
        <v>-52.55</v>
      </c>
      <c r="H217">
        <v>-51.47</v>
      </c>
      <c r="I217" s="58">
        <v>0.21</v>
      </c>
      <c r="J217" s="58">
        <v>0.51</v>
      </c>
      <c r="K217" s="58" t="s">
        <v>405</v>
      </c>
      <c r="L217" s="58">
        <v>0</v>
      </c>
    </row>
    <row r="218" spans="2:12" x14ac:dyDescent="0.25">
      <c r="B218" s="57" t="s">
        <v>36</v>
      </c>
      <c r="C218" s="57" t="s">
        <v>114</v>
      </c>
      <c r="D218">
        <v>10.5</v>
      </c>
      <c r="E218" s="58">
        <v>0.78</v>
      </c>
      <c r="F218" s="58">
        <v>371.45</v>
      </c>
      <c r="G218" s="57">
        <v>-43.72</v>
      </c>
      <c r="H218">
        <v>-44.17</v>
      </c>
      <c r="I218" s="58">
        <v>0.21</v>
      </c>
      <c r="J218" s="58">
        <v>0.51</v>
      </c>
      <c r="K218" s="58" t="s">
        <v>405</v>
      </c>
      <c r="L218" s="58">
        <v>0</v>
      </c>
    </row>
    <row r="219" spans="2:12" x14ac:dyDescent="0.25">
      <c r="B219" s="57" t="s">
        <v>906</v>
      </c>
      <c r="C219" s="57" t="s">
        <v>911</v>
      </c>
      <c r="D219">
        <v>3.71</v>
      </c>
      <c r="E219" s="58">
        <v>7.0000000000000007E-2</v>
      </c>
      <c r="F219" s="58">
        <v>52376.35</v>
      </c>
      <c r="G219" s="57">
        <v>-32.840000000000003</v>
      </c>
      <c r="H219">
        <v>-24.53</v>
      </c>
      <c r="I219" s="58">
        <v>1.31</v>
      </c>
      <c r="J219" s="58">
        <v>0.55000000000000004</v>
      </c>
      <c r="K219" s="58" t="s">
        <v>408</v>
      </c>
      <c r="L219" s="58">
        <v>5.95</v>
      </c>
    </row>
    <row r="220" spans="2:12" x14ac:dyDescent="0.25">
      <c r="B220" s="57" t="s">
        <v>76</v>
      </c>
      <c r="C220" s="57" t="s">
        <v>143</v>
      </c>
      <c r="D220">
        <v>25.52</v>
      </c>
      <c r="E220" s="58">
        <v>-0.23</v>
      </c>
      <c r="F220" s="58">
        <v>2539.0100000000002</v>
      </c>
      <c r="G220" s="57">
        <v>-21.37</v>
      </c>
      <c r="H220">
        <v>-24.38</v>
      </c>
      <c r="I220" s="58">
        <v>0.24</v>
      </c>
      <c r="J220" s="58">
        <v>0.73</v>
      </c>
      <c r="K220" s="58" t="s">
        <v>405</v>
      </c>
      <c r="L220" s="58">
        <v>0</v>
      </c>
    </row>
    <row r="221" spans="2:12" x14ac:dyDescent="0.25">
      <c r="B221" s="57" t="s">
        <v>391</v>
      </c>
      <c r="C221" s="57" t="s">
        <v>398</v>
      </c>
      <c r="D221">
        <v>0.87</v>
      </c>
      <c r="E221" s="58">
        <v>-7.0000000000000007E-2</v>
      </c>
      <c r="F221" s="58">
        <v>355.02</v>
      </c>
      <c r="G221" s="57">
        <v>-50.33</v>
      </c>
      <c r="H221">
        <v>-60.18</v>
      </c>
      <c r="I221" s="58">
        <v>0.56999999999999995</v>
      </c>
      <c r="J221" s="58">
        <v>0.33</v>
      </c>
      <c r="K221" s="58" t="s">
        <v>408</v>
      </c>
      <c r="L221" s="58">
        <v>0</v>
      </c>
    </row>
    <row r="222" spans="2:12" x14ac:dyDescent="0.25">
      <c r="B222" s="57" t="s">
        <v>815</v>
      </c>
      <c r="C222" s="57" t="s">
        <v>816</v>
      </c>
      <c r="D222">
        <v>271.14999999999998</v>
      </c>
      <c r="E222" s="58">
        <v>9.0299999999999994</v>
      </c>
      <c r="F222" s="58">
        <v>51463.33</v>
      </c>
      <c r="G222" s="57">
        <v>-1.33</v>
      </c>
      <c r="H222">
        <v>9.81</v>
      </c>
      <c r="I222" s="58">
        <v>15.45</v>
      </c>
      <c r="J222" s="58">
        <v>0.73</v>
      </c>
      <c r="K222" s="58" t="s">
        <v>459</v>
      </c>
      <c r="L222" s="58">
        <v>0</v>
      </c>
    </row>
    <row r="223" spans="2:12" x14ac:dyDescent="0.25">
      <c r="B223" s="57" t="s">
        <v>38</v>
      </c>
      <c r="C223" s="57" t="s">
        <v>144</v>
      </c>
      <c r="D223">
        <v>26.67</v>
      </c>
      <c r="E223" s="58">
        <v>0.08</v>
      </c>
      <c r="F223" s="58">
        <v>6605.01</v>
      </c>
      <c r="G223" s="57">
        <v>-31.6</v>
      </c>
      <c r="H223">
        <v>-37.14</v>
      </c>
      <c r="I223" s="58">
        <v>0.72</v>
      </c>
      <c r="J223" s="58">
        <v>0.78</v>
      </c>
      <c r="K223" s="58" t="s">
        <v>405</v>
      </c>
      <c r="L223" s="58">
        <v>1.47</v>
      </c>
    </row>
    <row r="224" spans="2:12" x14ac:dyDescent="0.25">
      <c r="B224" s="57" t="s">
        <v>1279</v>
      </c>
      <c r="C224" s="57" t="s">
        <v>1280</v>
      </c>
      <c r="D224">
        <v>7.4</v>
      </c>
      <c r="E224" s="58">
        <v>0.15</v>
      </c>
      <c r="F224" s="58">
        <v>14908.74</v>
      </c>
      <c r="G224" s="57">
        <v>-41.3</v>
      </c>
      <c r="H224">
        <v>-52.36</v>
      </c>
      <c r="I224" s="58">
        <v>0.14000000000000001</v>
      </c>
      <c r="J224" s="58">
        <v>0.27</v>
      </c>
      <c r="K224" s="58" t="s">
        <v>405</v>
      </c>
      <c r="L224" s="58">
        <v>9.6300000000000008</v>
      </c>
    </row>
    <row r="225" spans="2:12" x14ac:dyDescent="0.25">
      <c r="B225" s="57" t="s">
        <v>242</v>
      </c>
      <c r="C225" s="57" t="s">
        <v>247</v>
      </c>
      <c r="D225">
        <v>48.87</v>
      </c>
      <c r="E225" s="58">
        <v>-1.4</v>
      </c>
      <c r="F225" s="58">
        <v>1924.3</v>
      </c>
      <c r="G225" s="57">
        <v>-38.35</v>
      </c>
      <c r="H225">
        <v>-58.1</v>
      </c>
      <c r="I225" s="58">
        <v>0.46</v>
      </c>
      <c r="J225" s="58">
        <v>0.48</v>
      </c>
      <c r="K225" s="58" t="s">
        <v>405</v>
      </c>
      <c r="L225" s="58">
        <v>2.59</v>
      </c>
    </row>
    <row r="226" spans="2:12" x14ac:dyDescent="0.25">
      <c r="B226" s="57" t="s">
        <v>237</v>
      </c>
      <c r="C226" s="57" t="s">
        <v>238</v>
      </c>
      <c r="D226">
        <v>17.48</v>
      </c>
      <c r="E226" s="58">
        <v>-0.41</v>
      </c>
      <c r="F226" s="58">
        <v>4944.88</v>
      </c>
      <c r="G226" s="57">
        <v>2.4</v>
      </c>
      <c r="H226">
        <v>19.5</v>
      </c>
      <c r="I226" s="58">
        <v>2.77</v>
      </c>
      <c r="J226" s="58">
        <v>0.96</v>
      </c>
      <c r="K226" s="58" t="s">
        <v>407</v>
      </c>
      <c r="L226" s="58">
        <v>0</v>
      </c>
    </row>
    <row r="227" spans="2:12" x14ac:dyDescent="0.25">
      <c r="B227" s="57" t="s">
        <v>805</v>
      </c>
      <c r="C227" s="57" t="s">
        <v>810</v>
      </c>
      <c r="D227">
        <v>76.73</v>
      </c>
      <c r="E227" s="58">
        <v>2.66</v>
      </c>
      <c r="F227" s="58">
        <v>174804.78</v>
      </c>
      <c r="G227" s="57">
        <v>-17.09</v>
      </c>
      <c r="H227">
        <v>-1.55</v>
      </c>
      <c r="I227" s="58">
        <v>3.66</v>
      </c>
      <c r="J227" s="58">
        <v>0.82</v>
      </c>
      <c r="K227" s="58" t="s">
        <v>459</v>
      </c>
      <c r="L227" s="58">
        <v>4.17</v>
      </c>
    </row>
    <row r="228" spans="2:12" x14ac:dyDescent="0.25">
      <c r="B228" t="s">
        <v>716</v>
      </c>
      <c r="C228" t="s">
        <v>760</v>
      </c>
      <c r="D228">
        <v>1.81</v>
      </c>
      <c r="E228">
        <v>0.05</v>
      </c>
      <c r="F228">
        <v>953.26</v>
      </c>
      <c r="G228">
        <v>-28.02</v>
      </c>
      <c r="H228">
        <v>-44.64</v>
      </c>
      <c r="I228">
        <v>0.09</v>
      </c>
      <c r="J228">
        <v>0.5</v>
      </c>
      <c r="K228" t="s">
        <v>405</v>
      </c>
      <c r="L228">
        <v>5.68</v>
      </c>
    </row>
    <row r="229" spans="2:12" x14ac:dyDescent="0.25">
      <c r="B229" s="57" t="s">
        <v>39</v>
      </c>
      <c r="C229" s="57" t="s">
        <v>165</v>
      </c>
      <c r="D229">
        <v>3.46</v>
      </c>
      <c r="E229" s="58">
        <v>0.05</v>
      </c>
      <c r="F229" s="58">
        <v>134.16</v>
      </c>
      <c r="G229" s="57">
        <v>-53.73</v>
      </c>
      <c r="H229">
        <v>-84.45</v>
      </c>
      <c r="I229" s="58">
        <v>7.0000000000000007E-2</v>
      </c>
      <c r="J229" s="58">
        <v>0.33</v>
      </c>
      <c r="K229" s="58" t="s">
        <v>408</v>
      </c>
      <c r="L229" s="58">
        <v>0</v>
      </c>
    </row>
    <row r="230" spans="2:12" x14ac:dyDescent="0.25">
      <c r="B230" s="57" t="s">
        <v>678</v>
      </c>
      <c r="C230" s="57" t="s">
        <v>679</v>
      </c>
      <c r="D230">
        <v>0</v>
      </c>
      <c r="E230" s="58">
        <v>0</v>
      </c>
      <c r="F230" s="58"/>
      <c r="G230" s="57"/>
      <c r="I230" s="58"/>
      <c r="J230" s="58"/>
      <c r="K230" s="58"/>
      <c r="L230" s="58"/>
    </row>
    <row r="231" spans="2:12" x14ac:dyDescent="0.25">
      <c r="B231" s="57" t="s">
        <v>290</v>
      </c>
      <c r="C231" s="57" t="s">
        <v>300</v>
      </c>
      <c r="D231">
        <v>10.49</v>
      </c>
      <c r="E231" s="58">
        <v>-0.3</v>
      </c>
      <c r="F231" s="58">
        <v>1256.54</v>
      </c>
      <c r="G231" s="57">
        <v>-63.6</v>
      </c>
      <c r="H231">
        <v>-59.99</v>
      </c>
      <c r="I231" s="58">
        <v>0.05</v>
      </c>
      <c r="J231" s="58">
        <v>0.35</v>
      </c>
      <c r="K231" s="58" t="s">
        <v>408</v>
      </c>
      <c r="L231" s="58">
        <v>11.12</v>
      </c>
    </row>
    <row r="232" spans="2:12" x14ac:dyDescent="0.25">
      <c r="B232" s="57" t="s">
        <v>553</v>
      </c>
      <c r="C232" s="57" t="s">
        <v>858</v>
      </c>
      <c r="D232">
        <v>34.31</v>
      </c>
      <c r="E232" s="58">
        <v>1.0900000000000001</v>
      </c>
      <c r="F232" s="58">
        <v>1724.37</v>
      </c>
      <c r="G232" s="57">
        <v>-14.8</v>
      </c>
      <c r="H232">
        <v>22.95</v>
      </c>
      <c r="I232" s="58">
        <v>1.84</v>
      </c>
      <c r="J232" s="58">
        <v>0.82</v>
      </c>
      <c r="K232" s="58" t="s">
        <v>407</v>
      </c>
      <c r="L232" s="58">
        <v>0</v>
      </c>
    </row>
    <row r="233" spans="2:12" x14ac:dyDescent="0.25">
      <c r="B233" s="57" t="s">
        <v>761</v>
      </c>
      <c r="C233" s="57" t="s">
        <v>762</v>
      </c>
      <c r="D233">
        <v>2.4500000000000002</v>
      </c>
      <c r="E233" s="58">
        <v>0.1</v>
      </c>
      <c r="F233" s="58">
        <v>419.31</v>
      </c>
      <c r="G233" s="57">
        <v>-42.99</v>
      </c>
      <c r="H233">
        <v>-62.94</v>
      </c>
      <c r="I233" s="58">
        <v>0.14000000000000001</v>
      </c>
      <c r="J233" s="58">
        <v>0.44</v>
      </c>
      <c r="K233" s="58" t="s">
        <v>408</v>
      </c>
      <c r="L233" s="58">
        <v>8.51</v>
      </c>
    </row>
    <row r="234" spans="2:12" x14ac:dyDescent="0.25">
      <c r="B234" s="57" t="s">
        <v>632</v>
      </c>
      <c r="C234" s="57" t="s">
        <v>633</v>
      </c>
      <c r="D234">
        <v>6.02</v>
      </c>
      <c r="E234" s="58">
        <v>0.6</v>
      </c>
      <c r="F234" s="58">
        <v>38204.65</v>
      </c>
      <c r="G234" s="57">
        <v>-66.06</v>
      </c>
      <c r="H234">
        <v>-63.99</v>
      </c>
      <c r="I234" s="58">
        <v>0.51</v>
      </c>
      <c r="J234" s="58">
        <v>0.39</v>
      </c>
      <c r="K234" s="58" t="s">
        <v>408</v>
      </c>
      <c r="L234" s="58">
        <v>4.53</v>
      </c>
    </row>
    <row r="235" spans="2:12" x14ac:dyDescent="0.25">
      <c r="B235" s="57" t="s">
        <v>907</v>
      </c>
      <c r="C235" s="57" t="s">
        <v>913</v>
      </c>
      <c r="D235">
        <v>10.23</v>
      </c>
      <c r="E235" s="58">
        <v>1.17</v>
      </c>
      <c r="F235" s="58">
        <v>5414.27</v>
      </c>
      <c r="G235" s="57">
        <v>-22.7</v>
      </c>
      <c r="H235">
        <v>-52.86</v>
      </c>
      <c r="I235" s="58">
        <v>0.32</v>
      </c>
      <c r="J235" s="58">
        <v>0.93</v>
      </c>
      <c r="K235" s="58"/>
      <c r="L235" s="58">
        <v>0</v>
      </c>
    </row>
    <row r="236" spans="2:12" x14ac:dyDescent="0.25">
      <c r="B236" s="57" t="s">
        <v>763</v>
      </c>
      <c r="C236" s="57" t="s">
        <v>764</v>
      </c>
      <c r="D236">
        <v>19.690000000000001</v>
      </c>
      <c r="E236" s="58">
        <v>0.17</v>
      </c>
      <c r="F236" s="58">
        <v>1886.42</v>
      </c>
      <c r="G236" s="57">
        <v>-10.01</v>
      </c>
      <c r="H236">
        <v>-7.01</v>
      </c>
      <c r="I236" s="58">
        <v>0.33</v>
      </c>
      <c r="J236" s="58">
        <v>0.86</v>
      </c>
      <c r="K236" s="58" t="s">
        <v>405</v>
      </c>
      <c r="L236" s="58">
        <v>5.33</v>
      </c>
    </row>
    <row r="237" spans="2:12" x14ac:dyDescent="0.25">
      <c r="B237" s="57" t="s">
        <v>96</v>
      </c>
      <c r="C237" s="57" t="s">
        <v>117</v>
      </c>
      <c r="D237">
        <v>14.83</v>
      </c>
      <c r="E237" s="58">
        <v>-0.6</v>
      </c>
      <c r="F237" s="58">
        <v>1733.09</v>
      </c>
      <c r="G237" s="57">
        <v>-38.11</v>
      </c>
      <c r="H237">
        <v>-31.76</v>
      </c>
      <c r="I237" s="58">
        <v>0.33</v>
      </c>
      <c r="J237" s="58">
        <v>0.41</v>
      </c>
      <c r="K237" s="58" t="s">
        <v>405</v>
      </c>
      <c r="L237" s="58">
        <v>0</v>
      </c>
    </row>
    <row r="238" spans="2:12" x14ac:dyDescent="0.25">
      <c r="B238" s="57" t="s">
        <v>634</v>
      </c>
      <c r="C238" s="57" t="s">
        <v>635</v>
      </c>
      <c r="D238">
        <v>119.03</v>
      </c>
      <c r="E238" s="58">
        <v>3.7</v>
      </c>
      <c r="F238" s="58">
        <v>165397.5</v>
      </c>
      <c r="G238" s="57">
        <v>-15.22</v>
      </c>
      <c r="H238">
        <v>2.2200000000000002</v>
      </c>
      <c r="I238" s="58">
        <v>2.5</v>
      </c>
      <c r="J238" s="58">
        <v>0.85</v>
      </c>
      <c r="K238" s="58" t="s">
        <v>459</v>
      </c>
      <c r="L238" s="58">
        <v>3.31</v>
      </c>
    </row>
    <row r="239" spans="2:12" x14ac:dyDescent="0.25">
      <c r="B239" s="57" t="s">
        <v>804</v>
      </c>
      <c r="C239" s="57" t="s">
        <v>811</v>
      </c>
      <c r="D239">
        <v>31.41</v>
      </c>
      <c r="E239" s="58">
        <v>1.39</v>
      </c>
      <c r="F239" s="58">
        <v>174251.34</v>
      </c>
      <c r="G239" s="57">
        <v>-21.12</v>
      </c>
      <c r="H239">
        <v>-24.56</v>
      </c>
      <c r="I239" s="58">
        <v>3.44</v>
      </c>
      <c r="J239" s="58">
        <v>0.68</v>
      </c>
      <c r="K239" s="58" t="s">
        <v>407</v>
      </c>
      <c r="L239" s="58">
        <v>4.8600000000000003</v>
      </c>
    </row>
    <row r="240" spans="2:12" x14ac:dyDescent="0.25">
      <c r="B240" s="57" t="s">
        <v>797</v>
      </c>
      <c r="C240" s="57" t="s">
        <v>799</v>
      </c>
      <c r="D240">
        <v>108.91</v>
      </c>
      <c r="E240" s="58">
        <v>7.07</v>
      </c>
      <c r="F240" s="58">
        <v>268948.11</v>
      </c>
      <c r="G240" s="57">
        <v>-17.649999999999999</v>
      </c>
      <c r="H240">
        <v>4.7699999999999996</v>
      </c>
      <c r="I240" s="58">
        <v>3.99</v>
      </c>
      <c r="J240" s="58">
        <v>1</v>
      </c>
      <c r="K240" s="58" t="s">
        <v>459</v>
      </c>
      <c r="L240" s="58">
        <v>2.93</v>
      </c>
    </row>
    <row r="241" spans="2:12" x14ac:dyDescent="0.25">
      <c r="B241" s="57" t="s">
        <v>874</v>
      </c>
      <c r="C241" s="57" t="s">
        <v>884</v>
      </c>
      <c r="D241">
        <v>34.32</v>
      </c>
      <c r="E241" s="58">
        <v>-0.28999999999999998</v>
      </c>
      <c r="F241" s="58">
        <v>30493.18</v>
      </c>
      <c r="G241" s="57">
        <v>-27.08</v>
      </c>
      <c r="H241">
        <v>-10.56</v>
      </c>
      <c r="I241" s="58">
        <v>1.42</v>
      </c>
      <c r="J241" s="58">
        <v>0.72</v>
      </c>
      <c r="K241" s="58" t="s">
        <v>407</v>
      </c>
      <c r="L241" s="58">
        <v>2.78</v>
      </c>
    </row>
    <row r="242" spans="2:12" x14ac:dyDescent="0.25">
      <c r="B242" s="57" t="s">
        <v>220</v>
      </c>
      <c r="C242" s="57" t="s">
        <v>233</v>
      </c>
      <c r="D242">
        <v>30.13</v>
      </c>
      <c r="E242" s="58">
        <v>-0.36</v>
      </c>
      <c r="F242" s="58">
        <v>8134.35</v>
      </c>
      <c r="G242" s="57">
        <v>-22.46</v>
      </c>
      <c r="H242">
        <v>10.89</v>
      </c>
      <c r="I242" s="58">
        <v>0.81</v>
      </c>
      <c r="J242" s="58">
        <v>0.72</v>
      </c>
      <c r="K242" s="58" t="s">
        <v>407</v>
      </c>
      <c r="L242" s="58">
        <v>1.51</v>
      </c>
    </row>
    <row r="243" spans="2:12" x14ac:dyDescent="0.25">
      <c r="B243" s="57" t="s">
        <v>22</v>
      </c>
      <c r="C243" s="57" t="s">
        <v>421</v>
      </c>
      <c r="D243" s="58">
        <v>57.07</v>
      </c>
      <c r="E243" s="58">
        <v>1.1399999999999999</v>
      </c>
      <c r="F243" s="58">
        <v>771.17</v>
      </c>
      <c r="G243" s="57">
        <v>-33.58</v>
      </c>
      <c r="H243">
        <v>-36.99</v>
      </c>
      <c r="I243" s="58">
        <v>0.5</v>
      </c>
      <c r="J243" s="58">
        <v>0.66</v>
      </c>
      <c r="K243" s="58" t="s">
        <v>405</v>
      </c>
      <c r="L243" s="58">
        <v>0</v>
      </c>
    </row>
    <row r="244" spans="2:12" x14ac:dyDescent="0.25">
      <c r="B244" s="57" t="s">
        <v>798</v>
      </c>
      <c r="C244" s="57" t="s">
        <v>800</v>
      </c>
      <c r="D244">
        <v>75.650000000000006</v>
      </c>
      <c r="E244" s="58">
        <v>3.4</v>
      </c>
      <c r="F244" s="58">
        <v>117704.74</v>
      </c>
      <c r="G244" s="57">
        <v>-12.65</v>
      </c>
      <c r="H244">
        <v>-13.43</v>
      </c>
      <c r="I244" s="58">
        <v>3.95</v>
      </c>
      <c r="J244" s="58">
        <v>0.74</v>
      </c>
      <c r="K244" s="58" t="s">
        <v>407</v>
      </c>
      <c r="L244" s="58">
        <v>6.39</v>
      </c>
    </row>
    <row r="245" spans="2:12" x14ac:dyDescent="0.25">
      <c r="B245" s="57" t="s">
        <v>41</v>
      </c>
      <c r="C245" s="57" t="s">
        <v>1266</v>
      </c>
      <c r="D245">
        <v>0</v>
      </c>
      <c r="E245" s="58">
        <v>0</v>
      </c>
      <c r="F245" s="58"/>
      <c r="G245" s="57"/>
      <c r="I245" s="58"/>
      <c r="J245" s="58"/>
      <c r="K245" s="58"/>
      <c r="L245" s="58"/>
    </row>
    <row r="246" spans="2:12" x14ac:dyDescent="0.25">
      <c r="B246" s="57" t="s">
        <v>240</v>
      </c>
      <c r="C246" s="57" t="s">
        <v>248</v>
      </c>
      <c r="D246">
        <v>18.670000000000002</v>
      </c>
      <c r="E246" s="58">
        <v>1.56</v>
      </c>
      <c r="F246" s="58">
        <v>4659.54</v>
      </c>
      <c r="G246" s="57">
        <v>-46.73</v>
      </c>
      <c r="H246">
        <v>-16.29</v>
      </c>
      <c r="I246" s="58">
        <v>0.4</v>
      </c>
      <c r="J246" s="58">
        <v>0.55000000000000004</v>
      </c>
      <c r="K246" s="58" t="s">
        <v>405</v>
      </c>
      <c r="L246" s="58">
        <v>0</v>
      </c>
    </row>
    <row r="247" spans="2:12" x14ac:dyDescent="0.25">
      <c r="B247" s="57" t="s">
        <v>636</v>
      </c>
      <c r="C247" s="57" t="s">
        <v>637</v>
      </c>
      <c r="D247">
        <v>26.16</v>
      </c>
      <c r="E247" s="58">
        <v>-0.47</v>
      </c>
      <c r="F247" s="58">
        <v>20086.009999999998</v>
      </c>
      <c r="G247" s="57">
        <v>-19.510000000000002</v>
      </c>
      <c r="H247">
        <v>-12.9</v>
      </c>
      <c r="I247" s="58">
        <v>2.4900000000000002</v>
      </c>
      <c r="J247" s="58">
        <v>0.82</v>
      </c>
      <c r="K247" s="58" t="s">
        <v>407</v>
      </c>
      <c r="L247" s="58">
        <v>6.21</v>
      </c>
    </row>
    <row r="248" spans="2:12" x14ac:dyDescent="0.25">
      <c r="B248" s="57" t="s">
        <v>205</v>
      </c>
      <c r="C248" s="57" t="s">
        <v>967</v>
      </c>
      <c r="D248" s="58">
        <v>47.41</v>
      </c>
      <c r="E248" s="58">
        <v>-0.7</v>
      </c>
      <c r="F248" s="58">
        <v>617.54999999999995</v>
      </c>
      <c r="G248" s="57">
        <v>-18.73</v>
      </c>
      <c r="H248">
        <v>-22.43</v>
      </c>
      <c r="I248" s="58">
        <v>0.4</v>
      </c>
      <c r="J248" s="58">
        <v>0.73</v>
      </c>
      <c r="K248" s="58" t="s">
        <v>407</v>
      </c>
      <c r="L248" s="58">
        <v>0</v>
      </c>
    </row>
    <row r="249" spans="2:12" x14ac:dyDescent="0.25">
      <c r="B249" s="57" t="s">
        <v>339</v>
      </c>
      <c r="C249" s="57" t="s">
        <v>340</v>
      </c>
      <c r="D249">
        <v>8.3000000000000007</v>
      </c>
      <c r="E249" s="58">
        <v>0.17</v>
      </c>
      <c r="F249" s="58">
        <v>429.09</v>
      </c>
      <c r="G249" s="57">
        <v>-47.31</v>
      </c>
      <c r="H249">
        <v>-37.119999999999997</v>
      </c>
      <c r="I249" s="58">
        <v>0.92</v>
      </c>
      <c r="J249" s="58">
        <v>0.56000000000000005</v>
      </c>
      <c r="K249" s="58" t="s">
        <v>405</v>
      </c>
      <c r="L249" s="58">
        <v>0</v>
      </c>
    </row>
    <row r="250" spans="2:12" x14ac:dyDescent="0.25">
      <c r="B250" s="57" t="s">
        <v>872</v>
      </c>
      <c r="C250" s="57" t="s">
        <v>886</v>
      </c>
      <c r="D250">
        <v>43.48</v>
      </c>
      <c r="E250" s="58">
        <v>1.27</v>
      </c>
      <c r="F250" s="58">
        <v>13235.26</v>
      </c>
      <c r="G250" s="57">
        <v>-34.92</v>
      </c>
      <c r="H250">
        <v>-28.52</v>
      </c>
      <c r="I250" s="58">
        <v>3.69</v>
      </c>
      <c r="J250" s="58">
        <v>0.6</v>
      </c>
      <c r="K250" s="58" t="s">
        <v>407</v>
      </c>
      <c r="L250" s="58">
        <v>4.68</v>
      </c>
    </row>
    <row r="251" spans="2:12" x14ac:dyDescent="0.25">
      <c r="B251" s="57" t="s">
        <v>807</v>
      </c>
      <c r="C251" s="57" t="s">
        <v>813</v>
      </c>
      <c r="D251">
        <v>13.58</v>
      </c>
      <c r="E251" s="58">
        <v>0.23</v>
      </c>
      <c r="F251" s="58">
        <v>47672.07</v>
      </c>
      <c r="G251" s="57">
        <v>-17.78</v>
      </c>
      <c r="H251">
        <v>-14.94</v>
      </c>
      <c r="I251" s="58">
        <v>2.9</v>
      </c>
      <c r="J251" s="58">
        <v>0.8</v>
      </c>
      <c r="K251" s="58"/>
      <c r="L251" s="58">
        <v>3.24</v>
      </c>
    </row>
    <row r="252" spans="2:12" x14ac:dyDescent="0.25">
      <c r="B252" s="57" t="s">
        <v>680</v>
      </c>
      <c r="C252" s="57" t="s">
        <v>681</v>
      </c>
      <c r="D252">
        <v>16.989999999999998</v>
      </c>
      <c r="E252" s="58">
        <v>1.21</v>
      </c>
      <c r="F252" s="58">
        <v>938.09</v>
      </c>
      <c r="G252" s="57">
        <v>-42.19</v>
      </c>
      <c r="H252">
        <v>-24.3</v>
      </c>
      <c r="I252" s="58">
        <v>0.36</v>
      </c>
      <c r="J252" s="58">
        <v>0.59</v>
      </c>
      <c r="K252" s="58" t="s">
        <v>405</v>
      </c>
      <c r="L252" s="58">
        <v>3.42</v>
      </c>
    </row>
    <row r="253" spans="2:12" x14ac:dyDescent="0.25">
      <c r="B253" s="57" t="s">
        <v>341</v>
      </c>
      <c r="C253" s="57" t="s">
        <v>342</v>
      </c>
      <c r="D253">
        <v>9.76</v>
      </c>
      <c r="E253" s="58">
        <v>0.25</v>
      </c>
      <c r="F253" s="58">
        <v>1117.1600000000001</v>
      </c>
      <c r="G253" s="57">
        <v>-23.8</v>
      </c>
      <c r="H253">
        <v>-2.06</v>
      </c>
      <c r="I253" s="58">
        <v>0.91</v>
      </c>
      <c r="J253" s="58">
        <v>0.82</v>
      </c>
      <c r="K253" s="58" t="s">
        <v>405</v>
      </c>
      <c r="L253" s="58">
        <v>0</v>
      </c>
    </row>
    <row r="254" spans="2:12" x14ac:dyDescent="0.25">
      <c r="B254" s="57" t="s">
        <v>250</v>
      </c>
      <c r="C254" s="57" t="s">
        <v>254</v>
      </c>
      <c r="D254">
        <v>15.74</v>
      </c>
      <c r="E254" s="58">
        <v>0.56999999999999995</v>
      </c>
      <c r="F254" s="58">
        <v>791.27</v>
      </c>
      <c r="G254" s="57">
        <v>-23.23</v>
      </c>
      <c r="H254">
        <v>9.93</v>
      </c>
      <c r="I254" s="58">
        <v>0.71</v>
      </c>
      <c r="J254" s="58">
        <v>0.76</v>
      </c>
      <c r="K254" s="58" t="s">
        <v>405</v>
      </c>
      <c r="L254" s="58">
        <v>0</v>
      </c>
    </row>
    <row r="255" spans="2:12" x14ac:dyDescent="0.25">
      <c r="B255" s="57" t="s">
        <v>861</v>
      </c>
      <c r="C255" s="57" t="s">
        <v>863</v>
      </c>
      <c r="D255">
        <v>28.92</v>
      </c>
      <c r="E255" s="58">
        <v>-0.42</v>
      </c>
      <c r="F255" s="58">
        <v>110186.56</v>
      </c>
      <c r="G255" s="57">
        <v>-47.59</v>
      </c>
      <c r="H255">
        <v>-46.05</v>
      </c>
      <c r="I255" s="58">
        <v>0.34</v>
      </c>
      <c r="J255" s="58">
        <v>0.37</v>
      </c>
      <c r="K255" s="58" t="s">
        <v>405</v>
      </c>
      <c r="L255" s="58">
        <v>12.82</v>
      </c>
    </row>
    <row r="256" spans="2:12" x14ac:dyDescent="0.25">
      <c r="B256" s="57" t="s">
        <v>1267</v>
      </c>
      <c r="C256" s="57" t="s">
        <v>1268</v>
      </c>
      <c r="D256">
        <v>1.99</v>
      </c>
      <c r="E256" s="58">
        <v>-0.14000000000000001</v>
      </c>
      <c r="F256" s="58">
        <v>425.65</v>
      </c>
      <c r="G256" s="57">
        <v>-53.41</v>
      </c>
      <c r="H256">
        <v>-77.83</v>
      </c>
      <c r="I256" s="58">
        <v>0.35</v>
      </c>
      <c r="J256" s="58">
        <v>0.32</v>
      </c>
      <c r="K256" s="58" t="s">
        <v>405</v>
      </c>
      <c r="L256" s="58">
        <v>7.08</v>
      </c>
    </row>
    <row r="257" spans="2:12" x14ac:dyDescent="0.25">
      <c r="B257" s="57" t="s">
        <v>765</v>
      </c>
      <c r="C257" s="57" t="s">
        <v>766</v>
      </c>
      <c r="D257">
        <v>6.04</v>
      </c>
      <c r="E257" s="58">
        <v>0.68</v>
      </c>
      <c r="F257" s="58">
        <v>382.08</v>
      </c>
      <c r="G257" s="57">
        <v>-59.66</v>
      </c>
      <c r="H257">
        <v>-47.35</v>
      </c>
      <c r="I257" s="58">
        <v>0.16</v>
      </c>
      <c r="J257" s="58">
        <v>0.44</v>
      </c>
      <c r="K257" s="58" t="s">
        <v>408</v>
      </c>
      <c r="L257" s="58">
        <v>3.73</v>
      </c>
    </row>
    <row r="258" spans="2:12" x14ac:dyDescent="0.25">
      <c r="B258" s="57" t="s">
        <v>99</v>
      </c>
      <c r="C258" s="57" t="s">
        <v>145</v>
      </c>
      <c r="D258">
        <v>2.0099999999999998</v>
      </c>
      <c r="E258" s="58">
        <v>0.18</v>
      </c>
      <c r="F258" s="58">
        <v>179.37</v>
      </c>
      <c r="G258" s="57">
        <v>-55.9</v>
      </c>
      <c r="H258">
        <v>-77.3</v>
      </c>
      <c r="I258" s="58">
        <v>7.0000000000000007E-2</v>
      </c>
      <c r="J258" s="58">
        <v>0.44</v>
      </c>
      <c r="K258" s="58" t="s">
        <v>408</v>
      </c>
      <c r="L258" s="58">
        <v>0</v>
      </c>
    </row>
    <row r="259" spans="2:12" x14ac:dyDescent="0.25">
      <c r="B259" s="57" t="s">
        <v>343</v>
      </c>
      <c r="C259" s="57" t="s">
        <v>343</v>
      </c>
      <c r="D259">
        <v>115.68</v>
      </c>
      <c r="E259" s="58">
        <v>7.92</v>
      </c>
      <c r="F259" s="58">
        <v>2203.1</v>
      </c>
      <c r="G259" s="57">
        <v>-51.13</v>
      </c>
      <c r="H259">
        <v>-24.11</v>
      </c>
      <c r="I259" s="58">
        <v>1.06</v>
      </c>
      <c r="J259" s="58">
        <v>0.69</v>
      </c>
      <c r="K259" s="58" t="s">
        <v>405</v>
      </c>
      <c r="L259" s="58">
        <v>0</v>
      </c>
    </row>
    <row r="260" spans="2:12" x14ac:dyDescent="0.25">
      <c r="B260" s="57" t="s">
        <v>638</v>
      </c>
      <c r="C260" s="57" t="s">
        <v>639</v>
      </c>
      <c r="D260">
        <v>38.46</v>
      </c>
      <c r="E260" s="58">
        <v>2.8</v>
      </c>
      <c r="F260" s="58">
        <v>268448.71000000002</v>
      </c>
      <c r="G260" s="57">
        <v>-7.23</v>
      </c>
      <c r="H260">
        <v>6.29</v>
      </c>
      <c r="I260" s="58">
        <v>4.0599999999999996</v>
      </c>
      <c r="J260" s="58">
        <v>0.78</v>
      </c>
      <c r="K260" s="58"/>
      <c r="L260" s="58">
        <v>3.01</v>
      </c>
    </row>
    <row r="261" spans="2:12" x14ac:dyDescent="0.25">
      <c r="B261" s="57" t="s">
        <v>360</v>
      </c>
      <c r="C261" s="57" t="s">
        <v>376</v>
      </c>
      <c r="D261">
        <v>79.58</v>
      </c>
      <c r="E261" s="58">
        <v>-0.09</v>
      </c>
      <c r="F261" s="58">
        <v>5868.36</v>
      </c>
      <c r="G261" s="57">
        <v>-30.58</v>
      </c>
      <c r="H261">
        <v>-32.96</v>
      </c>
      <c r="I261" s="58">
        <v>0.98</v>
      </c>
      <c r="J261" s="58">
        <v>0.66</v>
      </c>
      <c r="K261" s="58" t="s">
        <v>405</v>
      </c>
      <c r="L261" s="58">
        <v>3.37</v>
      </c>
    </row>
    <row r="262" spans="2:12" x14ac:dyDescent="0.25">
      <c r="B262" s="57" t="s">
        <v>706</v>
      </c>
      <c r="C262" s="57" t="s">
        <v>767</v>
      </c>
      <c r="D262">
        <v>2.27</v>
      </c>
      <c r="E262" s="58">
        <v>0.2</v>
      </c>
      <c r="F262" s="58">
        <v>578.20000000000005</v>
      </c>
      <c r="G262" s="57">
        <v>-55.1</v>
      </c>
      <c r="H262">
        <v>-79.31</v>
      </c>
      <c r="I262" s="58">
        <v>0.22</v>
      </c>
      <c r="J262" s="58">
        <v>0.4</v>
      </c>
      <c r="K262" s="58" t="s">
        <v>408</v>
      </c>
      <c r="L262" s="58">
        <v>3.86</v>
      </c>
    </row>
    <row r="263" spans="2:12" x14ac:dyDescent="0.25">
      <c r="B263" s="57" t="s">
        <v>37</v>
      </c>
      <c r="C263" s="57" t="s">
        <v>118</v>
      </c>
      <c r="D263">
        <v>32.090000000000003</v>
      </c>
      <c r="E263" s="58">
        <v>1.22</v>
      </c>
      <c r="F263" s="58">
        <v>1162</v>
      </c>
      <c r="G263" s="57">
        <v>-36.950000000000003</v>
      </c>
      <c r="H263">
        <v>-24.49</v>
      </c>
      <c r="I263" s="58">
        <v>0.21</v>
      </c>
      <c r="J263" s="58">
        <v>0.67</v>
      </c>
      <c r="K263" s="58" t="s">
        <v>405</v>
      </c>
      <c r="L263" s="58">
        <v>1.65</v>
      </c>
    </row>
    <row r="264" spans="2:12" x14ac:dyDescent="0.25">
      <c r="B264" s="57" t="s">
        <v>873</v>
      </c>
      <c r="C264" s="57" t="s">
        <v>885</v>
      </c>
      <c r="D264">
        <v>6.17</v>
      </c>
      <c r="E264" s="58">
        <v>0.18</v>
      </c>
      <c r="F264" s="58">
        <v>11497.1</v>
      </c>
      <c r="G264" s="57">
        <v>-35.24</v>
      </c>
      <c r="H264">
        <v>-47.49</v>
      </c>
      <c r="I264" s="58">
        <v>0.55000000000000004</v>
      </c>
      <c r="J264" s="58">
        <v>0.53</v>
      </c>
      <c r="K264" s="58"/>
      <c r="L264" s="58">
        <v>2.4900000000000002</v>
      </c>
    </row>
    <row r="265" spans="2:12" x14ac:dyDescent="0.25">
      <c r="B265" s="57" t="s">
        <v>640</v>
      </c>
      <c r="C265" s="57" t="s">
        <v>641</v>
      </c>
      <c r="D265">
        <v>65.930000000000007</v>
      </c>
      <c r="E265" s="58">
        <v>3.83</v>
      </c>
      <c r="F265" s="58">
        <v>77382.039999999994</v>
      </c>
      <c r="G265" s="57">
        <v>-29.14</v>
      </c>
      <c r="H265">
        <v>-9.15</v>
      </c>
      <c r="I265" s="58">
        <v>2.97</v>
      </c>
      <c r="J265" s="58">
        <v>0.72</v>
      </c>
      <c r="K265" s="58" t="s">
        <v>407</v>
      </c>
      <c r="L265" s="58">
        <v>2.48</v>
      </c>
    </row>
    <row r="266" spans="2:12" x14ac:dyDescent="0.25">
      <c r="B266" s="57" t="s">
        <v>642</v>
      </c>
      <c r="C266" s="57" t="s">
        <v>643</v>
      </c>
      <c r="D266">
        <v>0</v>
      </c>
      <c r="E266" s="58">
        <v>0</v>
      </c>
      <c r="F266" s="58"/>
      <c r="G266" s="57"/>
      <c r="I266" s="58"/>
      <c r="J266" s="58"/>
      <c r="K266" s="58"/>
      <c r="L266" s="58"/>
    </row>
    <row r="267" spans="2:12" x14ac:dyDescent="0.25">
      <c r="B267" s="57" t="s">
        <v>270</v>
      </c>
      <c r="C267" s="57" t="s">
        <v>279</v>
      </c>
      <c r="D267">
        <v>13.91</v>
      </c>
      <c r="E267" s="58">
        <v>1.0900000000000001</v>
      </c>
      <c r="F267" s="58">
        <v>377.56</v>
      </c>
      <c r="G267" s="57">
        <v>-41.83</v>
      </c>
      <c r="H267">
        <v>-42.26</v>
      </c>
      <c r="I267" s="58">
        <v>0.2</v>
      </c>
      <c r="J267" s="58">
        <v>0.82</v>
      </c>
      <c r="K267" s="58" t="s">
        <v>405</v>
      </c>
      <c r="L267" s="58">
        <v>5.85</v>
      </c>
    </row>
    <row r="268" spans="2:12" x14ac:dyDescent="0.25">
      <c r="B268" s="57" t="s">
        <v>929</v>
      </c>
      <c r="C268" s="57" t="s">
        <v>930</v>
      </c>
      <c r="D268">
        <v>66.42</v>
      </c>
      <c r="E268" s="58">
        <v>-9.32</v>
      </c>
      <c r="F268" s="58">
        <v>0</v>
      </c>
      <c r="G268" s="57">
        <v>90.96</v>
      </c>
      <c r="H268">
        <v>34.94</v>
      </c>
      <c r="I268" s="58">
        <v>0</v>
      </c>
      <c r="J268" s="58"/>
      <c r="K268" s="58"/>
      <c r="L268" s="58">
        <v>1.6</v>
      </c>
    </row>
    <row r="269" spans="2:12" x14ac:dyDescent="0.25">
      <c r="B269" s="57" t="s">
        <v>291</v>
      </c>
      <c r="C269" s="57" t="s">
        <v>301</v>
      </c>
      <c r="D269">
        <v>17.829999999999998</v>
      </c>
      <c r="E269" s="58">
        <v>0.31</v>
      </c>
      <c r="F269" s="58">
        <v>2394.84</v>
      </c>
      <c r="G269" s="57">
        <v>-23.06</v>
      </c>
      <c r="H269">
        <v>26.68</v>
      </c>
      <c r="I269" s="58">
        <v>0.42</v>
      </c>
      <c r="J269" s="58">
        <v>0.68</v>
      </c>
      <c r="K269" s="58" t="s">
        <v>405</v>
      </c>
      <c r="L269" s="58">
        <v>0</v>
      </c>
    </row>
    <row r="270" spans="2:12" x14ac:dyDescent="0.25">
      <c r="B270" s="57" t="s">
        <v>796</v>
      </c>
      <c r="C270" s="57" t="s">
        <v>801</v>
      </c>
      <c r="D270">
        <v>0</v>
      </c>
      <c r="E270" s="58">
        <v>0</v>
      </c>
      <c r="F270" s="58"/>
      <c r="G270" s="57"/>
      <c r="I270" s="58"/>
      <c r="J270" s="58"/>
      <c r="K270" s="58"/>
      <c r="L270" s="58"/>
    </row>
    <row r="271" spans="2:12" x14ac:dyDescent="0.25">
      <c r="B271" s="57" t="s">
        <v>344</v>
      </c>
      <c r="C271" s="57" t="s">
        <v>345</v>
      </c>
      <c r="D271">
        <v>7.98</v>
      </c>
      <c r="E271" s="58">
        <v>-0.17</v>
      </c>
      <c r="F271" s="58">
        <v>749.09</v>
      </c>
      <c r="G271" s="57">
        <v>-70.89</v>
      </c>
      <c r="H271">
        <v>-64.790000000000006</v>
      </c>
      <c r="I271" s="58">
        <v>0.22</v>
      </c>
      <c r="J271" s="58">
        <v>0.43</v>
      </c>
      <c r="K271" s="58" t="s">
        <v>408</v>
      </c>
      <c r="L271" s="58">
        <v>0</v>
      </c>
    </row>
    <row r="272" spans="2:12" x14ac:dyDescent="0.25">
      <c r="B272" s="57" t="s">
        <v>931</v>
      </c>
      <c r="C272" s="57" t="s">
        <v>932</v>
      </c>
      <c r="D272">
        <v>29.16</v>
      </c>
      <c r="E272" s="58">
        <v>-1.18</v>
      </c>
      <c r="F272" s="58">
        <v>0</v>
      </c>
      <c r="G272" s="57">
        <v>24.08</v>
      </c>
      <c r="H272">
        <v>9.49</v>
      </c>
      <c r="I272" s="58">
        <v>0</v>
      </c>
      <c r="J272" s="58"/>
      <c r="K272" s="58"/>
      <c r="L272" s="58">
        <v>1.62</v>
      </c>
    </row>
    <row r="273" spans="2:12" x14ac:dyDescent="0.25">
      <c r="B273" t="s">
        <v>876</v>
      </c>
      <c r="C273" t="s">
        <v>881</v>
      </c>
      <c r="D273">
        <v>31.15</v>
      </c>
      <c r="E273">
        <v>1.64</v>
      </c>
      <c r="F273">
        <v>2166.5700000000002</v>
      </c>
      <c r="G273">
        <v>-18.16</v>
      </c>
      <c r="H273">
        <v>-49.3</v>
      </c>
      <c r="I273">
        <v>1</v>
      </c>
      <c r="J273">
        <v>0.68</v>
      </c>
      <c r="K273" t="s">
        <v>405</v>
      </c>
      <c r="L273">
        <v>0</v>
      </c>
    </row>
    <row r="274" spans="2:12" x14ac:dyDescent="0.25">
      <c r="B274" s="57" t="s">
        <v>380</v>
      </c>
      <c r="C274" s="57" t="s">
        <v>383</v>
      </c>
      <c r="D274">
        <v>18.350000000000001</v>
      </c>
      <c r="E274" s="58">
        <v>0.05</v>
      </c>
      <c r="F274" s="58">
        <v>1039.81</v>
      </c>
      <c r="G274" s="57">
        <v>-45.14</v>
      </c>
      <c r="H274">
        <v>-10.82</v>
      </c>
      <c r="I274" s="58">
        <v>0.74</v>
      </c>
      <c r="J274" s="58">
        <v>0.61</v>
      </c>
      <c r="K274" s="58" t="s">
        <v>407</v>
      </c>
      <c r="L274" s="58">
        <v>0</v>
      </c>
    </row>
    <row r="275" spans="2:12" x14ac:dyDescent="0.25">
      <c r="B275" s="57" t="s">
        <v>208</v>
      </c>
      <c r="C275" s="57" t="s">
        <v>209</v>
      </c>
      <c r="D275">
        <v>25.5</v>
      </c>
      <c r="E275" s="58">
        <v>-0.73</v>
      </c>
      <c r="F275" s="58">
        <v>1287.0999999999999</v>
      </c>
      <c r="G275" s="57">
        <v>-58.64</v>
      </c>
      <c r="H275">
        <v>-46.77</v>
      </c>
      <c r="I275" s="58">
        <v>0.44</v>
      </c>
      <c r="J275" s="58">
        <v>0.38</v>
      </c>
      <c r="K275" s="58" t="s">
        <v>405</v>
      </c>
      <c r="L275" s="58">
        <v>1.83</v>
      </c>
    </row>
    <row r="276" spans="2:12" x14ac:dyDescent="0.25">
      <c r="B276" s="57" t="s">
        <v>914</v>
      </c>
      <c r="C276" s="57" t="s">
        <v>915</v>
      </c>
      <c r="D276">
        <v>63.48</v>
      </c>
      <c r="E276" s="58">
        <v>3.48</v>
      </c>
      <c r="F276" s="58">
        <v>4947.3500000000004</v>
      </c>
      <c r="G276" s="57">
        <v>-31.3</v>
      </c>
      <c r="H276">
        <v>-30.98</v>
      </c>
      <c r="I276" s="58">
        <v>4.43</v>
      </c>
      <c r="J276" s="58">
        <v>0.63</v>
      </c>
      <c r="K276" s="58" t="s">
        <v>407</v>
      </c>
      <c r="L276" s="58">
        <v>5.73</v>
      </c>
    </row>
    <row r="277" spans="2:12" x14ac:dyDescent="0.25">
      <c r="B277" t="s">
        <v>682</v>
      </c>
      <c r="C277" t="s">
        <v>683</v>
      </c>
      <c r="D277">
        <v>21.8</v>
      </c>
      <c r="E277">
        <v>-0.4</v>
      </c>
      <c r="F277">
        <v>1117.48</v>
      </c>
      <c r="G277">
        <v>0.91</v>
      </c>
      <c r="H277">
        <v>13.27</v>
      </c>
      <c r="I277">
        <v>0.34</v>
      </c>
      <c r="J277">
        <v>0.81</v>
      </c>
      <c r="K277" t="s">
        <v>407</v>
      </c>
      <c r="L277">
        <v>0</v>
      </c>
    </row>
    <row r="278" spans="2:12" x14ac:dyDescent="0.25">
      <c r="B278" s="57" t="s">
        <v>191</v>
      </c>
      <c r="C278" s="57" t="s">
        <v>192</v>
      </c>
      <c r="D278">
        <v>54.09</v>
      </c>
      <c r="E278" s="58">
        <v>1.52</v>
      </c>
      <c r="F278" s="58">
        <v>70948.570000000007</v>
      </c>
      <c r="G278" s="57">
        <v>-21.91</v>
      </c>
      <c r="H278">
        <v>14.31</v>
      </c>
      <c r="I278" s="58">
        <v>0.83</v>
      </c>
      <c r="J278" s="58">
        <v>0.8</v>
      </c>
      <c r="K278" s="58"/>
      <c r="L278" s="58">
        <v>0.7</v>
      </c>
    </row>
    <row r="279" spans="2:12" x14ac:dyDescent="0.25">
      <c r="B279" s="57" t="s">
        <v>768</v>
      </c>
      <c r="C279" s="57" t="s">
        <v>921</v>
      </c>
      <c r="D279">
        <v>8.7100000000000009</v>
      </c>
      <c r="E279" s="58">
        <v>0.45</v>
      </c>
      <c r="F279" s="58">
        <v>341.68</v>
      </c>
      <c r="G279" s="57">
        <v>-17.149999999999999</v>
      </c>
      <c r="H279">
        <v>-55.9</v>
      </c>
      <c r="I279" s="58">
        <v>0.19</v>
      </c>
      <c r="J279" s="58">
        <v>0.51</v>
      </c>
      <c r="K279" s="58" t="s">
        <v>405</v>
      </c>
      <c r="L279" s="58">
        <v>0</v>
      </c>
    </row>
    <row r="280" spans="2:12" x14ac:dyDescent="0.25">
      <c r="B280" s="57" t="s">
        <v>98</v>
      </c>
      <c r="C280" s="57" t="s">
        <v>119</v>
      </c>
      <c r="D280">
        <v>11.59</v>
      </c>
      <c r="E280" s="58">
        <v>0.13</v>
      </c>
      <c r="F280" s="58">
        <v>402.49</v>
      </c>
      <c r="G280" s="57">
        <v>-37.450000000000003</v>
      </c>
      <c r="H280">
        <v>30.18</v>
      </c>
      <c r="I280" s="58">
        <v>0.4</v>
      </c>
      <c r="J280" s="58">
        <v>0.62</v>
      </c>
      <c r="K280" s="58" t="s">
        <v>405</v>
      </c>
      <c r="L280" s="58">
        <v>0.87</v>
      </c>
    </row>
    <row r="281" spans="2:12" x14ac:dyDescent="0.25">
      <c r="B281" s="57" t="s">
        <v>707</v>
      </c>
      <c r="C281" s="57" t="s">
        <v>769</v>
      </c>
      <c r="D281">
        <v>42.18</v>
      </c>
      <c r="E281" s="58">
        <v>1.1299999999999999</v>
      </c>
      <c r="F281" s="58">
        <v>1935.84</v>
      </c>
      <c r="G281" s="57">
        <v>-33.89</v>
      </c>
      <c r="H281">
        <v>-24</v>
      </c>
      <c r="I281" s="58">
        <v>0.54</v>
      </c>
      <c r="J281" s="58">
        <v>0.68</v>
      </c>
      <c r="K281" s="58" t="s">
        <v>405</v>
      </c>
      <c r="L281" s="58">
        <v>4.09</v>
      </c>
    </row>
    <row r="282" spans="2:12" x14ac:dyDescent="0.25">
      <c r="B282" s="57" t="s">
        <v>684</v>
      </c>
      <c r="C282" s="57" t="s">
        <v>685</v>
      </c>
      <c r="D282">
        <v>10.07</v>
      </c>
      <c r="E282" s="58">
        <v>0.72</v>
      </c>
      <c r="F282" s="58">
        <v>366.03</v>
      </c>
      <c r="G282" s="57">
        <v>-29.58</v>
      </c>
      <c r="H282">
        <v>-38.090000000000003</v>
      </c>
      <c r="I282" s="58">
        <v>0.04</v>
      </c>
      <c r="J282" s="58">
        <v>0.67</v>
      </c>
      <c r="K282" s="58" t="s">
        <v>408</v>
      </c>
      <c r="L282" s="58">
        <v>8.16</v>
      </c>
    </row>
    <row r="283" spans="2:12" x14ac:dyDescent="0.25">
      <c r="B283" s="57" t="s">
        <v>877</v>
      </c>
      <c r="C283" s="57" t="s">
        <v>882</v>
      </c>
      <c r="D283">
        <v>22.2</v>
      </c>
      <c r="E283" s="58">
        <v>0.75</v>
      </c>
      <c r="F283" s="58">
        <v>5842.94</v>
      </c>
      <c r="G283" s="57">
        <v>-19.420000000000002</v>
      </c>
      <c r="H283">
        <v>-42.21</v>
      </c>
      <c r="I283" s="58">
        <v>3</v>
      </c>
      <c r="J283" s="58">
        <v>0.38</v>
      </c>
      <c r="K283" s="58" t="s">
        <v>405</v>
      </c>
      <c r="L283" s="58">
        <v>5.8</v>
      </c>
    </row>
    <row r="284" spans="2:12" x14ac:dyDescent="0.25">
      <c r="B284" s="57" t="s">
        <v>877</v>
      </c>
      <c r="C284" s="57" t="s">
        <v>882</v>
      </c>
      <c r="D284">
        <v>22.17</v>
      </c>
      <c r="E284" s="58">
        <v>0.72</v>
      </c>
      <c r="F284" s="58">
        <v>5835.07</v>
      </c>
      <c r="G284" s="57">
        <v>-19.420000000000002</v>
      </c>
      <c r="H284">
        <v>-42.21</v>
      </c>
      <c r="I284" s="58">
        <v>3</v>
      </c>
      <c r="J284" s="58">
        <v>0.38</v>
      </c>
      <c r="K284" s="58" t="s">
        <v>405</v>
      </c>
      <c r="L284" s="58">
        <v>5.8</v>
      </c>
    </row>
    <row r="285" spans="2:12" x14ac:dyDescent="0.25">
      <c r="B285" s="57" t="s">
        <v>934</v>
      </c>
      <c r="C285" s="57" t="s">
        <v>935</v>
      </c>
      <c r="D285">
        <v>28.75</v>
      </c>
      <c r="E285" s="58">
        <v>-3.52</v>
      </c>
      <c r="F285" s="58">
        <v>0</v>
      </c>
      <c r="G285" s="57">
        <v>31.38</v>
      </c>
      <c r="H285">
        <v>-25.03</v>
      </c>
      <c r="I285" s="58">
        <v>0</v>
      </c>
      <c r="J285" s="58"/>
      <c r="K285" s="58"/>
      <c r="L285" s="58">
        <v>2.77</v>
      </c>
    </row>
    <row r="286" spans="2:12" x14ac:dyDescent="0.25">
      <c r="B286" s="57" t="s">
        <v>361</v>
      </c>
      <c r="C286" s="57" t="s">
        <v>377</v>
      </c>
      <c r="D286">
        <v>18.07</v>
      </c>
      <c r="E286" s="58">
        <v>0.59</v>
      </c>
      <c r="F286" s="58">
        <v>495.27</v>
      </c>
      <c r="G286" s="57">
        <v>-45.38</v>
      </c>
      <c r="H286">
        <v>-37.99</v>
      </c>
      <c r="I286" s="58">
        <v>0.61</v>
      </c>
      <c r="J286" s="58">
        <v>0.62</v>
      </c>
      <c r="K286" s="58" t="s">
        <v>407</v>
      </c>
      <c r="L286" s="58">
        <v>0</v>
      </c>
    </row>
    <row r="287" spans="2:12" x14ac:dyDescent="0.25">
      <c r="B287" s="57" t="s">
        <v>708</v>
      </c>
      <c r="C287" s="57" t="s">
        <v>770</v>
      </c>
      <c r="D287">
        <v>8.5500000000000007</v>
      </c>
      <c r="E287" s="58">
        <v>0.64</v>
      </c>
      <c r="F287" s="58">
        <v>692.02</v>
      </c>
      <c r="G287" s="57">
        <v>-46.59</v>
      </c>
      <c r="H287">
        <v>-64.91</v>
      </c>
      <c r="I287" s="58">
        <v>0.49</v>
      </c>
      <c r="J287" s="58">
        <v>0.56999999999999995</v>
      </c>
      <c r="K287" s="58" t="s">
        <v>408</v>
      </c>
      <c r="L287" s="58">
        <v>2.5299999999999998</v>
      </c>
    </row>
    <row r="288" spans="2:12" x14ac:dyDescent="0.25">
      <c r="B288" s="57" t="s">
        <v>194</v>
      </c>
      <c r="C288" s="57" t="s">
        <v>197</v>
      </c>
      <c r="D288">
        <v>57.83</v>
      </c>
      <c r="E288" s="58">
        <v>0.79</v>
      </c>
      <c r="F288" s="58">
        <v>1962.77</v>
      </c>
      <c r="G288" s="57">
        <v>-3.88</v>
      </c>
      <c r="H288">
        <v>33.36</v>
      </c>
      <c r="I288" s="58">
        <v>1.44</v>
      </c>
      <c r="J288" s="58">
        <v>1.05</v>
      </c>
      <c r="K288" s="58" t="s">
        <v>405</v>
      </c>
      <c r="L288" s="58">
        <v>0</v>
      </c>
    </row>
    <row r="289" spans="2:12" x14ac:dyDescent="0.25">
      <c r="B289" s="57" t="s">
        <v>194</v>
      </c>
      <c r="C289" s="57" t="s">
        <v>197</v>
      </c>
      <c r="D289">
        <v>57.97</v>
      </c>
      <c r="E289" s="58">
        <v>0.93</v>
      </c>
      <c r="F289" s="58">
        <v>1967.52</v>
      </c>
      <c r="G289" s="57">
        <v>-3.88</v>
      </c>
      <c r="H289">
        <v>33.36</v>
      </c>
      <c r="I289" s="58">
        <v>1.44</v>
      </c>
      <c r="J289" s="58">
        <v>1.05</v>
      </c>
      <c r="K289" s="58" t="s">
        <v>405</v>
      </c>
      <c r="L289" s="58">
        <v>0</v>
      </c>
    </row>
    <row r="290" spans="2:12" x14ac:dyDescent="0.25">
      <c r="B290" s="57" t="s">
        <v>43</v>
      </c>
      <c r="C290" s="57" t="s">
        <v>120</v>
      </c>
      <c r="D290">
        <v>16.64</v>
      </c>
      <c r="E290" s="58">
        <v>0.92</v>
      </c>
      <c r="F290" s="58">
        <v>624.52</v>
      </c>
      <c r="G290" s="57">
        <v>-32.229999999999997</v>
      </c>
      <c r="H290">
        <v>-15.38</v>
      </c>
      <c r="I290" s="58">
        <v>0.67</v>
      </c>
      <c r="J290" s="58">
        <v>0.78</v>
      </c>
      <c r="K290" s="58" t="s">
        <v>405</v>
      </c>
      <c r="L290" s="58">
        <v>3.18</v>
      </c>
    </row>
    <row r="291" spans="2:12" x14ac:dyDescent="0.25">
      <c r="B291" s="57" t="s">
        <v>477</v>
      </c>
      <c r="C291" s="57" t="s">
        <v>771</v>
      </c>
      <c r="D291">
        <v>32.79</v>
      </c>
      <c r="E291" s="58">
        <v>1.46</v>
      </c>
      <c r="F291" s="58">
        <v>235534.03</v>
      </c>
      <c r="G291" s="57">
        <v>-16.95</v>
      </c>
      <c r="H291">
        <v>8.98</v>
      </c>
      <c r="I291" s="58">
        <v>1.33</v>
      </c>
      <c r="J291" s="58">
        <v>0.84</v>
      </c>
      <c r="K291" s="58" t="s">
        <v>407</v>
      </c>
      <c r="L291" s="58">
        <v>6.54</v>
      </c>
    </row>
    <row r="292" spans="2:12" x14ac:dyDescent="0.25">
      <c r="B292" s="57" t="s">
        <v>714</v>
      </c>
      <c r="C292" s="57" t="s">
        <v>772</v>
      </c>
      <c r="D292">
        <v>3.85</v>
      </c>
      <c r="E292" s="58">
        <v>0</v>
      </c>
      <c r="F292" s="58">
        <v>142.68</v>
      </c>
      <c r="G292" s="57">
        <v>-50.19</v>
      </c>
      <c r="H292">
        <v>-62.03</v>
      </c>
      <c r="I292" s="58">
        <v>0.28000000000000003</v>
      </c>
      <c r="J292" s="58">
        <v>0.35</v>
      </c>
      <c r="K292" s="58" t="s">
        <v>405</v>
      </c>
      <c r="L292" s="58">
        <v>0</v>
      </c>
    </row>
    <row r="293" spans="2:12" x14ac:dyDescent="0.25">
      <c r="B293" s="57" t="s">
        <v>878</v>
      </c>
      <c r="C293" s="57" t="s">
        <v>879</v>
      </c>
      <c r="D293">
        <v>45.86</v>
      </c>
      <c r="E293" s="58">
        <v>2.1800000000000002</v>
      </c>
      <c r="F293" s="58">
        <v>489251.18</v>
      </c>
      <c r="G293" s="57">
        <v>-4.59</v>
      </c>
      <c r="H293">
        <v>-4.2</v>
      </c>
      <c r="I293" s="58">
        <v>8.58</v>
      </c>
      <c r="J293" s="58">
        <v>0.78</v>
      </c>
      <c r="K293" s="58" t="s">
        <v>459</v>
      </c>
      <c r="L293" s="58">
        <v>0.28999999999999998</v>
      </c>
    </row>
    <row r="294" spans="2:12" x14ac:dyDescent="0.25">
      <c r="B294" s="57" t="s">
        <v>894</v>
      </c>
      <c r="C294" s="57" t="s">
        <v>899</v>
      </c>
      <c r="D294">
        <v>115.34</v>
      </c>
      <c r="E294" s="58">
        <v>-3.46</v>
      </c>
      <c r="F294" s="58">
        <v>8420.5400000000009</v>
      </c>
      <c r="G294" s="57">
        <v>54.19</v>
      </c>
      <c r="H294">
        <v>104.51</v>
      </c>
      <c r="I294" s="58">
        <v>14.98</v>
      </c>
      <c r="J294" s="58">
        <v>1.05</v>
      </c>
      <c r="K294" s="58" t="s">
        <v>407</v>
      </c>
      <c r="L294" s="58">
        <v>0</v>
      </c>
    </row>
    <row r="295" spans="2:12" x14ac:dyDescent="0.25">
      <c r="B295" s="57" t="s">
        <v>439</v>
      </c>
      <c r="C295" s="57" t="s">
        <v>445</v>
      </c>
      <c r="D295">
        <v>4.43</v>
      </c>
      <c r="E295" s="58">
        <v>0.01</v>
      </c>
      <c r="F295" s="58">
        <v>22270.47</v>
      </c>
      <c r="G295" s="57">
        <v>-37.35</v>
      </c>
      <c r="H295">
        <v>-43.2</v>
      </c>
      <c r="I295" s="58">
        <v>0.41</v>
      </c>
      <c r="J295" s="58">
        <v>0.32</v>
      </c>
      <c r="K295" s="58" t="s">
        <v>405</v>
      </c>
      <c r="L295" s="58">
        <v>10.130000000000001</v>
      </c>
    </row>
    <row r="296" spans="2:12" x14ac:dyDescent="0.25">
      <c r="B296" s="57" t="s">
        <v>213</v>
      </c>
      <c r="C296" s="57" t="s">
        <v>234</v>
      </c>
      <c r="D296">
        <v>10.55</v>
      </c>
      <c r="E296" s="58">
        <v>-0.95</v>
      </c>
      <c r="F296" s="58">
        <v>4544.29</v>
      </c>
      <c r="G296" s="57">
        <v>16.13</v>
      </c>
      <c r="H296">
        <v>-16.38</v>
      </c>
      <c r="I296" s="58">
        <v>1.2</v>
      </c>
      <c r="J296" s="58">
        <v>0.54</v>
      </c>
      <c r="K296" s="58"/>
      <c r="L296" s="58">
        <v>8.61</v>
      </c>
    </row>
    <row r="297" spans="2:12" x14ac:dyDescent="0.25">
      <c r="B297" s="57" t="s">
        <v>709</v>
      </c>
      <c r="C297" s="57" t="s">
        <v>773</v>
      </c>
      <c r="D297">
        <v>7.25</v>
      </c>
      <c r="E297" s="58">
        <v>-1.56</v>
      </c>
      <c r="F297" s="58">
        <v>375.91</v>
      </c>
      <c r="G297" s="57">
        <v>-69.59</v>
      </c>
      <c r="H297">
        <v>-55.81</v>
      </c>
      <c r="I297" s="58">
        <v>0.12</v>
      </c>
      <c r="J297" s="58">
        <v>0.34</v>
      </c>
      <c r="K297" s="58" t="s">
        <v>408</v>
      </c>
      <c r="L297" s="58">
        <v>1.82</v>
      </c>
    </row>
    <row r="298" spans="2:12" x14ac:dyDescent="0.25">
      <c r="B298" s="57" t="s">
        <v>774</v>
      </c>
      <c r="C298" s="57" t="s">
        <v>775</v>
      </c>
      <c r="D298">
        <v>16.28</v>
      </c>
      <c r="E298" s="58">
        <v>-0.08</v>
      </c>
      <c r="F298" s="58">
        <v>3546.03</v>
      </c>
      <c r="G298" s="57">
        <v>1.67</v>
      </c>
      <c r="H298">
        <v>11.08</v>
      </c>
      <c r="I298" s="58">
        <v>1.54</v>
      </c>
      <c r="J298" s="58">
        <v>0.83</v>
      </c>
      <c r="K298" s="58" t="s">
        <v>405</v>
      </c>
      <c r="L298" s="58">
        <v>1.71</v>
      </c>
    </row>
    <row r="299" spans="2:12" x14ac:dyDescent="0.25">
      <c r="B299" s="57" t="s">
        <v>316</v>
      </c>
      <c r="C299" s="57" t="s">
        <v>326</v>
      </c>
      <c r="D299">
        <v>17.22</v>
      </c>
      <c r="E299" s="58">
        <v>-0.3</v>
      </c>
      <c r="F299" s="58">
        <v>1795.85</v>
      </c>
      <c r="G299" s="57">
        <v>-52.92</v>
      </c>
      <c r="H299">
        <v>-40.549999999999997</v>
      </c>
      <c r="I299" s="58">
        <v>0.1</v>
      </c>
      <c r="J299" s="58">
        <v>0.56999999999999995</v>
      </c>
      <c r="K299" s="58" t="s">
        <v>405</v>
      </c>
      <c r="L299" s="58">
        <v>0</v>
      </c>
    </row>
    <row r="300" spans="2:12" x14ac:dyDescent="0.25">
      <c r="B300" s="57" t="s">
        <v>44</v>
      </c>
      <c r="C300" s="57" t="s">
        <v>352</v>
      </c>
      <c r="D300" s="58">
        <v>45.19</v>
      </c>
      <c r="E300" s="58">
        <v>-0.57999999999999996</v>
      </c>
      <c r="F300" s="58">
        <v>2494.4299999999998</v>
      </c>
      <c r="G300" s="57">
        <v>-33.299999999999997</v>
      </c>
      <c r="H300">
        <v>-27.46</v>
      </c>
      <c r="I300" s="58">
        <v>0.28000000000000003</v>
      </c>
      <c r="J300" s="58">
        <v>0.5</v>
      </c>
      <c r="K300" s="58" t="s">
        <v>405</v>
      </c>
      <c r="L300" s="58">
        <v>3.45</v>
      </c>
    </row>
    <row r="301" spans="2:12" x14ac:dyDescent="0.25">
      <c r="B301" s="57" t="s">
        <v>686</v>
      </c>
      <c r="C301" s="57" t="s">
        <v>687</v>
      </c>
      <c r="D301">
        <v>8.1999999999999993</v>
      </c>
      <c r="E301" s="58">
        <v>0.55000000000000004</v>
      </c>
      <c r="F301" s="58">
        <v>248.99</v>
      </c>
      <c r="G301" s="57">
        <v>-52.53</v>
      </c>
      <c r="H301">
        <v>-54.76</v>
      </c>
      <c r="I301" s="58">
        <v>0.21</v>
      </c>
      <c r="J301" s="58">
        <v>0.44</v>
      </c>
      <c r="K301" s="58" t="s">
        <v>405</v>
      </c>
      <c r="L301" s="58">
        <v>0</v>
      </c>
    </row>
    <row r="302" spans="2:12" x14ac:dyDescent="0.25">
      <c r="B302" s="57" t="s">
        <v>253</v>
      </c>
      <c r="C302" s="57" t="s">
        <v>255</v>
      </c>
      <c r="D302">
        <v>7.72</v>
      </c>
      <c r="E302" s="58">
        <v>0.39</v>
      </c>
      <c r="F302" s="58">
        <v>172.53</v>
      </c>
      <c r="G302" s="57">
        <v>-47.97</v>
      </c>
      <c r="H302">
        <v>-62.88</v>
      </c>
      <c r="I302" s="58">
        <v>0.13</v>
      </c>
      <c r="J302" s="58">
        <v>0.4</v>
      </c>
      <c r="K302" s="58" t="s">
        <v>405</v>
      </c>
      <c r="L302" s="58">
        <v>0</v>
      </c>
    </row>
    <row r="303" spans="2:12" x14ac:dyDescent="0.25">
      <c r="B303" s="57" t="s">
        <v>312</v>
      </c>
      <c r="C303" s="57" t="s">
        <v>327</v>
      </c>
      <c r="D303">
        <v>1.57</v>
      </c>
      <c r="E303" s="58">
        <v>-0.45</v>
      </c>
      <c r="F303" s="58">
        <v>76.02</v>
      </c>
      <c r="G303" s="57">
        <v>-53.13</v>
      </c>
      <c r="H303">
        <v>-78.67</v>
      </c>
      <c r="I303" s="58">
        <v>0.02</v>
      </c>
      <c r="J303" s="58">
        <v>0.34</v>
      </c>
      <c r="K303" s="58" t="s">
        <v>406</v>
      </c>
      <c r="L303" s="58">
        <v>26.73</v>
      </c>
    </row>
    <row r="304" spans="2:12" x14ac:dyDescent="0.25">
      <c r="B304" s="57" t="s">
        <v>157</v>
      </c>
      <c r="C304" s="57" t="s">
        <v>158</v>
      </c>
      <c r="D304">
        <v>3.76</v>
      </c>
      <c r="E304" s="58">
        <v>0.3</v>
      </c>
      <c r="F304" s="58">
        <v>168.53</v>
      </c>
      <c r="G304" s="57">
        <v>-54.35</v>
      </c>
      <c r="H304">
        <v>-69.02</v>
      </c>
      <c r="I304" s="58">
        <v>0.14000000000000001</v>
      </c>
      <c r="J304" s="58">
        <v>0.41</v>
      </c>
      <c r="K304" s="58" t="s">
        <v>408</v>
      </c>
      <c r="L304" s="58">
        <v>0</v>
      </c>
    </row>
    <row r="305" spans="2:12" x14ac:dyDescent="0.25">
      <c r="B305" s="57" t="s">
        <v>364</v>
      </c>
      <c r="C305" s="57" t="s">
        <v>378</v>
      </c>
      <c r="D305">
        <v>59.16</v>
      </c>
      <c r="E305" s="58">
        <v>0.25</v>
      </c>
      <c r="F305" s="58">
        <v>3533.42</v>
      </c>
      <c r="G305" s="57">
        <v>2.11</v>
      </c>
      <c r="H305">
        <v>-14.91</v>
      </c>
      <c r="I305" s="58">
        <v>9.5500000000000007</v>
      </c>
      <c r="J305" s="58">
        <v>0.92</v>
      </c>
      <c r="K305" s="58" t="s">
        <v>407</v>
      </c>
      <c r="L305" s="58">
        <v>0</v>
      </c>
    </row>
    <row r="306" spans="2:12" x14ac:dyDescent="0.25">
      <c r="B306" s="57" t="s">
        <v>90</v>
      </c>
      <c r="C306" s="57" t="s">
        <v>91</v>
      </c>
      <c r="D306">
        <v>46.82</v>
      </c>
      <c r="E306" s="58">
        <v>-0.19</v>
      </c>
      <c r="F306" s="58">
        <v>3218.9</v>
      </c>
      <c r="G306" s="57">
        <v>-16.34</v>
      </c>
      <c r="H306">
        <v>-22.86</v>
      </c>
      <c r="I306" s="58">
        <v>0.87</v>
      </c>
      <c r="J306" s="58">
        <v>0.73</v>
      </c>
      <c r="K306" s="58" t="s">
        <v>405</v>
      </c>
      <c r="L306" s="58">
        <v>0</v>
      </c>
    </row>
    <row r="307" spans="2:12" x14ac:dyDescent="0.25">
      <c r="B307" s="57" t="s">
        <v>776</v>
      </c>
      <c r="C307" s="57" t="s">
        <v>777</v>
      </c>
      <c r="D307">
        <v>25.75</v>
      </c>
      <c r="E307" s="58">
        <v>-1.24</v>
      </c>
      <c r="F307" s="58">
        <v>3263.35</v>
      </c>
      <c r="G307" s="57">
        <v>-30.94</v>
      </c>
      <c r="H307">
        <v>-24.04</v>
      </c>
      <c r="I307" s="58">
        <v>0.52</v>
      </c>
      <c r="J307" s="58">
        <v>0.59</v>
      </c>
      <c r="K307" s="58" t="s">
        <v>405</v>
      </c>
      <c r="L307" s="58">
        <v>1.63</v>
      </c>
    </row>
    <row r="308" spans="2:12" x14ac:dyDescent="0.25">
      <c r="B308" s="57" t="s">
        <v>862</v>
      </c>
      <c r="C308" s="57" t="s">
        <v>864</v>
      </c>
      <c r="D308">
        <v>29.77</v>
      </c>
      <c r="E308" s="58">
        <v>0.66</v>
      </c>
      <c r="F308" s="58">
        <v>78274.289999999994</v>
      </c>
      <c r="G308" s="57">
        <v>-43.83</v>
      </c>
      <c r="H308">
        <v>-43.75</v>
      </c>
      <c r="I308" s="58">
        <v>0.45</v>
      </c>
      <c r="J308" s="58">
        <v>0.41</v>
      </c>
      <c r="K308" s="58" t="s">
        <v>405</v>
      </c>
      <c r="L308" s="58">
        <v>9.93</v>
      </c>
    </row>
    <row r="309" spans="2:12" x14ac:dyDescent="0.25">
      <c r="B309" s="57" t="s">
        <v>778</v>
      </c>
      <c r="C309" s="57" t="s">
        <v>779</v>
      </c>
      <c r="D309">
        <v>9.18</v>
      </c>
      <c r="E309" s="58">
        <v>-0.87</v>
      </c>
      <c r="F309" s="58">
        <v>461.74</v>
      </c>
      <c r="G309" s="57">
        <v>-36.75</v>
      </c>
      <c r="H309">
        <v>-47.27</v>
      </c>
      <c r="I309" s="58">
        <v>0.1</v>
      </c>
      <c r="J309" s="58">
        <v>0.41</v>
      </c>
      <c r="K309" s="58" t="s">
        <v>405</v>
      </c>
      <c r="L309" s="58">
        <v>0</v>
      </c>
    </row>
    <row r="310" spans="2:12" x14ac:dyDescent="0.25">
      <c r="B310" s="57" t="s">
        <v>916</v>
      </c>
      <c r="C310" s="57" t="s">
        <v>917</v>
      </c>
      <c r="D310">
        <v>11.35</v>
      </c>
      <c r="E310" s="58">
        <v>0.23</v>
      </c>
      <c r="F310" s="58">
        <v>2645.07</v>
      </c>
      <c r="G310" s="57">
        <v>-67.63</v>
      </c>
      <c r="H310">
        <v>-63.65</v>
      </c>
      <c r="I310" s="58">
        <v>0.31</v>
      </c>
      <c r="J310" s="58">
        <v>0.76</v>
      </c>
      <c r="K310" s="58" t="s">
        <v>408</v>
      </c>
      <c r="L310" s="58">
        <v>32.729999999999997</v>
      </c>
    </row>
    <row r="311" spans="2:12" x14ac:dyDescent="0.25">
      <c r="B311" s="57" t="s">
        <v>382</v>
      </c>
      <c r="C311" s="57" t="s">
        <v>384</v>
      </c>
      <c r="D311">
        <v>0.71</v>
      </c>
      <c r="E311" s="58">
        <v>-0.03</v>
      </c>
      <c r="F311" s="58">
        <v>31.86</v>
      </c>
      <c r="G311" s="57">
        <v>-57.33</v>
      </c>
      <c r="H311">
        <v>-95.97</v>
      </c>
      <c r="I311" s="58">
        <v>0.05</v>
      </c>
      <c r="J311" s="58">
        <v>0.31</v>
      </c>
      <c r="K311" s="58" t="s">
        <v>406</v>
      </c>
      <c r="L311" s="58">
        <v>33.869999999999997</v>
      </c>
    </row>
    <row r="312" spans="2:12" x14ac:dyDescent="0.25">
      <c r="B312" s="57" t="s">
        <v>206</v>
      </c>
      <c r="C312" s="57" t="s">
        <v>207</v>
      </c>
      <c r="D312">
        <v>16.420000000000002</v>
      </c>
      <c r="E312" s="58">
        <v>0.57999999999999996</v>
      </c>
      <c r="F312" s="58">
        <v>654.98</v>
      </c>
      <c r="G312" s="57">
        <v>-33.14</v>
      </c>
      <c r="H312">
        <v>56.83</v>
      </c>
      <c r="I312" s="58">
        <v>0.61</v>
      </c>
      <c r="J312" s="58">
        <v>0.72</v>
      </c>
      <c r="K312" s="58" t="s">
        <v>405</v>
      </c>
      <c r="L312" s="58">
        <v>0</v>
      </c>
    </row>
    <row r="313" spans="2:12" x14ac:dyDescent="0.25">
      <c r="B313" s="57" t="s">
        <v>806</v>
      </c>
      <c r="C313" s="57" t="s">
        <v>814</v>
      </c>
      <c r="D313">
        <v>48.62</v>
      </c>
      <c r="E313" s="58">
        <v>-0.04</v>
      </c>
      <c r="F313" s="58">
        <v>129063.47</v>
      </c>
      <c r="G313" s="57">
        <v>-17.45</v>
      </c>
      <c r="H313">
        <v>-7.18</v>
      </c>
      <c r="I313" s="58">
        <v>2.17</v>
      </c>
      <c r="J313" s="58">
        <v>0.85</v>
      </c>
      <c r="K313" s="58"/>
      <c r="L313" s="58">
        <v>3.71</v>
      </c>
    </row>
    <row r="314" spans="2:12" x14ac:dyDescent="0.25">
      <c r="B314" s="57" t="s">
        <v>40</v>
      </c>
      <c r="C314" s="57" t="s">
        <v>167</v>
      </c>
      <c r="D314">
        <v>12.96</v>
      </c>
      <c r="E314" s="58">
        <v>1.18</v>
      </c>
      <c r="F314" s="58">
        <v>353.57</v>
      </c>
      <c r="G314" s="57">
        <v>-36.979999999999997</v>
      </c>
      <c r="H314">
        <v>-41.12</v>
      </c>
      <c r="I314" s="58">
        <v>0.24</v>
      </c>
      <c r="J314" s="58">
        <v>0.52</v>
      </c>
      <c r="K314" s="58" t="s">
        <v>405</v>
      </c>
      <c r="L314" s="58">
        <v>3.57</v>
      </c>
    </row>
    <row r="315" spans="2:12" x14ac:dyDescent="0.25">
      <c r="B315" s="57" t="s">
        <v>780</v>
      </c>
      <c r="C315" s="57" t="s">
        <v>781</v>
      </c>
      <c r="D315">
        <v>14.84</v>
      </c>
      <c r="E315" s="58">
        <v>1.27</v>
      </c>
      <c r="F315" s="58">
        <v>3012.09</v>
      </c>
      <c r="G315" s="57">
        <v>-55.32</v>
      </c>
      <c r="H315">
        <v>-59.39</v>
      </c>
      <c r="I315" s="58">
        <v>0.26</v>
      </c>
      <c r="J315" s="58">
        <v>0.4</v>
      </c>
      <c r="K315" s="58" t="s">
        <v>408</v>
      </c>
      <c r="L315" s="58">
        <v>8.2200000000000006</v>
      </c>
    </row>
    <row r="316" spans="2:12" x14ac:dyDescent="0.25">
      <c r="B316" s="57" t="s">
        <v>346</v>
      </c>
      <c r="C316" s="57" t="s">
        <v>347</v>
      </c>
      <c r="D316">
        <v>15.4</v>
      </c>
      <c r="E316" s="58">
        <v>0.78</v>
      </c>
      <c r="F316" s="58">
        <v>1508.84</v>
      </c>
      <c r="G316" s="57">
        <v>-46.6</v>
      </c>
      <c r="H316">
        <v>-50.84</v>
      </c>
      <c r="I316" s="58">
        <v>0.39</v>
      </c>
      <c r="J316" s="58">
        <v>0.49</v>
      </c>
      <c r="K316" s="58" t="s">
        <v>405</v>
      </c>
      <c r="L316" s="58">
        <v>0</v>
      </c>
    </row>
    <row r="317" spans="2:12" x14ac:dyDescent="0.25">
      <c r="B317" s="57" t="s">
        <v>782</v>
      </c>
      <c r="C317" s="57" t="s">
        <v>783</v>
      </c>
      <c r="D317">
        <v>15.03</v>
      </c>
      <c r="E317" s="58">
        <v>-0.24</v>
      </c>
      <c r="F317" s="58">
        <v>250.99</v>
      </c>
      <c r="G317" s="57">
        <v>-61.31</v>
      </c>
      <c r="H317">
        <v>-63.24</v>
      </c>
      <c r="I317" s="58">
        <v>0.17</v>
      </c>
      <c r="J317" s="58">
        <v>0.33</v>
      </c>
      <c r="K317" s="58" t="s">
        <v>408</v>
      </c>
      <c r="L317" s="58">
        <v>0</v>
      </c>
    </row>
    <row r="318" spans="2:12" x14ac:dyDescent="0.25">
      <c r="B318" s="57" t="s">
        <v>217</v>
      </c>
      <c r="C318" s="57" t="s">
        <v>235</v>
      </c>
      <c r="D318">
        <v>81</v>
      </c>
      <c r="E318" s="58">
        <v>6.32</v>
      </c>
      <c r="F318" s="58">
        <v>3352.99</v>
      </c>
      <c r="G318" s="57">
        <v>-39.93</v>
      </c>
      <c r="H318">
        <v>-18.79</v>
      </c>
      <c r="I318" s="58">
        <v>0.82</v>
      </c>
      <c r="J318" s="58">
        <v>0.66</v>
      </c>
      <c r="K318" s="58" t="s">
        <v>405</v>
      </c>
      <c r="L318" s="58">
        <v>2.65</v>
      </c>
    </row>
    <row r="319" spans="2:12" x14ac:dyDescent="0.25">
      <c r="B319" s="57" t="s">
        <v>1034</v>
      </c>
      <c r="C319" s="57" t="s">
        <v>1256</v>
      </c>
      <c r="D319">
        <v>134.69</v>
      </c>
      <c r="E319" s="58">
        <v>1.48</v>
      </c>
      <c r="F319" s="58">
        <v>20013.14</v>
      </c>
      <c r="G319" s="57">
        <v>-6.62</v>
      </c>
      <c r="H319">
        <v>11.9</v>
      </c>
      <c r="I319" s="58">
        <v>19.309999999999999</v>
      </c>
      <c r="J319" s="58">
        <v>0.75</v>
      </c>
      <c r="K319" s="58" t="s">
        <v>459</v>
      </c>
      <c r="L319" s="58">
        <v>0</v>
      </c>
    </row>
    <row r="320" spans="2:12" x14ac:dyDescent="0.25">
      <c r="B320" s="57" t="s">
        <v>981</v>
      </c>
      <c r="C320" s="57" t="s">
        <v>1049</v>
      </c>
      <c r="D320">
        <v>69.02</v>
      </c>
      <c r="E320" s="58">
        <v>-0.27</v>
      </c>
      <c r="F320" s="58">
        <v>0</v>
      </c>
      <c r="G320" s="57">
        <v>5.72</v>
      </c>
      <c r="H320">
        <v>11.09</v>
      </c>
      <c r="I320" s="58">
        <v>0</v>
      </c>
      <c r="J320" s="58"/>
      <c r="K320" s="58"/>
      <c r="L320" s="58">
        <v>2.14</v>
      </c>
    </row>
    <row r="321" spans="2:12" x14ac:dyDescent="0.25">
      <c r="B321" s="57" t="s">
        <v>45</v>
      </c>
      <c r="C321" s="57" t="s">
        <v>148</v>
      </c>
      <c r="D321">
        <v>0.83</v>
      </c>
      <c r="E321" s="58">
        <v>-0.02</v>
      </c>
      <c r="F321" s="58">
        <v>281.56</v>
      </c>
      <c r="G321" s="57">
        <v>-51.66</v>
      </c>
      <c r="H321">
        <v>-69.3</v>
      </c>
      <c r="I321" s="58">
        <v>0.16</v>
      </c>
      <c r="J321" s="58">
        <v>0.4</v>
      </c>
      <c r="K321" s="58" t="s">
        <v>408</v>
      </c>
      <c r="L321" s="58">
        <v>9.41</v>
      </c>
    </row>
    <row r="322" spans="2:12" x14ac:dyDescent="0.25">
      <c r="B322" s="57" t="s">
        <v>193</v>
      </c>
      <c r="C322" s="57" t="s">
        <v>416</v>
      </c>
      <c r="D322">
        <v>0</v>
      </c>
      <c r="E322" s="58">
        <v>0</v>
      </c>
      <c r="F322" s="58"/>
      <c r="G322" s="57"/>
      <c r="I322" s="58"/>
      <c r="J322" s="58"/>
      <c r="K322" s="58"/>
      <c r="L322" s="58"/>
    </row>
    <row r="323" spans="2:12" x14ac:dyDescent="0.25">
      <c r="B323" s="57" t="s">
        <v>317</v>
      </c>
      <c r="C323" s="57" t="s">
        <v>328</v>
      </c>
      <c r="D323">
        <v>44.76</v>
      </c>
      <c r="E323" s="58">
        <v>0.8</v>
      </c>
      <c r="F323" s="58">
        <v>18321.93</v>
      </c>
      <c r="G323" s="57">
        <v>-52.46</v>
      </c>
      <c r="H323">
        <v>-43.18</v>
      </c>
      <c r="I323" s="58">
        <v>0.17</v>
      </c>
      <c r="J323" s="58">
        <v>0.4</v>
      </c>
      <c r="K323" s="58" t="s">
        <v>405</v>
      </c>
      <c r="L323" s="58">
        <v>8.3699999999999992</v>
      </c>
    </row>
    <row r="324" spans="2:12" x14ac:dyDescent="0.25">
      <c r="B324" s="57" t="s">
        <v>819</v>
      </c>
      <c r="C324" s="57" t="s">
        <v>820</v>
      </c>
      <c r="D324">
        <v>235.63</v>
      </c>
      <c r="E324" s="58">
        <v>9.15</v>
      </c>
      <c r="F324" s="58">
        <v>132104.07999999999</v>
      </c>
      <c r="G324" s="57">
        <v>-21.53</v>
      </c>
      <c r="H324">
        <v>-9.64</v>
      </c>
      <c r="I324" s="58">
        <v>2.2799999999999998</v>
      </c>
      <c r="J324" s="58">
        <v>1.03</v>
      </c>
      <c r="K324" s="58"/>
      <c r="L324" s="58">
        <v>2.0499999999999998</v>
      </c>
    </row>
    <row r="325" spans="2:12" x14ac:dyDescent="0.25">
      <c r="B325" s="57" t="s">
        <v>392</v>
      </c>
      <c r="C325" s="57" t="s">
        <v>399</v>
      </c>
      <c r="D325">
        <v>22.64</v>
      </c>
      <c r="E325" s="58">
        <v>0.28999999999999998</v>
      </c>
      <c r="F325" s="58">
        <v>306.41000000000003</v>
      </c>
      <c r="G325" s="57">
        <v>-34.9</v>
      </c>
      <c r="H325">
        <v>-34.99</v>
      </c>
      <c r="I325" s="58">
        <v>1.08</v>
      </c>
      <c r="J325" s="58">
        <v>0.6</v>
      </c>
      <c r="K325" s="58" t="s">
        <v>407</v>
      </c>
      <c r="L325" s="58">
        <v>0</v>
      </c>
    </row>
    <row r="326" spans="2:12" x14ac:dyDescent="0.25">
      <c r="B326" s="57" t="s">
        <v>249</v>
      </c>
      <c r="C326" s="57" t="s">
        <v>256</v>
      </c>
      <c r="D326">
        <v>12.67</v>
      </c>
      <c r="E326" s="58">
        <v>1.27</v>
      </c>
      <c r="F326" s="58">
        <v>445.77</v>
      </c>
      <c r="G326" s="57">
        <v>-38.81</v>
      </c>
      <c r="H326">
        <v>-42.16</v>
      </c>
      <c r="I326" s="58">
        <v>0.18</v>
      </c>
      <c r="J326" s="58">
        <v>0.53</v>
      </c>
      <c r="K326" s="58" t="s">
        <v>405</v>
      </c>
      <c r="L326" s="58">
        <v>0</v>
      </c>
    </row>
    <row r="327" spans="2:12" x14ac:dyDescent="0.25">
      <c r="B327" s="57" t="s">
        <v>42</v>
      </c>
      <c r="C327" s="57" t="s">
        <v>350</v>
      </c>
      <c r="D327">
        <v>22.73</v>
      </c>
      <c r="E327" s="58">
        <v>1.51</v>
      </c>
      <c r="F327" s="58">
        <v>249.72</v>
      </c>
      <c r="G327" s="57">
        <v>-45.57</v>
      </c>
      <c r="H327">
        <v>-32.32</v>
      </c>
      <c r="I327" s="58">
        <v>0.33</v>
      </c>
      <c r="J327" s="58">
        <v>0.56000000000000005</v>
      </c>
      <c r="K327" s="58" t="s">
        <v>405</v>
      </c>
      <c r="L327" s="58">
        <v>1.65</v>
      </c>
    </row>
    <row r="328" spans="2:12" x14ac:dyDescent="0.25">
      <c r="B328" s="57" t="s">
        <v>46</v>
      </c>
      <c r="C328" s="57" t="s">
        <v>351</v>
      </c>
      <c r="D328">
        <v>28.99</v>
      </c>
      <c r="E328" s="58">
        <v>-1.7</v>
      </c>
      <c r="F328" s="58">
        <v>591.88</v>
      </c>
      <c r="G328" s="57">
        <v>-54.33</v>
      </c>
      <c r="H328">
        <v>-42.68</v>
      </c>
      <c r="I328" s="58">
        <v>0.43</v>
      </c>
      <c r="J328" s="58">
        <v>0.43</v>
      </c>
      <c r="K328" s="58" t="s">
        <v>405</v>
      </c>
      <c r="L328" s="58">
        <v>1.3</v>
      </c>
    </row>
    <row r="329" spans="2:12" x14ac:dyDescent="0.25">
      <c r="B329" s="57" t="s">
        <v>644</v>
      </c>
      <c r="C329" s="57" t="s">
        <v>645</v>
      </c>
      <c r="D329">
        <v>11.08</v>
      </c>
      <c r="E329" s="58">
        <v>0.43</v>
      </c>
      <c r="F329" s="58">
        <v>41726.14</v>
      </c>
      <c r="G329" s="57">
        <v>-35.61</v>
      </c>
      <c r="H329">
        <v>-37.74</v>
      </c>
      <c r="I329" s="58">
        <v>2.86</v>
      </c>
      <c r="J329" s="58">
        <v>0.62</v>
      </c>
      <c r="K329" s="58"/>
      <c r="L329" s="58">
        <v>11.36</v>
      </c>
    </row>
    <row r="330" spans="2:12" x14ac:dyDescent="0.25">
      <c r="B330" s="57" t="s">
        <v>159</v>
      </c>
      <c r="C330" s="57" t="s">
        <v>160</v>
      </c>
      <c r="D330">
        <v>349.92</v>
      </c>
      <c r="E330" s="58">
        <v>4.67</v>
      </c>
      <c r="F330" s="58">
        <v>0</v>
      </c>
      <c r="G330" s="57"/>
      <c r="I330" s="58">
        <v>0</v>
      </c>
      <c r="J330" s="58"/>
      <c r="K330" s="58"/>
      <c r="L330" s="58"/>
    </row>
    <row r="331" spans="2:12" x14ac:dyDescent="0.25">
      <c r="B331" s="57" t="s">
        <v>688</v>
      </c>
      <c r="C331" s="57" t="s">
        <v>689</v>
      </c>
      <c r="D331">
        <v>0</v>
      </c>
      <c r="E331" s="58">
        <v>0</v>
      </c>
      <c r="F331" s="58"/>
      <c r="G331" s="57"/>
      <c r="I331" s="58"/>
      <c r="J331" s="58"/>
      <c r="K331" s="58"/>
      <c r="L331" s="58"/>
    </row>
    <row r="332" spans="2:12" x14ac:dyDescent="0.25">
      <c r="B332" s="57" t="s">
        <v>646</v>
      </c>
      <c r="C332" s="57" t="s">
        <v>647</v>
      </c>
      <c r="D332">
        <v>48.46</v>
      </c>
      <c r="E332" s="58">
        <v>2.5099999999999998</v>
      </c>
      <c r="F332" s="58">
        <v>19884.66</v>
      </c>
      <c r="G332" s="57">
        <v>-40.83</v>
      </c>
      <c r="H332">
        <v>-35.69</v>
      </c>
      <c r="I332" s="58">
        <v>3.84</v>
      </c>
      <c r="J332" s="58">
        <v>0.61</v>
      </c>
      <c r="K332" s="58" t="s">
        <v>405</v>
      </c>
      <c r="L332" s="58">
        <v>7.57</v>
      </c>
    </row>
    <row r="333" spans="2:12" x14ac:dyDescent="0.25">
      <c r="B333" s="57" t="s">
        <v>1295</v>
      </c>
      <c r="C333" s="57" t="s">
        <v>1298</v>
      </c>
      <c r="D333">
        <v>29.52</v>
      </c>
      <c r="E333" s="58">
        <v>2.3199999999999998</v>
      </c>
      <c r="F333" s="58">
        <v>121008.17</v>
      </c>
      <c r="G333" s="57">
        <v>-49.03</v>
      </c>
      <c r="H333">
        <v>-41.23</v>
      </c>
      <c r="I333" s="58">
        <v>1.58</v>
      </c>
      <c r="J333" s="58">
        <v>0.54</v>
      </c>
      <c r="K333" s="58" t="s">
        <v>405</v>
      </c>
      <c r="L333" s="58">
        <v>7.28</v>
      </c>
    </row>
    <row r="334" spans="2:12" x14ac:dyDescent="0.25">
      <c r="B334" s="57" t="s">
        <v>81</v>
      </c>
      <c r="C334" s="57" t="s">
        <v>121</v>
      </c>
      <c r="D334">
        <v>31.56</v>
      </c>
      <c r="E334" s="58">
        <v>0.31</v>
      </c>
      <c r="F334" s="58">
        <v>1062.95</v>
      </c>
      <c r="G334" s="57">
        <v>-35.58</v>
      </c>
      <c r="H334">
        <v>0.35</v>
      </c>
      <c r="I334" s="58">
        <v>0.48</v>
      </c>
      <c r="J334" s="58">
        <v>0.85</v>
      </c>
      <c r="K334" s="58" t="s">
        <v>405</v>
      </c>
      <c r="L334" s="58">
        <v>1.41</v>
      </c>
    </row>
    <row r="335" spans="2:12" x14ac:dyDescent="0.25">
      <c r="B335" s="57" t="s">
        <v>252</v>
      </c>
      <c r="C335" s="57" t="s">
        <v>280</v>
      </c>
      <c r="D335">
        <v>24.37</v>
      </c>
      <c r="E335" s="58">
        <v>0.61</v>
      </c>
      <c r="F335" s="58">
        <v>0</v>
      </c>
      <c r="G335" s="57"/>
      <c r="I335" s="58">
        <v>0</v>
      </c>
      <c r="J335" s="58"/>
      <c r="K335" s="58"/>
      <c r="L335" s="58"/>
    </row>
    <row r="336" spans="2:12" x14ac:dyDescent="0.25">
      <c r="B336" s="57" t="s">
        <v>222</v>
      </c>
      <c r="C336" s="57" t="s">
        <v>236</v>
      </c>
      <c r="D336">
        <v>33.409999999999997</v>
      </c>
      <c r="E336" s="58">
        <v>1.47</v>
      </c>
      <c r="F336" s="58">
        <v>4289.6000000000004</v>
      </c>
      <c r="G336" s="57">
        <v>-55.01</v>
      </c>
      <c r="H336">
        <v>-51.89</v>
      </c>
      <c r="I336" s="58">
        <v>0.53</v>
      </c>
      <c r="J336" s="58">
        <v>0.48</v>
      </c>
      <c r="K336" s="58" t="s">
        <v>405</v>
      </c>
      <c r="L336" s="58">
        <v>3.25</v>
      </c>
    </row>
    <row r="337" spans="2:12" x14ac:dyDescent="0.25">
      <c r="B337" s="57" t="s">
        <v>47</v>
      </c>
      <c r="C337" s="57" t="s">
        <v>149</v>
      </c>
      <c r="D337">
        <v>8.24</v>
      </c>
      <c r="E337" s="58">
        <v>0.39</v>
      </c>
      <c r="F337" s="58">
        <v>437.13</v>
      </c>
      <c r="G337" s="57">
        <v>-50.62</v>
      </c>
      <c r="H337">
        <v>-39.35</v>
      </c>
      <c r="I337" s="58">
        <v>0.2</v>
      </c>
      <c r="J337" s="58">
        <v>0.55000000000000004</v>
      </c>
      <c r="K337" s="58" t="s">
        <v>405</v>
      </c>
      <c r="L337" s="58">
        <v>4.08</v>
      </c>
    </row>
    <row r="338" spans="2:12" x14ac:dyDescent="0.25">
      <c r="B338" s="57" t="s">
        <v>690</v>
      </c>
      <c r="C338" s="57" t="s">
        <v>691</v>
      </c>
      <c r="D338">
        <v>3.82</v>
      </c>
      <c r="E338" s="58">
        <v>0.44</v>
      </c>
      <c r="F338" s="58">
        <v>321.5</v>
      </c>
      <c r="G338" s="57">
        <v>-49.17</v>
      </c>
      <c r="H338">
        <v>-57</v>
      </c>
      <c r="I338" s="58">
        <v>0.27</v>
      </c>
      <c r="J338" s="58">
        <v>0.52</v>
      </c>
      <c r="K338" s="58" t="s">
        <v>405</v>
      </c>
      <c r="L338" s="58">
        <v>0</v>
      </c>
    </row>
    <row r="339" spans="2:12" x14ac:dyDescent="0.25">
      <c r="B339" s="57" t="s">
        <v>348</v>
      </c>
      <c r="C339" s="57" t="s">
        <v>349</v>
      </c>
      <c r="D339">
        <v>1.3</v>
      </c>
      <c r="E339" s="58">
        <v>-0.11</v>
      </c>
      <c r="F339" s="58">
        <v>184.17</v>
      </c>
      <c r="G339" s="57">
        <v>-69.41</v>
      </c>
      <c r="H339">
        <v>-74.959999999999994</v>
      </c>
      <c r="I339" s="58">
        <v>0.34</v>
      </c>
      <c r="J339" s="58">
        <v>0.33</v>
      </c>
      <c r="K339" s="58" t="s">
        <v>408</v>
      </c>
      <c r="L339" s="58">
        <v>0</v>
      </c>
    </row>
    <row r="340" spans="2:12" x14ac:dyDescent="0.25">
      <c r="B340" s="57" t="s">
        <v>320</v>
      </c>
      <c r="C340" s="57" t="s">
        <v>329</v>
      </c>
      <c r="D340">
        <v>5.35</v>
      </c>
      <c r="E340" s="58">
        <v>0.28000000000000003</v>
      </c>
      <c r="F340" s="58">
        <v>908.9</v>
      </c>
      <c r="G340" s="57">
        <v>-64.3</v>
      </c>
      <c r="H340">
        <v>-74.39</v>
      </c>
      <c r="I340" s="58">
        <v>7.0000000000000007E-2</v>
      </c>
      <c r="J340" s="58">
        <v>0.53</v>
      </c>
      <c r="K340" s="58" t="s">
        <v>408</v>
      </c>
      <c r="L340" s="58">
        <v>3.16</v>
      </c>
    </row>
    <row r="341" spans="2:12" x14ac:dyDescent="0.25">
      <c r="B341" s="57" t="s">
        <v>201</v>
      </c>
      <c r="C341" s="57" t="s">
        <v>417</v>
      </c>
      <c r="D341">
        <v>2.91</v>
      </c>
      <c r="E341" s="58">
        <v>-0.12</v>
      </c>
      <c r="F341" s="58">
        <v>197.02</v>
      </c>
      <c r="G341" s="57">
        <v>-36.42</v>
      </c>
      <c r="H341">
        <v>-28.27</v>
      </c>
      <c r="I341" s="58">
        <v>1.01</v>
      </c>
      <c r="J341" s="58">
        <v>0.44</v>
      </c>
      <c r="K341" s="58" t="s">
        <v>408</v>
      </c>
      <c r="L341" s="58">
        <v>0</v>
      </c>
    </row>
    <row r="342" spans="2:12" x14ac:dyDescent="0.25">
      <c r="B342" s="57" t="s">
        <v>954</v>
      </c>
      <c r="C342" s="57" t="s">
        <v>955</v>
      </c>
      <c r="D342">
        <v>36.799999999999997</v>
      </c>
      <c r="E342" s="58">
        <v>-0.38</v>
      </c>
      <c r="F342" s="58">
        <v>155744.62</v>
      </c>
      <c r="G342" s="57">
        <v>-45.91</v>
      </c>
      <c r="H342">
        <v>-49.18</v>
      </c>
      <c r="I342" s="58">
        <v>0.61</v>
      </c>
      <c r="J342" s="58">
        <v>0.43</v>
      </c>
      <c r="K342" s="58" t="s">
        <v>407</v>
      </c>
      <c r="L342" s="58">
        <v>9.36</v>
      </c>
    </row>
    <row r="343" spans="2:12" x14ac:dyDescent="0.25">
      <c r="B343" s="57" t="s">
        <v>48</v>
      </c>
      <c r="C343" s="57" t="s">
        <v>150</v>
      </c>
      <c r="D343">
        <v>60.37</v>
      </c>
      <c r="E343" s="58">
        <v>4.8499999999999996</v>
      </c>
      <c r="F343" s="58">
        <v>5575.62</v>
      </c>
      <c r="G343" s="57">
        <v>-33.49</v>
      </c>
      <c r="H343">
        <v>13.26</v>
      </c>
      <c r="I343" s="58">
        <v>0.38</v>
      </c>
      <c r="J343" s="58">
        <v>0.94</v>
      </c>
      <c r="K343" s="58" t="s">
        <v>405</v>
      </c>
      <c r="L343" s="58">
        <v>0</v>
      </c>
    </row>
    <row r="344" spans="2:12" x14ac:dyDescent="0.25">
      <c r="B344" s="57" t="s">
        <v>710</v>
      </c>
      <c r="C344" s="57" t="s">
        <v>784</v>
      </c>
      <c r="D344">
        <v>41.52</v>
      </c>
      <c r="E344" s="58">
        <v>2.2799999999999998</v>
      </c>
      <c r="F344" s="58">
        <v>15603.93</v>
      </c>
      <c r="G344" s="57">
        <v>-15.32</v>
      </c>
      <c r="H344">
        <v>-3.45</v>
      </c>
      <c r="I344" s="58">
        <v>1.83</v>
      </c>
      <c r="J344" s="58">
        <v>0.77</v>
      </c>
      <c r="K344" s="58" t="s">
        <v>407</v>
      </c>
      <c r="L344" s="58">
        <v>1.22</v>
      </c>
    </row>
    <row r="345" spans="2:12" x14ac:dyDescent="0.25">
      <c r="B345" s="57" t="s">
        <v>692</v>
      </c>
      <c r="C345" s="57" t="s">
        <v>693</v>
      </c>
      <c r="D345">
        <v>2.9</v>
      </c>
      <c r="E345" s="58">
        <v>0.47</v>
      </c>
      <c r="F345" s="58">
        <v>85.71</v>
      </c>
      <c r="G345" s="57">
        <v>-68.599999999999994</v>
      </c>
      <c r="H345">
        <v>-77.56</v>
      </c>
      <c r="I345" s="58">
        <v>0.17</v>
      </c>
      <c r="J345" s="58">
        <v>0.44</v>
      </c>
      <c r="K345" s="58" t="s">
        <v>408</v>
      </c>
      <c r="L345" s="58">
        <v>0</v>
      </c>
    </row>
    <row r="346" spans="2:12" x14ac:dyDescent="0.25">
      <c r="B346" s="57" t="s">
        <v>319</v>
      </c>
      <c r="C346" s="57" t="s">
        <v>330</v>
      </c>
      <c r="D346">
        <v>18.899999999999999</v>
      </c>
      <c r="E346" s="58">
        <v>0.56999999999999995</v>
      </c>
      <c r="F346" s="58">
        <v>487.67</v>
      </c>
      <c r="G346" s="57">
        <v>-45.49</v>
      </c>
      <c r="H346">
        <v>-25.31</v>
      </c>
      <c r="I346" s="58">
        <v>0.47</v>
      </c>
      <c r="J346" s="58">
        <v>0.61</v>
      </c>
      <c r="K346" s="58" t="s">
        <v>405</v>
      </c>
      <c r="L346" s="58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B1:K336"/>
  <sheetViews>
    <sheetView workbookViewId="0">
      <selection activeCell="B3" sqref="B3"/>
    </sheetView>
  </sheetViews>
  <sheetFormatPr defaultRowHeight="14.25" x14ac:dyDescent="0.25"/>
  <cols>
    <col min="1" max="1" width="1.28515625" customWidth="1"/>
    <col min="2" max="2" width="26" bestFit="1" customWidth="1"/>
    <col min="3" max="3" width="37.5703125" bestFit="1" customWidth="1"/>
    <col min="4" max="4" width="12.85546875" bestFit="1" customWidth="1"/>
    <col min="5" max="5" width="8.5703125" bestFit="1" customWidth="1"/>
    <col min="6" max="6" width="20.7109375" bestFit="1" customWidth="1"/>
    <col min="7" max="7" width="21.5703125" bestFit="1" customWidth="1"/>
    <col min="8" max="8" width="10" bestFit="1" customWidth="1"/>
    <col min="9" max="9" width="14" bestFit="1" customWidth="1"/>
    <col min="10" max="10" width="19.5703125" bestFit="1" customWidth="1"/>
    <col min="11" max="11" width="18.85546875" bestFit="1" customWidth="1"/>
    <col min="12" max="12" width="19.5703125" bestFit="1" customWidth="1"/>
    <col min="13" max="13" width="18.85546875" bestFit="1" customWidth="1"/>
  </cols>
  <sheetData>
    <row r="1" spans="2:11" ht="6" customHeight="1" x14ac:dyDescent="0.25"/>
    <row r="2" spans="2:11" x14ac:dyDescent="0.25">
      <c r="B2" s="57" t="s">
        <v>460</v>
      </c>
      <c r="C2" s="57" t="s">
        <v>1260</v>
      </c>
    </row>
    <row r="3" spans="2:11" x14ac:dyDescent="0.25">
      <c r="B3" s="57" t="s">
        <v>0</v>
      </c>
      <c r="C3" s="57" t="s">
        <v>1</v>
      </c>
      <c r="D3" t="s">
        <v>100</v>
      </c>
      <c r="E3" t="s">
        <v>101</v>
      </c>
      <c r="F3" t="s">
        <v>102</v>
      </c>
      <c r="G3" t="s">
        <v>103</v>
      </c>
      <c r="H3" s="57" t="s">
        <v>104</v>
      </c>
      <c r="I3" t="s">
        <v>385</v>
      </c>
      <c r="J3" t="s">
        <v>404</v>
      </c>
      <c r="K3" t="s">
        <v>696</v>
      </c>
    </row>
    <row r="4" spans="2:11" x14ac:dyDescent="0.25">
      <c r="B4" s="57" t="s">
        <v>13</v>
      </c>
      <c r="C4" s="57" t="s">
        <v>418</v>
      </c>
      <c r="D4">
        <v>7.26</v>
      </c>
      <c r="E4">
        <v>0.05</v>
      </c>
      <c r="F4">
        <v>-8.85</v>
      </c>
      <c r="G4">
        <v>-20.39</v>
      </c>
      <c r="H4" s="57" t="s">
        <v>1070</v>
      </c>
      <c r="I4">
        <v>0.84</v>
      </c>
      <c r="J4" s="58"/>
      <c r="K4">
        <v>0</v>
      </c>
    </row>
    <row r="5" spans="2:11" x14ac:dyDescent="0.25">
      <c r="B5" s="57" t="s">
        <v>77</v>
      </c>
      <c r="C5" s="57" t="s">
        <v>353</v>
      </c>
      <c r="D5">
        <v>27.12</v>
      </c>
      <c r="E5">
        <v>0.2</v>
      </c>
      <c r="F5">
        <v>18.850000000000001</v>
      </c>
      <c r="G5">
        <v>30.94</v>
      </c>
      <c r="H5" s="57" t="s">
        <v>1071</v>
      </c>
      <c r="I5">
        <v>0.45</v>
      </c>
      <c r="J5" s="58" t="s">
        <v>408</v>
      </c>
      <c r="K5">
        <v>0</v>
      </c>
    </row>
    <row r="6" spans="2:11" x14ac:dyDescent="0.25">
      <c r="B6" s="57" t="s">
        <v>94</v>
      </c>
      <c r="C6" s="57" t="s">
        <v>419</v>
      </c>
      <c r="D6">
        <v>28.62</v>
      </c>
      <c r="E6">
        <v>-0.57999999999999996</v>
      </c>
      <c r="F6">
        <v>12.71</v>
      </c>
      <c r="G6">
        <v>-6.3</v>
      </c>
      <c r="H6" s="57" t="s">
        <v>1072</v>
      </c>
      <c r="I6">
        <v>0.8</v>
      </c>
      <c r="J6" s="58" t="s">
        <v>408</v>
      </c>
      <c r="K6">
        <v>1.04</v>
      </c>
    </row>
    <row r="7" spans="2:11" x14ac:dyDescent="0.25">
      <c r="B7" s="57" t="s">
        <v>357</v>
      </c>
      <c r="C7" s="57" t="s">
        <v>358</v>
      </c>
      <c r="D7">
        <v>199.65</v>
      </c>
      <c r="E7">
        <v>2.6</v>
      </c>
      <c r="F7">
        <v>8.44</v>
      </c>
      <c r="G7">
        <v>42.97</v>
      </c>
      <c r="H7" s="57" t="s">
        <v>1073</v>
      </c>
      <c r="I7" s="58">
        <v>0.87</v>
      </c>
      <c r="J7" s="58" t="s">
        <v>407</v>
      </c>
      <c r="K7">
        <v>1.54</v>
      </c>
    </row>
    <row r="8" spans="2:11" x14ac:dyDescent="0.25">
      <c r="B8" s="57" t="s">
        <v>263</v>
      </c>
      <c r="C8" s="57" t="s">
        <v>271</v>
      </c>
      <c r="D8">
        <v>18.59</v>
      </c>
      <c r="E8">
        <v>0.01</v>
      </c>
      <c r="F8">
        <v>18.48</v>
      </c>
      <c r="G8">
        <v>-8.89</v>
      </c>
      <c r="H8" s="57" t="s">
        <v>1074</v>
      </c>
      <c r="I8" s="58">
        <v>0.96</v>
      </c>
      <c r="J8" s="58" t="s">
        <v>405</v>
      </c>
      <c r="K8">
        <v>0</v>
      </c>
    </row>
    <row r="9" spans="2:11" x14ac:dyDescent="0.25">
      <c r="B9" s="57" t="s">
        <v>264</v>
      </c>
      <c r="C9" s="57" t="s">
        <v>272</v>
      </c>
      <c r="D9">
        <v>20.43</v>
      </c>
      <c r="E9">
        <v>0.3</v>
      </c>
      <c r="F9">
        <v>32.14</v>
      </c>
      <c r="G9">
        <v>36.299999999999997</v>
      </c>
      <c r="H9" s="57" t="s">
        <v>1075</v>
      </c>
      <c r="I9">
        <v>1.01</v>
      </c>
      <c r="J9" s="58" t="s">
        <v>405</v>
      </c>
      <c r="K9">
        <v>0</v>
      </c>
    </row>
    <row r="10" spans="2:11" x14ac:dyDescent="0.25">
      <c r="B10" s="57" t="s">
        <v>265</v>
      </c>
      <c r="C10" s="57" t="s">
        <v>273</v>
      </c>
      <c r="D10">
        <v>16.850000000000001</v>
      </c>
      <c r="E10">
        <v>0.24</v>
      </c>
      <c r="F10">
        <v>-3.59</v>
      </c>
      <c r="G10">
        <v>-18.54</v>
      </c>
      <c r="H10" s="57" t="s">
        <v>1076</v>
      </c>
      <c r="I10">
        <v>0.7</v>
      </c>
      <c r="J10" s="58" t="s">
        <v>408</v>
      </c>
      <c r="K10">
        <v>4.7300000000000004</v>
      </c>
    </row>
    <row r="11" spans="2:11" x14ac:dyDescent="0.25">
      <c r="B11" s="57" t="s">
        <v>122</v>
      </c>
      <c r="C11" s="57" t="s">
        <v>123</v>
      </c>
      <c r="D11">
        <v>276.55</v>
      </c>
      <c r="E11">
        <v>7.0000000000000007E-2</v>
      </c>
      <c r="F11">
        <v>2.1</v>
      </c>
      <c r="G11">
        <v>-8.3000000000000007</v>
      </c>
      <c r="H11" s="57" t="s">
        <v>1077</v>
      </c>
      <c r="I11">
        <v>0.79</v>
      </c>
      <c r="J11" s="58" t="s">
        <v>405</v>
      </c>
      <c r="K11">
        <v>1.1100000000000001</v>
      </c>
    </row>
    <row r="12" spans="2:11" x14ac:dyDescent="0.25">
      <c r="B12" s="57" t="s">
        <v>314</v>
      </c>
      <c r="C12" s="57" t="s">
        <v>321</v>
      </c>
      <c r="D12">
        <v>23.16</v>
      </c>
      <c r="E12">
        <v>0.08</v>
      </c>
      <c r="F12">
        <v>-25.58</v>
      </c>
      <c r="G12">
        <v>-36.880000000000003</v>
      </c>
      <c r="H12" s="57" t="s">
        <v>1078</v>
      </c>
      <c r="I12">
        <v>0.78</v>
      </c>
      <c r="J12" t="s">
        <v>405</v>
      </c>
      <c r="K12">
        <v>1.39</v>
      </c>
    </row>
    <row r="13" spans="2:11" x14ac:dyDescent="0.25">
      <c r="B13" s="57" t="s">
        <v>14</v>
      </c>
      <c r="C13" s="57" t="s">
        <v>106</v>
      </c>
      <c r="D13">
        <v>18.75</v>
      </c>
      <c r="E13">
        <v>-0.03</v>
      </c>
      <c r="F13">
        <v>-18.43</v>
      </c>
      <c r="G13">
        <v>-38.200000000000003</v>
      </c>
      <c r="H13" s="57" t="s">
        <v>1079</v>
      </c>
      <c r="I13">
        <v>0.67</v>
      </c>
      <c r="J13" s="58" t="s">
        <v>405</v>
      </c>
      <c r="K13">
        <v>0</v>
      </c>
    </row>
    <row r="14" spans="2:11" x14ac:dyDescent="0.25">
      <c r="B14" s="57" t="s">
        <v>318</v>
      </c>
      <c r="C14" s="57" t="s">
        <v>322</v>
      </c>
      <c r="D14">
        <v>4.47</v>
      </c>
      <c r="E14">
        <v>0.19</v>
      </c>
      <c r="F14">
        <v>-43.81</v>
      </c>
      <c r="G14">
        <v>-91.1</v>
      </c>
      <c r="H14" s="57" t="s">
        <v>1080</v>
      </c>
      <c r="I14" s="58">
        <v>0.22</v>
      </c>
      <c r="J14" s="58" t="s">
        <v>406</v>
      </c>
      <c r="K14">
        <v>0</v>
      </c>
    </row>
    <row r="15" spans="2:11" x14ac:dyDescent="0.25">
      <c r="B15" s="57" t="s">
        <v>151</v>
      </c>
      <c r="C15" s="57" t="s">
        <v>152</v>
      </c>
      <c r="D15">
        <v>19.57</v>
      </c>
      <c r="E15">
        <v>7.0000000000000007E-2</v>
      </c>
      <c r="F15">
        <v>-15.97</v>
      </c>
      <c r="G15">
        <v>-28.84</v>
      </c>
      <c r="H15" s="57" t="s">
        <v>1081</v>
      </c>
      <c r="I15" s="58">
        <v>0.72</v>
      </c>
      <c r="J15" s="58" t="s">
        <v>405</v>
      </c>
      <c r="K15">
        <v>0</v>
      </c>
    </row>
    <row r="16" spans="2:11" x14ac:dyDescent="0.25">
      <c r="B16" s="57" t="s">
        <v>171</v>
      </c>
      <c r="C16" s="57" t="s">
        <v>172</v>
      </c>
      <c r="D16">
        <v>97.96</v>
      </c>
      <c r="E16">
        <v>-0.15</v>
      </c>
      <c r="F16">
        <v>16.68</v>
      </c>
      <c r="G16">
        <v>62.32</v>
      </c>
      <c r="H16" s="57" t="s">
        <v>1082</v>
      </c>
      <c r="I16" s="58">
        <v>0.87</v>
      </c>
      <c r="J16" s="58" t="s">
        <v>407</v>
      </c>
      <c r="K16">
        <v>0</v>
      </c>
    </row>
    <row r="17" spans="2:11" x14ac:dyDescent="0.25">
      <c r="B17" s="57" t="s">
        <v>224</v>
      </c>
      <c r="C17" s="57" t="s">
        <v>225</v>
      </c>
      <c r="D17">
        <v>344.67</v>
      </c>
      <c r="E17">
        <v>7.92</v>
      </c>
      <c r="F17">
        <v>-3.02</v>
      </c>
      <c r="G17">
        <v>-14.95</v>
      </c>
      <c r="H17" s="57" t="s">
        <v>1083</v>
      </c>
      <c r="I17">
        <v>1.03</v>
      </c>
      <c r="J17" s="58" t="s">
        <v>405</v>
      </c>
      <c r="K17">
        <v>2.4900000000000002</v>
      </c>
    </row>
    <row r="18" spans="2:11" x14ac:dyDescent="0.25">
      <c r="B18" s="57" t="s">
        <v>87</v>
      </c>
      <c r="C18" s="57" t="s">
        <v>125</v>
      </c>
      <c r="D18">
        <v>14.54</v>
      </c>
      <c r="E18">
        <v>-0.15</v>
      </c>
      <c r="F18">
        <v>5.29</v>
      </c>
      <c r="G18">
        <v>-46.75</v>
      </c>
      <c r="H18" s="57" t="s">
        <v>1084</v>
      </c>
      <c r="I18" s="58">
        <v>0.67</v>
      </c>
      <c r="J18" s="58"/>
      <c r="K18">
        <v>2.5099999999999998</v>
      </c>
    </row>
    <row r="19" spans="2:11" x14ac:dyDescent="0.25">
      <c r="B19" s="57" t="s">
        <v>285</v>
      </c>
      <c r="C19" s="57" t="s">
        <v>292</v>
      </c>
      <c r="D19">
        <v>85.26</v>
      </c>
      <c r="E19">
        <v>0.86</v>
      </c>
      <c r="F19">
        <v>-8.17</v>
      </c>
      <c r="G19">
        <v>35.130000000000003</v>
      </c>
      <c r="H19" s="57" t="s">
        <v>1077</v>
      </c>
      <c r="I19" s="58">
        <v>1.04</v>
      </c>
      <c r="J19" s="58" t="s">
        <v>405</v>
      </c>
      <c r="K19">
        <v>1.26</v>
      </c>
    </row>
    <row r="20" spans="2:11" x14ac:dyDescent="0.25">
      <c r="B20" s="57" t="s">
        <v>212</v>
      </c>
      <c r="C20" s="57" t="s">
        <v>226</v>
      </c>
      <c r="D20">
        <v>3.96</v>
      </c>
      <c r="E20">
        <v>-0.04</v>
      </c>
      <c r="F20">
        <v>-9.31</v>
      </c>
      <c r="G20">
        <v>-30.98</v>
      </c>
      <c r="H20" s="57" t="s">
        <v>1084</v>
      </c>
      <c r="I20">
        <v>0.71</v>
      </c>
      <c r="J20" s="58" t="s">
        <v>408</v>
      </c>
      <c r="K20">
        <v>1.18</v>
      </c>
    </row>
    <row r="21" spans="2:11" x14ac:dyDescent="0.25">
      <c r="B21" s="57" t="s">
        <v>251</v>
      </c>
      <c r="C21" s="57" t="s">
        <v>257</v>
      </c>
      <c r="D21">
        <v>88.7</v>
      </c>
      <c r="E21">
        <v>1.68</v>
      </c>
      <c r="F21">
        <v>18.77</v>
      </c>
      <c r="G21">
        <v>52.44</v>
      </c>
      <c r="H21" s="57" t="s">
        <v>1085</v>
      </c>
      <c r="I21">
        <v>1.3</v>
      </c>
      <c r="J21" s="58" t="s">
        <v>407</v>
      </c>
      <c r="K21">
        <v>2.23</v>
      </c>
    </row>
    <row r="22" spans="2:11" x14ac:dyDescent="0.25">
      <c r="B22" s="57" t="s">
        <v>88</v>
      </c>
      <c r="C22" s="57" t="s">
        <v>89</v>
      </c>
      <c r="D22">
        <v>37.479999999999997</v>
      </c>
      <c r="E22">
        <v>0.05</v>
      </c>
      <c r="F22">
        <v>5.2</v>
      </c>
      <c r="G22">
        <v>43.36</v>
      </c>
      <c r="H22" s="57" t="s">
        <v>1086</v>
      </c>
      <c r="I22" s="58">
        <v>0.95</v>
      </c>
      <c r="J22" s="58" t="s">
        <v>405</v>
      </c>
      <c r="K22">
        <v>0.97</v>
      </c>
    </row>
    <row r="23" spans="2:11" x14ac:dyDescent="0.25">
      <c r="B23" s="57" t="s">
        <v>153</v>
      </c>
      <c r="C23" s="57" t="s">
        <v>154</v>
      </c>
      <c r="D23">
        <v>20.100000000000001</v>
      </c>
      <c r="E23">
        <v>0</v>
      </c>
      <c r="H23" s="57"/>
      <c r="I23" s="58"/>
      <c r="J23" s="58"/>
    </row>
    <row r="24" spans="2:11" x14ac:dyDescent="0.25">
      <c r="B24" s="57" t="s">
        <v>218</v>
      </c>
      <c r="C24" s="57" t="s">
        <v>227</v>
      </c>
      <c r="D24">
        <v>119.07</v>
      </c>
      <c r="E24">
        <v>3.17</v>
      </c>
      <c r="F24">
        <v>5.8</v>
      </c>
      <c r="G24">
        <v>118.84</v>
      </c>
      <c r="H24" s="57" t="s">
        <v>1087</v>
      </c>
      <c r="I24" s="58">
        <v>1.19</v>
      </c>
      <c r="J24" s="58" t="s">
        <v>407</v>
      </c>
      <c r="K24">
        <v>0</v>
      </c>
    </row>
    <row r="25" spans="2:11" x14ac:dyDescent="0.25">
      <c r="B25" s="57" t="s">
        <v>202</v>
      </c>
      <c r="C25" s="57" t="s">
        <v>203</v>
      </c>
      <c r="D25">
        <v>25.11</v>
      </c>
      <c r="E25">
        <v>0.59</v>
      </c>
      <c r="F25">
        <v>4.0599999999999996</v>
      </c>
      <c r="G25">
        <v>88.76</v>
      </c>
      <c r="H25" s="57" t="s">
        <v>1088</v>
      </c>
      <c r="I25" s="58">
        <v>1.01</v>
      </c>
      <c r="J25" s="58" t="s">
        <v>405</v>
      </c>
      <c r="K25">
        <v>0</v>
      </c>
    </row>
    <row r="26" spans="2:11" x14ac:dyDescent="0.25">
      <c r="B26" s="57" t="s">
        <v>266</v>
      </c>
      <c r="C26" s="57" t="s">
        <v>274</v>
      </c>
      <c r="D26">
        <v>33.1</v>
      </c>
      <c r="E26">
        <v>-2.62</v>
      </c>
      <c r="F26">
        <v>-3.67</v>
      </c>
      <c r="G26">
        <v>43.04</v>
      </c>
      <c r="H26" s="57" t="s">
        <v>1089</v>
      </c>
      <c r="I26" s="58">
        <v>0.93</v>
      </c>
      <c r="J26" s="58" t="s">
        <v>405</v>
      </c>
      <c r="K26">
        <v>0</v>
      </c>
    </row>
    <row r="27" spans="2:11" x14ac:dyDescent="0.25">
      <c r="B27" s="57" t="s">
        <v>591</v>
      </c>
      <c r="C27" s="57" t="s">
        <v>592</v>
      </c>
      <c r="D27">
        <v>44.44</v>
      </c>
      <c r="E27">
        <v>-0.02</v>
      </c>
      <c r="F27">
        <v>25.64</v>
      </c>
      <c r="G27">
        <v>34.369999999999997</v>
      </c>
      <c r="H27" s="57" t="s">
        <v>1090</v>
      </c>
      <c r="I27">
        <v>0.75</v>
      </c>
      <c r="J27" s="58"/>
      <c r="K27">
        <v>5.83</v>
      </c>
    </row>
    <row r="28" spans="2:11" x14ac:dyDescent="0.25">
      <c r="B28" s="57" t="s">
        <v>368</v>
      </c>
      <c r="C28" s="57" t="s">
        <v>369</v>
      </c>
      <c r="D28">
        <v>8.31</v>
      </c>
      <c r="E28">
        <v>-0.19</v>
      </c>
      <c r="F28">
        <v>-17.66</v>
      </c>
      <c r="G28">
        <v>-64.56</v>
      </c>
      <c r="H28" s="57" t="s">
        <v>1091</v>
      </c>
      <c r="I28">
        <v>0.54</v>
      </c>
      <c r="J28" s="58" t="s">
        <v>408</v>
      </c>
      <c r="K28">
        <v>6.02</v>
      </c>
    </row>
    <row r="29" spans="2:11" x14ac:dyDescent="0.25">
      <c r="B29" s="57" t="s">
        <v>593</v>
      </c>
      <c r="C29" s="57" t="s">
        <v>594</v>
      </c>
      <c r="D29">
        <v>74.59</v>
      </c>
      <c r="E29">
        <v>-0.21</v>
      </c>
      <c r="F29">
        <v>-2.36</v>
      </c>
      <c r="G29">
        <v>0.35</v>
      </c>
      <c r="H29" s="57" t="s">
        <v>1092</v>
      </c>
      <c r="I29" s="58">
        <v>0.64</v>
      </c>
      <c r="J29" s="58" t="s">
        <v>405</v>
      </c>
      <c r="K29">
        <v>2.62</v>
      </c>
    </row>
    <row r="30" spans="2:11" x14ac:dyDescent="0.25">
      <c r="B30" s="57" t="s">
        <v>33</v>
      </c>
      <c r="C30" s="57" t="s">
        <v>124</v>
      </c>
      <c r="D30">
        <v>13.74</v>
      </c>
      <c r="E30">
        <v>0.4</v>
      </c>
      <c r="F30">
        <v>-9.5399999999999991</v>
      </c>
      <c r="G30">
        <v>11.88</v>
      </c>
      <c r="H30" s="57" t="s">
        <v>1091</v>
      </c>
      <c r="I30" s="58">
        <v>0.76</v>
      </c>
      <c r="J30" s="58" t="s">
        <v>408</v>
      </c>
      <c r="K30">
        <v>0</v>
      </c>
    </row>
    <row r="31" spans="2:11" x14ac:dyDescent="0.25">
      <c r="B31" s="57" t="s">
        <v>441</v>
      </c>
      <c r="C31" s="57" t="s">
        <v>447</v>
      </c>
      <c r="D31">
        <v>8.8000000000000007</v>
      </c>
      <c r="E31">
        <v>0.23</v>
      </c>
      <c r="F31">
        <v>-8.7899999999999991</v>
      </c>
      <c r="G31">
        <v>-31.36</v>
      </c>
      <c r="H31" s="57" t="s">
        <v>1093</v>
      </c>
      <c r="I31" s="58">
        <v>0.53</v>
      </c>
      <c r="J31" s="58"/>
      <c r="K31">
        <v>0.69</v>
      </c>
    </row>
    <row r="32" spans="2:11" x14ac:dyDescent="0.25">
      <c r="B32" s="57" t="s">
        <v>15</v>
      </c>
      <c r="C32" s="57" t="s">
        <v>161</v>
      </c>
      <c r="D32">
        <v>5.65</v>
      </c>
      <c r="E32">
        <v>7.0000000000000007E-2</v>
      </c>
      <c r="F32">
        <v>-25.51</v>
      </c>
      <c r="G32">
        <v>-35.229999999999997</v>
      </c>
      <c r="H32" s="57" t="s">
        <v>1094</v>
      </c>
      <c r="I32" s="58">
        <v>0.77</v>
      </c>
      <c r="J32" s="58" t="s">
        <v>405</v>
      </c>
      <c r="K32">
        <v>0</v>
      </c>
    </row>
    <row r="33" spans="2:11" x14ac:dyDescent="0.25">
      <c r="B33" s="57" t="s">
        <v>204</v>
      </c>
      <c r="C33" s="57" t="s">
        <v>1044</v>
      </c>
      <c r="D33">
        <v>33.409999999999997</v>
      </c>
      <c r="E33">
        <v>0.54</v>
      </c>
      <c r="F33">
        <v>18.95</v>
      </c>
      <c r="G33">
        <v>75.73</v>
      </c>
      <c r="H33" s="57" t="s">
        <v>1095</v>
      </c>
      <c r="I33" s="58">
        <v>0.84</v>
      </c>
      <c r="J33" s="58" t="s">
        <v>405</v>
      </c>
      <c r="K33">
        <v>4.16</v>
      </c>
    </row>
    <row r="34" spans="2:11" x14ac:dyDescent="0.25">
      <c r="B34" s="57" t="s">
        <v>281</v>
      </c>
      <c r="C34" s="57" t="s">
        <v>293</v>
      </c>
      <c r="D34">
        <v>39.1</v>
      </c>
      <c r="E34">
        <v>0.1</v>
      </c>
      <c r="F34">
        <v>11.55</v>
      </c>
      <c r="G34">
        <v>15.34</v>
      </c>
      <c r="H34" s="57" t="s">
        <v>1096</v>
      </c>
      <c r="I34" s="58">
        <v>1.03</v>
      </c>
      <c r="J34" s="58" t="s">
        <v>407</v>
      </c>
      <c r="K34">
        <v>0</v>
      </c>
    </row>
    <row r="35" spans="2:11" x14ac:dyDescent="0.25">
      <c r="B35" s="57" t="s">
        <v>16</v>
      </c>
      <c r="C35" s="57" t="s">
        <v>108</v>
      </c>
      <c r="D35">
        <v>4.07</v>
      </c>
      <c r="E35">
        <v>-0.08</v>
      </c>
      <c r="F35">
        <v>18.75</v>
      </c>
      <c r="G35">
        <v>29.41</v>
      </c>
      <c r="H35" s="57" t="s">
        <v>1097</v>
      </c>
      <c r="I35">
        <v>0.67</v>
      </c>
      <c r="J35" s="58" t="s">
        <v>405</v>
      </c>
      <c r="K35">
        <v>0</v>
      </c>
    </row>
    <row r="36" spans="2:11" x14ac:dyDescent="0.25">
      <c r="B36" s="57" t="s">
        <v>210</v>
      </c>
      <c r="C36" s="57" t="s">
        <v>354</v>
      </c>
      <c r="D36">
        <v>1.34</v>
      </c>
      <c r="E36">
        <v>-0.05</v>
      </c>
      <c r="F36">
        <v>-2.1</v>
      </c>
      <c r="G36">
        <v>-34.880000000000003</v>
      </c>
      <c r="H36" s="57" t="s">
        <v>1098</v>
      </c>
      <c r="I36" s="58">
        <v>0.52</v>
      </c>
      <c r="J36" s="58" t="s">
        <v>405</v>
      </c>
      <c r="K36">
        <v>0</v>
      </c>
    </row>
    <row r="37" spans="2:11" x14ac:dyDescent="0.25">
      <c r="B37" s="57" t="s">
        <v>576</v>
      </c>
      <c r="C37" s="57" t="s">
        <v>603</v>
      </c>
      <c r="D37">
        <v>58.51</v>
      </c>
      <c r="E37">
        <v>-0.38</v>
      </c>
      <c r="F37">
        <v>9.31</v>
      </c>
      <c r="G37">
        <v>18.13</v>
      </c>
      <c r="H37" s="57" t="s">
        <v>1099</v>
      </c>
      <c r="I37">
        <v>0.73</v>
      </c>
      <c r="J37" s="58" t="s">
        <v>405</v>
      </c>
      <c r="K37">
        <v>4.7300000000000004</v>
      </c>
    </row>
    <row r="38" spans="2:11" x14ac:dyDescent="0.25">
      <c r="B38" s="57" t="s">
        <v>17</v>
      </c>
      <c r="C38" s="57" t="s">
        <v>162</v>
      </c>
      <c r="D38">
        <v>30.49</v>
      </c>
      <c r="E38">
        <v>0.8</v>
      </c>
      <c r="F38">
        <v>-12.18</v>
      </c>
      <c r="G38">
        <v>18.98</v>
      </c>
      <c r="H38" s="57" t="s">
        <v>1100</v>
      </c>
      <c r="I38" s="58">
        <v>1.03</v>
      </c>
      <c r="J38" s="58" t="s">
        <v>405</v>
      </c>
      <c r="K38">
        <v>1.34</v>
      </c>
    </row>
    <row r="39" spans="2:11" x14ac:dyDescent="0.25">
      <c r="B39" s="57" t="s">
        <v>184</v>
      </c>
      <c r="C39" s="57" t="s">
        <v>185</v>
      </c>
      <c r="D39">
        <v>63</v>
      </c>
      <c r="E39">
        <v>-0.16</v>
      </c>
      <c r="F39">
        <v>26.6</v>
      </c>
      <c r="G39">
        <v>2.0099999999999998</v>
      </c>
      <c r="H39" s="57" t="s">
        <v>1101</v>
      </c>
      <c r="I39">
        <v>0.92</v>
      </c>
      <c r="J39" s="58" t="s">
        <v>405</v>
      </c>
      <c r="K39">
        <v>0</v>
      </c>
    </row>
    <row r="40" spans="2:11" x14ac:dyDescent="0.25">
      <c r="B40" s="57" t="s">
        <v>127</v>
      </c>
      <c r="C40" s="57" t="s">
        <v>128</v>
      </c>
      <c r="D40">
        <v>9.2899999999999991</v>
      </c>
      <c r="E40">
        <v>-0.03</v>
      </c>
      <c r="F40">
        <v>-8.49</v>
      </c>
      <c r="G40">
        <v>1.31</v>
      </c>
      <c r="H40" s="57" t="s">
        <v>1102</v>
      </c>
      <c r="I40" s="58">
        <v>0.77</v>
      </c>
      <c r="J40" s="58" t="s">
        <v>405</v>
      </c>
      <c r="K40">
        <v>2.0099999999999998</v>
      </c>
    </row>
    <row r="41" spans="2:11" x14ac:dyDescent="0.25">
      <c r="B41" s="57" t="s">
        <v>21</v>
      </c>
      <c r="C41" s="57" t="s">
        <v>109</v>
      </c>
      <c r="D41">
        <v>9.06</v>
      </c>
      <c r="E41">
        <v>-0.1</v>
      </c>
      <c r="F41">
        <v>-59.7</v>
      </c>
      <c r="G41">
        <v>-54.67</v>
      </c>
      <c r="H41" s="57" t="s">
        <v>1103</v>
      </c>
      <c r="I41">
        <v>0.56999999999999995</v>
      </c>
      <c r="J41" s="58" t="s">
        <v>408</v>
      </c>
      <c r="K41">
        <v>0</v>
      </c>
    </row>
    <row r="42" spans="2:11" x14ac:dyDescent="0.25">
      <c r="B42" s="57" t="s">
        <v>311</v>
      </c>
      <c r="C42" s="57" t="s">
        <v>323</v>
      </c>
      <c r="D42">
        <v>6.94</v>
      </c>
      <c r="E42">
        <v>0.02</v>
      </c>
      <c r="F42">
        <v>-17.11</v>
      </c>
      <c r="G42">
        <v>-66.459999999999994</v>
      </c>
      <c r="H42" s="57" t="s">
        <v>1104</v>
      </c>
      <c r="I42">
        <v>0.69</v>
      </c>
      <c r="J42" s="58" t="s">
        <v>408</v>
      </c>
      <c r="K42">
        <v>0</v>
      </c>
    </row>
    <row r="43" spans="2:11" x14ac:dyDescent="0.25">
      <c r="B43" s="57" t="s">
        <v>241</v>
      </c>
      <c r="C43" s="57" t="s">
        <v>244</v>
      </c>
      <c r="D43">
        <v>36.49</v>
      </c>
      <c r="E43">
        <v>-1.35</v>
      </c>
      <c r="F43">
        <v>11.69</v>
      </c>
      <c r="G43">
        <v>43.74</v>
      </c>
      <c r="H43" s="57" t="s">
        <v>1105</v>
      </c>
      <c r="I43" s="58">
        <v>0.97</v>
      </c>
      <c r="J43" s="58" t="s">
        <v>407</v>
      </c>
      <c r="K43">
        <v>0</v>
      </c>
    </row>
    <row r="44" spans="2:11" x14ac:dyDescent="0.25">
      <c r="B44" s="57" t="s">
        <v>19</v>
      </c>
      <c r="C44" s="57" t="s">
        <v>1045</v>
      </c>
      <c r="D44">
        <v>12.71</v>
      </c>
      <c r="E44">
        <v>-0.04</v>
      </c>
      <c r="F44">
        <v>-7.63</v>
      </c>
      <c r="G44">
        <v>47.13</v>
      </c>
      <c r="H44" s="57" t="s">
        <v>1106</v>
      </c>
      <c r="I44" s="58">
        <v>0.97</v>
      </c>
      <c r="J44" s="58" t="s">
        <v>405</v>
      </c>
      <c r="K44">
        <v>0</v>
      </c>
    </row>
    <row r="45" spans="2:11" x14ac:dyDescent="0.25">
      <c r="B45" s="57" t="s">
        <v>211</v>
      </c>
      <c r="C45" s="57" t="s">
        <v>355</v>
      </c>
      <c r="D45">
        <v>63.97</v>
      </c>
      <c r="E45">
        <v>-0.89</v>
      </c>
      <c r="F45">
        <v>-12.02</v>
      </c>
      <c r="G45">
        <v>0.52</v>
      </c>
      <c r="H45" s="57" t="s">
        <v>1107</v>
      </c>
      <c r="I45" s="58">
        <v>0.98</v>
      </c>
      <c r="J45" s="58" t="s">
        <v>405</v>
      </c>
      <c r="K45">
        <v>0.4</v>
      </c>
    </row>
    <row r="46" spans="2:11" x14ac:dyDescent="0.25">
      <c r="B46" s="57" t="s">
        <v>442</v>
      </c>
      <c r="C46" s="57" t="s">
        <v>446</v>
      </c>
      <c r="D46">
        <v>8.9600000000000009</v>
      </c>
      <c r="E46">
        <v>0.03</v>
      </c>
      <c r="F46">
        <v>4.28</v>
      </c>
      <c r="G46">
        <v>18.75</v>
      </c>
      <c r="H46" s="57" t="s">
        <v>1108</v>
      </c>
      <c r="I46">
        <v>0.64</v>
      </c>
      <c r="J46" s="58" t="s">
        <v>407</v>
      </c>
      <c r="K46">
        <v>1.76</v>
      </c>
    </row>
    <row r="47" spans="2:11" x14ac:dyDescent="0.25">
      <c r="B47" s="57" t="s">
        <v>24</v>
      </c>
      <c r="C47" s="57" t="s">
        <v>110</v>
      </c>
      <c r="D47">
        <v>34.82</v>
      </c>
      <c r="E47">
        <v>0.91</v>
      </c>
      <c r="F47">
        <v>-27.89</v>
      </c>
      <c r="G47">
        <v>-10.27</v>
      </c>
      <c r="H47" s="57" t="s">
        <v>1109</v>
      </c>
      <c r="I47" s="58">
        <v>0.79</v>
      </c>
      <c r="J47" s="58" t="s">
        <v>405</v>
      </c>
      <c r="K47">
        <v>8.8000000000000007</v>
      </c>
    </row>
    <row r="48" spans="2:11" x14ac:dyDescent="0.25">
      <c r="B48" s="57" t="s">
        <v>129</v>
      </c>
      <c r="C48" s="57" t="s">
        <v>130</v>
      </c>
      <c r="D48">
        <v>12.3</v>
      </c>
      <c r="E48">
        <v>0</v>
      </c>
      <c r="H48" s="57"/>
      <c r="I48" s="58"/>
      <c r="J48" s="58"/>
    </row>
    <row r="49" spans="2:11" x14ac:dyDescent="0.25">
      <c r="B49" s="57" t="s">
        <v>173</v>
      </c>
      <c r="C49" s="57" t="s">
        <v>412</v>
      </c>
      <c r="D49">
        <v>73.25</v>
      </c>
      <c r="E49">
        <v>1.69</v>
      </c>
      <c r="F49">
        <v>0.57999999999999996</v>
      </c>
      <c r="G49">
        <v>10.31</v>
      </c>
      <c r="H49" s="57" t="s">
        <v>1082</v>
      </c>
      <c r="I49" s="58">
        <v>0.8</v>
      </c>
      <c r="J49" s="58" t="s">
        <v>405</v>
      </c>
      <c r="K49">
        <v>2.84</v>
      </c>
    </row>
    <row r="50" spans="2:11" x14ac:dyDescent="0.25">
      <c r="B50" s="57" t="s">
        <v>20</v>
      </c>
      <c r="C50" s="57" t="s">
        <v>163</v>
      </c>
      <c r="D50">
        <v>12.65</v>
      </c>
      <c r="E50">
        <v>-0.34</v>
      </c>
      <c r="F50">
        <v>-16.84</v>
      </c>
      <c r="G50">
        <v>-44.96</v>
      </c>
      <c r="H50" s="57" t="s">
        <v>1103</v>
      </c>
      <c r="I50" s="58">
        <v>0.74</v>
      </c>
      <c r="J50" s="58" t="s">
        <v>405</v>
      </c>
      <c r="K50">
        <v>0</v>
      </c>
    </row>
    <row r="51" spans="2:11" x14ac:dyDescent="0.25">
      <c r="B51" s="57" t="s">
        <v>18</v>
      </c>
      <c r="C51" s="57" t="s">
        <v>126</v>
      </c>
      <c r="D51">
        <v>12.9</v>
      </c>
      <c r="E51">
        <v>-0.05</v>
      </c>
      <c r="F51">
        <v>-8.43</v>
      </c>
      <c r="G51">
        <v>-15.98</v>
      </c>
      <c r="H51" s="57" t="s">
        <v>1110</v>
      </c>
      <c r="I51" s="58">
        <v>0.69</v>
      </c>
      <c r="J51" s="58" t="s">
        <v>405</v>
      </c>
      <c r="K51">
        <v>6.47</v>
      </c>
    </row>
    <row r="52" spans="2:11" x14ac:dyDescent="0.25">
      <c r="B52" s="57" t="s">
        <v>97</v>
      </c>
      <c r="C52" s="57" t="s">
        <v>107</v>
      </c>
      <c r="D52">
        <v>14.12</v>
      </c>
      <c r="E52">
        <v>0.2</v>
      </c>
      <c r="F52">
        <v>12.96</v>
      </c>
      <c r="G52">
        <v>51.68</v>
      </c>
      <c r="H52" s="57" t="s">
        <v>1099</v>
      </c>
      <c r="I52" s="58">
        <v>1.1399999999999999</v>
      </c>
      <c r="J52" s="58"/>
      <c r="K52">
        <v>0</v>
      </c>
    </row>
    <row r="53" spans="2:11" x14ac:dyDescent="0.25">
      <c r="B53" s="57" t="s">
        <v>25</v>
      </c>
      <c r="C53" s="57" t="s">
        <v>111</v>
      </c>
      <c r="D53">
        <v>15.46</v>
      </c>
      <c r="E53">
        <v>-0.46</v>
      </c>
      <c r="F53">
        <v>-4.68</v>
      </c>
      <c r="G53">
        <v>-4.8099999999999996</v>
      </c>
      <c r="H53" s="57" t="s">
        <v>1094</v>
      </c>
      <c r="I53" s="58">
        <v>0.64</v>
      </c>
      <c r="J53" s="58" t="s">
        <v>405</v>
      </c>
      <c r="K53">
        <v>2.39</v>
      </c>
    </row>
    <row r="54" spans="2:11" x14ac:dyDescent="0.25">
      <c r="B54" s="57" t="s">
        <v>287</v>
      </c>
      <c r="C54" s="57" t="s">
        <v>1046</v>
      </c>
      <c r="D54">
        <v>64.989999999999995</v>
      </c>
      <c r="E54">
        <v>0.31</v>
      </c>
      <c r="F54">
        <v>-9</v>
      </c>
      <c r="G54">
        <v>-3.46</v>
      </c>
      <c r="H54" s="57" t="s">
        <v>1103</v>
      </c>
      <c r="I54" s="58">
        <v>0.85</v>
      </c>
      <c r="J54" s="58" t="s">
        <v>405</v>
      </c>
      <c r="K54">
        <v>0.79</v>
      </c>
    </row>
    <row r="55" spans="2:11" x14ac:dyDescent="0.25">
      <c r="B55" s="57" t="s">
        <v>223</v>
      </c>
      <c r="C55" s="57" t="s">
        <v>228</v>
      </c>
      <c r="D55">
        <v>61.52</v>
      </c>
      <c r="E55">
        <v>0.82</v>
      </c>
      <c r="F55">
        <v>16.760000000000002</v>
      </c>
      <c r="G55">
        <v>63.14</v>
      </c>
      <c r="H55" s="57" t="s">
        <v>974</v>
      </c>
      <c r="I55">
        <v>1.18</v>
      </c>
      <c r="J55" s="58" t="s">
        <v>407</v>
      </c>
      <c r="K55">
        <v>1.05</v>
      </c>
    </row>
    <row r="56" spans="2:11" x14ac:dyDescent="0.25">
      <c r="B56" s="57" t="s">
        <v>174</v>
      </c>
      <c r="C56" s="57" t="s">
        <v>275</v>
      </c>
      <c r="D56">
        <v>29.83</v>
      </c>
      <c r="E56">
        <v>0.04</v>
      </c>
      <c r="F56">
        <v>8.52</v>
      </c>
      <c r="G56">
        <v>3.19</v>
      </c>
      <c r="H56" s="57" t="s">
        <v>1111</v>
      </c>
      <c r="I56">
        <v>0.93</v>
      </c>
      <c r="J56" s="58" t="s">
        <v>405</v>
      </c>
      <c r="K56">
        <v>0</v>
      </c>
    </row>
    <row r="57" spans="2:11" x14ac:dyDescent="0.25">
      <c r="B57" s="57" t="s">
        <v>131</v>
      </c>
      <c r="C57" s="57" t="s">
        <v>132</v>
      </c>
      <c r="D57">
        <v>28.75</v>
      </c>
      <c r="E57">
        <v>0.47</v>
      </c>
      <c r="F57">
        <v>-26.73</v>
      </c>
      <c r="G57">
        <v>-13.06</v>
      </c>
      <c r="H57" s="57" t="s">
        <v>1112</v>
      </c>
      <c r="I57" s="58">
        <v>0.76</v>
      </c>
      <c r="J57" s="58" t="s">
        <v>405</v>
      </c>
      <c r="K57">
        <v>4.0599999999999996</v>
      </c>
    </row>
    <row r="58" spans="2:11" x14ac:dyDescent="0.25">
      <c r="B58" s="57" t="s">
        <v>331</v>
      </c>
      <c r="C58" s="57" t="s">
        <v>332</v>
      </c>
      <c r="D58">
        <v>0.94</v>
      </c>
      <c r="E58">
        <v>-0.05</v>
      </c>
      <c r="F58">
        <v>4</v>
      </c>
      <c r="G58">
        <v>-47.21</v>
      </c>
      <c r="H58" s="57" t="s">
        <v>1113</v>
      </c>
      <c r="I58" s="58">
        <v>0.63</v>
      </c>
      <c r="J58" s="58" t="s">
        <v>408</v>
      </c>
      <c r="K58">
        <v>0</v>
      </c>
    </row>
    <row r="59" spans="2:11" x14ac:dyDescent="0.25">
      <c r="B59" s="57" t="s">
        <v>243</v>
      </c>
      <c r="C59" s="57" t="s">
        <v>245</v>
      </c>
      <c r="D59">
        <v>4</v>
      </c>
      <c r="E59">
        <v>0.01</v>
      </c>
      <c r="F59">
        <v>-34.700000000000003</v>
      </c>
      <c r="G59">
        <v>-70.94</v>
      </c>
      <c r="H59" s="57" t="s">
        <v>1114</v>
      </c>
      <c r="I59" s="58">
        <v>0.49</v>
      </c>
      <c r="J59" s="58" t="s">
        <v>408</v>
      </c>
      <c r="K59">
        <v>0</v>
      </c>
    </row>
    <row r="60" spans="2:11" x14ac:dyDescent="0.25">
      <c r="B60" s="57" t="s">
        <v>390</v>
      </c>
      <c r="C60" s="57" t="s">
        <v>395</v>
      </c>
      <c r="D60">
        <v>3.4</v>
      </c>
      <c r="E60">
        <v>-0.05</v>
      </c>
      <c r="F60">
        <v>-13.38</v>
      </c>
      <c r="G60">
        <v>-19.82</v>
      </c>
      <c r="H60" s="57" t="s">
        <v>1115</v>
      </c>
      <c r="I60" s="58">
        <v>0.81</v>
      </c>
      <c r="J60" s="58" t="s">
        <v>405</v>
      </c>
      <c r="K60">
        <v>0</v>
      </c>
    </row>
    <row r="61" spans="2:11" x14ac:dyDescent="0.25">
      <c r="B61" s="57" t="s">
        <v>267</v>
      </c>
      <c r="C61" s="57" t="s">
        <v>276</v>
      </c>
      <c r="D61">
        <v>0</v>
      </c>
      <c r="E61">
        <v>0</v>
      </c>
      <c r="H61" s="57"/>
      <c r="I61" s="58"/>
      <c r="J61" s="58"/>
    </row>
    <row r="62" spans="2:11" x14ac:dyDescent="0.25">
      <c r="B62" s="57" t="s">
        <v>304</v>
      </c>
      <c r="C62" s="57" t="s">
        <v>448</v>
      </c>
      <c r="D62">
        <v>42.58</v>
      </c>
      <c r="E62">
        <v>0.4</v>
      </c>
      <c r="F62">
        <v>15.6</v>
      </c>
      <c r="G62">
        <v>18.39</v>
      </c>
      <c r="H62" s="57" t="s">
        <v>1116</v>
      </c>
      <c r="I62" s="58">
        <v>0.91</v>
      </c>
      <c r="J62" s="58" t="s">
        <v>459</v>
      </c>
      <c r="K62">
        <v>5.29</v>
      </c>
    </row>
    <row r="63" spans="2:11" x14ac:dyDescent="0.25">
      <c r="B63" s="57" t="s">
        <v>333</v>
      </c>
      <c r="C63" s="57" t="s">
        <v>334</v>
      </c>
      <c r="D63">
        <v>38.61</v>
      </c>
      <c r="E63">
        <v>0.56000000000000005</v>
      </c>
      <c r="F63">
        <v>110.93</v>
      </c>
      <c r="G63">
        <v>424.45</v>
      </c>
      <c r="H63" s="57" t="s">
        <v>1117</v>
      </c>
      <c r="I63" s="58">
        <v>1.33</v>
      </c>
      <c r="J63" s="58" t="s">
        <v>405</v>
      </c>
      <c r="K63">
        <v>0</v>
      </c>
    </row>
    <row r="64" spans="2:11" x14ac:dyDescent="0.25">
      <c r="B64" s="57" t="s">
        <v>288</v>
      </c>
      <c r="C64" s="57" t="s">
        <v>294</v>
      </c>
      <c r="D64">
        <v>53.27</v>
      </c>
      <c r="E64">
        <v>0.24</v>
      </c>
      <c r="F64">
        <v>24.52</v>
      </c>
      <c r="G64">
        <v>34.83</v>
      </c>
      <c r="H64" s="57" t="s">
        <v>1118</v>
      </c>
      <c r="I64" s="58">
        <v>1.1100000000000001</v>
      </c>
      <c r="J64" s="58" t="s">
        <v>405</v>
      </c>
      <c r="K64">
        <v>0.4</v>
      </c>
    </row>
    <row r="65" spans="2:11" x14ac:dyDescent="0.25">
      <c r="B65" s="57" t="s">
        <v>335</v>
      </c>
      <c r="C65" s="57" t="s">
        <v>336</v>
      </c>
      <c r="D65">
        <v>20.73</v>
      </c>
      <c r="E65">
        <v>0.12</v>
      </c>
      <c r="F65">
        <v>-12.68</v>
      </c>
      <c r="G65">
        <v>-11.2</v>
      </c>
      <c r="H65" s="57" t="s">
        <v>1119</v>
      </c>
      <c r="I65" s="58">
        <v>0.78</v>
      </c>
      <c r="J65" s="58" t="s">
        <v>405</v>
      </c>
      <c r="K65">
        <v>0</v>
      </c>
    </row>
    <row r="66" spans="2:11" x14ac:dyDescent="0.25">
      <c r="B66" s="57" t="s">
        <v>362</v>
      </c>
      <c r="C66" s="57" t="s">
        <v>370</v>
      </c>
      <c r="D66">
        <v>64.36</v>
      </c>
      <c r="E66">
        <v>2.0699999999999998</v>
      </c>
      <c r="F66">
        <v>35.6</v>
      </c>
      <c r="G66">
        <v>35.54</v>
      </c>
      <c r="H66" s="57" t="s">
        <v>1120</v>
      </c>
      <c r="I66" s="58">
        <v>0.84</v>
      </c>
      <c r="J66" s="58" t="s">
        <v>405</v>
      </c>
      <c r="K66">
        <v>0</v>
      </c>
    </row>
    <row r="67" spans="2:11" x14ac:dyDescent="0.25">
      <c r="B67" s="57" t="s">
        <v>359</v>
      </c>
      <c r="C67" s="57" t="s">
        <v>371</v>
      </c>
      <c r="D67">
        <v>0</v>
      </c>
      <c r="E67">
        <v>0</v>
      </c>
      <c r="H67" s="57"/>
      <c r="I67" s="58"/>
      <c r="J67" s="58"/>
    </row>
    <row r="68" spans="2:11" x14ac:dyDescent="0.25">
      <c r="B68" s="57" t="s">
        <v>937</v>
      </c>
      <c r="C68" s="57" t="s">
        <v>938</v>
      </c>
      <c r="D68">
        <v>12.19</v>
      </c>
      <c r="E68">
        <v>-0.37</v>
      </c>
      <c r="F68">
        <v>6.16</v>
      </c>
      <c r="G68">
        <v>-4.97</v>
      </c>
      <c r="H68" s="57" t="s">
        <v>1121</v>
      </c>
      <c r="I68">
        <v>0.55000000000000004</v>
      </c>
      <c r="J68" s="58" t="s">
        <v>405</v>
      </c>
      <c r="K68">
        <v>9.3800000000000008</v>
      </c>
    </row>
    <row r="69" spans="2:11" x14ac:dyDescent="0.25">
      <c r="B69" s="57" t="s">
        <v>26</v>
      </c>
      <c r="C69" s="57" t="s">
        <v>112</v>
      </c>
      <c r="D69">
        <v>12.63</v>
      </c>
      <c r="E69">
        <v>-0.2</v>
      </c>
      <c r="F69">
        <v>13.11</v>
      </c>
      <c r="G69">
        <v>91.67</v>
      </c>
      <c r="H69" s="57" t="s">
        <v>1122</v>
      </c>
      <c r="I69" s="58">
        <v>0.91</v>
      </c>
      <c r="J69" s="58" t="s">
        <v>405</v>
      </c>
      <c r="K69">
        <v>0</v>
      </c>
    </row>
    <row r="70" spans="2:11" x14ac:dyDescent="0.25">
      <c r="B70" s="57" t="s">
        <v>74</v>
      </c>
      <c r="C70" s="57" t="s">
        <v>356</v>
      </c>
      <c r="D70">
        <v>5.05</v>
      </c>
      <c r="E70">
        <v>-0.04</v>
      </c>
      <c r="F70">
        <v>-55.18</v>
      </c>
      <c r="G70">
        <v>-69.7</v>
      </c>
      <c r="H70" s="57" t="s">
        <v>1123</v>
      </c>
      <c r="I70" s="58">
        <v>0.56999999999999995</v>
      </c>
      <c r="J70" s="58" t="s">
        <v>408</v>
      </c>
      <c r="K70">
        <v>0</v>
      </c>
    </row>
    <row r="71" spans="2:11" x14ac:dyDescent="0.25">
      <c r="B71" s="57" t="s">
        <v>282</v>
      </c>
      <c r="C71" s="57" t="s">
        <v>295</v>
      </c>
      <c r="D71">
        <v>4.82</v>
      </c>
      <c r="E71">
        <v>-0.13</v>
      </c>
      <c r="F71">
        <v>-3.82</v>
      </c>
      <c r="G71">
        <v>-49.95</v>
      </c>
      <c r="H71" s="57" t="s">
        <v>1076</v>
      </c>
      <c r="I71" s="58">
        <v>0.73</v>
      </c>
      <c r="J71" s="58" t="s">
        <v>408</v>
      </c>
      <c r="K71">
        <v>0</v>
      </c>
    </row>
    <row r="72" spans="2:11" x14ac:dyDescent="0.25">
      <c r="B72" s="57" t="s">
        <v>23</v>
      </c>
      <c r="C72" s="57" t="s">
        <v>133</v>
      </c>
      <c r="D72">
        <v>13.13</v>
      </c>
      <c r="E72">
        <v>-0.06</v>
      </c>
      <c r="F72">
        <v>-13.85</v>
      </c>
      <c r="G72">
        <v>-8.59</v>
      </c>
      <c r="H72" s="57" t="s">
        <v>972</v>
      </c>
      <c r="I72" s="58">
        <v>0.42</v>
      </c>
      <c r="J72" s="58" t="s">
        <v>405</v>
      </c>
      <c r="K72">
        <v>5.35</v>
      </c>
    </row>
    <row r="73" spans="2:11" x14ac:dyDescent="0.25">
      <c r="B73" s="57" t="s">
        <v>200</v>
      </c>
      <c r="C73" s="57" t="s">
        <v>413</v>
      </c>
      <c r="D73">
        <v>39.020000000000003</v>
      </c>
      <c r="E73">
        <v>-1.46</v>
      </c>
      <c r="F73">
        <v>-9.44</v>
      </c>
      <c r="G73">
        <v>-24.16</v>
      </c>
      <c r="H73" s="57" t="s">
        <v>1124</v>
      </c>
      <c r="I73" s="58">
        <v>0.67</v>
      </c>
      <c r="J73" s="58" t="s">
        <v>405</v>
      </c>
      <c r="K73">
        <v>3.69</v>
      </c>
    </row>
    <row r="74" spans="2:11" x14ac:dyDescent="0.25">
      <c r="B74" s="57" t="s">
        <v>146</v>
      </c>
      <c r="C74" s="57" t="s">
        <v>147</v>
      </c>
      <c r="D74">
        <v>44.99</v>
      </c>
      <c r="E74">
        <v>-0.51</v>
      </c>
      <c r="F74">
        <v>1.24</v>
      </c>
      <c r="G74">
        <v>42.68</v>
      </c>
      <c r="H74" s="57" t="s">
        <v>1125</v>
      </c>
      <c r="I74" s="58">
        <v>0.95</v>
      </c>
      <c r="J74" s="58" t="s">
        <v>405</v>
      </c>
      <c r="K74">
        <v>0</v>
      </c>
    </row>
    <row r="75" spans="2:11" x14ac:dyDescent="0.25">
      <c r="B75" s="57" t="s">
        <v>313</v>
      </c>
      <c r="C75" s="57" t="s">
        <v>324</v>
      </c>
      <c r="D75">
        <v>6.28</v>
      </c>
      <c r="E75">
        <v>-0.38</v>
      </c>
      <c r="F75">
        <v>-45.94</v>
      </c>
      <c r="G75">
        <v>-55.45</v>
      </c>
      <c r="H75" s="57" t="s">
        <v>1123</v>
      </c>
      <c r="I75" s="58">
        <v>0.6</v>
      </c>
      <c r="J75" s="58" t="s">
        <v>408</v>
      </c>
      <c r="K75">
        <v>0</v>
      </c>
    </row>
    <row r="76" spans="2:11" x14ac:dyDescent="0.25">
      <c r="B76" s="57" t="s">
        <v>365</v>
      </c>
      <c r="C76" s="57" t="s">
        <v>372</v>
      </c>
      <c r="D76">
        <v>21.71</v>
      </c>
      <c r="E76">
        <v>-7.0000000000000007E-2</v>
      </c>
      <c r="F76">
        <v>21.27</v>
      </c>
      <c r="G76">
        <v>11.68</v>
      </c>
      <c r="H76" s="57" t="s">
        <v>1126</v>
      </c>
      <c r="I76" s="58">
        <v>0.82</v>
      </c>
      <c r="J76" s="58" t="s">
        <v>405</v>
      </c>
      <c r="K76">
        <v>2.5099999999999998</v>
      </c>
    </row>
    <row r="77" spans="2:11" x14ac:dyDescent="0.25">
      <c r="B77" s="57" t="s">
        <v>289</v>
      </c>
      <c r="C77" s="57" t="s">
        <v>296</v>
      </c>
      <c r="D77">
        <v>27.37</v>
      </c>
      <c r="E77">
        <v>-0.39</v>
      </c>
      <c r="F77">
        <v>-0.45</v>
      </c>
      <c r="G77">
        <v>-17.850000000000001</v>
      </c>
      <c r="H77" s="57" t="s">
        <v>1127</v>
      </c>
      <c r="I77" s="58">
        <v>0.68</v>
      </c>
      <c r="J77" s="58" t="s">
        <v>405</v>
      </c>
      <c r="K77">
        <v>0</v>
      </c>
    </row>
    <row r="78" spans="2:11" x14ac:dyDescent="0.25">
      <c r="B78" s="57" t="s">
        <v>186</v>
      </c>
      <c r="C78" s="57" t="s">
        <v>187</v>
      </c>
      <c r="D78">
        <v>23.05</v>
      </c>
      <c r="E78">
        <v>0</v>
      </c>
      <c r="H78" s="57" t="s">
        <v>1128</v>
      </c>
      <c r="I78" s="58"/>
      <c r="J78" s="58"/>
    </row>
    <row r="79" spans="2:11" x14ac:dyDescent="0.25">
      <c r="B79" s="57" t="s">
        <v>215</v>
      </c>
      <c r="C79" s="57" t="s">
        <v>229</v>
      </c>
      <c r="D79">
        <v>18.739999999999998</v>
      </c>
      <c r="E79">
        <v>0.01</v>
      </c>
      <c r="F79">
        <v>1.93</v>
      </c>
      <c r="G79">
        <v>5.61</v>
      </c>
      <c r="H79" s="57" t="s">
        <v>1129</v>
      </c>
      <c r="I79" s="58">
        <v>1.02</v>
      </c>
      <c r="J79" s="58" t="s">
        <v>405</v>
      </c>
      <c r="K79">
        <v>0.22</v>
      </c>
    </row>
    <row r="80" spans="2:11" x14ac:dyDescent="0.25">
      <c r="B80" s="57" t="s">
        <v>817</v>
      </c>
      <c r="C80" s="57" t="s">
        <v>818</v>
      </c>
      <c r="D80">
        <v>52.84</v>
      </c>
      <c r="E80">
        <v>2.2799999999999998</v>
      </c>
      <c r="F80">
        <v>51.13</v>
      </c>
      <c r="G80">
        <v>-34.94</v>
      </c>
      <c r="H80" s="57" t="s">
        <v>1130</v>
      </c>
      <c r="I80" s="58">
        <v>1.23</v>
      </c>
      <c r="J80" s="58" t="s">
        <v>405</v>
      </c>
      <c r="K80">
        <v>0</v>
      </c>
    </row>
    <row r="81" spans="2:11" x14ac:dyDescent="0.25">
      <c r="B81" s="57" t="s">
        <v>794</v>
      </c>
      <c r="C81" s="57" t="s">
        <v>795</v>
      </c>
      <c r="D81">
        <v>44.61</v>
      </c>
      <c r="E81">
        <v>0.66</v>
      </c>
      <c r="F81">
        <v>0.63</v>
      </c>
      <c r="G81">
        <v>13.51</v>
      </c>
      <c r="H81" s="57" t="s">
        <v>1131</v>
      </c>
      <c r="I81" s="58">
        <v>0.94</v>
      </c>
      <c r="J81" s="58" t="s">
        <v>459</v>
      </c>
      <c r="K81">
        <v>4.5199999999999996</v>
      </c>
    </row>
    <row r="82" spans="2:11" x14ac:dyDescent="0.25">
      <c r="B82" s="57" t="s">
        <v>452</v>
      </c>
      <c r="C82" s="57" t="s">
        <v>454</v>
      </c>
      <c r="D82">
        <v>13.89</v>
      </c>
      <c r="E82">
        <v>-0.31</v>
      </c>
      <c r="F82">
        <v>-8.31</v>
      </c>
      <c r="G82">
        <v>-3.53</v>
      </c>
      <c r="H82" s="57" t="s">
        <v>1132</v>
      </c>
      <c r="I82" s="58">
        <v>0.5</v>
      </c>
      <c r="J82" s="58" t="s">
        <v>405</v>
      </c>
      <c r="K82">
        <v>4.0999999999999996</v>
      </c>
    </row>
    <row r="83" spans="2:11" x14ac:dyDescent="0.25">
      <c r="B83" s="57" t="s">
        <v>337</v>
      </c>
      <c r="C83" s="57" t="s">
        <v>338</v>
      </c>
      <c r="D83">
        <v>19.989999999999998</v>
      </c>
      <c r="E83">
        <v>-0.12</v>
      </c>
      <c r="F83">
        <v>9.0299999999999994</v>
      </c>
      <c r="G83">
        <v>-6.5</v>
      </c>
      <c r="H83" s="57" t="s">
        <v>1133</v>
      </c>
      <c r="I83" s="58">
        <v>0.78</v>
      </c>
      <c r="J83" s="58" t="s">
        <v>405</v>
      </c>
      <c r="K83">
        <v>0.93</v>
      </c>
    </row>
    <row r="84" spans="2:11" x14ac:dyDescent="0.25">
      <c r="B84" s="57" t="s">
        <v>363</v>
      </c>
      <c r="C84" s="57" t="s">
        <v>373</v>
      </c>
      <c r="D84">
        <v>28.54</v>
      </c>
      <c r="E84">
        <v>0.03</v>
      </c>
      <c r="F84">
        <v>-19.05</v>
      </c>
      <c r="G84">
        <v>11.21</v>
      </c>
      <c r="H84" s="57" t="s">
        <v>1134</v>
      </c>
      <c r="I84" s="58">
        <v>0.8</v>
      </c>
      <c r="J84" s="58" t="s">
        <v>405</v>
      </c>
      <c r="K84">
        <v>3.75</v>
      </c>
    </row>
    <row r="85" spans="2:11" x14ac:dyDescent="0.25">
      <c r="B85" s="57" t="s">
        <v>188</v>
      </c>
      <c r="C85" s="57" t="s">
        <v>189</v>
      </c>
      <c r="D85">
        <v>43.39</v>
      </c>
      <c r="E85">
        <v>-0.13</v>
      </c>
      <c r="F85">
        <v>-18.03</v>
      </c>
      <c r="G85">
        <v>-20.72</v>
      </c>
      <c r="H85" s="57" t="s">
        <v>1079</v>
      </c>
      <c r="I85" s="58">
        <v>0.77</v>
      </c>
      <c r="J85" s="58" t="s">
        <v>405</v>
      </c>
      <c r="K85">
        <v>3.02</v>
      </c>
    </row>
    <row r="86" spans="2:11" x14ac:dyDescent="0.25">
      <c r="B86" s="57" t="s">
        <v>27</v>
      </c>
      <c r="C86" s="57" t="s">
        <v>164</v>
      </c>
      <c r="D86">
        <v>22.52</v>
      </c>
      <c r="E86">
        <v>-0.85</v>
      </c>
      <c r="F86">
        <v>1.58</v>
      </c>
      <c r="G86">
        <v>-12.74</v>
      </c>
      <c r="H86" s="57" t="s">
        <v>1079</v>
      </c>
      <c r="I86" s="58">
        <v>0.68</v>
      </c>
      <c r="J86" s="58" t="s">
        <v>405</v>
      </c>
      <c r="K86">
        <v>2.52</v>
      </c>
    </row>
    <row r="87" spans="2:11" x14ac:dyDescent="0.25">
      <c r="B87" s="57" t="s">
        <v>214</v>
      </c>
      <c r="C87" s="57" t="s">
        <v>230</v>
      </c>
      <c r="D87">
        <v>6.21</v>
      </c>
      <c r="E87">
        <v>-0.03</v>
      </c>
      <c r="F87">
        <v>-28.94</v>
      </c>
      <c r="G87">
        <v>-72.28</v>
      </c>
      <c r="H87" s="57" t="s">
        <v>1135</v>
      </c>
      <c r="I87" s="58">
        <v>0.55000000000000004</v>
      </c>
      <c r="J87" s="58" t="s">
        <v>408</v>
      </c>
      <c r="K87">
        <v>0</v>
      </c>
    </row>
    <row r="88" spans="2:11" x14ac:dyDescent="0.25">
      <c r="B88" s="57" t="s">
        <v>155</v>
      </c>
      <c r="C88" s="57" t="s">
        <v>156</v>
      </c>
      <c r="D88">
        <v>21.9</v>
      </c>
      <c r="E88">
        <v>0.17</v>
      </c>
      <c r="F88">
        <v>12.5</v>
      </c>
      <c r="G88">
        <v>-2.48</v>
      </c>
      <c r="H88" s="57" t="s">
        <v>1136</v>
      </c>
      <c r="I88" s="58">
        <v>1.1499999999999999</v>
      </c>
      <c r="J88" s="58" t="s">
        <v>405</v>
      </c>
      <c r="K88">
        <v>3.02</v>
      </c>
    </row>
    <row r="89" spans="2:11" x14ac:dyDescent="0.25">
      <c r="B89" s="57" t="s">
        <v>367</v>
      </c>
      <c r="C89" s="57" t="s">
        <v>374</v>
      </c>
      <c r="D89">
        <v>17.5</v>
      </c>
      <c r="E89">
        <v>0.68</v>
      </c>
      <c r="F89">
        <v>4.57</v>
      </c>
      <c r="G89">
        <v>11.13</v>
      </c>
      <c r="H89" s="57" t="s">
        <v>1137</v>
      </c>
      <c r="I89" s="58">
        <v>0.87</v>
      </c>
      <c r="J89" s="58" t="s">
        <v>408</v>
      </c>
      <c r="K89">
        <v>0</v>
      </c>
    </row>
    <row r="90" spans="2:11" x14ac:dyDescent="0.25">
      <c r="B90" s="57" t="s">
        <v>28</v>
      </c>
      <c r="C90" s="57" t="s">
        <v>29</v>
      </c>
      <c r="D90">
        <v>20.56</v>
      </c>
      <c r="E90">
        <v>-0.48</v>
      </c>
      <c r="F90">
        <v>-6.62</v>
      </c>
      <c r="G90">
        <v>-2.16</v>
      </c>
      <c r="H90" s="57" t="s">
        <v>1085</v>
      </c>
      <c r="I90">
        <v>0.8</v>
      </c>
      <c r="J90" s="58" t="s">
        <v>405</v>
      </c>
      <c r="K90">
        <v>2.94</v>
      </c>
    </row>
    <row r="91" spans="2:11" x14ac:dyDescent="0.25">
      <c r="B91" s="57" t="s">
        <v>80</v>
      </c>
      <c r="C91" s="57" t="s">
        <v>420</v>
      </c>
      <c r="D91">
        <v>3.35</v>
      </c>
      <c r="E91">
        <v>-0.4</v>
      </c>
      <c r="F91">
        <v>-84.39</v>
      </c>
      <c r="G91">
        <v>-84.14</v>
      </c>
      <c r="H91" s="57" t="s">
        <v>1110</v>
      </c>
      <c r="I91" s="58">
        <v>0.6</v>
      </c>
      <c r="J91" s="58" t="s">
        <v>406</v>
      </c>
      <c r="K91">
        <v>0</v>
      </c>
    </row>
    <row r="92" spans="2:11" x14ac:dyDescent="0.25">
      <c r="B92" s="57" t="s">
        <v>808</v>
      </c>
      <c r="C92" s="57" t="s">
        <v>812</v>
      </c>
      <c r="D92">
        <v>139.06</v>
      </c>
      <c r="E92">
        <v>-0.94</v>
      </c>
      <c r="F92">
        <v>7.48</v>
      </c>
      <c r="G92">
        <v>1.28</v>
      </c>
      <c r="H92" s="57" t="s">
        <v>1138</v>
      </c>
      <c r="I92" s="58">
        <v>1.1000000000000001</v>
      </c>
      <c r="J92" s="58" t="s">
        <v>407</v>
      </c>
      <c r="K92">
        <v>2.0699999999999998</v>
      </c>
    </row>
    <row r="93" spans="2:11" x14ac:dyDescent="0.25">
      <c r="B93" s="57" t="s">
        <v>615</v>
      </c>
      <c r="C93" s="57" t="s">
        <v>615</v>
      </c>
      <c r="D93">
        <v>0</v>
      </c>
      <c r="E93">
        <v>0</v>
      </c>
      <c r="H93" s="57"/>
      <c r="I93" s="58"/>
      <c r="J93" s="58"/>
    </row>
    <row r="94" spans="2:11" x14ac:dyDescent="0.25">
      <c r="B94" s="57" t="s">
        <v>750</v>
      </c>
      <c r="C94" s="57" t="s">
        <v>751</v>
      </c>
      <c r="D94">
        <v>91.02</v>
      </c>
      <c r="E94">
        <v>1.08</v>
      </c>
      <c r="F94">
        <v>7.64</v>
      </c>
      <c r="G94">
        <v>-0.69</v>
      </c>
      <c r="H94" s="57" t="s">
        <v>1139</v>
      </c>
      <c r="I94" s="58">
        <v>0.73</v>
      </c>
      <c r="J94" s="58" t="s">
        <v>407</v>
      </c>
      <c r="K94">
        <v>2.78</v>
      </c>
    </row>
    <row r="95" spans="2:11" x14ac:dyDescent="0.25">
      <c r="B95" s="57" t="s">
        <v>221</v>
      </c>
      <c r="C95" s="57" t="s">
        <v>231</v>
      </c>
      <c r="D95">
        <v>85.38</v>
      </c>
      <c r="E95">
        <v>0.6</v>
      </c>
      <c r="F95">
        <v>16.149999999999999</v>
      </c>
      <c r="G95">
        <v>7.07</v>
      </c>
      <c r="H95" s="57" t="s">
        <v>1140</v>
      </c>
      <c r="I95" s="58">
        <v>1.04</v>
      </c>
      <c r="J95" s="58" t="s">
        <v>407</v>
      </c>
      <c r="K95">
        <v>0</v>
      </c>
    </row>
    <row r="96" spans="2:11" x14ac:dyDescent="0.25">
      <c r="B96" s="57" t="s">
        <v>134</v>
      </c>
      <c r="C96" s="57" t="s">
        <v>135</v>
      </c>
      <c r="D96">
        <v>8.77</v>
      </c>
      <c r="E96">
        <v>1.2</v>
      </c>
      <c r="F96">
        <v>-2.12</v>
      </c>
      <c r="G96">
        <v>46.14</v>
      </c>
      <c r="H96" s="57" t="s">
        <v>1135</v>
      </c>
      <c r="I96" s="58">
        <v>0.83</v>
      </c>
      <c r="J96" s="58" t="s">
        <v>408</v>
      </c>
      <c r="K96">
        <v>0.65</v>
      </c>
    </row>
    <row r="97" spans="2:11" x14ac:dyDescent="0.25">
      <c r="B97" s="57" t="s">
        <v>136</v>
      </c>
      <c r="C97" s="57" t="s">
        <v>137</v>
      </c>
      <c r="D97">
        <v>21.69</v>
      </c>
      <c r="E97">
        <v>0.05</v>
      </c>
      <c r="F97">
        <v>52.29</v>
      </c>
      <c r="G97">
        <v>34.04</v>
      </c>
      <c r="H97" s="57" t="s">
        <v>1141</v>
      </c>
      <c r="I97" s="58">
        <v>0.74</v>
      </c>
      <c r="J97" s="58" t="s">
        <v>408</v>
      </c>
      <c r="K97">
        <v>0</v>
      </c>
    </row>
    <row r="98" spans="2:11" x14ac:dyDescent="0.25">
      <c r="B98" s="57" t="s">
        <v>138</v>
      </c>
      <c r="C98" s="57" t="s">
        <v>139</v>
      </c>
      <c r="D98">
        <v>172.5</v>
      </c>
      <c r="E98">
        <v>-0.23</v>
      </c>
      <c r="F98">
        <v>9.8800000000000008</v>
      </c>
      <c r="G98">
        <v>19.98</v>
      </c>
      <c r="H98" s="57" t="s">
        <v>1142</v>
      </c>
      <c r="I98" s="58">
        <v>0.92</v>
      </c>
      <c r="J98" s="58" t="s">
        <v>405</v>
      </c>
      <c r="K98">
        <v>0.49</v>
      </c>
    </row>
    <row r="99" spans="2:11" x14ac:dyDescent="0.25">
      <c r="B99" s="57" t="s">
        <v>86</v>
      </c>
      <c r="C99" s="57" t="s">
        <v>140</v>
      </c>
      <c r="D99">
        <v>39.07</v>
      </c>
      <c r="E99">
        <v>0.96</v>
      </c>
      <c r="F99">
        <v>10.48</v>
      </c>
      <c r="G99">
        <v>78.36</v>
      </c>
      <c r="H99" s="57" t="s">
        <v>1143</v>
      </c>
      <c r="I99" s="58">
        <v>1.06</v>
      </c>
      <c r="J99" s="58" t="s">
        <v>405</v>
      </c>
      <c r="K99">
        <v>0.79</v>
      </c>
    </row>
    <row r="100" spans="2:11" x14ac:dyDescent="0.25">
      <c r="B100" s="57" t="s">
        <v>183</v>
      </c>
      <c r="C100" s="57" t="s">
        <v>190</v>
      </c>
      <c r="D100">
        <v>26.35</v>
      </c>
      <c r="E100">
        <v>0.04</v>
      </c>
      <c r="F100">
        <v>12.98</v>
      </c>
      <c r="G100">
        <v>43.02</v>
      </c>
      <c r="H100" s="57" t="s">
        <v>1144</v>
      </c>
      <c r="I100" s="58">
        <v>1.0900000000000001</v>
      </c>
      <c r="J100" s="58" t="s">
        <v>405</v>
      </c>
      <c r="K100">
        <v>0.56999999999999995</v>
      </c>
    </row>
    <row r="101" spans="2:11" x14ac:dyDescent="0.25">
      <c r="B101" s="57" t="s">
        <v>95</v>
      </c>
      <c r="C101" s="57" t="s">
        <v>141</v>
      </c>
      <c r="D101">
        <v>18.899999999999999</v>
      </c>
      <c r="E101">
        <v>-0.34</v>
      </c>
      <c r="F101">
        <v>-6.3</v>
      </c>
      <c r="G101">
        <v>13.06</v>
      </c>
      <c r="H101" s="57" t="s">
        <v>1145</v>
      </c>
      <c r="I101" s="58">
        <v>1.03</v>
      </c>
      <c r="J101" s="58" t="s">
        <v>405</v>
      </c>
      <c r="K101">
        <v>6.3</v>
      </c>
    </row>
    <row r="102" spans="2:11" x14ac:dyDescent="0.25">
      <c r="B102" s="57" t="s">
        <v>366</v>
      </c>
      <c r="C102" s="57" t="s">
        <v>375</v>
      </c>
      <c r="D102">
        <v>33.78</v>
      </c>
      <c r="E102">
        <v>0.16</v>
      </c>
      <c r="F102">
        <v>-15.95</v>
      </c>
      <c r="G102">
        <v>-0.17</v>
      </c>
      <c r="H102" s="57" t="s">
        <v>1121</v>
      </c>
      <c r="I102" s="58">
        <v>1.07</v>
      </c>
      <c r="J102" s="58" t="s">
        <v>407</v>
      </c>
      <c r="K102">
        <v>2.0499999999999998</v>
      </c>
    </row>
    <row r="103" spans="2:11" x14ac:dyDescent="0.25">
      <c r="B103" s="57" t="s">
        <v>216</v>
      </c>
      <c r="C103" s="57" t="s">
        <v>956</v>
      </c>
      <c r="D103">
        <v>40.770000000000003</v>
      </c>
      <c r="E103">
        <v>-0.43</v>
      </c>
      <c r="F103">
        <v>8.64</v>
      </c>
      <c r="G103">
        <v>-8.14</v>
      </c>
      <c r="H103" s="57" t="s">
        <v>1089</v>
      </c>
      <c r="I103" s="58">
        <v>0.89</v>
      </c>
      <c r="J103" s="58" t="s">
        <v>405</v>
      </c>
      <c r="K103">
        <v>0.94</v>
      </c>
    </row>
    <row r="104" spans="2:11" x14ac:dyDescent="0.25">
      <c r="B104" s="57" t="s">
        <v>219</v>
      </c>
      <c r="C104" s="57" t="s">
        <v>232</v>
      </c>
      <c r="D104">
        <v>81.23</v>
      </c>
      <c r="E104">
        <v>1.26</v>
      </c>
      <c r="F104">
        <v>9.17</v>
      </c>
      <c r="G104">
        <v>6.95</v>
      </c>
      <c r="H104" s="57" t="s">
        <v>1146</v>
      </c>
      <c r="I104" s="58">
        <v>0.96</v>
      </c>
      <c r="J104" s="58" t="s">
        <v>405</v>
      </c>
      <c r="K104">
        <v>1.29</v>
      </c>
    </row>
    <row r="105" spans="2:11" x14ac:dyDescent="0.25">
      <c r="B105" s="57" t="s">
        <v>31</v>
      </c>
      <c r="C105" s="57" t="s">
        <v>32</v>
      </c>
      <c r="D105">
        <v>16.100000000000001</v>
      </c>
      <c r="E105">
        <v>-0.39</v>
      </c>
      <c r="F105">
        <v>-28.68</v>
      </c>
      <c r="G105">
        <v>-39.24</v>
      </c>
      <c r="H105" s="57" t="s">
        <v>1147</v>
      </c>
      <c r="I105" s="58">
        <v>0.61</v>
      </c>
      <c r="J105" s="58" t="s">
        <v>408</v>
      </c>
      <c r="K105">
        <v>0</v>
      </c>
    </row>
    <row r="106" spans="2:11" x14ac:dyDescent="0.25">
      <c r="B106" s="57" t="s">
        <v>283</v>
      </c>
      <c r="C106" s="57" t="s">
        <v>297</v>
      </c>
      <c r="D106">
        <v>44.09</v>
      </c>
      <c r="E106">
        <v>0.28999999999999998</v>
      </c>
      <c r="F106">
        <v>-16.12</v>
      </c>
      <c r="G106">
        <v>-28.72</v>
      </c>
      <c r="H106" s="57" t="s">
        <v>1101</v>
      </c>
      <c r="I106" s="58">
        <v>0.61</v>
      </c>
      <c r="J106" s="58" t="s">
        <v>405</v>
      </c>
      <c r="K106">
        <v>5.82</v>
      </c>
    </row>
    <row r="107" spans="2:11" x14ac:dyDescent="0.25">
      <c r="B107" s="57" t="s">
        <v>394</v>
      </c>
      <c r="C107" s="57" t="s">
        <v>396</v>
      </c>
      <c r="D107">
        <v>11.12</v>
      </c>
      <c r="E107">
        <v>-0.15</v>
      </c>
      <c r="F107">
        <v>8</v>
      </c>
      <c r="G107">
        <v>-33.049999999999997</v>
      </c>
      <c r="H107" s="57" t="s">
        <v>1106</v>
      </c>
      <c r="I107" s="58">
        <v>0.64</v>
      </c>
      <c r="J107" s="58" t="s">
        <v>408</v>
      </c>
      <c r="K107">
        <v>0</v>
      </c>
    </row>
    <row r="108" spans="2:11" x14ac:dyDescent="0.25">
      <c r="B108" s="57" t="s">
        <v>1048</v>
      </c>
      <c r="C108" s="57" t="s">
        <v>950</v>
      </c>
      <c r="D108">
        <v>0</v>
      </c>
      <c r="E108">
        <v>0</v>
      </c>
      <c r="H108" s="57" t="s">
        <v>1128</v>
      </c>
      <c r="I108" s="58"/>
      <c r="J108" s="58"/>
    </row>
    <row r="109" spans="2:11" x14ac:dyDescent="0.25">
      <c r="B109" s="57" t="s">
        <v>75</v>
      </c>
      <c r="C109" s="57" t="s">
        <v>142</v>
      </c>
      <c r="D109">
        <v>7.25</v>
      </c>
      <c r="E109">
        <v>0</v>
      </c>
      <c r="F109">
        <v>-14.66</v>
      </c>
      <c r="G109">
        <v>-33.049999999999997</v>
      </c>
      <c r="H109" s="57" t="s">
        <v>1078</v>
      </c>
      <c r="I109" s="58">
        <v>0.66</v>
      </c>
      <c r="J109" s="58" t="s">
        <v>405</v>
      </c>
      <c r="K109">
        <v>0</v>
      </c>
    </row>
    <row r="110" spans="2:11" x14ac:dyDescent="0.25">
      <c r="B110" s="57" t="s">
        <v>286</v>
      </c>
      <c r="C110" s="57" t="s">
        <v>298</v>
      </c>
      <c r="D110">
        <v>3.5</v>
      </c>
      <c r="E110">
        <v>0</v>
      </c>
      <c r="F110">
        <v>29.72</v>
      </c>
      <c r="G110">
        <v>22.07</v>
      </c>
      <c r="H110" s="57" t="s">
        <v>1082</v>
      </c>
      <c r="I110" s="58">
        <v>0.82</v>
      </c>
      <c r="J110" s="58" t="s">
        <v>405</v>
      </c>
      <c r="K110">
        <v>1.43</v>
      </c>
    </row>
    <row r="111" spans="2:11" x14ac:dyDescent="0.25">
      <c r="B111" s="57" t="s">
        <v>79</v>
      </c>
      <c r="C111" s="57" t="s">
        <v>113</v>
      </c>
      <c r="D111">
        <v>72.89</v>
      </c>
      <c r="E111">
        <v>0.7</v>
      </c>
      <c r="F111">
        <v>17.73</v>
      </c>
      <c r="G111">
        <v>35.94</v>
      </c>
      <c r="H111" s="57" t="s">
        <v>1148</v>
      </c>
      <c r="I111" s="58">
        <v>1.1200000000000001</v>
      </c>
      <c r="J111" s="58" t="s">
        <v>407</v>
      </c>
      <c r="K111">
        <v>0</v>
      </c>
    </row>
    <row r="112" spans="2:11" x14ac:dyDescent="0.25">
      <c r="B112" s="57" t="s">
        <v>195</v>
      </c>
      <c r="C112" s="57" t="s">
        <v>196</v>
      </c>
      <c r="D112">
        <v>16.23</v>
      </c>
      <c r="E112">
        <v>-0.17</v>
      </c>
      <c r="F112">
        <v>8.5</v>
      </c>
      <c r="G112">
        <v>-27.24</v>
      </c>
      <c r="H112" s="57" t="s">
        <v>1078</v>
      </c>
      <c r="I112" s="58">
        <v>0.6</v>
      </c>
      <c r="J112" s="58" t="s">
        <v>405</v>
      </c>
      <c r="K112">
        <v>8.65</v>
      </c>
    </row>
    <row r="113" spans="2:11" x14ac:dyDescent="0.25">
      <c r="B113" s="57" t="s">
        <v>859</v>
      </c>
      <c r="C113" s="57" t="s">
        <v>860</v>
      </c>
      <c r="D113">
        <v>213.21</v>
      </c>
      <c r="E113">
        <v>1.6</v>
      </c>
      <c r="F113">
        <v>10.27</v>
      </c>
      <c r="G113">
        <v>23.51</v>
      </c>
      <c r="H113" s="57" t="s">
        <v>1149</v>
      </c>
      <c r="I113" s="58">
        <v>0.97</v>
      </c>
      <c r="J113" s="58" t="s">
        <v>459</v>
      </c>
      <c r="K113">
        <v>2.21</v>
      </c>
    </row>
    <row r="114" spans="2:11" x14ac:dyDescent="0.25">
      <c r="B114" s="57" t="s">
        <v>78</v>
      </c>
      <c r="C114" s="57" t="s">
        <v>414</v>
      </c>
      <c r="D114">
        <v>44.74</v>
      </c>
      <c r="E114">
        <v>0.04</v>
      </c>
      <c r="F114">
        <v>17.649999999999999</v>
      </c>
      <c r="G114">
        <v>58.27</v>
      </c>
      <c r="H114" s="57" t="s">
        <v>1150</v>
      </c>
      <c r="I114" s="58">
        <v>1.06</v>
      </c>
      <c r="J114" s="58" t="s">
        <v>407</v>
      </c>
      <c r="K114">
        <v>2.66</v>
      </c>
    </row>
    <row r="115" spans="2:11" x14ac:dyDescent="0.25">
      <c r="B115" s="57" t="s">
        <v>30</v>
      </c>
      <c r="C115" s="57" t="s">
        <v>415</v>
      </c>
      <c r="D115">
        <v>2.37</v>
      </c>
      <c r="E115">
        <v>-0.14000000000000001</v>
      </c>
      <c r="F115">
        <v>-31.01</v>
      </c>
      <c r="G115">
        <v>10.76</v>
      </c>
      <c r="H115" s="57" t="s">
        <v>1104</v>
      </c>
      <c r="I115" s="58">
        <v>0.65</v>
      </c>
      <c r="J115" s="58" t="s">
        <v>408</v>
      </c>
      <c r="K115">
        <v>0</v>
      </c>
    </row>
    <row r="116" spans="2:11" x14ac:dyDescent="0.25">
      <c r="B116" s="57" t="s">
        <v>284</v>
      </c>
      <c r="C116" s="57" t="s">
        <v>299</v>
      </c>
      <c r="D116">
        <v>72.2</v>
      </c>
      <c r="E116">
        <v>-0.98</v>
      </c>
      <c r="F116">
        <v>10.43</v>
      </c>
      <c r="G116">
        <v>16.7</v>
      </c>
      <c r="H116" s="57" t="s">
        <v>1151</v>
      </c>
      <c r="I116" s="58">
        <v>0.9</v>
      </c>
      <c r="J116" s="58" t="s">
        <v>405</v>
      </c>
      <c r="K116">
        <v>0</v>
      </c>
    </row>
    <row r="117" spans="2:11" x14ac:dyDescent="0.25">
      <c r="B117" s="57" t="s">
        <v>34</v>
      </c>
      <c r="C117" s="57" t="s">
        <v>116</v>
      </c>
      <c r="D117">
        <v>8.01</v>
      </c>
      <c r="E117">
        <v>-0.06</v>
      </c>
      <c r="F117">
        <v>-28.74</v>
      </c>
      <c r="G117">
        <v>-47.01</v>
      </c>
      <c r="H117" s="57" t="s">
        <v>1091</v>
      </c>
      <c r="I117" s="58">
        <v>0.62</v>
      </c>
      <c r="J117" s="58" t="s">
        <v>408</v>
      </c>
      <c r="K117">
        <v>0</v>
      </c>
    </row>
    <row r="118" spans="2:11" x14ac:dyDescent="0.25">
      <c r="B118" s="57" t="s">
        <v>268</v>
      </c>
      <c r="C118" s="57" t="s">
        <v>277</v>
      </c>
      <c r="D118">
        <v>129.35</v>
      </c>
      <c r="E118">
        <v>1.35</v>
      </c>
      <c r="F118">
        <v>6.81</v>
      </c>
      <c r="G118">
        <v>-7.41</v>
      </c>
      <c r="H118" s="57" t="s">
        <v>1152</v>
      </c>
      <c r="I118" s="58">
        <v>0.88</v>
      </c>
      <c r="J118" s="58" t="s">
        <v>405</v>
      </c>
      <c r="K118">
        <v>0</v>
      </c>
    </row>
    <row r="119" spans="2:11" x14ac:dyDescent="0.25">
      <c r="B119" s="57" t="s">
        <v>393</v>
      </c>
      <c r="C119" s="57" t="s">
        <v>397</v>
      </c>
      <c r="D119">
        <v>15.57</v>
      </c>
      <c r="E119">
        <v>-0.84</v>
      </c>
      <c r="F119">
        <v>-37.619999999999997</v>
      </c>
      <c r="G119">
        <v>-43.59</v>
      </c>
      <c r="H119" s="57" t="s">
        <v>1153</v>
      </c>
      <c r="I119" s="58">
        <v>0.62</v>
      </c>
      <c r="J119" s="58" t="s">
        <v>405</v>
      </c>
      <c r="K119">
        <v>4.57</v>
      </c>
    </row>
    <row r="120" spans="2:11" x14ac:dyDescent="0.25">
      <c r="B120" s="57" t="s">
        <v>239</v>
      </c>
      <c r="C120" s="57" t="s">
        <v>246</v>
      </c>
      <c r="D120">
        <v>0</v>
      </c>
      <c r="E120">
        <v>0</v>
      </c>
      <c r="H120" s="57"/>
      <c r="I120" s="58"/>
      <c r="J120" s="58"/>
    </row>
    <row r="121" spans="2:11" x14ac:dyDescent="0.25">
      <c r="B121" s="57" t="s">
        <v>803</v>
      </c>
      <c r="C121" s="57" t="s">
        <v>809</v>
      </c>
      <c r="D121">
        <v>85.66</v>
      </c>
      <c r="E121">
        <v>0.57999999999999996</v>
      </c>
      <c r="F121">
        <v>3.65</v>
      </c>
      <c r="G121">
        <v>13.63</v>
      </c>
      <c r="H121" s="57" t="s">
        <v>1154</v>
      </c>
      <c r="I121" s="58">
        <v>0.83</v>
      </c>
      <c r="J121" s="58" t="s">
        <v>459</v>
      </c>
      <c r="K121">
        <v>2.63</v>
      </c>
    </row>
    <row r="122" spans="2:11" x14ac:dyDescent="0.25">
      <c r="B122" s="57" t="s">
        <v>67</v>
      </c>
      <c r="C122" s="57" t="s">
        <v>458</v>
      </c>
      <c r="D122">
        <v>189</v>
      </c>
      <c r="E122">
        <v>5.04</v>
      </c>
      <c r="F122">
        <v>27.82</v>
      </c>
      <c r="G122">
        <v>74.97</v>
      </c>
      <c r="H122" s="57" t="s">
        <v>1155</v>
      </c>
      <c r="I122" s="58">
        <v>1.02</v>
      </c>
      <c r="J122" s="58" t="s">
        <v>459</v>
      </c>
      <c r="K122">
        <v>1.05</v>
      </c>
    </row>
    <row r="123" spans="2:11" x14ac:dyDescent="0.25">
      <c r="B123" s="57" t="s">
        <v>35</v>
      </c>
      <c r="C123" s="57" t="s">
        <v>115</v>
      </c>
      <c r="D123">
        <v>24.41</v>
      </c>
      <c r="E123">
        <v>-7.0000000000000007E-2</v>
      </c>
      <c r="F123">
        <v>5.41</v>
      </c>
      <c r="G123">
        <v>19.440000000000001</v>
      </c>
      <c r="H123" s="57" t="s">
        <v>1156</v>
      </c>
      <c r="I123" s="58">
        <v>0.72</v>
      </c>
      <c r="J123" s="58" t="s">
        <v>405</v>
      </c>
      <c r="K123">
        <v>0</v>
      </c>
    </row>
    <row r="124" spans="2:11" x14ac:dyDescent="0.25">
      <c r="B124" s="57" t="s">
        <v>269</v>
      </c>
      <c r="C124" s="57" t="s">
        <v>278</v>
      </c>
      <c r="D124">
        <v>57.07</v>
      </c>
      <c r="E124">
        <v>0.74</v>
      </c>
      <c r="F124">
        <v>-2.75</v>
      </c>
      <c r="G124">
        <v>24.41</v>
      </c>
      <c r="H124" s="57" t="s">
        <v>697</v>
      </c>
      <c r="I124" s="58">
        <v>0.99</v>
      </c>
      <c r="J124" s="58" t="s">
        <v>407</v>
      </c>
      <c r="K124">
        <v>0.74</v>
      </c>
    </row>
    <row r="125" spans="2:11" x14ac:dyDescent="0.25">
      <c r="B125" s="57" t="s">
        <v>315</v>
      </c>
      <c r="C125" s="57" t="s">
        <v>325</v>
      </c>
      <c r="D125">
        <v>12.66</v>
      </c>
      <c r="E125">
        <v>-0.14000000000000001</v>
      </c>
      <c r="F125">
        <v>-32.69</v>
      </c>
      <c r="G125">
        <v>-41.93</v>
      </c>
      <c r="H125" s="57" t="s">
        <v>1151</v>
      </c>
      <c r="I125" s="58">
        <v>0.57999999999999996</v>
      </c>
      <c r="J125" s="58" t="s">
        <v>405</v>
      </c>
      <c r="K125">
        <v>0</v>
      </c>
    </row>
    <row r="126" spans="2:11" x14ac:dyDescent="0.25">
      <c r="B126" s="57" t="s">
        <v>36</v>
      </c>
      <c r="C126" s="57" t="s">
        <v>114</v>
      </c>
      <c r="D126">
        <v>12.63</v>
      </c>
      <c r="E126">
        <v>-1.43</v>
      </c>
      <c r="F126">
        <v>22.28</v>
      </c>
      <c r="G126">
        <v>-1.96</v>
      </c>
      <c r="H126" s="57" t="s">
        <v>1106</v>
      </c>
      <c r="I126" s="58">
        <v>0.62</v>
      </c>
      <c r="J126" s="58" t="s">
        <v>405</v>
      </c>
      <c r="K126">
        <v>0</v>
      </c>
    </row>
    <row r="127" spans="2:11" x14ac:dyDescent="0.25">
      <c r="B127" s="57" t="s">
        <v>76</v>
      </c>
      <c r="C127" s="57" t="s">
        <v>143</v>
      </c>
      <c r="D127">
        <v>37.11</v>
      </c>
      <c r="E127">
        <v>0.06</v>
      </c>
      <c r="F127">
        <v>13.56</v>
      </c>
      <c r="G127">
        <v>11.42</v>
      </c>
      <c r="H127" s="57" t="s">
        <v>1086</v>
      </c>
      <c r="I127" s="58">
        <v>1.28</v>
      </c>
      <c r="J127" s="58" t="s">
        <v>405</v>
      </c>
      <c r="K127">
        <v>0</v>
      </c>
    </row>
    <row r="128" spans="2:11" x14ac:dyDescent="0.25">
      <c r="B128" s="57" t="s">
        <v>391</v>
      </c>
      <c r="C128" s="57" t="s">
        <v>398</v>
      </c>
      <c r="D128">
        <v>1.6</v>
      </c>
      <c r="E128">
        <v>-0.06</v>
      </c>
      <c r="F128">
        <v>-18.45</v>
      </c>
      <c r="G128">
        <v>-26.32</v>
      </c>
      <c r="H128" s="57" t="s">
        <v>1157</v>
      </c>
      <c r="I128" s="58">
        <v>0.68</v>
      </c>
      <c r="J128" s="58" t="s">
        <v>408</v>
      </c>
      <c r="K128">
        <v>0</v>
      </c>
    </row>
    <row r="129" spans="2:11" x14ac:dyDescent="0.25">
      <c r="B129" s="57" t="s">
        <v>815</v>
      </c>
      <c r="C129" s="57" t="s">
        <v>816</v>
      </c>
      <c r="D129">
        <v>342.77</v>
      </c>
      <c r="E129">
        <v>1.71</v>
      </c>
      <c r="F129">
        <v>41.58</v>
      </c>
      <c r="G129">
        <v>51.49</v>
      </c>
      <c r="H129" s="57" t="s">
        <v>1158</v>
      </c>
      <c r="I129" s="58">
        <v>0.93</v>
      </c>
      <c r="J129" s="58" t="s">
        <v>407</v>
      </c>
      <c r="K129">
        <v>0</v>
      </c>
    </row>
    <row r="130" spans="2:11" x14ac:dyDescent="0.25">
      <c r="B130" s="57" t="s">
        <v>38</v>
      </c>
      <c r="C130" s="57" t="s">
        <v>144</v>
      </c>
      <c r="D130">
        <v>38.29</v>
      </c>
      <c r="E130">
        <v>0.41</v>
      </c>
      <c r="F130">
        <v>-3.66</v>
      </c>
      <c r="G130">
        <v>-6.46</v>
      </c>
      <c r="H130" s="57" t="s">
        <v>1159</v>
      </c>
      <c r="I130" s="58">
        <v>1.1299999999999999</v>
      </c>
      <c r="J130" s="58" t="s">
        <v>407</v>
      </c>
      <c r="K130">
        <v>1.03</v>
      </c>
    </row>
    <row r="131" spans="2:11" x14ac:dyDescent="0.25">
      <c r="B131" s="57" t="s">
        <v>242</v>
      </c>
      <c r="C131" s="57" t="s">
        <v>247</v>
      </c>
      <c r="D131">
        <v>86.45</v>
      </c>
      <c r="E131">
        <v>-0.64</v>
      </c>
      <c r="F131">
        <v>31.12</v>
      </c>
      <c r="G131">
        <v>-17.600000000000001</v>
      </c>
      <c r="H131" s="57" t="s">
        <v>1160</v>
      </c>
      <c r="I131" s="58">
        <v>0.97</v>
      </c>
      <c r="J131" s="58" t="s">
        <v>405</v>
      </c>
      <c r="K131">
        <v>1.32</v>
      </c>
    </row>
    <row r="132" spans="2:11" x14ac:dyDescent="0.25">
      <c r="B132" s="57" t="s">
        <v>237</v>
      </c>
      <c r="C132" s="57" t="s">
        <v>238</v>
      </c>
      <c r="D132">
        <v>22.72</v>
      </c>
      <c r="E132">
        <v>0.87</v>
      </c>
      <c r="F132">
        <v>35.56</v>
      </c>
      <c r="G132">
        <v>44.41</v>
      </c>
      <c r="H132" s="57" t="s">
        <v>1161</v>
      </c>
      <c r="I132" s="58">
        <v>1.29</v>
      </c>
      <c r="J132" s="58" t="s">
        <v>407</v>
      </c>
      <c r="K132">
        <v>0</v>
      </c>
    </row>
    <row r="133" spans="2:11" x14ac:dyDescent="0.25">
      <c r="B133" s="57" t="s">
        <v>805</v>
      </c>
      <c r="C133" s="57" t="s">
        <v>810</v>
      </c>
      <c r="D133">
        <v>97.42</v>
      </c>
      <c r="E133">
        <v>1.59</v>
      </c>
      <c r="F133">
        <v>10.86</v>
      </c>
      <c r="G133">
        <v>25.07</v>
      </c>
      <c r="H133" s="57" t="s">
        <v>1162</v>
      </c>
      <c r="I133" s="58">
        <v>1.04</v>
      </c>
      <c r="J133" s="58" t="s">
        <v>459</v>
      </c>
      <c r="K133">
        <v>2.94</v>
      </c>
    </row>
    <row r="134" spans="2:11" x14ac:dyDescent="0.25">
      <c r="B134" s="57" t="s">
        <v>39</v>
      </c>
      <c r="C134" s="57" t="s">
        <v>165</v>
      </c>
      <c r="D134">
        <v>8.27</v>
      </c>
      <c r="E134">
        <v>-0.05</v>
      </c>
      <c r="F134">
        <v>-15.94</v>
      </c>
      <c r="G134">
        <v>-58.49</v>
      </c>
      <c r="H134" s="57" t="s">
        <v>972</v>
      </c>
      <c r="I134" s="58">
        <v>0.55000000000000004</v>
      </c>
      <c r="J134" s="58" t="s">
        <v>408</v>
      </c>
      <c r="K134">
        <v>0</v>
      </c>
    </row>
    <row r="135" spans="2:11" x14ac:dyDescent="0.25">
      <c r="B135" s="57" t="s">
        <v>290</v>
      </c>
      <c r="C135" s="57" t="s">
        <v>300</v>
      </c>
      <c r="D135">
        <v>27.86</v>
      </c>
      <c r="E135">
        <v>0.56999999999999995</v>
      </c>
      <c r="F135">
        <v>-17.350000000000001</v>
      </c>
      <c r="G135">
        <v>-23.74</v>
      </c>
      <c r="H135" s="57" t="s">
        <v>1163</v>
      </c>
      <c r="I135" s="58">
        <v>0.81</v>
      </c>
      <c r="J135" s="58" t="s">
        <v>405</v>
      </c>
      <c r="K135">
        <v>4.4800000000000004</v>
      </c>
    </row>
    <row r="136" spans="2:11" x14ac:dyDescent="0.25">
      <c r="B136" s="57" t="s">
        <v>96</v>
      </c>
      <c r="C136" s="57" t="s">
        <v>117</v>
      </c>
      <c r="D136">
        <v>36.31</v>
      </c>
      <c r="E136">
        <v>1.99</v>
      </c>
      <c r="F136">
        <v>60.61</v>
      </c>
      <c r="G136">
        <v>35.06</v>
      </c>
      <c r="H136" s="57" t="s">
        <v>1160</v>
      </c>
      <c r="I136" s="58">
        <v>1.07</v>
      </c>
      <c r="J136" s="58" t="s">
        <v>405</v>
      </c>
      <c r="K136">
        <v>0</v>
      </c>
    </row>
    <row r="137" spans="2:11" x14ac:dyDescent="0.25">
      <c r="B137" s="57" t="s">
        <v>804</v>
      </c>
      <c r="C137" s="57" t="s">
        <v>811</v>
      </c>
      <c r="D137">
        <v>37.81</v>
      </c>
      <c r="E137">
        <v>-0.24</v>
      </c>
      <c r="F137">
        <v>3.7</v>
      </c>
      <c r="G137">
        <v>-6.17</v>
      </c>
      <c r="H137" s="57" t="s">
        <v>1164</v>
      </c>
      <c r="I137" s="58">
        <v>0.82</v>
      </c>
      <c r="J137" s="58" t="s">
        <v>407</v>
      </c>
      <c r="K137">
        <v>3.82</v>
      </c>
    </row>
    <row r="138" spans="2:11" x14ac:dyDescent="0.25">
      <c r="B138" s="57" t="s">
        <v>797</v>
      </c>
      <c r="C138" s="57" t="s">
        <v>799</v>
      </c>
      <c r="D138">
        <v>126.17</v>
      </c>
      <c r="E138">
        <v>0.09</v>
      </c>
      <c r="F138">
        <v>6.29</v>
      </c>
      <c r="G138">
        <v>32.89</v>
      </c>
      <c r="H138" s="57" t="s">
        <v>1165</v>
      </c>
      <c r="I138" s="58">
        <v>1.1599999999999999</v>
      </c>
      <c r="J138" s="58" t="s">
        <v>459</v>
      </c>
      <c r="K138">
        <v>2.35</v>
      </c>
    </row>
    <row r="139" spans="2:11" x14ac:dyDescent="0.25">
      <c r="B139" s="57" t="s">
        <v>220</v>
      </c>
      <c r="C139" s="57" t="s">
        <v>233</v>
      </c>
      <c r="D139">
        <v>46.66</v>
      </c>
      <c r="E139">
        <v>0.56000000000000005</v>
      </c>
      <c r="F139">
        <v>17.46</v>
      </c>
      <c r="G139">
        <v>73.55</v>
      </c>
      <c r="H139" s="57" t="s">
        <v>1166</v>
      </c>
      <c r="I139" s="58">
        <v>1.1100000000000001</v>
      </c>
      <c r="J139" s="58" t="s">
        <v>407</v>
      </c>
      <c r="K139">
        <v>0.99</v>
      </c>
    </row>
    <row r="140" spans="2:11" x14ac:dyDescent="0.25">
      <c r="B140" s="57" t="s">
        <v>22</v>
      </c>
      <c r="C140" s="57" t="s">
        <v>421</v>
      </c>
      <c r="D140">
        <v>83.37</v>
      </c>
      <c r="E140">
        <v>-1.39</v>
      </c>
      <c r="F140">
        <v>12.22</v>
      </c>
      <c r="G140">
        <v>9.81</v>
      </c>
      <c r="H140" s="57" t="s">
        <v>1167</v>
      </c>
      <c r="I140" s="58">
        <v>0.96</v>
      </c>
      <c r="J140" s="58" t="s">
        <v>405</v>
      </c>
      <c r="K140">
        <v>0</v>
      </c>
    </row>
    <row r="141" spans="2:11" x14ac:dyDescent="0.25">
      <c r="B141" s="57" t="s">
        <v>798</v>
      </c>
      <c r="C141" s="57" t="s">
        <v>800</v>
      </c>
      <c r="D141">
        <v>88.75</v>
      </c>
      <c r="E141">
        <v>1.3</v>
      </c>
      <c r="F141">
        <v>4.3600000000000003</v>
      </c>
      <c r="G141">
        <v>20.25</v>
      </c>
      <c r="H141" s="57" t="s">
        <v>1168</v>
      </c>
      <c r="I141" s="58">
        <v>0.87</v>
      </c>
      <c r="J141" s="58" t="s">
        <v>407</v>
      </c>
      <c r="K141">
        <v>5.5</v>
      </c>
    </row>
    <row r="142" spans="2:11" x14ac:dyDescent="0.25">
      <c r="B142" s="57" t="s">
        <v>41</v>
      </c>
      <c r="C142" s="57" t="s">
        <v>166</v>
      </c>
      <c r="D142">
        <v>0</v>
      </c>
      <c r="E142">
        <v>0</v>
      </c>
      <c r="H142" s="57"/>
      <c r="I142" s="58"/>
      <c r="J142" s="58"/>
    </row>
    <row r="143" spans="2:11" x14ac:dyDescent="0.25">
      <c r="B143" s="57" t="s">
        <v>240</v>
      </c>
      <c r="C143" s="57" t="s">
        <v>248</v>
      </c>
      <c r="D143">
        <v>26.49</v>
      </c>
      <c r="E143">
        <v>7.0000000000000007E-2</v>
      </c>
      <c r="F143">
        <v>-13.93</v>
      </c>
      <c r="G143">
        <v>30.56</v>
      </c>
      <c r="H143" s="57" t="s">
        <v>1169</v>
      </c>
      <c r="I143" s="58">
        <v>0.78</v>
      </c>
      <c r="J143" s="58" t="s">
        <v>405</v>
      </c>
      <c r="K143">
        <v>0</v>
      </c>
    </row>
    <row r="144" spans="2:11" x14ac:dyDescent="0.25">
      <c r="B144" s="57" t="s">
        <v>205</v>
      </c>
      <c r="C144" s="57" t="s">
        <v>967</v>
      </c>
      <c r="D144">
        <v>65.36</v>
      </c>
      <c r="E144">
        <v>-0.3</v>
      </c>
      <c r="F144">
        <v>-0.91</v>
      </c>
      <c r="G144">
        <v>1.73</v>
      </c>
      <c r="H144" s="57" t="s">
        <v>1121</v>
      </c>
      <c r="I144" s="58">
        <v>0.96</v>
      </c>
      <c r="J144" s="58" t="s">
        <v>407</v>
      </c>
      <c r="K144">
        <v>0</v>
      </c>
    </row>
    <row r="145" spans="2:11" x14ac:dyDescent="0.25">
      <c r="B145" s="57" t="s">
        <v>339</v>
      </c>
      <c r="C145" s="57" t="s">
        <v>340</v>
      </c>
      <c r="D145">
        <v>14.39</v>
      </c>
      <c r="E145">
        <v>-0.57999999999999996</v>
      </c>
      <c r="F145">
        <v>13.91</v>
      </c>
      <c r="G145">
        <v>-21.3</v>
      </c>
      <c r="H145" s="57" t="s">
        <v>1170</v>
      </c>
      <c r="I145" s="58">
        <v>0.96</v>
      </c>
      <c r="J145" s="58" t="s">
        <v>405</v>
      </c>
      <c r="K145">
        <v>0</v>
      </c>
    </row>
    <row r="146" spans="2:11" x14ac:dyDescent="0.25">
      <c r="B146" s="57" t="s">
        <v>807</v>
      </c>
      <c r="C146" s="57" t="s">
        <v>813</v>
      </c>
      <c r="D146">
        <v>17.010000000000002</v>
      </c>
      <c r="E146">
        <v>-0.03</v>
      </c>
      <c r="F146">
        <v>11.02</v>
      </c>
      <c r="G146">
        <v>15.99</v>
      </c>
      <c r="H146" s="57" t="s">
        <v>1171</v>
      </c>
      <c r="I146" s="58">
        <v>1</v>
      </c>
      <c r="J146" s="58"/>
      <c r="K146">
        <v>2.5299999999999998</v>
      </c>
    </row>
    <row r="147" spans="2:11" x14ac:dyDescent="0.25">
      <c r="B147" s="57" t="s">
        <v>341</v>
      </c>
      <c r="C147" s="57" t="s">
        <v>342</v>
      </c>
      <c r="D147">
        <v>12.92</v>
      </c>
      <c r="E147">
        <v>-0.01</v>
      </c>
      <c r="F147">
        <v>13.04</v>
      </c>
      <c r="G147">
        <v>53.64</v>
      </c>
      <c r="H147" s="57" t="s">
        <v>1075</v>
      </c>
      <c r="I147" s="58">
        <v>0.94</v>
      </c>
      <c r="J147" s="58" t="s">
        <v>405</v>
      </c>
      <c r="K147">
        <v>0</v>
      </c>
    </row>
    <row r="148" spans="2:11" x14ac:dyDescent="0.25">
      <c r="B148" s="57" t="s">
        <v>250</v>
      </c>
      <c r="C148" s="57" t="s">
        <v>254</v>
      </c>
      <c r="D148">
        <v>22.36</v>
      </c>
      <c r="E148">
        <v>0.23</v>
      </c>
      <c r="F148">
        <v>36.39</v>
      </c>
      <c r="G148">
        <v>65.56</v>
      </c>
      <c r="H148" s="57" t="s">
        <v>1172</v>
      </c>
      <c r="I148" s="58">
        <v>1.06</v>
      </c>
      <c r="J148" s="58" t="s">
        <v>405</v>
      </c>
      <c r="K148">
        <v>0</v>
      </c>
    </row>
    <row r="149" spans="2:11" x14ac:dyDescent="0.25">
      <c r="B149" s="57" t="s">
        <v>99</v>
      </c>
      <c r="C149" s="57" t="s">
        <v>145</v>
      </c>
      <c r="D149">
        <v>3.11</v>
      </c>
      <c r="E149">
        <v>-0.06</v>
      </c>
      <c r="F149">
        <v>-20.149999999999999</v>
      </c>
      <c r="G149">
        <v>-60.22</v>
      </c>
      <c r="H149" s="57" t="s">
        <v>1173</v>
      </c>
      <c r="I149" s="58">
        <v>0.57999999999999996</v>
      </c>
      <c r="J149" s="58" t="s">
        <v>408</v>
      </c>
      <c r="K149">
        <v>0</v>
      </c>
    </row>
    <row r="150" spans="2:11" x14ac:dyDescent="0.25">
      <c r="B150" s="57" t="s">
        <v>343</v>
      </c>
      <c r="C150" s="57" t="s">
        <v>343</v>
      </c>
      <c r="D150">
        <v>227.84</v>
      </c>
      <c r="E150">
        <v>11.88</v>
      </c>
      <c r="F150">
        <v>26.31</v>
      </c>
      <c r="G150">
        <v>55.6</v>
      </c>
      <c r="H150" s="57" t="s">
        <v>1174</v>
      </c>
      <c r="I150" s="58">
        <v>1.36</v>
      </c>
      <c r="J150" s="58" t="s">
        <v>405</v>
      </c>
      <c r="K150">
        <v>0</v>
      </c>
    </row>
    <row r="151" spans="2:11" x14ac:dyDescent="0.25">
      <c r="B151" s="57" t="s">
        <v>360</v>
      </c>
      <c r="C151" s="57" t="s">
        <v>376</v>
      </c>
      <c r="D151">
        <v>120.65</v>
      </c>
      <c r="E151">
        <v>0.09</v>
      </c>
      <c r="F151">
        <v>21.04</v>
      </c>
      <c r="G151">
        <v>-1.56</v>
      </c>
      <c r="H151" s="57" t="s">
        <v>1175</v>
      </c>
      <c r="I151" s="58">
        <v>1.01</v>
      </c>
      <c r="J151" s="58" t="s">
        <v>405</v>
      </c>
      <c r="K151">
        <v>2.19</v>
      </c>
    </row>
    <row r="152" spans="2:11" x14ac:dyDescent="0.25">
      <c r="B152" s="57" t="s">
        <v>37</v>
      </c>
      <c r="C152" s="57" t="s">
        <v>118</v>
      </c>
      <c r="D152">
        <v>44.03</v>
      </c>
      <c r="E152">
        <v>0.37</v>
      </c>
      <c r="F152">
        <v>-1.45</v>
      </c>
      <c r="G152">
        <v>15.76</v>
      </c>
      <c r="H152" s="57" t="s">
        <v>1106</v>
      </c>
      <c r="I152" s="58">
        <v>0.94</v>
      </c>
      <c r="J152" s="58" t="s">
        <v>405</v>
      </c>
      <c r="K152">
        <v>1.1100000000000001</v>
      </c>
    </row>
    <row r="153" spans="2:11" x14ac:dyDescent="0.25">
      <c r="B153" s="57" t="s">
        <v>270</v>
      </c>
      <c r="C153" s="57" t="s">
        <v>279</v>
      </c>
      <c r="D153">
        <v>17.079999999999998</v>
      </c>
      <c r="E153">
        <v>0</v>
      </c>
      <c r="F153">
        <v>-19</v>
      </c>
      <c r="G153">
        <v>-25.47</v>
      </c>
      <c r="H153" s="57" t="s">
        <v>1151</v>
      </c>
      <c r="I153" s="58">
        <v>1</v>
      </c>
      <c r="J153" s="58" t="s">
        <v>405</v>
      </c>
      <c r="K153">
        <v>4.26</v>
      </c>
    </row>
    <row r="154" spans="2:11" x14ac:dyDescent="0.25">
      <c r="B154" s="57" t="s">
        <v>291</v>
      </c>
      <c r="C154" s="57" t="s">
        <v>301</v>
      </c>
      <c r="D154">
        <v>24.47</v>
      </c>
      <c r="E154">
        <v>0.69</v>
      </c>
      <c r="F154">
        <v>19.95</v>
      </c>
      <c r="G154">
        <v>50.03</v>
      </c>
      <c r="H154" s="57" t="s">
        <v>1169</v>
      </c>
      <c r="I154" s="58">
        <v>1.1299999999999999</v>
      </c>
      <c r="J154" s="58" t="s">
        <v>407</v>
      </c>
      <c r="K154">
        <v>0</v>
      </c>
    </row>
    <row r="155" spans="2:11" x14ac:dyDescent="0.25">
      <c r="B155" s="57" t="s">
        <v>796</v>
      </c>
      <c r="C155" s="57" t="s">
        <v>801</v>
      </c>
      <c r="D155">
        <v>0</v>
      </c>
      <c r="E155">
        <v>0</v>
      </c>
      <c r="H155" s="57"/>
      <c r="I155" s="58"/>
      <c r="J155" s="58"/>
    </row>
    <row r="156" spans="2:11" x14ac:dyDescent="0.25">
      <c r="B156" s="57" t="s">
        <v>344</v>
      </c>
      <c r="C156" s="57" t="s">
        <v>345</v>
      </c>
      <c r="D156">
        <v>27.65</v>
      </c>
      <c r="E156">
        <v>-0.42</v>
      </c>
      <c r="F156">
        <v>10.29</v>
      </c>
      <c r="G156">
        <v>15.18</v>
      </c>
      <c r="H156" s="57" t="s">
        <v>1133</v>
      </c>
      <c r="I156" s="58">
        <v>0.88</v>
      </c>
      <c r="J156" s="58" t="s">
        <v>408</v>
      </c>
      <c r="K156">
        <v>0</v>
      </c>
    </row>
    <row r="157" spans="2:11" x14ac:dyDescent="0.25">
      <c r="B157" s="57" t="s">
        <v>380</v>
      </c>
      <c r="C157" s="57" t="s">
        <v>383</v>
      </c>
      <c r="D157">
        <v>28.99</v>
      </c>
      <c r="E157">
        <v>-0.51</v>
      </c>
      <c r="F157">
        <v>-5.5</v>
      </c>
      <c r="G157">
        <v>48.11</v>
      </c>
      <c r="H157" s="57" t="s">
        <v>1089</v>
      </c>
      <c r="I157" s="58">
        <v>1.1100000000000001</v>
      </c>
      <c r="J157" s="58" t="s">
        <v>405</v>
      </c>
      <c r="K157">
        <v>0</v>
      </c>
    </row>
    <row r="158" spans="2:11" x14ac:dyDescent="0.25">
      <c r="B158" s="57" t="s">
        <v>208</v>
      </c>
      <c r="C158" s="57" t="s">
        <v>209</v>
      </c>
      <c r="D158">
        <v>56.56</v>
      </c>
      <c r="E158">
        <v>-0.54</v>
      </c>
      <c r="F158">
        <v>-8.5299999999999994</v>
      </c>
      <c r="G158">
        <v>9.14</v>
      </c>
      <c r="H158" s="57" t="s">
        <v>1176</v>
      </c>
      <c r="I158" s="58">
        <v>0.94</v>
      </c>
      <c r="J158" s="58" t="s">
        <v>405</v>
      </c>
      <c r="K158">
        <v>0.8</v>
      </c>
    </row>
    <row r="159" spans="2:11" x14ac:dyDescent="0.25">
      <c r="B159" s="57" t="s">
        <v>191</v>
      </c>
      <c r="C159" s="57" t="s">
        <v>192</v>
      </c>
      <c r="D159">
        <v>70.17</v>
      </c>
      <c r="E159">
        <v>0.08</v>
      </c>
      <c r="F159">
        <v>17.82</v>
      </c>
      <c r="G159">
        <v>62.63</v>
      </c>
      <c r="H159" s="57" t="s">
        <v>1177</v>
      </c>
      <c r="I159" s="58">
        <v>1.03</v>
      </c>
      <c r="J159" s="58"/>
      <c r="K159">
        <v>0.52</v>
      </c>
    </row>
    <row r="160" spans="2:11" x14ac:dyDescent="0.25">
      <c r="B160" s="57" t="s">
        <v>98</v>
      </c>
      <c r="C160" s="57" t="s">
        <v>119</v>
      </c>
      <c r="D160">
        <v>18.53</v>
      </c>
      <c r="E160">
        <v>0.2</v>
      </c>
      <c r="F160">
        <v>5.08</v>
      </c>
      <c r="G160">
        <v>124.13</v>
      </c>
      <c r="H160" s="57" t="s">
        <v>1178</v>
      </c>
      <c r="I160" s="58">
        <v>1.1399999999999999</v>
      </c>
      <c r="J160" s="58" t="s">
        <v>405</v>
      </c>
      <c r="K160">
        <v>0.54</v>
      </c>
    </row>
    <row r="161" spans="2:11" x14ac:dyDescent="0.25">
      <c r="B161" s="57" t="s">
        <v>361</v>
      </c>
      <c r="C161" s="57" t="s">
        <v>377</v>
      </c>
      <c r="D161">
        <v>28.83</v>
      </c>
      <c r="E161">
        <v>0.23</v>
      </c>
      <c r="F161">
        <v>-6.71</v>
      </c>
      <c r="G161">
        <v>5.37</v>
      </c>
      <c r="H161" s="57" t="s">
        <v>1179</v>
      </c>
      <c r="I161" s="58">
        <v>1.03</v>
      </c>
      <c r="J161" s="58" t="s">
        <v>407</v>
      </c>
      <c r="K161">
        <v>0</v>
      </c>
    </row>
    <row r="162" spans="2:11" x14ac:dyDescent="0.25">
      <c r="B162" s="57" t="s">
        <v>194</v>
      </c>
      <c r="C162" s="57" t="s">
        <v>197</v>
      </c>
      <c r="D162">
        <v>82.54</v>
      </c>
      <c r="E162">
        <v>-2.0299999999999998</v>
      </c>
      <c r="F162">
        <v>51.4</v>
      </c>
      <c r="G162">
        <v>68.430000000000007</v>
      </c>
      <c r="H162" s="57" t="s">
        <v>1180</v>
      </c>
      <c r="I162" s="58">
        <v>2.06</v>
      </c>
      <c r="J162" s="58" t="s">
        <v>405</v>
      </c>
      <c r="K162">
        <v>0</v>
      </c>
    </row>
    <row r="163" spans="2:11" x14ac:dyDescent="0.25">
      <c r="B163" s="57" t="s">
        <v>43</v>
      </c>
      <c r="C163" s="57" t="s">
        <v>120</v>
      </c>
      <c r="D163">
        <v>23.59</v>
      </c>
      <c r="E163">
        <v>-0.06</v>
      </c>
      <c r="F163">
        <v>8.9700000000000006</v>
      </c>
      <c r="G163">
        <v>4.75</v>
      </c>
      <c r="H163" s="57" t="s">
        <v>1176</v>
      </c>
      <c r="I163" s="58">
        <v>1.02</v>
      </c>
      <c r="J163" s="58" t="s">
        <v>405</v>
      </c>
      <c r="K163">
        <v>1.94</v>
      </c>
    </row>
    <row r="164" spans="2:11" x14ac:dyDescent="0.25">
      <c r="B164" s="57" t="s">
        <v>894</v>
      </c>
      <c r="C164" s="57" t="s">
        <v>899</v>
      </c>
      <c r="D164">
        <v>109.33</v>
      </c>
      <c r="E164">
        <v>3.49</v>
      </c>
      <c r="F164">
        <v>35.93</v>
      </c>
      <c r="G164">
        <v>69.91</v>
      </c>
      <c r="H164" s="57" t="s">
        <v>1181</v>
      </c>
      <c r="I164" s="58">
        <v>1.07</v>
      </c>
      <c r="J164" s="58" t="s">
        <v>407</v>
      </c>
      <c r="K164">
        <v>0</v>
      </c>
    </row>
    <row r="165" spans="2:11" x14ac:dyDescent="0.25">
      <c r="B165" s="57" t="s">
        <v>439</v>
      </c>
      <c r="C165" s="57" t="s">
        <v>445</v>
      </c>
      <c r="D165">
        <v>6.74</v>
      </c>
      <c r="E165">
        <v>-0.02</v>
      </c>
      <c r="F165">
        <v>-5.98</v>
      </c>
      <c r="G165">
        <v>-16.37</v>
      </c>
      <c r="H165" s="57" t="s">
        <v>1182</v>
      </c>
      <c r="I165" s="58">
        <v>0.48</v>
      </c>
      <c r="J165" s="58" t="s">
        <v>405</v>
      </c>
      <c r="K165">
        <v>6.59</v>
      </c>
    </row>
    <row r="166" spans="2:11" x14ac:dyDescent="0.25">
      <c r="B166" s="57" t="s">
        <v>213</v>
      </c>
      <c r="C166" s="57" t="s">
        <v>234</v>
      </c>
      <c r="D166">
        <v>11.49</v>
      </c>
      <c r="E166">
        <v>-0.23</v>
      </c>
      <c r="F166">
        <v>32.96</v>
      </c>
      <c r="G166">
        <v>-16.87</v>
      </c>
      <c r="H166" s="57" t="s">
        <v>1183</v>
      </c>
      <c r="I166" s="58">
        <v>0.82</v>
      </c>
      <c r="J166" s="58"/>
      <c r="K166">
        <v>8.4600000000000009</v>
      </c>
    </row>
    <row r="167" spans="2:11" x14ac:dyDescent="0.25">
      <c r="B167" s="57" t="s">
        <v>316</v>
      </c>
      <c r="C167" s="57" t="s">
        <v>326</v>
      </c>
      <c r="D167">
        <v>33.44</v>
      </c>
      <c r="E167">
        <v>0.28000000000000003</v>
      </c>
      <c r="F167">
        <v>12.3</v>
      </c>
      <c r="G167">
        <v>45</v>
      </c>
      <c r="H167" s="57" t="s">
        <v>1137</v>
      </c>
      <c r="I167" s="58">
        <v>1.1100000000000001</v>
      </c>
      <c r="J167" s="58" t="s">
        <v>405</v>
      </c>
      <c r="K167">
        <v>0</v>
      </c>
    </row>
    <row r="168" spans="2:11" x14ac:dyDescent="0.25">
      <c r="B168" s="57" t="s">
        <v>44</v>
      </c>
      <c r="C168" s="57" t="s">
        <v>352</v>
      </c>
      <c r="D168">
        <v>81.290000000000006</v>
      </c>
      <c r="E168">
        <v>0.06</v>
      </c>
      <c r="F168">
        <v>25.07</v>
      </c>
      <c r="G168">
        <v>34.97</v>
      </c>
      <c r="H168" s="57" t="s">
        <v>1124</v>
      </c>
      <c r="I168" s="58">
        <v>0.77</v>
      </c>
      <c r="J168" s="58" t="s">
        <v>405</v>
      </c>
      <c r="K168">
        <v>1.89</v>
      </c>
    </row>
    <row r="169" spans="2:11" x14ac:dyDescent="0.25">
      <c r="B169" s="57" t="s">
        <v>253</v>
      </c>
      <c r="C169" s="57" t="s">
        <v>255</v>
      </c>
      <c r="D169">
        <v>11.71</v>
      </c>
      <c r="E169">
        <v>-0.15</v>
      </c>
      <c r="F169">
        <v>-28.03</v>
      </c>
      <c r="G169">
        <v>-36.99</v>
      </c>
      <c r="H169" s="57" t="s">
        <v>1078</v>
      </c>
      <c r="I169" s="58">
        <v>0.7</v>
      </c>
      <c r="J169" s="58" t="s">
        <v>405</v>
      </c>
      <c r="K169">
        <v>0</v>
      </c>
    </row>
    <row r="170" spans="2:11" x14ac:dyDescent="0.25">
      <c r="B170" s="57" t="s">
        <v>312</v>
      </c>
      <c r="C170" s="57" t="s">
        <v>327</v>
      </c>
      <c r="D170">
        <v>3.77</v>
      </c>
      <c r="E170">
        <v>-0.13</v>
      </c>
      <c r="F170">
        <v>-23.91</v>
      </c>
      <c r="G170">
        <v>-64.430000000000007</v>
      </c>
      <c r="H170" s="57" t="s">
        <v>1114</v>
      </c>
      <c r="I170" s="58">
        <v>0.6</v>
      </c>
      <c r="J170" s="58" t="s">
        <v>408</v>
      </c>
      <c r="K170">
        <v>13.64</v>
      </c>
    </row>
    <row r="171" spans="2:11" x14ac:dyDescent="0.25">
      <c r="B171" s="57" t="s">
        <v>157</v>
      </c>
      <c r="C171" s="57" t="s">
        <v>158</v>
      </c>
      <c r="D171">
        <v>5.82</v>
      </c>
      <c r="E171">
        <v>-0.26</v>
      </c>
      <c r="F171">
        <v>7.91</v>
      </c>
      <c r="G171">
        <v>-47.35</v>
      </c>
      <c r="H171" s="57" t="s">
        <v>1091</v>
      </c>
      <c r="I171" s="58">
        <v>0.63</v>
      </c>
      <c r="J171" s="58" t="s">
        <v>408</v>
      </c>
      <c r="K171">
        <v>0</v>
      </c>
    </row>
    <row r="172" spans="2:11" x14ac:dyDescent="0.25">
      <c r="B172" s="57" t="s">
        <v>364</v>
      </c>
      <c r="C172" s="57" t="s">
        <v>378</v>
      </c>
      <c r="D172">
        <v>79.42</v>
      </c>
      <c r="E172">
        <v>4.66</v>
      </c>
      <c r="F172">
        <v>31.12</v>
      </c>
      <c r="G172">
        <v>78.569999999999993</v>
      </c>
      <c r="H172" s="57" t="s">
        <v>1184</v>
      </c>
      <c r="I172" s="58">
        <v>1.25</v>
      </c>
      <c r="J172" s="58" t="s">
        <v>407</v>
      </c>
      <c r="K172">
        <v>0</v>
      </c>
    </row>
    <row r="173" spans="2:11" x14ac:dyDescent="0.25">
      <c r="B173" s="57" t="s">
        <v>90</v>
      </c>
      <c r="C173" s="57" t="s">
        <v>91</v>
      </c>
      <c r="D173">
        <v>55.36</v>
      </c>
      <c r="E173">
        <v>-1.74</v>
      </c>
      <c r="F173">
        <v>9.41</v>
      </c>
      <c r="G173">
        <v>25.26</v>
      </c>
      <c r="H173" s="57" t="s">
        <v>1185</v>
      </c>
      <c r="I173" s="58">
        <v>0.95</v>
      </c>
      <c r="J173" s="58" t="s">
        <v>405</v>
      </c>
      <c r="K173">
        <v>0</v>
      </c>
    </row>
    <row r="174" spans="2:11" x14ac:dyDescent="0.25">
      <c r="B174" s="57" t="s">
        <v>382</v>
      </c>
      <c r="C174" s="57" t="s">
        <v>384</v>
      </c>
      <c r="D174">
        <v>1.34</v>
      </c>
      <c r="E174">
        <v>-7.0000000000000007E-2</v>
      </c>
      <c r="F174">
        <v>-13.17</v>
      </c>
      <c r="G174">
        <v>-92.9</v>
      </c>
      <c r="H174" s="57" t="s">
        <v>1186</v>
      </c>
      <c r="I174" s="58">
        <v>0.28000000000000003</v>
      </c>
      <c r="J174" s="58" t="s">
        <v>406</v>
      </c>
      <c r="K174">
        <v>16.559999999999999</v>
      </c>
    </row>
    <row r="175" spans="2:11" x14ac:dyDescent="0.25">
      <c r="B175" s="57" t="s">
        <v>206</v>
      </c>
      <c r="C175" s="57" t="s">
        <v>207</v>
      </c>
      <c r="D175">
        <v>24.42</v>
      </c>
      <c r="E175">
        <v>0.8</v>
      </c>
      <c r="F175">
        <v>7.96</v>
      </c>
      <c r="G175">
        <v>93.04</v>
      </c>
      <c r="H175" s="57" t="s">
        <v>1179</v>
      </c>
      <c r="I175" s="58">
        <v>0.99</v>
      </c>
      <c r="J175" s="58" t="s">
        <v>405</v>
      </c>
      <c r="K175">
        <v>0</v>
      </c>
    </row>
    <row r="176" spans="2:11" x14ac:dyDescent="0.25">
      <c r="B176" s="57" t="s">
        <v>806</v>
      </c>
      <c r="C176" s="57" t="s">
        <v>814</v>
      </c>
      <c r="D176">
        <v>60.66</v>
      </c>
      <c r="E176">
        <v>0.02</v>
      </c>
      <c r="F176">
        <v>0.94</v>
      </c>
      <c r="G176">
        <v>16.079999999999998</v>
      </c>
      <c r="H176" s="57" t="s">
        <v>1092</v>
      </c>
      <c r="I176" s="58">
        <v>1.06</v>
      </c>
      <c r="J176" s="58"/>
      <c r="K176">
        <v>2.98</v>
      </c>
    </row>
    <row r="177" spans="2:11" x14ac:dyDescent="0.25">
      <c r="B177" s="57" t="s">
        <v>40</v>
      </c>
      <c r="C177" s="57" t="s">
        <v>167</v>
      </c>
      <c r="D177">
        <v>19.39</v>
      </c>
      <c r="E177">
        <v>0.28999999999999998</v>
      </c>
      <c r="F177">
        <v>-12.82</v>
      </c>
      <c r="G177">
        <v>-14.81</v>
      </c>
      <c r="H177" s="57" t="s">
        <v>1187</v>
      </c>
      <c r="I177" s="58">
        <v>0.87</v>
      </c>
      <c r="J177" s="58" t="s">
        <v>405</v>
      </c>
      <c r="K177">
        <v>2.37</v>
      </c>
    </row>
    <row r="178" spans="2:11" x14ac:dyDescent="0.25">
      <c r="B178" s="57" t="s">
        <v>346</v>
      </c>
      <c r="C178" s="57" t="s">
        <v>347</v>
      </c>
      <c r="D178">
        <v>26.38</v>
      </c>
      <c r="E178">
        <v>0.45</v>
      </c>
      <c r="F178">
        <v>-12.4</v>
      </c>
      <c r="G178">
        <v>-14.65</v>
      </c>
      <c r="H178" s="57" t="s">
        <v>1081</v>
      </c>
      <c r="I178" s="58">
        <v>0.84</v>
      </c>
      <c r="J178" s="58" t="s">
        <v>405</v>
      </c>
      <c r="K178">
        <v>0</v>
      </c>
    </row>
    <row r="179" spans="2:11" x14ac:dyDescent="0.25">
      <c r="B179" s="57" t="s">
        <v>217</v>
      </c>
      <c r="C179" s="57" t="s">
        <v>235</v>
      </c>
      <c r="D179">
        <v>120.28</v>
      </c>
      <c r="E179">
        <v>0.27</v>
      </c>
      <c r="F179">
        <v>3.86</v>
      </c>
      <c r="G179">
        <v>35.43</v>
      </c>
      <c r="H179" s="57" t="s">
        <v>1107</v>
      </c>
      <c r="I179" s="58">
        <v>0.9</v>
      </c>
      <c r="J179" s="58" t="s">
        <v>405</v>
      </c>
      <c r="K179">
        <v>1.48</v>
      </c>
    </row>
    <row r="180" spans="2:11" x14ac:dyDescent="0.25">
      <c r="B180" s="57" t="s">
        <v>45</v>
      </c>
      <c r="C180" s="57" t="s">
        <v>148</v>
      </c>
      <c r="D180">
        <v>1.55</v>
      </c>
      <c r="E180">
        <v>-0.08</v>
      </c>
      <c r="F180">
        <v>-12.76</v>
      </c>
      <c r="G180">
        <v>-44.51</v>
      </c>
      <c r="H180" s="57" t="s">
        <v>1147</v>
      </c>
      <c r="I180" s="58">
        <v>0.73</v>
      </c>
      <c r="J180" s="58" t="s">
        <v>408</v>
      </c>
      <c r="K180">
        <v>4.57</v>
      </c>
    </row>
    <row r="181" spans="2:11" x14ac:dyDescent="0.25">
      <c r="B181" s="57" t="s">
        <v>193</v>
      </c>
      <c r="C181" s="57" t="s">
        <v>416</v>
      </c>
      <c r="D181">
        <v>24.22</v>
      </c>
      <c r="E181">
        <v>0.75</v>
      </c>
      <c r="H181" s="57" t="s">
        <v>1128</v>
      </c>
      <c r="I181" s="58"/>
      <c r="J181" s="58"/>
    </row>
    <row r="182" spans="2:11" x14ac:dyDescent="0.25">
      <c r="B182" s="57" t="s">
        <v>317</v>
      </c>
      <c r="C182" s="57" t="s">
        <v>328</v>
      </c>
      <c r="D182">
        <v>84.37</v>
      </c>
      <c r="E182">
        <v>0.33</v>
      </c>
      <c r="F182">
        <v>-16.12</v>
      </c>
      <c r="G182">
        <v>1.1100000000000001</v>
      </c>
      <c r="H182" s="57" t="s">
        <v>1076</v>
      </c>
      <c r="I182" s="58">
        <v>0.75</v>
      </c>
      <c r="J182" s="58" t="s">
        <v>405</v>
      </c>
      <c r="K182">
        <v>4.3</v>
      </c>
    </row>
    <row r="183" spans="2:11" x14ac:dyDescent="0.25">
      <c r="B183" s="57" t="s">
        <v>819</v>
      </c>
      <c r="C183" s="57" t="s">
        <v>820</v>
      </c>
      <c r="D183">
        <v>307.51</v>
      </c>
      <c r="E183">
        <v>2.25</v>
      </c>
      <c r="F183">
        <v>8.8800000000000008</v>
      </c>
      <c r="G183">
        <v>26.21</v>
      </c>
      <c r="H183" s="57" t="s">
        <v>1188</v>
      </c>
      <c r="I183" s="58">
        <v>1.01</v>
      </c>
      <c r="J183" s="58"/>
      <c r="K183">
        <v>1.88</v>
      </c>
    </row>
    <row r="184" spans="2:11" x14ac:dyDescent="0.25">
      <c r="B184" s="57" t="s">
        <v>392</v>
      </c>
      <c r="C184" s="57" t="s">
        <v>399</v>
      </c>
      <c r="D184">
        <v>33.299999999999997</v>
      </c>
      <c r="E184">
        <v>-0.35</v>
      </c>
      <c r="F184">
        <v>-5.27</v>
      </c>
      <c r="G184">
        <v>2.5099999999999998</v>
      </c>
      <c r="H184" s="57" t="s">
        <v>1087</v>
      </c>
      <c r="I184" s="58">
        <v>0.88</v>
      </c>
      <c r="J184" s="58" t="s">
        <v>407</v>
      </c>
      <c r="K184">
        <v>0</v>
      </c>
    </row>
    <row r="185" spans="2:11" x14ac:dyDescent="0.25">
      <c r="B185" s="57" t="s">
        <v>249</v>
      </c>
      <c r="C185" s="57" t="s">
        <v>256</v>
      </c>
      <c r="D185">
        <v>18.21</v>
      </c>
      <c r="E185">
        <v>0.39</v>
      </c>
      <c r="F185">
        <v>22.53</v>
      </c>
      <c r="G185">
        <v>-27.44</v>
      </c>
      <c r="H185" s="57" t="s">
        <v>1103</v>
      </c>
      <c r="I185" s="58">
        <v>0.74</v>
      </c>
      <c r="J185" s="58" t="s">
        <v>405</v>
      </c>
      <c r="K185">
        <v>0</v>
      </c>
    </row>
    <row r="186" spans="2:11" x14ac:dyDescent="0.25">
      <c r="B186" s="57" t="s">
        <v>42</v>
      </c>
      <c r="C186" s="57" t="s">
        <v>350</v>
      </c>
      <c r="D186">
        <v>30.55</v>
      </c>
      <c r="E186">
        <v>-0.25</v>
      </c>
      <c r="F186">
        <v>-21.11</v>
      </c>
      <c r="G186">
        <v>-4.78</v>
      </c>
      <c r="H186" s="57" t="s">
        <v>1084</v>
      </c>
      <c r="I186" s="58">
        <v>0.76</v>
      </c>
      <c r="J186" s="58" t="s">
        <v>405</v>
      </c>
      <c r="K186">
        <v>1.1200000000000001</v>
      </c>
    </row>
    <row r="187" spans="2:11" x14ac:dyDescent="0.25">
      <c r="B187" s="57" t="s">
        <v>46</v>
      </c>
      <c r="C187" s="57" t="s">
        <v>351</v>
      </c>
      <c r="D187">
        <v>63.11</v>
      </c>
      <c r="E187">
        <v>-1.17</v>
      </c>
      <c r="F187">
        <v>6.92</v>
      </c>
      <c r="G187">
        <v>24.19</v>
      </c>
      <c r="H187" s="57" t="s">
        <v>1176</v>
      </c>
      <c r="I187" s="58">
        <v>1</v>
      </c>
      <c r="J187" s="58" t="s">
        <v>407</v>
      </c>
      <c r="K187">
        <v>0.6</v>
      </c>
    </row>
    <row r="188" spans="2:11" x14ac:dyDescent="0.25">
      <c r="B188" s="57" t="s">
        <v>159</v>
      </c>
      <c r="C188" s="57" t="s">
        <v>160</v>
      </c>
      <c r="D188">
        <v>349.92</v>
      </c>
      <c r="E188">
        <v>4.67</v>
      </c>
      <c r="H188" s="57" t="s">
        <v>1128</v>
      </c>
      <c r="I188" s="58"/>
      <c r="J188" s="58"/>
    </row>
    <row r="189" spans="2:11" x14ac:dyDescent="0.25">
      <c r="B189" s="57" t="s">
        <v>81</v>
      </c>
      <c r="C189" s="57" t="s">
        <v>121</v>
      </c>
      <c r="D189">
        <v>58.22</v>
      </c>
      <c r="E189">
        <v>0.81</v>
      </c>
      <c r="F189">
        <v>18.45</v>
      </c>
      <c r="G189">
        <v>112.36</v>
      </c>
      <c r="H189" s="57" t="s">
        <v>1189</v>
      </c>
      <c r="I189" s="58">
        <v>1.57</v>
      </c>
      <c r="J189" s="58" t="s">
        <v>405</v>
      </c>
      <c r="K189">
        <v>0.74</v>
      </c>
    </row>
    <row r="190" spans="2:11" x14ac:dyDescent="0.25">
      <c r="B190" s="57" t="s">
        <v>252</v>
      </c>
      <c r="C190" s="57" t="s">
        <v>280</v>
      </c>
      <c r="D190">
        <v>24.37</v>
      </c>
      <c r="E190">
        <v>0.61</v>
      </c>
      <c r="H190" s="57" t="s">
        <v>1128</v>
      </c>
      <c r="I190" s="58"/>
      <c r="J190" s="58"/>
    </row>
    <row r="191" spans="2:11" x14ac:dyDescent="0.25">
      <c r="B191" s="57" t="s">
        <v>222</v>
      </c>
      <c r="C191" s="57" t="s">
        <v>236</v>
      </c>
      <c r="D191">
        <v>64</v>
      </c>
      <c r="E191">
        <v>0.63</v>
      </c>
      <c r="F191">
        <v>-12.11</v>
      </c>
      <c r="G191">
        <v>-13.76</v>
      </c>
      <c r="H191" s="57" t="s">
        <v>1172</v>
      </c>
      <c r="I191" s="58">
        <v>0.94</v>
      </c>
      <c r="J191" s="58" t="s">
        <v>405</v>
      </c>
      <c r="K191">
        <v>1.59</v>
      </c>
    </row>
    <row r="192" spans="2:11" x14ac:dyDescent="0.25">
      <c r="B192" s="57" t="s">
        <v>47</v>
      </c>
      <c r="C192" s="57" t="s">
        <v>149</v>
      </c>
      <c r="D192">
        <v>11.64</v>
      </c>
      <c r="E192">
        <v>-0.11</v>
      </c>
      <c r="F192">
        <v>-19.059999999999999</v>
      </c>
      <c r="G192">
        <v>-12.77</v>
      </c>
      <c r="H192" s="57" t="s">
        <v>1147</v>
      </c>
      <c r="I192" s="58">
        <v>0.74</v>
      </c>
      <c r="J192" s="58" t="s">
        <v>405</v>
      </c>
      <c r="K192">
        <v>2.62</v>
      </c>
    </row>
    <row r="193" spans="2:11" x14ac:dyDescent="0.25">
      <c r="B193" s="57" t="s">
        <v>348</v>
      </c>
      <c r="C193" s="57" t="s">
        <v>349</v>
      </c>
      <c r="D193">
        <v>3.98</v>
      </c>
      <c r="E193">
        <v>-0.08</v>
      </c>
      <c r="F193">
        <v>-3.73</v>
      </c>
      <c r="G193">
        <v>-17.399999999999999</v>
      </c>
      <c r="H193" s="57" t="s">
        <v>1190</v>
      </c>
      <c r="I193" s="58">
        <v>0.71</v>
      </c>
      <c r="J193" s="58" t="s">
        <v>408</v>
      </c>
      <c r="K193">
        <v>0</v>
      </c>
    </row>
    <row r="194" spans="2:11" x14ac:dyDescent="0.25">
      <c r="B194" s="57" t="s">
        <v>320</v>
      </c>
      <c r="C194" s="57" t="s">
        <v>329</v>
      </c>
      <c r="D194">
        <v>9.01</v>
      </c>
      <c r="E194">
        <v>-0.05</v>
      </c>
      <c r="F194">
        <v>-26.09</v>
      </c>
      <c r="G194">
        <v>-58.39</v>
      </c>
      <c r="H194" s="57" t="s">
        <v>1163</v>
      </c>
      <c r="I194" s="58">
        <v>0.9</v>
      </c>
      <c r="J194" s="58" t="s">
        <v>408</v>
      </c>
      <c r="K194">
        <v>0.42</v>
      </c>
    </row>
    <row r="195" spans="2:11" x14ac:dyDescent="0.25">
      <c r="B195" s="57" t="s">
        <v>201</v>
      </c>
      <c r="C195" s="57" t="s">
        <v>417</v>
      </c>
      <c r="D195">
        <v>4.21</v>
      </c>
      <c r="E195">
        <v>-7.0000000000000007E-2</v>
      </c>
      <c r="F195">
        <v>-35.119999999999997</v>
      </c>
      <c r="G195">
        <v>27.41</v>
      </c>
      <c r="H195" s="57" t="s">
        <v>1191</v>
      </c>
      <c r="I195" s="58">
        <v>0.67</v>
      </c>
      <c r="J195" s="58" t="s">
        <v>408</v>
      </c>
      <c r="K195">
        <v>0</v>
      </c>
    </row>
    <row r="196" spans="2:11" x14ac:dyDescent="0.25">
      <c r="B196" s="57" t="s">
        <v>48</v>
      </c>
      <c r="C196" s="57" t="s">
        <v>150</v>
      </c>
      <c r="D196">
        <v>97.11</v>
      </c>
      <c r="E196">
        <v>3.88</v>
      </c>
      <c r="F196">
        <v>11.69</v>
      </c>
      <c r="G196">
        <v>57.17</v>
      </c>
      <c r="H196" s="57" t="s">
        <v>1178</v>
      </c>
      <c r="I196" s="58">
        <v>1.59</v>
      </c>
      <c r="J196" s="58" t="s">
        <v>405</v>
      </c>
      <c r="K196">
        <v>0</v>
      </c>
    </row>
    <row r="197" spans="2:11" x14ac:dyDescent="0.25">
      <c r="B197" s="57" t="s">
        <v>319</v>
      </c>
      <c r="C197" s="57" t="s">
        <v>330</v>
      </c>
      <c r="D197">
        <v>32.119999999999997</v>
      </c>
      <c r="E197">
        <v>0.24</v>
      </c>
      <c r="F197">
        <v>2.91</v>
      </c>
      <c r="G197">
        <v>38.33</v>
      </c>
      <c r="H197" s="57" t="s">
        <v>1192</v>
      </c>
      <c r="I197" s="58">
        <v>0.88</v>
      </c>
      <c r="J197" s="58" t="s">
        <v>405</v>
      </c>
      <c r="K197">
        <v>0</v>
      </c>
    </row>
    <row r="198" spans="2:11" x14ac:dyDescent="0.25">
      <c r="B198" s="57" t="s">
        <v>870</v>
      </c>
      <c r="C198" s="57" t="s">
        <v>1193</v>
      </c>
      <c r="D198">
        <v>0</v>
      </c>
      <c r="E198">
        <v>0</v>
      </c>
      <c r="H198" s="57"/>
      <c r="I198" s="58"/>
      <c r="J198" s="58"/>
    </row>
    <row r="199" spans="2:11" x14ac:dyDescent="0.25">
      <c r="B199" s="57" t="s">
        <v>786</v>
      </c>
      <c r="C199" s="57" t="s">
        <v>788</v>
      </c>
      <c r="D199">
        <v>130.68</v>
      </c>
      <c r="E199">
        <v>-2.25</v>
      </c>
      <c r="F199">
        <v>-20.78</v>
      </c>
      <c r="G199">
        <v>-14.38</v>
      </c>
      <c r="H199" s="57" t="s">
        <v>1176</v>
      </c>
      <c r="I199" s="58">
        <v>0.73</v>
      </c>
      <c r="J199" s="58" t="s">
        <v>405</v>
      </c>
      <c r="K199">
        <v>0.18</v>
      </c>
    </row>
    <row r="200" spans="2:11" x14ac:dyDescent="0.25">
      <c r="B200" s="57" t="s">
        <v>579</v>
      </c>
      <c r="C200" s="57" t="s">
        <v>580</v>
      </c>
      <c r="D200">
        <v>3.81</v>
      </c>
      <c r="E200">
        <v>-0.09</v>
      </c>
      <c r="F200">
        <v>-5.85</v>
      </c>
      <c r="G200">
        <v>-17.809999999999999</v>
      </c>
      <c r="H200" s="57" t="s">
        <v>1194</v>
      </c>
      <c r="I200" s="58">
        <v>0.76</v>
      </c>
      <c r="J200" s="58" t="s">
        <v>407</v>
      </c>
      <c r="K200">
        <v>2.97</v>
      </c>
    </row>
    <row r="201" spans="2:11" x14ac:dyDescent="0.25">
      <c r="B201" s="57" t="s">
        <v>717</v>
      </c>
      <c r="C201" s="57" t="s">
        <v>718</v>
      </c>
      <c r="D201">
        <v>38.54</v>
      </c>
      <c r="E201">
        <v>0.12</v>
      </c>
      <c r="F201">
        <v>6.88</v>
      </c>
      <c r="G201">
        <v>16.05</v>
      </c>
      <c r="H201" s="57" t="s">
        <v>1088</v>
      </c>
      <c r="I201" s="58">
        <v>0.92</v>
      </c>
      <c r="J201" s="58" t="s">
        <v>407</v>
      </c>
      <c r="K201">
        <v>1.79</v>
      </c>
    </row>
    <row r="202" spans="2:11" x14ac:dyDescent="0.25">
      <c r="B202" s="57" t="s">
        <v>719</v>
      </c>
      <c r="C202" s="57" t="s">
        <v>720</v>
      </c>
      <c r="D202">
        <v>45.03</v>
      </c>
      <c r="E202">
        <v>0.6</v>
      </c>
      <c r="F202">
        <v>9.01</v>
      </c>
      <c r="G202">
        <v>-3.68</v>
      </c>
      <c r="H202" s="57" t="s">
        <v>1195</v>
      </c>
      <c r="I202" s="58">
        <v>0.8</v>
      </c>
      <c r="J202" s="58" t="s">
        <v>407</v>
      </c>
      <c r="K202">
        <v>2.2599999999999998</v>
      </c>
    </row>
    <row r="203" spans="2:11" x14ac:dyDescent="0.25">
      <c r="B203" s="57" t="s">
        <v>581</v>
      </c>
      <c r="C203" s="57" t="s">
        <v>582</v>
      </c>
      <c r="D203">
        <v>54.14</v>
      </c>
      <c r="E203">
        <v>0.68</v>
      </c>
      <c r="F203">
        <v>-3.22</v>
      </c>
      <c r="G203">
        <v>25.29</v>
      </c>
      <c r="H203" s="57" t="s">
        <v>1125</v>
      </c>
      <c r="I203" s="58">
        <v>0.71</v>
      </c>
      <c r="J203" s="58" t="s">
        <v>405</v>
      </c>
      <c r="K203">
        <v>2.44</v>
      </c>
    </row>
    <row r="204" spans="2:11" x14ac:dyDescent="0.25">
      <c r="B204" s="57" t="s">
        <v>869</v>
      </c>
      <c r="C204" s="57" t="s">
        <v>883</v>
      </c>
      <c r="D204">
        <v>101.01</v>
      </c>
      <c r="E204">
        <v>0.45</v>
      </c>
      <c r="F204">
        <v>-2.4300000000000002</v>
      </c>
      <c r="G204">
        <v>-14.04</v>
      </c>
      <c r="H204" s="57" t="s">
        <v>1196</v>
      </c>
      <c r="I204" s="58">
        <v>0.65</v>
      </c>
      <c r="J204" s="58" t="s">
        <v>405</v>
      </c>
      <c r="K204">
        <v>0</v>
      </c>
    </row>
    <row r="205" spans="2:11" x14ac:dyDescent="0.25">
      <c r="B205" s="57" t="s">
        <v>655</v>
      </c>
      <c r="C205" s="57" t="s">
        <v>656</v>
      </c>
      <c r="D205">
        <v>3.98</v>
      </c>
      <c r="E205">
        <v>-0.05</v>
      </c>
      <c r="F205">
        <v>-50.53</v>
      </c>
      <c r="G205">
        <v>-80</v>
      </c>
      <c r="H205" s="57" t="s">
        <v>1197</v>
      </c>
      <c r="I205" s="58">
        <v>0.44</v>
      </c>
      <c r="J205" s="58" t="s">
        <v>408</v>
      </c>
      <c r="K205">
        <v>0</v>
      </c>
    </row>
    <row r="206" spans="2:11" x14ac:dyDescent="0.25">
      <c r="B206" s="57" t="s">
        <v>721</v>
      </c>
      <c r="C206" s="57" t="s">
        <v>722</v>
      </c>
      <c r="D206">
        <v>31.65</v>
      </c>
      <c r="E206">
        <v>0.35</v>
      </c>
      <c r="F206">
        <v>6.79</v>
      </c>
      <c r="G206">
        <v>72.16</v>
      </c>
      <c r="H206" s="57" t="s">
        <v>1198</v>
      </c>
      <c r="I206" s="58">
        <v>1.27</v>
      </c>
      <c r="J206" s="58" t="s">
        <v>407</v>
      </c>
      <c r="K206">
        <v>0.38</v>
      </c>
    </row>
    <row r="207" spans="2:11" x14ac:dyDescent="0.25">
      <c r="B207" s="57" t="s">
        <v>905</v>
      </c>
      <c r="C207" s="57" t="s">
        <v>912</v>
      </c>
      <c r="D207">
        <v>0</v>
      </c>
      <c r="E207">
        <v>0</v>
      </c>
      <c r="H207" s="57"/>
      <c r="I207" s="58"/>
      <c r="J207" s="58"/>
    </row>
    <row r="208" spans="2:11" x14ac:dyDescent="0.25">
      <c r="B208" s="57" t="s">
        <v>723</v>
      </c>
      <c r="C208" s="57" t="s">
        <v>724</v>
      </c>
      <c r="D208">
        <v>28.13</v>
      </c>
      <c r="E208">
        <v>0.39</v>
      </c>
      <c r="F208">
        <v>8.74</v>
      </c>
      <c r="G208">
        <v>36.47</v>
      </c>
      <c r="H208" s="57" t="s">
        <v>700</v>
      </c>
      <c r="I208" s="58">
        <v>1.08</v>
      </c>
      <c r="J208" s="58" t="s">
        <v>405</v>
      </c>
      <c r="K208">
        <v>0</v>
      </c>
    </row>
    <row r="209" spans="2:11" x14ac:dyDescent="0.25">
      <c r="B209" s="57" t="s">
        <v>865</v>
      </c>
      <c r="C209" s="57" t="s">
        <v>867</v>
      </c>
      <c r="D209">
        <v>314.2</v>
      </c>
      <c r="E209">
        <v>-1.03</v>
      </c>
      <c r="F209">
        <v>3.12</v>
      </c>
      <c r="G209">
        <v>19.8</v>
      </c>
      <c r="H209" s="57" t="s">
        <v>975</v>
      </c>
      <c r="I209" s="58">
        <v>1.01</v>
      </c>
      <c r="J209" s="58" t="s">
        <v>407</v>
      </c>
      <c r="K209">
        <v>3.53</v>
      </c>
    </row>
    <row r="210" spans="2:11" x14ac:dyDescent="0.25">
      <c r="B210" s="57" t="s">
        <v>711</v>
      </c>
      <c r="C210" s="57" t="s">
        <v>725</v>
      </c>
      <c r="D210">
        <v>3.26</v>
      </c>
      <c r="E210">
        <v>-0.12</v>
      </c>
      <c r="F210">
        <v>-54.15</v>
      </c>
      <c r="G210">
        <v>-69.930000000000007</v>
      </c>
      <c r="H210" s="57" t="s">
        <v>1186</v>
      </c>
      <c r="I210" s="58">
        <v>0.41</v>
      </c>
      <c r="J210" s="58" t="s">
        <v>408</v>
      </c>
      <c r="K210">
        <v>9.9700000000000006</v>
      </c>
    </row>
    <row r="211" spans="2:11" x14ac:dyDescent="0.25">
      <c r="B211" s="57" t="s">
        <v>649</v>
      </c>
      <c r="C211" s="57" t="s">
        <v>652</v>
      </c>
      <c r="D211">
        <v>338.93</v>
      </c>
      <c r="E211">
        <v>0.23</v>
      </c>
      <c r="F211">
        <v>16.690000000000001</v>
      </c>
      <c r="G211">
        <v>1.2</v>
      </c>
      <c r="H211" s="57" t="s">
        <v>1199</v>
      </c>
      <c r="I211" s="58">
        <v>0.86</v>
      </c>
      <c r="J211" s="58" t="s">
        <v>405</v>
      </c>
      <c r="K211">
        <v>0</v>
      </c>
    </row>
    <row r="212" spans="2:11" x14ac:dyDescent="0.25">
      <c r="B212" s="57" t="s">
        <v>657</v>
      </c>
      <c r="C212" s="57" t="s">
        <v>658</v>
      </c>
      <c r="D212">
        <v>6.7</v>
      </c>
      <c r="E212">
        <v>0.06</v>
      </c>
      <c r="F212">
        <v>-6.19</v>
      </c>
      <c r="G212">
        <v>-14.75</v>
      </c>
      <c r="H212" s="57" t="s">
        <v>1135</v>
      </c>
      <c r="I212" s="58">
        <v>0.89</v>
      </c>
      <c r="J212" s="58" t="s">
        <v>405</v>
      </c>
      <c r="K212">
        <v>0</v>
      </c>
    </row>
    <row r="213" spans="2:11" x14ac:dyDescent="0.25">
      <c r="B213" s="57" t="s">
        <v>583</v>
      </c>
      <c r="C213" s="57" t="s">
        <v>584</v>
      </c>
      <c r="D213">
        <v>561.1</v>
      </c>
      <c r="E213">
        <v>5.36</v>
      </c>
      <c r="F213">
        <v>13.98</v>
      </c>
      <c r="G213">
        <v>36.380000000000003</v>
      </c>
      <c r="H213" s="57" t="s">
        <v>1200</v>
      </c>
      <c r="I213" s="58">
        <v>0.98</v>
      </c>
      <c r="J213" s="58" t="s">
        <v>407</v>
      </c>
      <c r="K213">
        <v>2.4300000000000002</v>
      </c>
    </row>
    <row r="214" spans="2:11" x14ac:dyDescent="0.25">
      <c r="B214" s="57" t="s">
        <v>848</v>
      </c>
      <c r="C214" s="57" t="s">
        <v>849</v>
      </c>
      <c r="D214">
        <v>85.33</v>
      </c>
      <c r="E214">
        <v>0.13</v>
      </c>
      <c r="F214">
        <v>3</v>
      </c>
      <c r="G214">
        <v>9.7200000000000006</v>
      </c>
      <c r="H214" s="57" t="s">
        <v>1128</v>
      </c>
      <c r="I214" s="58"/>
      <c r="J214" s="58"/>
      <c r="K214">
        <v>2.67</v>
      </c>
    </row>
    <row r="215" spans="2:11" x14ac:dyDescent="0.25">
      <c r="B215" s="57" t="s">
        <v>585</v>
      </c>
      <c r="C215" s="57" t="s">
        <v>586</v>
      </c>
      <c r="D215">
        <v>340361</v>
      </c>
      <c r="E215">
        <v>-539</v>
      </c>
      <c r="F215">
        <v>3.37</v>
      </c>
      <c r="G215">
        <v>11.42</v>
      </c>
      <c r="H215" s="57" t="s">
        <v>1201</v>
      </c>
      <c r="I215" s="58">
        <v>0.9</v>
      </c>
      <c r="J215" s="58" t="s">
        <v>459</v>
      </c>
      <c r="K215">
        <v>0</v>
      </c>
    </row>
    <row r="216" spans="2:11" x14ac:dyDescent="0.25">
      <c r="B216" s="57" t="s">
        <v>587</v>
      </c>
      <c r="C216" s="57" t="s">
        <v>588</v>
      </c>
      <c r="D216">
        <v>227.11</v>
      </c>
      <c r="E216">
        <v>-0.27</v>
      </c>
      <c r="F216">
        <v>3.43</v>
      </c>
      <c r="G216">
        <v>11.46</v>
      </c>
      <c r="H216" s="57" t="s">
        <v>1201</v>
      </c>
      <c r="I216" s="58">
        <v>0.9</v>
      </c>
      <c r="J216" s="58" t="s">
        <v>459</v>
      </c>
      <c r="K216">
        <v>0</v>
      </c>
    </row>
    <row r="217" spans="2:11" x14ac:dyDescent="0.25">
      <c r="B217" s="57" t="s">
        <v>1043</v>
      </c>
      <c r="C217" s="57" t="s">
        <v>590</v>
      </c>
      <c r="D217">
        <v>0</v>
      </c>
      <c r="E217">
        <v>0</v>
      </c>
      <c r="H217" s="57"/>
      <c r="I217" s="58"/>
      <c r="J217" s="58"/>
    </row>
    <row r="218" spans="2:11" x14ac:dyDescent="0.25">
      <c r="B218" s="57" t="s">
        <v>595</v>
      </c>
      <c r="C218" s="57" t="s">
        <v>596</v>
      </c>
      <c r="D218">
        <v>143.16</v>
      </c>
      <c r="E218">
        <v>0.45</v>
      </c>
      <c r="F218">
        <v>5.39</v>
      </c>
      <c r="G218">
        <v>12.62</v>
      </c>
      <c r="H218" s="57" t="s">
        <v>1202</v>
      </c>
      <c r="I218" s="58">
        <v>1.03</v>
      </c>
      <c r="J218" s="58" t="s">
        <v>459</v>
      </c>
      <c r="K218">
        <v>2.64</v>
      </c>
    </row>
    <row r="219" spans="2:11" x14ac:dyDescent="0.25">
      <c r="B219" s="57" t="s">
        <v>654</v>
      </c>
      <c r="C219" s="57" t="s">
        <v>659</v>
      </c>
      <c r="D219">
        <v>59.19</v>
      </c>
      <c r="E219">
        <v>0.95</v>
      </c>
      <c r="F219">
        <v>14.22</v>
      </c>
      <c r="G219">
        <v>18.489999999999998</v>
      </c>
      <c r="H219" s="57" t="s">
        <v>1104</v>
      </c>
      <c r="I219" s="58">
        <v>1.08</v>
      </c>
      <c r="J219" s="58" t="s">
        <v>405</v>
      </c>
      <c r="K219">
        <v>3.64</v>
      </c>
    </row>
    <row r="220" spans="2:11" x14ac:dyDescent="0.25">
      <c r="B220" s="57" t="s">
        <v>713</v>
      </c>
      <c r="C220" s="57" t="s">
        <v>726</v>
      </c>
      <c r="D220">
        <v>19.100000000000001</v>
      </c>
      <c r="E220">
        <v>0.13</v>
      </c>
      <c r="F220">
        <v>8.57</v>
      </c>
      <c r="G220">
        <v>21.53</v>
      </c>
      <c r="H220" s="57" t="s">
        <v>1203</v>
      </c>
      <c r="I220" s="58">
        <v>1</v>
      </c>
      <c r="J220" s="58" t="s">
        <v>405</v>
      </c>
      <c r="K220">
        <v>11.4</v>
      </c>
    </row>
    <row r="221" spans="2:11" x14ac:dyDescent="0.25">
      <c r="B221" s="57" t="s">
        <v>727</v>
      </c>
      <c r="C221" s="57" t="s">
        <v>728</v>
      </c>
      <c r="D221">
        <v>79.25</v>
      </c>
      <c r="E221">
        <v>0.66</v>
      </c>
      <c r="F221">
        <v>5.39</v>
      </c>
      <c r="G221">
        <v>53.58</v>
      </c>
      <c r="H221" s="57" t="s">
        <v>1204</v>
      </c>
      <c r="I221" s="58">
        <v>1.3</v>
      </c>
      <c r="J221" s="58" t="s">
        <v>407</v>
      </c>
      <c r="K221">
        <v>0</v>
      </c>
    </row>
    <row r="222" spans="2:11" x14ac:dyDescent="0.25">
      <c r="B222" s="57" t="s">
        <v>866</v>
      </c>
      <c r="C222" s="57" t="s">
        <v>868</v>
      </c>
      <c r="D222">
        <v>108.24</v>
      </c>
      <c r="E222">
        <v>0</v>
      </c>
      <c r="H222" s="57" t="s">
        <v>1128</v>
      </c>
      <c r="I222" s="58"/>
      <c r="J222" s="58"/>
    </row>
    <row r="223" spans="2:11" x14ac:dyDescent="0.25">
      <c r="B223" s="57" t="s">
        <v>729</v>
      </c>
      <c r="C223" s="57" t="s">
        <v>730</v>
      </c>
      <c r="D223">
        <v>0</v>
      </c>
      <c r="E223">
        <v>0</v>
      </c>
      <c r="H223" s="57"/>
      <c r="I223" s="58"/>
      <c r="J223" s="58"/>
    </row>
    <row r="224" spans="2:11" x14ac:dyDescent="0.25">
      <c r="B224" s="57" t="s">
        <v>597</v>
      </c>
      <c r="C224" s="57" t="s">
        <v>598</v>
      </c>
      <c r="D224">
        <v>77.349999999999994</v>
      </c>
      <c r="E224">
        <v>1.32</v>
      </c>
      <c r="F224">
        <v>15.36</v>
      </c>
      <c r="G224">
        <v>19.440000000000001</v>
      </c>
      <c r="H224" s="57" t="s">
        <v>1205</v>
      </c>
      <c r="I224" s="58">
        <v>1.1100000000000001</v>
      </c>
      <c r="J224" s="58" t="s">
        <v>459</v>
      </c>
      <c r="K224">
        <v>2.27</v>
      </c>
    </row>
    <row r="225" spans="2:11" x14ac:dyDescent="0.25">
      <c r="B225" s="57" t="s">
        <v>660</v>
      </c>
      <c r="C225" s="57" t="s">
        <v>661</v>
      </c>
      <c r="D225">
        <v>2.41</v>
      </c>
      <c r="E225">
        <v>0.02</v>
      </c>
      <c r="F225">
        <v>-0.41</v>
      </c>
      <c r="G225">
        <v>31.69</v>
      </c>
      <c r="H225" s="57" t="s">
        <v>1206</v>
      </c>
      <c r="I225" s="58">
        <v>0.73</v>
      </c>
      <c r="J225" s="58" t="s">
        <v>405</v>
      </c>
      <c r="K225">
        <v>0</v>
      </c>
    </row>
    <row r="226" spans="2:11" x14ac:dyDescent="0.25">
      <c r="B226" s="57" t="s">
        <v>731</v>
      </c>
      <c r="C226" s="57" t="s">
        <v>968</v>
      </c>
      <c r="D226">
        <v>4.75</v>
      </c>
      <c r="E226">
        <v>-0.01</v>
      </c>
      <c r="F226">
        <v>-11.27</v>
      </c>
      <c r="G226">
        <v>-11.69</v>
      </c>
      <c r="H226" s="57" t="s">
        <v>1207</v>
      </c>
      <c r="I226" s="58">
        <v>0.78</v>
      </c>
      <c r="J226" s="58" t="s">
        <v>405</v>
      </c>
      <c r="K226">
        <v>9.11</v>
      </c>
    </row>
    <row r="227" spans="2:11" x14ac:dyDescent="0.25">
      <c r="B227" s="57" t="s">
        <v>599</v>
      </c>
      <c r="C227" s="57" t="s">
        <v>600</v>
      </c>
      <c r="D227">
        <v>167.66</v>
      </c>
      <c r="E227">
        <v>1.43</v>
      </c>
      <c r="F227">
        <v>11.76</v>
      </c>
      <c r="G227">
        <v>10</v>
      </c>
      <c r="H227" s="57" t="s">
        <v>1208</v>
      </c>
      <c r="I227" s="58">
        <v>1.21</v>
      </c>
      <c r="J227" s="58" t="s">
        <v>459</v>
      </c>
      <c r="K227">
        <v>2.5</v>
      </c>
    </row>
    <row r="228" spans="2:11" x14ac:dyDescent="0.25">
      <c r="B228" s="57" t="s">
        <v>601</v>
      </c>
      <c r="C228" s="57" t="s">
        <v>602</v>
      </c>
      <c r="D228">
        <v>44.44</v>
      </c>
      <c r="E228">
        <v>-0.31</v>
      </c>
      <c r="F228">
        <v>1.33</v>
      </c>
      <c r="G228">
        <v>22.25</v>
      </c>
      <c r="H228" s="57" t="s">
        <v>1209</v>
      </c>
      <c r="I228" s="58">
        <v>0.91</v>
      </c>
      <c r="J228" s="58" t="s">
        <v>407</v>
      </c>
      <c r="K228">
        <v>1.88</v>
      </c>
    </row>
    <row r="229" spans="2:11" x14ac:dyDescent="0.25">
      <c r="B229" s="57" t="s">
        <v>576</v>
      </c>
      <c r="C229" s="57" t="s">
        <v>603</v>
      </c>
      <c r="D229">
        <v>58.51</v>
      </c>
      <c r="E229">
        <v>-0.38</v>
      </c>
      <c r="F229">
        <v>9.31</v>
      </c>
      <c r="G229">
        <v>18.13</v>
      </c>
      <c r="H229" s="57" t="s">
        <v>1099</v>
      </c>
      <c r="I229" s="58">
        <v>0.73</v>
      </c>
      <c r="J229" s="58" t="s">
        <v>405</v>
      </c>
      <c r="K229">
        <v>4.7300000000000004</v>
      </c>
    </row>
    <row r="230" spans="2:11" x14ac:dyDescent="0.25">
      <c r="B230" s="57" t="s">
        <v>732</v>
      </c>
      <c r="C230" s="57" t="s">
        <v>733</v>
      </c>
      <c r="D230">
        <v>5.22</v>
      </c>
      <c r="E230">
        <v>0.08</v>
      </c>
      <c r="F230">
        <v>19.3</v>
      </c>
      <c r="G230">
        <v>-48</v>
      </c>
      <c r="H230" s="57" t="s">
        <v>1094</v>
      </c>
      <c r="I230" s="58">
        <v>0.67</v>
      </c>
      <c r="J230" s="58" t="s">
        <v>408</v>
      </c>
      <c r="K230">
        <v>14.99</v>
      </c>
    </row>
    <row r="231" spans="2:11" x14ac:dyDescent="0.25">
      <c r="B231" s="57" t="s">
        <v>604</v>
      </c>
      <c r="C231" s="57" t="s">
        <v>605</v>
      </c>
      <c r="D231">
        <v>101.95</v>
      </c>
      <c r="E231">
        <v>0.15</v>
      </c>
      <c r="F231">
        <v>7.09</v>
      </c>
      <c r="G231">
        <v>31.17</v>
      </c>
      <c r="H231" s="57" t="s">
        <v>1210</v>
      </c>
      <c r="I231" s="58">
        <v>0.75</v>
      </c>
      <c r="J231" s="58" t="s">
        <v>405</v>
      </c>
      <c r="K231">
        <v>1.53</v>
      </c>
    </row>
    <row r="232" spans="2:11" x14ac:dyDescent="0.25">
      <c r="B232" s="57" t="s">
        <v>734</v>
      </c>
      <c r="C232" s="57" t="s">
        <v>957</v>
      </c>
      <c r="D232">
        <v>280.10000000000002</v>
      </c>
      <c r="E232">
        <v>0.74</v>
      </c>
      <c r="F232">
        <v>3.88</v>
      </c>
      <c r="G232">
        <v>27.43</v>
      </c>
      <c r="H232" s="57" t="s">
        <v>1211</v>
      </c>
      <c r="I232" s="58">
        <v>0.93</v>
      </c>
      <c r="J232" s="58" t="s">
        <v>405</v>
      </c>
      <c r="K232">
        <v>0.36</v>
      </c>
    </row>
    <row r="233" spans="2:11" x14ac:dyDescent="0.25">
      <c r="B233" s="57" t="s">
        <v>735</v>
      </c>
      <c r="C233" s="57" t="s">
        <v>736</v>
      </c>
      <c r="D233">
        <v>23.18</v>
      </c>
      <c r="E233">
        <v>-0.44</v>
      </c>
      <c r="F233">
        <v>-26.94</v>
      </c>
      <c r="G233">
        <v>-13.58</v>
      </c>
      <c r="H233" s="57" t="s">
        <v>1212</v>
      </c>
      <c r="I233" s="58">
        <v>0.63</v>
      </c>
      <c r="J233" s="58" t="s">
        <v>405</v>
      </c>
      <c r="K233">
        <v>1.9</v>
      </c>
    </row>
    <row r="234" spans="2:11" x14ac:dyDescent="0.25">
      <c r="B234" s="57" t="s">
        <v>902</v>
      </c>
      <c r="C234" s="57" t="s">
        <v>908</v>
      </c>
      <c r="D234">
        <v>11.97</v>
      </c>
      <c r="E234">
        <v>-0.06</v>
      </c>
      <c r="F234">
        <v>-6.18</v>
      </c>
      <c r="G234">
        <v>69.22</v>
      </c>
      <c r="H234" s="57" t="s">
        <v>1213</v>
      </c>
      <c r="I234" s="58">
        <v>1.29</v>
      </c>
      <c r="J234" s="58" t="s">
        <v>405</v>
      </c>
      <c r="K234">
        <v>4.1100000000000003</v>
      </c>
    </row>
    <row r="235" spans="2:11" x14ac:dyDescent="0.25">
      <c r="B235" s="57" t="s">
        <v>875</v>
      </c>
      <c r="C235" s="57" t="s">
        <v>880</v>
      </c>
      <c r="D235">
        <v>189.12</v>
      </c>
      <c r="E235">
        <v>3.4</v>
      </c>
      <c r="F235">
        <v>17.489999999999998</v>
      </c>
      <c r="G235">
        <v>18.09</v>
      </c>
      <c r="H235" s="57" t="s">
        <v>1214</v>
      </c>
      <c r="I235" s="58">
        <v>1.02</v>
      </c>
      <c r="J235" s="58" t="s">
        <v>459</v>
      </c>
      <c r="K235">
        <v>0</v>
      </c>
    </row>
    <row r="236" spans="2:11" x14ac:dyDescent="0.25">
      <c r="B236" s="57" t="s">
        <v>606</v>
      </c>
      <c r="C236" s="57" t="s">
        <v>607</v>
      </c>
      <c r="D236">
        <v>15.01</v>
      </c>
      <c r="E236">
        <v>-0.17</v>
      </c>
      <c r="F236">
        <v>-13.11</v>
      </c>
      <c r="G236">
        <v>-41.2</v>
      </c>
      <c r="H236" s="57" t="s">
        <v>1215</v>
      </c>
      <c r="I236" s="58">
        <v>0.7</v>
      </c>
      <c r="J236" s="58" t="s">
        <v>405</v>
      </c>
      <c r="K236">
        <v>0</v>
      </c>
    </row>
    <row r="237" spans="2:11" x14ac:dyDescent="0.25">
      <c r="B237" s="57" t="s">
        <v>712</v>
      </c>
      <c r="C237" s="57" t="s">
        <v>737</v>
      </c>
      <c r="D237">
        <v>27.5</v>
      </c>
      <c r="E237">
        <v>-0.44</v>
      </c>
      <c r="F237">
        <v>-3.86</v>
      </c>
      <c r="G237">
        <v>-16.98</v>
      </c>
      <c r="H237" s="57" t="s">
        <v>1152</v>
      </c>
      <c r="I237" s="58">
        <v>0.77</v>
      </c>
      <c r="J237" s="58" t="s">
        <v>405</v>
      </c>
      <c r="K237">
        <v>1.47</v>
      </c>
    </row>
    <row r="238" spans="2:11" x14ac:dyDescent="0.25">
      <c r="B238" s="57" t="s">
        <v>662</v>
      </c>
      <c r="C238" s="57" t="s">
        <v>663</v>
      </c>
      <c r="D238">
        <v>13.13</v>
      </c>
      <c r="E238">
        <v>7.0000000000000007E-2</v>
      </c>
      <c r="F238">
        <v>-7.31</v>
      </c>
      <c r="G238">
        <v>16.71</v>
      </c>
      <c r="H238" s="57" t="s">
        <v>1136</v>
      </c>
      <c r="I238" s="58">
        <v>1.04</v>
      </c>
      <c r="J238" s="58"/>
      <c r="K238">
        <v>0</v>
      </c>
    </row>
    <row r="239" spans="2:11" x14ac:dyDescent="0.25">
      <c r="B239" s="57" t="s">
        <v>408</v>
      </c>
      <c r="C239" s="57" t="s">
        <v>608</v>
      </c>
      <c r="D239">
        <v>84.59</v>
      </c>
      <c r="E239">
        <v>-0.22</v>
      </c>
      <c r="F239">
        <v>6.48</v>
      </c>
      <c r="G239">
        <v>23.89</v>
      </c>
      <c r="H239" s="57" t="s">
        <v>1216</v>
      </c>
      <c r="I239" s="58">
        <v>0.98</v>
      </c>
      <c r="J239" s="58" t="s">
        <v>459</v>
      </c>
      <c r="K239">
        <v>4.32</v>
      </c>
    </row>
    <row r="240" spans="2:11" x14ac:dyDescent="0.25">
      <c r="B240" s="57" t="s">
        <v>738</v>
      </c>
      <c r="C240" s="57" t="s">
        <v>739</v>
      </c>
      <c r="D240">
        <v>3.62</v>
      </c>
      <c r="E240">
        <v>0.12</v>
      </c>
      <c r="F240">
        <v>21.36</v>
      </c>
      <c r="G240">
        <v>-14.77</v>
      </c>
      <c r="H240" s="57" t="s">
        <v>1163</v>
      </c>
      <c r="I240" s="58">
        <v>0.62</v>
      </c>
      <c r="J240" s="58" t="s">
        <v>408</v>
      </c>
      <c r="K240">
        <v>0</v>
      </c>
    </row>
    <row r="241" spans="2:11" x14ac:dyDescent="0.25">
      <c r="B241" s="57" t="s">
        <v>664</v>
      </c>
      <c r="C241" s="57" t="s">
        <v>665</v>
      </c>
      <c r="D241">
        <v>4.83</v>
      </c>
      <c r="E241">
        <v>-0.38</v>
      </c>
      <c r="F241">
        <v>28.85</v>
      </c>
      <c r="G241">
        <v>-34.04</v>
      </c>
      <c r="H241" s="57" t="s">
        <v>1182</v>
      </c>
      <c r="I241" s="58">
        <v>0.84</v>
      </c>
      <c r="J241" s="58" t="s">
        <v>405</v>
      </c>
      <c r="K241">
        <v>0</v>
      </c>
    </row>
    <row r="242" spans="2:11" x14ac:dyDescent="0.25">
      <c r="B242" s="57" t="s">
        <v>609</v>
      </c>
      <c r="C242" s="57" t="s">
        <v>610</v>
      </c>
      <c r="D242">
        <v>25.49</v>
      </c>
      <c r="E242">
        <v>-7.0000000000000007E-2</v>
      </c>
      <c r="F242">
        <v>-0.44</v>
      </c>
      <c r="G242">
        <v>-2.0499999999999998</v>
      </c>
      <c r="H242" s="57" t="s">
        <v>1217</v>
      </c>
      <c r="I242" s="58">
        <v>0.72</v>
      </c>
      <c r="J242" s="58" t="s">
        <v>407</v>
      </c>
      <c r="K242">
        <v>6.7</v>
      </c>
    </row>
    <row r="243" spans="2:11" x14ac:dyDescent="0.25">
      <c r="B243" s="57" t="s">
        <v>666</v>
      </c>
      <c r="C243" s="57" t="s">
        <v>667</v>
      </c>
      <c r="D243">
        <v>0</v>
      </c>
      <c r="E243">
        <v>0</v>
      </c>
      <c r="H243" s="57"/>
      <c r="I243" s="58"/>
      <c r="J243" s="58"/>
    </row>
    <row r="244" spans="2:11" x14ac:dyDescent="0.25">
      <c r="B244" s="57" t="s">
        <v>937</v>
      </c>
      <c r="C244" s="57" t="s">
        <v>938</v>
      </c>
      <c r="D244">
        <v>12.19</v>
      </c>
      <c r="E244">
        <v>-0.37</v>
      </c>
      <c r="F244">
        <v>6.16</v>
      </c>
      <c r="G244">
        <v>-4.97</v>
      </c>
      <c r="H244" s="57" t="s">
        <v>1121</v>
      </c>
      <c r="I244" s="58">
        <v>0.55000000000000004</v>
      </c>
      <c r="J244" s="58" t="s">
        <v>405</v>
      </c>
      <c r="K244">
        <v>9.3800000000000008</v>
      </c>
    </row>
    <row r="245" spans="2:11" x14ac:dyDescent="0.25">
      <c r="B245" s="57" t="s">
        <v>740</v>
      </c>
      <c r="C245" s="57" t="s">
        <v>741</v>
      </c>
      <c r="D245">
        <v>4.41</v>
      </c>
      <c r="E245">
        <v>0</v>
      </c>
      <c r="F245">
        <v>25.76</v>
      </c>
      <c r="G245">
        <v>-33.24</v>
      </c>
      <c r="H245" s="57" t="s">
        <v>1079</v>
      </c>
      <c r="I245" s="58">
        <v>0.67</v>
      </c>
      <c r="J245" s="58" t="s">
        <v>408</v>
      </c>
      <c r="K245">
        <v>4.95</v>
      </c>
    </row>
    <row r="246" spans="2:11" x14ac:dyDescent="0.25">
      <c r="B246" s="57" t="s">
        <v>742</v>
      </c>
      <c r="C246" s="57" t="s">
        <v>743</v>
      </c>
      <c r="D246">
        <v>108.71</v>
      </c>
      <c r="E246">
        <v>-1.38</v>
      </c>
      <c r="F246">
        <v>-17.190000000000001</v>
      </c>
      <c r="G246">
        <v>-11.58</v>
      </c>
      <c r="H246" s="57" t="s">
        <v>1218</v>
      </c>
      <c r="I246" s="58">
        <v>0.64</v>
      </c>
      <c r="J246" s="58" t="s">
        <v>405</v>
      </c>
      <c r="K246">
        <v>1.19</v>
      </c>
    </row>
    <row r="247" spans="2:11" x14ac:dyDescent="0.25">
      <c r="B247" s="57" t="s">
        <v>406</v>
      </c>
      <c r="C247" s="57" t="s">
        <v>744</v>
      </c>
      <c r="D247">
        <v>8.07</v>
      </c>
      <c r="E247">
        <v>-0.04</v>
      </c>
      <c r="F247">
        <v>-5.83</v>
      </c>
      <c r="G247">
        <v>1.49</v>
      </c>
      <c r="H247" s="57" t="s">
        <v>1078</v>
      </c>
      <c r="I247" s="58">
        <v>0.67</v>
      </c>
      <c r="J247" s="58" t="s">
        <v>405</v>
      </c>
      <c r="K247">
        <v>7.22</v>
      </c>
    </row>
    <row r="248" spans="2:11" x14ac:dyDescent="0.25">
      <c r="B248" s="57" t="s">
        <v>577</v>
      </c>
      <c r="C248" s="57" t="s">
        <v>611</v>
      </c>
      <c r="D248">
        <v>18.87</v>
      </c>
      <c r="E248">
        <v>0.01</v>
      </c>
      <c r="F248">
        <v>-4.09</v>
      </c>
      <c r="G248">
        <v>13.93</v>
      </c>
      <c r="H248" s="57" t="s">
        <v>1219</v>
      </c>
      <c r="I248" s="58">
        <v>0.97</v>
      </c>
      <c r="J248" s="58" t="s">
        <v>459</v>
      </c>
      <c r="K248">
        <v>2.61</v>
      </c>
    </row>
    <row r="249" spans="2:11" x14ac:dyDescent="0.25">
      <c r="B249" s="57" t="s">
        <v>668</v>
      </c>
      <c r="C249" s="57" t="s">
        <v>669</v>
      </c>
      <c r="D249">
        <v>6.6</v>
      </c>
      <c r="E249">
        <v>-0.04</v>
      </c>
      <c r="F249">
        <v>-5.55</v>
      </c>
      <c r="G249">
        <v>3.27</v>
      </c>
      <c r="H249" s="57" t="s">
        <v>1146</v>
      </c>
      <c r="I249" s="58">
        <v>0.8</v>
      </c>
      <c r="J249" s="58" t="s">
        <v>405</v>
      </c>
      <c r="K249">
        <v>0</v>
      </c>
    </row>
    <row r="250" spans="2:11" x14ac:dyDescent="0.25">
      <c r="B250" s="57" t="s">
        <v>670</v>
      </c>
      <c r="C250" s="57" t="s">
        <v>671</v>
      </c>
      <c r="D250">
        <v>10.37</v>
      </c>
      <c r="E250">
        <v>-0.32</v>
      </c>
      <c r="F250">
        <v>11.44</v>
      </c>
      <c r="G250">
        <v>-26.04</v>
      </c>
      <c r="H250" s="57" t="s">
        <v>1088</v>
      </c>
      <c r="I250" s="58">
        <v>0.71</v>
      </c>
      <c r="J250" s="58" t="s">
        <v>405</v>
      </c>
      <c r="K250">
        <v>0</v>
      </c>
    </row>
    <row r="251" spans="2:11" x14ac:dyDescent="0.25">
      <c r="B251" s="57" t="s">
        <v>715</v>
      </c>
      <c r="C251" s="57" t="s">
        <v>745</v>
      </c>
      <c r="D251">
        <v>0.55000000000000004</v>
      </c>
      <c r="E251">
        <v>-0.05</v>
      </c>
      <c r="F251">
        <v>-52.12</v>
      </c>
      <c r="G251">
        <v>-92.38</v>
      </c>
      <c r="H251" s="57" t="s">
        <v>1212</v>
      </c>
      <c r="I251" s="58">
        <v>0.34</v>
      </c>
      <c r="J251" s="58" t="s">
        <v>406</v>
      </c>
      <c r="K251">
        <v>0</v>
      </c>
    </row>
    <row r="252" spans="2:11" x14ac:dyDescent="0.25">
      <c r="B252" s="57" t="s">
        <v>612</v>
      </c>
      <c r="C252" s="57" t="s">
        <v>613</v>
      </c>
      <c r="D252">
        <v>69.28</v>
      </c>
      <c r="E252">
        <v>0.43</v>
      </c>
      <c r="F252">
        <v>5.24</v>
      </c>
      <c r="G252">
        <v>2.88</v>
      </c>
      <c r="H252" s="57" t="s">
        <v>1220</v>
      </c>
      <c r="I252" s="58">
        <v>0.82</v>
      </c>
      <c r="J252" s="58" t="s">
        <v>407</v>
      </c>
      <c r="K252">
        <v>3.83</v>
      </c>
    </row>
    <row r="253" spans="2:11" x14ac:dyDescent="0.25">
      <c r="B253" s="57" t="s">
        <v>453</v>
      </c>
      <c r="C253" s="57" t="s">
        <v>614</v>
      </c>
      <c r="D253">
        <v>52.36</v>
      </c>
      <c r="E253">
        <v>0.46</v>
      </c>
      <c r="F253">
        <v>-0.51</v>
      </c>
      <c r="G253">
        <v>22.39</v>
      </c>
      <c r="H253" s="57" t="s">
        <v>1221</v>
      </c>
      <c r="I253" s="58">
        <v>0.97</v>
      </c>
      <c r="J253" s="58" t="s">
        <v>407</v>
      </c>
      <c r="K253">
        <v>3.73</v>
      </c>
    </row>
    <row r="254" spans="2:11" x14ac:dyDescent="0.25">
      <c r="B254" s="57" t="s">
        <v>856</v>
      </c>
      <c r="C254" s="57" t="s">
        <v>936</v>
      </c>
      <c r="D254">
        <v>147.97999999999999</v>
      </c>
      <c r="E254">
        <v>0.19</v>
      </c>
      <c r="F254">
        <v>7.85</v>
      </c>
      <c r="G254">
        <v>19.29</v>
      </c>
      <c r="H254" s="57" t="s">
        <v>1128</v>
      </c>
      <c r="I254" s="58"/>
      <c r="J254" s="58"/>
      <c r="K254">
        <v>0</v>
      </c>
    </row>
    <row r="255" spans="2:11" x14ac:dyDescent="0.25">
      <c r="B255" s="57" t="s">
        <v>746</v>
      </c>
      <c r="C255" s="57" t="s">
        <v>747</v>
      </c>
      <c r="D255">
        <v>34.32</v>
      </c>
      <c r="E255">
        <v>0.68</v>
      </c>
      <c r="F255">
        <v>-9.66</v>
      </c>
      <c r="G255">
        <v>-10.17</v>
      </c>
      <c r="H255" s="57" t="s">
        <v>1113</v>
      </c>
      <c r="I255" s="58">
        <v>0.72</v>
      </c>
      <c r="J255" s="58" t="s">
        <v>405</v>
      </c>
      <c r="K255">
        <v>4.34</v>
      </c>
    </row>
    <row r="256" spans="2:11" x14ac:dyDescent="0.25">
      <c r="B256" s="57" t="s">
        <v>672</v>
      </c>
      <c r="C256" s="57" t="s">
        <v>673</v>
      </c>
      <c r="D256">
        <v>3.9</v>
      </c>
      <c r="E256">
        <v>-0.13</v>
      </c>
      <c r="F256">
        <v>-10.81</v>
      </c>
      <c r="G256">
        <v>-23.11</v>
      </c>
      <c r="H256" s="57" t="s">
        <v>1084</v>
      </c>
      <c r="I256" s="58">
        <v>0.67</v>
      </c>
      <c r="J256" s="58" t="s">
        <v>405</v>
      </c>
      <c r="K256">
        <v>0</v>
      </c>
    </row>
    <row r="257" spans="2:11" x14ac:dyDescent="0.25">
      <c r="B257" s="57" t="s">
        <v>871</v>
      </c>
      <c r="C257" s="57" t="s">
        <v>887</v>
      </c>
      <c r="D257">
        <v>23.65</v>
      </c>
      <c r="E257">
        <v>0.38</v>
      </c>
      <c r="F257">
        <v>9.86</v>
      </c>
      <c r="G257">
        <v>27.75</v>
      </c>
      <c r="H257" s="57" t="s">
        <v>699</v>
      </c>
      <c r="I257" s="58">
        <v>0.93</v>
      </c>
      <c r="J257" s="58"/>
      <c r="K257">
        <v>1.69</v>
      </c>
    </row>
    <row r="258" spans="2:11" x14ac:dyDescent="0.25">
      <c r="B258" s="57" t="s">
        <v>748</v>
      </c>
      <c r="C258" s="57" t="s">
        <v>749</v>
      </c>
      <c r="D258">
        <v>21.98</v>
      </c>
      <c r="E258">
        <v>0.55000000000000004</v>
      </c>
      <c r="F258">
        <v>31.71</v>
      </c>
      <c r="G258">
        <v>33.39</v>
      </c>
      <c r="H258" s="57" t="s">
        <v>973</v>
      </c>
      <c r="I258" s="58">
        <v>0.74</v>
      </c>
      <c r="J258" s="58" t="s">
        <v>405</v>
      </c>
      <c r="K258">
        <v>0</v>
      </c>
    </row>
    <row r="259" spans="2:11" x14ac:dyDescent="0.25">
      <c r="B259" s="57" t="s">
        <v>674</v>
      </c>
      <c r="C259" s="57" t="s">
        <v>675</v>
      </c>
      <c r="D259">
        <v>19.75</v>
      </c>
      <c r="E259">
        <v>0.15</v>
      </c>
      <c r="F259">
        <v>18.12</v>
      </c>
      <c r="G259">
        <v>25.59</v>
      </c>
      <c r="H259" s="57" t="s">
        <v>1198</v>
      </c>
      <c r="I259" s="58">
        <v>0.74</v>
      </c>
      <c r="J259" s="58" t="s">
        <v>405</v>
      </c>
      <c r="K259">
        <v>0</v>
      </c>
    </row>
    <row r="260" spans="2:11" x14ac:dyDescent="0.25">
      <c r="B260" s="57" t="s">
        <v>787</v>
      </c>
      <c r="C260" s="57" t="s">
        <v>789</v>
      </c>
      <c r="D260">
        <v>120.62</v>
      </c>
      <c r="E260">
        <v>2.63</v>
      </c>
      <c r="F260">
        <v>3.77</v>
      </c>
      <c r="G260">
        <v>26.22</v>
      </c>
      <c r="H260" s="57" t="s">
        <v>1222</v>
      </c>
      <c r="I260" s="58">
        <v>1.1000000000000001</v>
      </c>
      <c r="J260" s="58" t="s">
        <v>459</v>
      </c>
      <c r="K260">
        <v>0</v>
      </c>
    </row>
    <row r="261" spans="2:11" x14ac:dyDescent="0.25">
      <c r="B261" s="57" t="s">
        <v>979</v>
      </c>
      <c r="C261" s="57" t="s">
        <v>980</v>
      </c>
      <c r="D261">
        <v>15.03</v>
      </c>
      <c r="E261">
        <v>0.03</v>
      </c>
      <c r="F261">
        <v>7.74</v>
      </c>
      <c r="G261">
        <v>19.38</v>
      </c>
      <c r="H261" s="57" t="s">
        <v>1128</v>
      </c>
      <c r="I261" s="58"/>
      <c r="J261" s="58"/>
      <c r="K261">
        <v>0</v>
      </c>
    </row>
    <row r="262" spans="2:11" x14ac:dyDescent="0.25">
      <c r="B262" s="57" t="s">
        <v>785</v>
      </c>
      <c r="C262" s="57" t="s">
        <v>790</v>
      </c>
      <c r="D262">
        <v>98.33</v>
      </c>
      <c r="E262">
        <v>3.16</v>
      </c>
      <c r="F262">
        <v>24.01</v>
      </c>
      <c r="G262">
        <v>-17.27</v>
      </c>
      <c r="H262" s="57" t="s">
        <v>1223</v>
      </c>
      <c r="I262" s="58">
        <v>0.61</v>
      </c>
      <c r="J262" s="58" t="s">
        <v>405</v>
      </c>
      <c r="K262">
        <v>0</v>
      </c>
    </row>
    <row r="263" spans="2:11" x14ac:dyDescent="0.25">
      <c r="B263" s="57" t="s">
        <v>895</v>
      </c>
      <c r="C263" s="57" t="s">
        <v>896</v>
      </c>
      <c r="D263">
        <v>294.41000000000003</v>
      </c>
      <c r="E263">
        <v>0.11</v>
      </c>
      <c r="F263">
        <v>1.34</v>
      </c>
      <c r="G263">
        <v>6</v>
      </c>
      <c r="H263" s="57" t="s">
        <v>1224</v>
      </c>
      <c r="I263" s="58">
        <v>1.03</v>
      </c>
      <c r="J263" s="58" t="s">
        <v>459</v>
      </c>
      <c r="K263">
        <v>0</v>
      </c>
    </row>
    <row r="264" spans="2:11" x14ac:dyDescent="0.25">
      <c r="B264" s="57" t="s">
        <v>903</v>
      </c>
      <c r="C264" s="57" t="s">
        <v>909</v>
      </c>
      <c r="D264">
        <v>11.51</v>
      </c>
      <c r="E264">
        <v>-0.04</v>
      </c>
      <c r="F264">
        <v>-2.46</v>
      </c>
      <c r="G264">
        <v>-2.5</v>
      </c>
      <c r="H264" s="57" t="s">
        <v>1225</v>
      </c>
      <c r="I264" s="58">
        <v>0.64</v>
      </c>
      <c r="J264" s="58" t="s">
        <v>408</v>
      </c>
      <c r="K264">
        <v>6.76</v>
      </c>
    </row>
    <row r="265" spans="2:11" x14ac:dyDescent="0.25">
      <c r="B265" s="57" t="s">
        <v>616</v>
      </c>
      <c r="C265" s="57" t="s">
        <v>617</v>
      </c>
      <c r="D265">
        <v>18.579999999999998</v>
      </c>
      <c r="E265">
        <v>0.36</v>
      </c>
      <c r="F265">
        <v>2.61</v>
      </c>
      <c r="G265">
        <v>4.57</v>
      </c>
      <c r="H265" s="57" t="s">
        <v>1226</v>
      </c>
      <c r="I265" s="58">
        <v>0.88</v>
      </c>
      <c r="J265" s="58" t="s">
        <v>405</v>
      </c>
      <c r="K265">
        <v>6.69</v>
      </c>
    </row>
    <row r="266" spans="2:11" x14ac:dyDescent="0.25">
      <c r="B266" s="57" t="s">
        <v>618</v>
      </c>
      <c r="C266" s="57" t="s">
        <v>619</v>
      </c>
      <c r="D266">
        <v>40.54</v>
      </c>
      <c r="E266">
        <v>0.73</v>
      </c>
      <c r="F266">
        <v>-9.16</v>
      </c>
      <c r="G266">
        <v>20.05</v>
      </c>
      <c r="H266" s="57" t="s">
        <v>1074</v>
      </c>
      <c r="I266" s="58">
        <v>0.86</v>
      </c>
      <c r="J266" s="58" t="s">
        <v>405</v>
      </c>
      <c r="K266">
        <v>2.61</v>
      </c>
    </row>
    <row r="267" spans="2:11" x14ac:dyDescent="0.25">
      <c r="B267" s="57" t="s">
        <v>1031</v>
      </c>
      <c r="C267" s="57" t="s">
        <v>1047</v>
      </c>
      <c r="D267">
        <v>29.69</v>
      </c>
      <c r="E267">
        <v>0.15</v>
      </c>
      <c r="F267">
        <v>-11.1</v>
      </c>
      <c r="G267">
        <v>-35.71</v>
      </c>
      <c r="H267" s="57" t="s">
        <v>1227</v>
      </c>
      <c r="I267" s="58">
        <v>0.59</v>
      </c>
      <c r="J267" s="58" t="s">
        <v>405</v>
      </c>
      <c r="K267">
        <v>5.45</v>
      </c>
    </row>
    <row r="268" spans="2:11" x14ac:dyDescent="0.25">
      <c r="B268" s="57" t="s">
        <v>620</v>
      </c>
      <c r="C268" s="57" t="s">
        <v>621</v>
      </c>
      <c r="D268">
        <v>59.75</v>
      </c>
      <c r="E268">
        <v>0.56000000000000005</v>
      </c>
      <c r="F268">
        <v>12.48</v>
      </c>
      <c r="G268">
        <v>23</v>
      </c>
      <c r="H268" s="57" t="s">
        <v>1228</v>
      </c>
      <c r="I268" s="58">
        <v>1.05</v>
      </c>
      <c r="J268" s="58" t="s">
        <v>459</v>
      </c>
      <c r="K268">
        <v>2.72</v>
      </c>
    </row>
    <row r="269" spans="2:11" x14ac:dyDescent="0.25">
      <c r="B269" s="57" t="s">
        <v>904</v>
      </c>
      <c r="C269" s="57" t="s">
        <v>910</v>
      </c>
      <c r="D269">
        <v>86.39</v>
      </c>
      <c r="E269">
        <v>1.1399999999999999</v>
      </c>
      <c r="F269">
        <v>2.36</v>
      </c>
      <c r="G269">
        <v>21.23</v>
      </c>
      <c r="H269" s="57" t="s">
        <v>1229</v>
      </c>
      <c r="I269" s="58">
        <v>1.05</v>
      </c>
      <c r="J269" s="58" t="s">
        <v>407</v>
      </c>
      <c r="K269">
        <v>2.25</v>
      </c>
    </row>
    <row r="270" spans="2:11" x14ac:dyDescent="0.25">
      <c r="B270" s="57" t="s">
        <v>622</v>
      </c>
      <c r="C270" s="57" t="s">
        <v>623</v>
      </c>
      <c r="D270">
        <v>24.14</v>
      </c>
      <c r="E270">
        <v>0.56000000000000005</v>
      </c>
      <c r="F270">
        <v>35.26</v>
      </c>
      <c r="G270">
        <v>-7.19</v>
      </c>
      <c r="H270" s="57" t="s">
        <v>1153</v>
      </c>
      <c r="I270" s="58">
        <v>0.6</v>
      </c>
      <c r="J270" s="58" t="s">
        <v>405</v>
      </c>
      <c r="K270">
        <v>4.88</v>
      </c>
    </row>
    <row r="271" spans="2:11" x14ac:dyDescent="0.25">
      <c r="B271" s="57" t="s">
        <v>752</v>
      </c>
      <c r="C271" s="57" t="s">
        <v>753</v>
      </c>
      <c r="D271">
        <v>70.08</v>
      </c>
      <c r="E271">
        <v>1.0900000000000001</v>
      </c>
      <c r="F271">
        <v>15.29</v>
      </c>
      <c r="G271">
        <v>48.43</v>
      </c>
      <c r="H271" s="57" t="s">
        <v>1139</v>
      </c>
      <c r="I271" s="58">
        <v>0.92</v>
      </c>
      <c r="J271" s="58" t="s">
        <v>407</v>
      </c>
      <c r="K271">
        <v>0.36</v>
      </c>
    </row>
    <row r="272" spans="2:11" x14ac:dyDescent="0.25">
      <c r="B272" s="57" t="s">
        <v>704</v>
      </c>
      <c r="C272" s="57" t="s">
        <v>754</v>
      </c>
      <c r="D272">
        <v>55.39</v>
      </c>
      <c r="E272">
        <v>0.84</v>
      </c>
      <c r="F272">
        <v>14.84</v>
      </c>
      <c r="G272">
        <v>44.38</v>
      </c>
      <c r="H272" s="57" t="s">
        <v>1134</v>
      </c>
      <c r="I272" s="58">
        <v>0.91</v>
      </c>
      <c r="J272" s="58" t="s">
        <v>407</v>
      </c>
      <c r="K272">
        <v>0.46</v>
      </c>
    </row>
    <row r="273" spans="2:11" x14ac:dyDescent="0.25">
      <c r="B273" s="57" t="s">
        <v>703</v>
      </c>
      <c r="C273" s="57" t="s">
        <v>755</v>
      </c>
      <c r="D273">
        <v>33.19</v>
      </c>
      <c r="E273">
        <v>0.26</v>
      </c>
      <c r="F273">
        <v>-6.18</v>
      </c>
      <c r="G273">
        <v>22.9</v>
      </c>
      <c r="H273" s="57" t="s">
        <v>1230</v>
      </c>
      <c r="I273" s="58">
        <v>0.87</v>
      </c>
      <c r="J273" s="58" t="s">
        <v>407</v>
      </c>
      <c r="K273">
        <v>0</v>
      </c>
    </row>
    <row r="274" spans="2:11" x14ac:dyDescent="0.25">
      <c r="B274" s="57" t="s">
        <v>756</v>
      </c>
      <c r="C274" s="57" t="s">
        <v>958</v>
      </c>
      <c r="D274">
        <v>40.58</v>
      </c>
      <c r="E274">
        <v>0.89</v>
      </c>
      <c r="F274">
        <v>3.95</v>
      </c>
      <c r="G274">
        <v>38.630000000000003</v>
      </c>
      <c r="H274" s="57" t="s">
        <v>971</v>
      </c>
      <c r="I274" s="58">
        <v>1.1000000000000001</v>
      </c>
      <c r="J274" s="58" t="s">
        <v>407</v>
      </c>
      <c r="K274">
        <v>3.81</v>
      </c>
    </row>
    <row r="275" spans="2:11" x14ac:dyDescent="0.25">
      <c r="B275" s="57" t="s">
        <v>676</v>
      </c>
      <c r="C275" s="57" t="s">
        <v>677</v>
      </c>
      <c r="D275">
        <v>6.28</v>
      </c>
      <c r="E275">
        <v>-0.08</v>
      </c>
      <c r="F275">
        <v>-34.01</v>
      </c>
      <c r="G275">
        <v>-62.55</v>
      </c>
      <c r="H275" s="57" t="s">
        <v>1135</v>
      </c>
      <c r="I275" s="58">
        <v>0.65</v>
      </c>
      <c r="J275" s="58" t="s">
        <v>408</v>
      </c>
      <c r="K275">
        <v>0</v>
      </c>
    </row>
    <row r="276" spans="2:11" x14ac:dyDescent="0.25">
      <c r="B276" s="57" t="s">
        <v>757</v>
      </c>
      <c r="C276" s="57" t="s">
        <v>758</v>
      </c>
      <c r="D276">
        <v>14.28</v>
      </c>
      <c r="E276">
        <v>0.2</v>
      </c>
      <c r="F276">
        <v>19.25</v>
      </c>
      <c r="G276">
        <v>14.57</v>
      </c>
      <c r="H276" s="57" t="s">
        <v>1146</v>
      </c>
      <c r="I276" s="58">
        <v>0.68</v>
      </c>
      <c r="J276" s="58" t="s">
        <v>405</v>
      </c>
      <c r="K276">
        <v>0</v>
      </c>
    </row>
    <row r="277" spans="2:11" x14ac:dyDescent="0.25">
      <c r="B277" s="57" t="s">
        <v>624</v>
      </c>
      <c r="C277" s="57" t="s">
        <v>625</v>
      </c>
      <c r="D277">
        <v>108.15</v>
      </c>
      <c r="E277">
        <v>1.94</v>
      </c>
      <c r="F277">
        <v>13.83</v>
      </c>
      <c r="G277">
        <v>23.1</v>
      </c>
      <c r="H277" s="57" t="s">
        <v>1231</v>
      </c>
      <c r="I277" s="58">
        <v>1</v>
      </c>
      <c r="J277" s="58" t="s">
        <v>407</v>
      </c>
      <c r="K277">
        <v>1.35</v>
      </c>
    </row>
    <row r="278" spans="2:11" x14ac:dyDescent="0.25">
      <c r="B278" s="57" t="s">
        <v>626</v>
      </c>
      <c r="C278" s="57" t="s">
        <v>627</v>
      </c>
      <c r="D278">
        <v>162.13999999999999</v>
      </c>
      <c r="E278">
        <v>5.82</v>
      </c>
      <c r="F278">
        <v>17.010000000000002</v>
      </c>
      <c r="G278">
        <v>20.59</v>
      </c>
      <c r="H278" s="57" t="s">
        <v>1163</v>
      </c>
      <c r="I278" s="58">
        <v>1.08</v>
      </c>
      <c r="J278" s="58" t="s">
        <v>405</v>
      </c>
      <c r="K278">
        <v>1.05</v>
      </c>
    </row>
    <row r="279" spans="2:11" x14ac:dyDescent="0.25">
      <c r="B279" s="57" t="s">
        <v>628</v>
      </c>
      <c r="C279" s="57" t="s">
        <v>629</v>
      </c>
      <c r="D279">
        <v>119.38</v>
      </c>
      <c r="E279">
        <v>0.43</v>
      </c>
      <c r="F279">
        <v>14.01</v>
      </c>
      <c r="G279">
        <v>38.89</v>
      </c>
      <c r="H279" s="57" t="s">
        <v>1231</v>
      </c>
      <c r="I279" s="58">
        <v>1.0900000000000001</v>
      </c>
      <c r="J279" s="58" t="s">
        <v>407</v>
      </c>
      <c r="K279">
        <v>1.76</v>
      </c>
    </row>
    <row r="280" spans="2:11" x14ac:dyDescent="0.25">
      <c r="B280" s="57" t="s">
        <v>705</v>
      </c>
      <c r="C280" s="57" t="s">
        <v>759</v>
      </c>
      <c r="D280">
        <v>32.11</v>
      </c>
      <c r="E280">
        <v>0.75</v>
      </c>
      <c r="F280">
        <v>6.85</v>
      </c>
      <c r="G280">
        <v>11.45</v>
      </c>
      <c r="H280" s="57" t="s">
        <v>1232</v>
      </c>
      <c r="I280" s="58">
        <v>0.8</v>
      </c>
      <c r="J280" s="58" t="s">
        <v>407</v>
      </c>
      <c r="K280">
        <v>1.61</v>
      </c>
    </row>
    <row r="281" spans="2:11" x14ac:dyDescent="0.25">
      <c r="B281" s="57" t="s">
        <v>630</v>
      </c>
      <c r="C281" s="57" t="s">
        <v>631</v>
      </c>
      <c r="D281">
        <v>276.79000000000002</v>
      </c>
      <c r="E281">
        <v>2.69</v>
      </c>
      <c r="F281">
        <v>7.07</v>
      </c>
      <c r="G281">
        <v>51.7</v>
      </c>
      <c r="H281" s="57" t="s">
        <v>1233</v>
      </c>
      <c r="I281" s="58">
        <v>1.1100000000000001</v>
      </c>
      <c r="J281" s="58" t="s">
        <v>459</v>
      </c>
      <c r="K281">
        <v>0.74</v>
      </c>
    </row>
    <row r="282" spans="2:11" x14ac:dyDescent="0.25">
      <c r="B282" s="57" t="s">
        <v>969</v>
      </c>
      <c r="C282" s="57" t="s">
        <v>970</v>
      </c>
      <c r="D282">
        <v>3.37</v>
      </c>
      <c r="E282">
        <v>-0.17</v>
      </c>
      <c r="F282">
        <v>-19.87</v>
      </c>
      <c r="G282">
        <v>-74.97</v>
      </c>
      <c r="H282" s="57" t="s">
        <v>1070</v>
      </c>
      <c r="I282" s="58">
        <v>0.48</v>
      </c>
      <c r="J282" s="58" t="s">
        <v>408</v>
      </c>
      <c r="K282">
        <v>0</v>
      </c>
    </row>
    <row r="283" spans="2:11" x14ac:dyDescent="0.25">
      <c r="B283" s="57" t="s">
        <v>897</v>
      </c>
      <c r="C283" s="57" t="s">
        <v>898</v>
      </c>
      <c r="D283">
        <v>75.81</v>
      </c>
      <c r="E283">
        <v>-1.94</v>
      </c>
      <c r="F283">
        <v>18.600000000000001</v>
      </c>
      <c r="G283">
        <v>49.79</v>
      </c>
      <c r="H283" s="57" t="s">
        <v>1234</v>
      </c>
      <c r="I283" s="58">
        <v>1.38</v>
      </c>
      <c r="J283" s="58" t="s">
        <v>407</v>
      </c>
      <c r="K283">
        <v>0</v>
      </c>
    </row>
    <row r="284" spans="2:11" x14ac:dyDescent="0.25">
      <c r="B284" s="57" t="s">
        <v>906</v>
      </c>
      <c r="C284" s="57" t="s">
        <v>911</v>
      </c>
      <c r="D284">
        <v>5.24</v>
      </c>
      <c r="E284">
        <v>-0.01</v>
      </c>
      <c r="F284">
        <v>-1.1200000000000001</v>
      </c>
      <c r="G284">
        <v>3.91</v>
      </c>
      <c r="H284" s="57" t="s">
        <v>1111</v>
      </c>
      <c r="I284" s="58">
        <v>0.77</v>
      </c>
      <c r="J284" s="58" t="s">
        <v>408</v>
      </c>
      <c r="K284">
        <v>4.1399999999999997</v>
      </c>
    </row>
    <row r="285" spans="2:11" x14ac:dyDescent="0.25">
      <c r="B285" s="57" t="s">
        <v>716</v>
      </c>
      <c r="C285" s="57" t="s">
        <v>760</v>
      </c>
      <c r="D285">
        <v>2.4300000000000002</v>
      </c>
      <c r="E285">
        <v>-0.02</v>
      </c>
      <c r="F285">
        <v>-2.96</v>
      </c>
      <c r="G285">
        <v>-18.12</v>
      </c>
      <c r="H285" s="57" t="s">
        <v>1104</v>
      </c>
      <c r="I285" s="58">
        <v>0.71</v>
      </c>
      <c r="J285" s="58" t="s">
        <v>408</v>
      </c>
      <c r="K285">
        <v>4.17</v>
      </c>
    </row>
    <row r="286" spans="2:11" x14ac:dyDescent="0.25">
      <c r="B286" s="57" t="s">
        <v>678</v>
      </c>
      <c r="C286" s="57" t="s">
        <v>679</v>
      </c>
      <c r="D286">
        <v>0</v>
      </c>
      <c r="E286">
        <v>0</v>
      </c>
      <c r="H286" s="57"/>
      <c r="I286" s="58"/>
      <c r="J286" s="58"/>
    </row>
    <row r="287" spans="2:11" x14ac:dyDescent="0.25">
      <c r="B287" s="57" t="s">
        <v>553</v>
      </c>
      <c r="C287" s="57" t="s">
        <v>858</v>
      </c>
      <c r="D287">
        <v>43.58</v>
      </c>
      <c r="E287">
        <v>-2.38</v>
      </c>
      <c r="F287">
        <v>19.62</v>
      </c>
      <c r="G287">
        <v>58.86</v>
      </c>
      <c r="H287" s="57" t="s">
        <v>1235</v>
      </c>
      <c r="I287" s="58">
        <v>1.1200000000000001</v>
      </c>
      <c r="J287" s="58" t="s">
        <v>407</v>
      </c>
      <c r="K287">
        <v>0</v>
      </c>
    </row>
    <row r="288" spans="2:11" x14ac:dyDescent="0.25">
      <c r="B288" s="57" t="s">
        <v>761</v>
      </c>
      <c r="C288" s="57" t="s">
        <v>762</v>
      </c>
      <c r="D288">
        <v>3.94</v>
      </c>
      <c r="E288">
        <v>-0.04</v>
      </c>
      <c r="F288">
        <v>-19.8</v>
      </c>
      <c r="G288">
        <v>-37.92</v>
      </c>
      <c r="H288" s="57" t="s">
        <v>1078</v>
      </c>
      <c r="I288" s="58">
        <v>0.75</v>
      </c>
      <c r="J288" s="58" t="s">
        <v>408</v>
      </c>
      <c r="K288">
        <v>4.8899999999999997</v>
      </c>
    </row>
    <row r="289" spans="2:11" x14ac:dyDescent="0.25">
      <c r="B289" s="57" t="s">
        <v>632</v>
      </c>
      <c r="C289" s="57" t="s">
        <v>633</v>
      </c>
      <c r="D289">
        <v>14.4</v>
      </c>
      <c r="E289">
        <v>-0.18</v>
      </c>
      <c r="F289">
        <v>-7.65</v>
      </c>
      <c r="G289">
        <v>-8.24</v>
      </c>
      <c r="H289" s="57" t="s">
        <v>1236</v>
      </c>
      <c r="I289" s="58">
        <v>0.94</v>
      </c>
      <c r="J289" s="58" t="s">
        <v>405</v>
      </c>
      <c r="K289">
        <v>1.93</v>
      </c>
    </row>
    <row r="290" spans="2:11" x14ac:dyDescent="0.25">
      <c r="B290" s="57" t="s">
        <v>907</v>
      </c>
      <c r="C290" s="57" t="s">
        <v>913</v>
      </c>
      <c r="D290">
        <v>18.03</v>
      </c>
      <c r="E290">
        <v>0.68</v>
      </c>
      <c r="F290">
        <v>143.35</v>
      </c>
      <c r="G290">
        <v>23.19</v>
      </c>
      <c r="H290" s="57" t="s">
        <v>1085</v>
      </c>
      <c r="I290" s="58">
        <v>1.64</v>
      </c>
      <c r="J290" s="58"/>
      <c r="K290">
        <v>0</v>
      </c>
    </row>
    <row r="291" spans="2:11" x14ac:dyDescent="0.25">
      <c r="B291" s="57" t="s">
        <v>763</v>
      </c>
      <c r="C291" s="57" t="s">
        <v>764</v>
      </c>
      <c r="D291">
        <v>22.83</v>
      </c>
      <c r="E291">
        <v>-7.0000000000000007E-2</v>
      </c>
      <c r="F291">
        <v>28.26</v>
      </c>
      <c r="G291">
        <v>5.31</v>
      </c>
      <c r="H291" s="57" t="s">
        <v>1237</v>
      </c>
      <c r="I291" s="58">
        <v>1.27</v>
      </c>
      <c r="J291" s="58" t="s">
        <v>405</v>
      </c>
      <c r="K291">
        <v>4.49</v>
      </c>
    </row>
    <row r="292" spans="2:11" x14ac:dyDescent="0.25">
      <c r="B292" s="57" t="s">
        <v>634</v>
      </c>
      <c r="C292" s="57" t="s">
        <v>635</v>
      </c>
      <c r="D292">
        <v>145.66</v>
      </c>
      <c r="E292">
        <v>0.28999999999999998</v>
      </c>
      <c r="F292">
        <v>8.07</v>
      </c>
      <c r="G292">
        <v>31.02</v>
      </c>
      <c r="H292" s="57" t="s">
        <v>1238</v>
      </c>
      <c r="I292" s="58">
        <v>1.1000000000000001</v>
      </c>
      <c r="J292" s="58" t="s">
        <v>407</v>
      </c>
      <c r="K292">
        <v>2.63</v>
      </c>
    </row>
    <row r="293" spans="2:11" x14ac:dyDescent="0.25">
      <c r="B293" s="57" t="s">
        <v>874</v>
      </c>
      <c r="C293" s="57" t="s">
        <v>884</v>
      </c>
      <c r="D293">
        <v>48.57</v>
      </c>
      <c r="E293">
        <v>0.54</v>
      </c>
      <c r="F293">
        <v>10.1</v>
      </c>
      <c r="G293">
        <v>27.91</v>
      </c>
      <c r="H293" s="57" t="s">
        <v>1239</v>
      </c>
      <c r="I293" s="58">
        <v>1.01</v>
      </c>
      <c r="J293" s="58" t="s">
        <v>459</v>
      </c>
      <c r="K293">
        <v>2.0099999999999998</v>
      </c>
    </row>
    <row r="294" spans="2:11" x14ac:dyDescent="0.25">
      <c r="B294" s="57" t="s">
        <v>636</v>
      </c>
      <c r="C294" s="57" t="s">
        <v>637</v>
      </c>
      <c r="D294">
        <v>36.119999999999997</v>
      </c>
      <c r="E294">
        <v>0.1</v>
      </c>
      <c r="F294">
        <v>9.5500000000000007</v>
      </c>
      <c r="G294">
        <v>22.18</v>
      </c>
      <c r="H294" s="57" t="s">
        <v>1240</v>
      </c>
      <c r="I294" s="58">
        <v>1.25</v>
      </c>
      <c r="J294" s="58" t="s">
        <v>407</v>
      </c>
      <c r="K294">
        <v>4.53</v>
      </c>
    </row>
    <row r="295" spans="2:11" x14ac:dyDescent="0.25">
      <c r="B295" s="57" t="s">
        <v>872</v>
      </c>
      <c r="C295" s="57" t="s">
        <v>886</v>
      </c>
      <c r="D295">
        <v>65.61</v>
      </c>
      <c r="E295">
        <v>1.75</v>
      </c>
      <c r="F295">
        <v>-3.3</v>
      </c>
      <c r="G295">
        <v>4.09</v>
      </c>
      <c r="H295" s="57" t="s">
        <v>1241</v>
      </c>
      <c r="I295" s="58">
        <v>0.91</v>
      </c>
      <c r="J295" s="58" t="s">
        <v>459</v>
      </c>
      <c r="K295">
        <v>3.17</v>
      </c>
    </row>
    <row r="296" spans="2:11" x14ac:dyDescent="0.25">
      <c r="B296" s="57" t="s">
        <v>680</v>
      </c>
      <c r="C296" s="57" t="s">
        <v>681</v>
      </c>
      <c r="D296">
        <v>27.71</v>
      </c>
      <c r="E296">
        <v>0.27</v>
      </c>
      <c r="F296">
        <v>17.059999999999999</v>
      </c>
      <c r="G296">
        <v>61.09</v>
      </c>
      <c r="H296" s="57" t="s">
        <v>1242</v>
      </c>
      <c r="I296" s="58">
        <v>1.06</v>
      </c>
      <c r="J296" s="58" t="s">
        <v>405</v>
      </c>
      <c r="K296">
        <v>1.95</v>
      </c>
    </row>
    <row r="297" spans="2:11" x14ac:dyDescent="0.25">
      <c r="B297" s="57" t="s">
        <v>861</v>
      </c>
      <c r="C297" s="57" t="s">
        <v>863</v>
      </c>
      <c r="D297">
        <v>51.39</v>
      </c>
      <c r="E297">
        <v>-0.4</v>
      </c>
      <c r="F297">
        <v>-11.34</v>
      </c>
      <c r="G297">
        <v>-12.44</v>
      </c>
      <c r="H297" s="57" t="s">
        <v>1243</v>
      </c>
      <c r="I297" s="58">
        <v>0.66</v>
      </c>
      <c r="J297" s="58" t="s">
        <v>407</v>
      </c>
      <c r="K297">
        <v>7.1</v>
      </c>
    </row>
    <row r="298" spans="2:11" x14ac:dyDescent="0.25">
      <c r="B298" s="57" t="s">
        <v>765</v>
      </c>
      <c r="C298" s="57" t="s">
        <v>766</v>
      </c>
      <c r="D298">
        <v>10.039999999999999</v>
      </c>
      <c r="E298">
        <v>-0.08</v>
      </c>
      <c r="F298">
        <v>-19.28</v>
      </c>
      <c r="G298">
        <v>23.99</v>
      </c>
      <c r="H298" s="57" t="s">
        <v>1094</v>
      </c>
      <c r="I298" s="58">
        <v>0.77</v>
      </c>
      <c r="J298" s="58" t="s">
        <v>405</v>
      </c>
      <c r="K298">
        <v>1.89</v>
      </c>
    </row>
    <row r="299" spans="2:11" x14ac:dyDescent="0.25">
      <c r="B299" s="57" t="s">
        <v>638</v>
      </c>
      <c r="C299" s="57" t="s">
        <v>639</v>
      </c>
      <c r="D299">
        <v>43.43</v>
      </c>
      <c r="E299">
        <v>0.11</v>
      </c>
      <c r="F299">
        <v>17.04</v>
      </c>
      <c r="G299">
        <v>33.01</v>
      </c>
      <c r="H299" s="57" t="s">
        <v>1244</v>
      </c>
      <c r="I299" s="58">
        <v>0.89</v>
      </c>
      <c r="J299" s="58"/>
      <c r="K299">
        <v>2.4700000000000002</v>
      </c>
    </row>
    <row r="300" spans="2:11" x14ac:dyDescent="0.25">
      <c r="B300" s="57" t="s">
        <v>706</v>
      </c>
      <c r="C300" s="57" t="s">
        <v>767</v>
      </c>
      <c r="D300">
        <v>3</v>
      </c>
      <c r="E300">
        <v>-0.2</v>
      </c>
      <c r="F300">
        <v>-27.75</v>
      </c>
      <c r="G300">
        <v>-67.06</v>
      </c>
      <c r="H300" s="57" t="s">
        <v>1151</v>
      </c>
      <c r="I300" s="58">
        <v>0.5</v>
      </c>
      <c r="J300" s="58" t="s">
        <v>408</v>
      </c>
      <c r="K300">
        <v>2.4</v>
      </c>
    </row>
    <row r="301" spans="2:11" x14ac:dyDescent="0.25">
      <c r="B301" s="57" t="s">
        <v>873</v>
      </c>
      <c r="C301" s="57" t="s">
        <v>885</v>
      </c>
      <c r="D301">
        <v>9.15</v>
      </c>
      <c r="E301">
        <v>0.15</v>
      </c>
      <c r="F301">
        <v>-9.24</v>
      </c>
      <c r="G301">
        <v>-21.83</v>
      </c>
      <c r="H301" s="57" t="s">
        <v>1192</v>
      </c>
      <c r="I301" s="58">
        <v>0.78</v>
      </c>
      <c r="J301" s="58"/>
      <c r="K301">
        <v>1.63</v>
      </c>
    </row>
    <row r="302" spans="2:11" x14ac:dyDescent="0.25">
      <c r="B302" s="57" t="s">
        <v>640</v>
      </c>
      <c r="C302" s="57" t="s">
        <v>641</v>
      </c>
      <c r="D302">
        <v>87.53</v>
      </c>
      <c r="E302">
        <v>1.1100000000000001</v>
      </c>
      <c r="F302">
        <v>4.8</v>
      </c>
      <c r="G302">
        <v>27.36</v>
      </c>
      <c r="H302" s="57" t="s">
        <v>1245</v>
      </c>
      <c r="I302" s="58">
        <v>0.95</v>
      </c>
      <c r="J302" s="58" t="s">
        <v>407</v>
      </c>
      <c r="K302">
        <v>1.76</v>
      </c>
    </row>
    <row r="303" spans="2:11" x14ac:dyDescent="0.25">
      <c r="B303" s="57" t="s">
        <v>642</v>
      </c>
      <c r="C303" s="57" t="s">
        <v>643</v>
      </c>
      <c r="D303">
        <v>0</v>
      </c>
      <c r="E303">
        <v>0</v>
      </c>
      <c r="H303" s="57"/>
      <c r="I303" s="58"/>
      <c r="J303" s="58"/>
    </row>
    <row r="304" spans="2:11" x14ac:dyDescent="0.25">
      <c r="B304" s="57" t="s">
        <v>929</v>
      </c>
      <c r="C304" s="57" t="s">
        <v>930</v>
      </c>
      <c r="D304">
        <v>34.92</v>
      </c>
      <c r="E304">
        <v>-0.62</v>
      </c>
      <c r="F304">
        <v>-16.82</v>
      </c>
      <c r="G304">
        <v>-41.44</v>
      </c>
      <c r="H304" s="57" t="s">
        <v>1128</v>
      </c>
      <c r="I304" s="58"/>
      <c r="J304" s="58"/>
      <c r="K304">
        <v>2.12</v>
      </c>
    </row>
    <row r="305" spans="2:11" x14ac:dyDescent="0.25">
      <c r="B305" s="57" t="s">
        <v>931</v>
      </c>
      <c r="C305" s="57" t="s">
        <v>932</v>
      </c>
      <c r="D305">
        <v>23.11</v>
      </c>
      <c r="E305">
        <v>-0.18</v>
      </c>
      <c r="F305">
        <v>-7.89</v>
      </c>
      <c r="G305">
        <v>-19.11</v>
      </c>
      <c r="H305" s="57" t="s">
        <v>1128</v>
      </c>
      <c r="I305" s="58"/>
      <c r="J305" s="58"/>
      <c r="K305">
        <v>1.76</v>
      </c>
    </row>
    <row r="306" spans="2:11" x14ac:dyDescent="0.25">
      <c r="B306" s="57" t="s">
        <v>876</v>
      </c>
      <c r="C306" s="57" t="s">
        <v>881</v>
      </c>
      <c r="D306">
        <v>39.4</v>
      </c>
      <c r="E306">
        <v>-0.6</v>
      </c>
      <c r="F306">
        <v>-2.9</v>
      </c>
      <c r="G306">
        <v>-32.25</v>
      </c>
      <c r="H306" s="57" t="s">
        <v>1246</v>
      </c>
      <c r="I306" s="58">
        <v>0.7</v>
      </c>
      <c r="J306" s="58" t="s">
        <v>405</v>
      </c>
      <c r="K306">
        <v>0</v>
      </c>
    </row>
    <row r="307" spans="2:11" x14ac:dyDescent="0.25">
      <c r="B307" s="57" t="s">
        <v>914</v>
      </c>
      <c r="C307" s="57" t="s">
        <v>915</v>
      </c>
      <c r="D307">
        <v>94.02</v>
      </c>
      <c r="E307">
        <v>-0.09</v>
      </c>
      <c r="F307">
        <v>12.41</v>
      </c>
      <c r="G307">
        <v>5.51</v>
      </c>
      <c r="H307" s="57" t="s">
        <v>1247</v>
      </c>
      <c r="I307" s="58">
        <v>0.94</v>
      </c>
      <c r="J307" s="58" t="s">
        <v>407</v>
      </c>
      <c r="K307">
        <v>3.6</v>
      </c>
    </row>
    <row r="308" spans="2:11" x14ac:dyDescent="0.25">
      <c r="B308" s="57" t="s">
        <v>682</v>
      </c>
      <c r="C308" s="57" t="s">
        <v>683</v>
      </c>
      <c r="D308">
        <v>29.11</v>
      </c>
      <c r="E308">
        <v>1.56</v>
      </c>
      <c r="F308">
        <v>36.520000000000003</v>
      </c>
      <c r="G308">
        <v>80.459999999999994</v>
      </c>
      <c r="H308" s="57" t="s">
        <v>1084</v>
      </c>
      <c r="I308" s="58">
        <v>0.94</v>
      </c>
      <c r="J308" s="58" t="s">
        <v>405</v>
      </c>
      <c r="K308">
        <v>0</v>
      </c>
    </row>
    <row r="309" spans="2:11" x14ac:dyDescent="0.25">
      <c r="B309" s="57" t="s">
        <v>768</v>
      </c>
      <c r="C309" s="57" t="s">
        <v>921</v>
      </c>
      <c r="D309">
        <v>10.59</v>
      </c>
      <c r="E309">
        <v>-0.14000000000000001</v>
      </c>
      <c r="F309">
        <v>-5.17</v>
      </c>
      <c r="G309">
        <v>-51.07</v>
      </c>
      <c r="H309" s="57" t="s">
        <v>1112</v>
      </c>
      <c r="I309" s="58">
        <v>0.62</v>
      </c>
      <c r="J309" s="58" t="s">
        <v>408</v>
      </c>
      <c r="K309">
        <v>0</v>
      </c>
    </row>
    <row r="310" spans="2:11" x14ac:dyDescent="0.25">
      <c r="B310" s="57" t="s">
        <v>707</v>
      </c>
      <c r="C310" s="57" t="s">
        <v>769</v>
      </c>
      <c r="D310">
        <v>58.78</v>
      </c>
      <c r="E310">
        <v>-0.59</v>
      </c>
      <c r="F310">
        <v>12.77</v>
      </c>
      <c r="G310">
        <v>5.72</v>
      </c>
      <c r="H310" s="57" t="s">
        <v>1248</v>
      </c>
      <c r="I310" s="58">
        <v>0.86</v>
      </c>
      <c r="J310" s="58" t="s">
        <v>405</v>
      </c>
      <c r="K310">
        <v>2.82</v>
      </c>
    </row>
    <row r="311" spans="2:11" x14ac:dyDescent="0.25">
      <c r="B311" s="57" t="s">
        <v>684</v>
      </c>
      <c r="C311" s="57" t="s">
        <v>685</v>
      </c>
      <c r="D311">
        <v>12.52</v>
      </c>
      <c r="E311">
        <v>0.02</v>
      </c>
      <c r="F311">
        <v>-8.5299999999999994</v>
      </c>
      <c r="G311">
        <v>-37.520000000000003</v>
      </c>
      <c r="H311" s="57" t="s">
        <v>1249</v>
      </c>
      <c r="I311" s="58">
        <v>0.6</v>
      </c>
      <c r="J311" s="58" t="s">
        <v>408</v>
      </c>
      <c r="K311">
        <v>5.81</v>
      </c>
    </row>
    <row r="312" spans="2:11" x14ac:dyDescent="0.25">
      <c r="B312" s="57" t="s">
        <v>877</v>
      </c>
      <c r="C312" s="57" t="s">
        <v>882</v>
      </c>
      <c r="D312">
        <v>29.14</v>
      </c>
      <c r="E312">
        <v>-0.33</v>
      </c>
      <c r="F312">
        <v>11.38</v>
      </c>
      <c r="G312">
        <v>-25.95</v>
      </c>
      <c r="H312" s="57" t="s">
        <v>1250</v>
      </c>
      <c r="I312" s="58">
        <v>0.51</v>
      </c>
      <c r="J312" s="58" t="s">
        <v>405</v>
      </c>
      <c r="K312">
        <v>4.1100000000000003</v>
      </c>
    </row>
    <row r="313" spans="2:11" x14ac:dyDescent="0.25">
      <c r="B313" s="57" t="s">
        <v>934</v>
      </c>
      <c r="C313" s="57" t="s">
        <v>935</v>
      </c>
      <c r="D313">
        <v>17.05</v>
      </c>
      <c r="E313">
        <v>-0.65</v>
      </c>
      <c r="F313">
        <v>-35.799999999999997</v>
      </c>
      <c r="G313">
        <v>-65.03</v>
      </c>
      <c r="H313" s="57" t="s">
        <v>1128</v>
      </c>
      <c r="I313" s="58"/>
      <c r="J313" s="58"/>
      <c r="K313">
        <v>3.21</v>
      </c>
    </row>
    <row r="314" spans="2:11" x14ac:dyDescent="0.25">
      <c r="B314" s="57" t="s">
        <v>708</v>
      </c>
      <c r="C314" s="57" t="s">
        <v>770</v>
      </c>
      <c r="D314">
        <v>12.95</v>
      </c>
      <c r="E314">
        <v>-0.02</v>
      </c>
      <c r="F314">
        <v>-2.52</v>
      </c>
      <c r="G314">
        <v>-27.3</v>
      </c>
      <c r="H314" s="57" t="s">
        <v>1251</v>
      </c>
      <c r="I314" s="58">
        <v>0.71</v>
      </c>
      <c r="J314" s="58" t="s">
        <v>408</v>
      </c>
      <c r="K314">
        <v>1.47</v>
      </c>
    </row>
    <row r="315" spans="2:11" x14ac:dyDescent="0.25">
      <c r="B315" s="57" t="s">
        <v>194</v>
      </c>
      <c r="C315" s="57" t="s">
        <v>197</v>
      </c>
      <c r="D315">
        <v>82.54</v>
      </c>
      <c r="E315">
        <v>-2.0299999999999998</v>
      </c>
      <c r="F315">
        <v>51.4</v>
      </c>
      <c r="G315">
        <v>68.430000000000007</v>
      </c>
      <c r="H315" s="57" t="s">
        <v>1180</v>
      </c>
      <c r="I315" s="58">
        <v>2.06</v>
      </c>
      <c r="J315" s="58" t="s">
        <v>405</v>
      </c>
      <c r="K315">
        <v>0</v>
      </c>
    </row>
    <row r="316" spans="2:11" x14ac:dyDescent="0.25">
      <c r="B316" s="57" t="s">
        <v>477</v>
      </c>
      <c r="C316" s="57" t="s">
        <v>771</v>
      </c>
      <c r="D316">
        <v>38.340000000000003</v>
      </c>
      <c r="E316">
        <v>-0.11</v>
      </c>
      <c r="F316">
        <v>-0.74</v>
      </c>
      <c r="G316">
        <v>36.979999999999997</v>
      </c>
      <c r="H316" s="57" t="s">
        <v>1252</v>
      </c>
      <c r="I316" s="58">
        <v>0.98</v>
      </c>
      <c r="J316" s="58" t="s">
        <v>407</v>
      </c>
      <c r="K316">
        <v>5.42</v>
      </c>
    </row>
    <row r="317" spans="2:11" x14ac:dyDescent="0.25">
      <c r="B317" s="57" t="s">
        <v>714</v>
      </c>
      <c r="C317" s="57" t="s">
        <v>772</v>
      </c>
      <c r="D317">
        <v>7.56</v>
      </c>
      <c r="E317">
        <v>0.04</v>
      </c>
      <c r="F317">
        <v>-3.17</v>
      </c>
      <c r="G317">
        <v>-26.99</v>
      </c>
      <c r="H317" s="57" t="s">
        <v>1124</v>
      </c>
      <c r="I317" s="58">
        <v>0.68</v>
      </c>
      <c r="J317" s="58" t="s">
        <v>405</v>
      </c>
      <c r="K317">
        <v>0</v>
      </c>
    </row>
    <row r="318" spans="2:11" x14ac:dyDescent="0.25">
      <c r="B318" s="57" t="s">
        <v>878</v>
      </c>
      <c r="C318" s="57" t="s">
        <v>879</v>
      </c>
      <c r="D318">
        <v>51.96</v>
      </c>
      <c r="E318">
        <v>0.91</v>
      </c>
      <c r="F318">
        <v>20.99</v>
      </c>
      <c r="G318">
        <v>15.01</v>
      </c>
      <c r="H318" s="57" t="s">
        <v>1253</v>
      </c>
      <c r="I318" s="58">
        <v>0.88</v>
      </c>
      <c r="J318" s="58" t="s">
        <v>459</v>
      </c>
      <c r="K318">
        <v>0.26</v>
      </c>
    </row>
    <row r="319" spans="2:11" x14ac:dyDescent="0.25">
      <c r="B319" s="57" t="s">
        <v>709</v>
      </c>
      <c r="C319" s="57" t="s">
        <v>773</v>
      </c>
      <c r="D319">
        <v>23.78</v>
      </c>
      <c r="E319">
        <v>0.75</v>
      </c>
      <c r="F319">
        <v>7.07</v>
      </c>
      <c r="G319">
        <v>23.99</v>
      </c>
      <c r="H319" s="57" t="s">
        <v>1237</v>
      </c>
      <c r="I319" s="58">
        <v>0.93</v>
      </c>
      <c r="J319" s="58" t="s">
        <v>405</v>
      </c>
      <c r="K319">
        <v>0.73</v>
      </c>
    </row>
    <row r="320" spans="2:11" x14ac:dyDescent="0.25">
      <c r="B320" s="57" t="s">
        <v>774</v>
      </c>
      <c r="C320" s="57" t="s">
        <v>775</v>
      </c>
      <c r="D320">
        <v>17.329999999999998</v>
      </c>
      <c r="E320">
        <v>0.21</v>
      </c>
      <c r="F320">
        <v>15.83</v>
      </c>
      <c r="G320">
        <v>50.13</v>
      </c>
      <c r="H320" s="57" t="s">
        <v>1254</v>
      </c>
      <c r="I320" s="58">
        <v>0.98</v>
      </c>
      <c r="J320" s="58" t="s">
        <v>405</v>
      </c>
      <c r="K320">
        <v>1.58</v>
      </c>
    </row>
    <row r="321" spans="2:11" x14ac:dyDescent="0.25">
      <c r="B321" s="57" t="s">
        <v>686</v>
      </c>
      <c r="C321" s="57" t="s">
        <v>687</v>
      </c>
      <c r="D321">
        <v>13.46</v>
      </c>
      <c r="E321">
        <v>-0.31</v>
      </c>
      <c r="F321">
        <v>-18.690000000000001</v>
      </c>
      <c r="G321">
        <v>-6.97</v>
      </c>
      <c r="H321" s="57" t="s">
        <v>1255</v>
      </c>
      <c r="I321" s="58">
        <v>0.79</v>
      </c>
      <c r="J321" s="58" t="s">
        <v>405</v>
      </c>
      <c r="K321">
        <v>0</v>
      </c>
    </row>
    <row r="322" spans="2:11" x14ac:dyDescent="0.25">
      <c r="B322" s="57" t="s">
        <v>776</v>
      </c>
      <c r="C322" s="57" t="s">
        <v>777</v>
      </c>
      <c r="D322">
        <v>48.58</v>
      </c>
      <c r="E322">
        <v>0.62</v>
      </c>
      <c r="F322">
        <v>19.14</v>
      </c>
      <c r="G322">
        <v>31.36</v>
      </c>
      <c r="H322" s="57" t="s">
        <v>1179</v>
      </c>
      <c r="I322" s="58">
        <v>1.1299999999999999</v>
      </c>
      <c r="J322" s="58" t="s">
        <v>407</v>
      </c>
      <c r="K322">
        <v>0.93</v>
      </c>
    </row>
    <row r="323" spans="2:11" x14ac:dyDescent="0.25">
      <c r="B323" s="57" t="s">
        <v>862</v>
      </c>
      <c r="C323" s="57" t="s">
        <v>864</v>
      </c>
      <c r="D323">
        <v>49</v>
      </c>
      <c r="E323">
        <v>-0.41</v>
      </c>
      <c r="F323">
        <v>-6.24</v>
      </c>
      <c r="G323">
        <v>-4.5999999999999996</v>
      </c>
      <c r="H323" s="57" t="s">
        <v>1132</v>
      </c>
      <c r="I323" s="58">
        <v>0.67</v>
      </c>
      <c r="J323" s="58" t="s">
        <v>407</v>
      </c>
      <c r="K323">
        <v>5.78</v>
      </c>
    </row>
    <row r="324" spans="2:11" x14ac:dyDescent="0.25">
      <c r="B324" s="57" t="s">
        <v>778</v>
      </c>
      <c r="C324" s="57" t="s">
        <v>779</v>
      </c>
      <c r="D324">
        <v>10.96</v>
      </c>
      <c r="E324">
        <v>0.2</v>
      </c>
      <c r="F324">
        <v>-28.64</v>
      </c>
      <c r="G324">
        <v>-31.48</v>
      </c>
      <c r="H324" s="57" t="s">
        <v>1163</v>
      </c>
      <c r="I324" s="58">
        <v>0.68</v>
      </c>
      <c r="J324" s="58" t="s">
        <v>408</v>
      </c>
      <c r="K324">
        <v>0</v>
      </c>
    </row>
    <row r="325" spans="2:11" x14ac:dyDescent="0.25">
      <c r="B325" s="57" t="s">
        <v>916</v>
      </c>
      <c r="C325" s="57" t="s">
        <v>917</v>
      </c>
      <c r="D325">
        <v>35.36</v>
      </c>
      <c r="E325">
        <v>-1.92</v>
      </c>
      <c r="F325">
        <v>-1.65</v>
      </c>
      <c r="G325">
        <v>-5.14</v>
      </c>
      <c r="H325" s="57" t="s">
        <v>1125</v>
      </c>
      <c r="I325" s="58">
        <v>0.74</v>
      </c>
      <c r="J325" s="58" t="s">
        <v>405</v>
      </c>
      <c r="K325">
        <v>9.49</v>
      </c>
    </row>
    <row r="326" spans="2:11" x14ac:dyDescent="0.25">
      <c r="B326" s="57" t="s">
        <v>780</v>
      </c>
      <c r="C326" s="57" t="s">
        <v>781</v>
      </c>
      <c r="D326">
        <v>29.35</v>
      </c>
      <c r="E326">
        <v>-0.11</v>
      </c>
      <c r="F326">
        <v>0.83</v>
      </c>
      <c r="G326">
        <v>-16.28</v>
      </c>
      <c r="H326" s="57" t="s">
        <v>1153</v>
      </c>
      <c r="I326" s="58">
        <v>0.73</v>
      </c>
      <c r="J326" s="58" t="s">
        <v>405</v>
      </c>
      <c r="K326">
        <v>3.69</v>
      </c>
    </row>
    <row r="327" spans="2:11" x14ac:dyDescent="0.25">
      <c r="B327" s="57" t="s">
        <v>782</v>
      </c>
      <c r="C327" s="57" t="s">
        <v>783</v>
      </c>
      <c r="D327">
        <v>39.590000000000003</v>
      </c>
      <c r="E327">
        <v>1.1299999999999999</v>
      </c>
      <c r="F327">
        <v>-26.4</v>
      </c>
      <c r="G327">
        <v>6.36</v>
      </c>
      <c r="H327" s="57" t="s">
        <v>1215</v>
      </c>
      <c r="I327" s="58">
        <v>0.72</v>
      </c>
      <c r="J327" s="58" t="s">
        <v>405</v>
      </c>
      <c r="K327">
        <v>0</v>
      </c>
    </row>
    <row r="328" spans="2:11" x14ac:dyDescent="0.25">
      <c r="B328" s="57" t="s">
        <v>1034</v>
      </c>
      <c r="C328" s="57" t="s">
        <v>1256</v>
      </c>
      <c r="D328">
        <v>153.43</v>
      </c>
      <c r="E328">
        <v>1.8</v>
      </c>
      <c r="F328">
        <v>7.28</v>
      </c>
      <c r="G328">
        <v>29.66</v>
      </c>
      <c r="H328" s="57" t="s">
        <v>1257</v>
      </c>
      <c r="I328" s="58">
        <v>0.85</v>
      </c>
      <c r="J328" s="58" t="s">
        <v>407</v>
      </c>
      <c r="K328">
        <v>0</v>
      </c>
    </row>
    <row r="329" spans="2:11" x14ac:dyDescent="0.25">
      <c r="B329" s="57" t="s">
        <v>981</v>
      </c>
      <c r="C329" s="57" t="s">
        <v>1049</v>
      </c>
      <c r="D329">
        <v>67.069999999999993</v>
      </c>
      <c r="E329">
        <v>0.1</v>
      </c>
      <c r="F329">
        <v>2.4</v>
      </c>
      <c r="G329">
        <v>7.78</v>
      </c>
      <c r="H329" s="57" t="s">
        <v>1128</v>
      </c>
      <c r="I329" s="58"/>
      <c r="J329" s="58"/>
      <c r="K329">
        <v>2.19</v>
      </c>
    </row>
    <row r="330" spans="2:11" x14ac:dyDescent="0.25">
      <c r="B330" s="57" t="s">
        <v>644</v>
      </c>
      <c r="C330" s="57" t="s">
        <v>645</v>
      </c>
      <c r="D330">
        <v>16.739999999999998</v>
      </c>
      <c r="E330">
        <v>0.06</v>
      </c>
      <c r="F330">
        <v>-6.13</v>
      </c>
      <c r="G330">
        <v>-3.16</v>
      </c>
      <c r="H330" s="57" t="s">
        <v>1216</v>
      </c>
      <c r="I330" s="58">
        <v>0.84</v>
      </c>
      <c r="J330" s="58"/>
      <c r="K330">
        <v>7.2</v>
      </c>
    </row>
    <row r="331" spans="2:11" x14ac:dyDescent="0.25">
      <c r="B331" s="57" t="s">
        <v>688</v>
      </c>
      <c r="C331" s="57" t="s">
        <v>689</v>
      </c>
      <c r="D331">
        <v>0</v>
      </c>
      <c r="E331">
        <v>0</v>
      </c>
      <c r="H331" s="57"/>
      <c r="I331" s="58"/>
      <c r="J331" s="58"/>
    </row>
    <row r="332" spans="2:11" x14ac:dyDescent="0.25">
      <c r="B332" s="57" t="s">
        <v>646</v>
      </c>
      <c r="C332" s="57" t="s">
        <v>647</v>
      </c>
      <c r="D332">
        <v>85.12</v>
      </c>
      <c r="E332">
        <v>0.99</v>
      </c>
      <c r="F332">
        <v>0.79</v>
      </c>
      <c r="G332">
        <v>14.85</v>
      </c>
      <c r="H332" s="57" t="s">
        <v>1258</v>
      </c>
      <c r="I332" s="58">
        <v>1.08</v>
      </c>
      <c r="J332" s="58" t="s">
        <v>407</v>
      </c>
      <c r="K332">
        <v>4.1399999999999997</v>
      </c>
    </row>
    <row r="333" spans="2:11" x14ac:dyDescent="0.25">
      <c r="B333" s="57" t="s">
        <v>690</v>
      </c>
      <c r="C333" s="57" t="s">
        <v>691</v>
      </c>
      <c r="D333">
        <v>7.83</v>
      </c>
      <c r="E333">
        <v>0.3</v>
      </c>
      <c r="F333">
        <v>15.87</v>
      </c>
      <c r="G333">
        <v>-0.53</v>
      </c>
      <c r="H333" s="57" t="s">
        <v>1124</v>
      </c>
      <c r="I333" s="58">
        <v>0.83</v>
      </c>
      <c r="J333" s="58" t="s">
        <v>405</v>
      </c>
      <c r="K333">
        <v>0</v>
      </c>
    </row>
    <row r="334" spans="2:11" x14ac:dyDescent="0.25">
      <c r="B334" s="57" t="s">
        <v>954</v>
      </c>
      <c r="C334" s="57" t="s">
        <v>955</v>
      </c>
      <c r="D334">
        <v>59.96</v>
      </c>
      <c r="E334">
        <v>-0.64</v>
      </c>
      <c r="F334">
        <v>-12.23</v>
      </c>
      <c r="G334">
        <v>-13.22</v>
      </c>
      <c r="H334" s="57" t="s">
        <v>1139</v>
      </c>
      <c r="I334" s="58">
        <v>0.71</v>
      </c>
      <c r="J334" s="58" t="s">
        <v>407</v>
      </c>
      <c r="K334">
        <v>5.47</v>
      </c>
    </row>
    <row r="335" spans="2:11" x14ac:dyDescent="0.25">
      <c r="B335" s="57" t="s">
        <v>710</v>
      </c>
      <c r="C335" s="57" t="s">
        <v>784</v>
      </c>
      <c r="D335">
        <v>42.41</v>
      </c>
      <c r="E335">
        <v>-0.3</v>
      </c>
      <c r="F335">
        <v>2.84</v>
      </c>
      <c r="G335">
        <v>7.54</v>
      </c>
      <c r="H335" s="57" t="s">
        <v>1259</v>
      </c>
      <c r="I335" s="58">
        <v>0.79</v>
      </c>
      <c r="J335" s="58" t="s">
        <v>407</v>
      </c>
      <c r="K335">
        <v>1.08</v>
      </c>
    </row>
    <row r="336" spans="2:11" x14ac:dyDescent="0.25">
      <c r="B336" s="57" t="s">
        <v>692</v>
      </c>
      <c r="C336" s="57" t="s">
        <v>693</v>
      </c>
      <c r="D336">
        <v>7.31</v>
      </c>
      <c r="E336">
        <v>0.01</v>
      </c>
      <c r="F336">
        <v>0.82</v>
      </c>
      <c r="G336">
        <v>-35.770000000000003</v>
      </c>
      <c r="H336" s="57" t="s">
        <v>1127</v>
      </c>
      <c r="I336" s="58">
        <v>0.79</v>
      </c>
      <c r="J336" s="58" t="s">
        <v>405</v>
      </c>
      <c r="K336">
        <v>0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I205"/>
  <sheetViews>
    <sheetView workbookViewId="0">
      <selection activeCell="B2" sqref="B2"/>
    </sheetView>
  </sheetViews>
  <sheetFormatPr defaultRowHeight="14.25" x14ac:dyDescent="0.25"/>
  <cols>
    <col min="1" max="1" width="8.85546875" bestFit="1" customWidth="1"/>
    <col min="2" max="2" width="20.140625" bestFit="1" customWidth="1"/>
    <col min="3" max="3" width="12.140625" bestFit="1" customWidth="1"/>
    <col min="4" max="4" width="9.140625" bestFit="1" customWidth="1"/>
    <col min="5" max="5" width="1.140625" customWidth="1"/>
    <col min="6" max="6" width="9.85546875" bestFit="1" customWidth="1"/>
    <col min="7" max="7" width="24.7109375" bestFit="1" customWidth="1"/>
    <col min="8" max="8" width="22.7109375" bestFit="1" customWidth="1"/>
    <col min="9" max="9" width="14.140625" bestFit="1" customWidth="1"/>
    <col min="10" max="10" width="1.140625" customWidth="1"/>
  </cols>
  <sheetData>
    <row r="1" spans="1:9" x14ac:dyDescent="0.25">
      <c r="A1" t="s">
        <v>0</v>
      </c>
      <c r="B1" t="s">
        <v>63</v>
      </c>
      <c r="C1" t="s">
        <v>92</v>
      </c>
      <c r="D1" t="s">
        <v>427</v>
      </c>
      <c r="F1" t="s">
        <v>411</v>
      </c>
      <c r="G1" t="s">
        <v>1</v>
      </c>
      <c r="H1" t="s">
        <v>69</v>
      </c>
      <c r="I1" t="s">
        <v>4</v>
      </c>
    </row>
    <row r="2" spans="1:9" x14ac:dyDescent="0.25">
      <c r="A2" t="s">
        <v>284</v>
      </c>
      <c r="B2" t="s">
        <v>959</v>
      </c>
      <c r="C2" t="s">
        <v>650</v>
      </c>
      <c r="D2" t="s">
        <v>697</v>
      </c>
      <c r="F2" s="197" t="s">
        <v>304</v>
      </c>
      <c r="G2" s="197" t="s">
        <v>448</v>
      </c>
      <c r="H2" s="197"/>
      <c r="I2" s="197">
        <v>3217</v>
      </c>
    </row>
    <row r="3" spans="1:9" x14ac:dyDescent="0.25">
      <c r="A3" t="s">
        <v>30</v>
      </c>
      <c r="B3" t="s">
        <v>959</v>
      </c>
      <c r="C3" t="s">
        <v>650</v>
      </c>
      <c r="D3" t="s">
        <v>697</v>
      </c>
      <c r="F3" s="197" t="s">
        <v>798</v>
      </c>
      <c r="G3" s="197" t="s">
        <v>800</v>
      </c>
      <c r="H3" s="197"/>
      <c r="I3" s="197">
        <v>571</v>
      </c>
    </row>
    <row r="4" spans="1:9" x14ac:dyDescent="0.25">
      <c r="A4" t="s">
        <v>703</v>
      </c>
      <c r="B4" t="s">
        <v>959</v>
      </c>
      <c r="C4" t="s">
        <v>650</v>
      </c>
      <c r="D4" t="s">
        <v>697</v>
      </c>
      <c r="F4" s="197" t="s">
        <v>67</v>
      </c>
      <c r="G4" s="197" t="s">
        <v>1069</v>
      </c>
      <c r="H4" s="197"/>
      <c r="I4" s="197">
        <v>58</v>
      </c>
    </row>
    <row r="5" spans="1:9" x14ac:dyDescent="0.25">
      <c r="A5" t="s">
        <v>381</v>
      </c>
      <c r="B5" t="s">
        <v>959</v>
      </c>
      <c r="C5" t="s">
        <v>650</v>
      </c>
      <c r="D5" t="s">
        <v>697</v>
      </c>
      <c r="F5" s="197" t="s">
        <v>1031</v>
      </c>
      <c r="G5" s="197" t="s">
        <v>1052</v>
      </c>
      <c r="H5" s="197"/>
      <c r="I5" s="197">
        <v>1550</v>
      </c>
    </row>
    <row r="6" spans="1:9" x14ac:dyDescent="0.25">
      <c r="A6" t="s">
        <v>75</v>
      </c>
      <c r="B6" t="s">
        <v>959</v>
      </c>
      <c r="C6" t="s">
        <v>650</v>
      </c>
      <c r="D6" t="s">
        <v>697</v>
      </c>
      <c r="F6" s="197" t="s">
        <v>804</v>
      </c>
      <c r="G6" s="197" t="s">
        <v>1051</v>
      </c>
      <c r="H6" s="197"/>
      <c r="I6" s="197">
        <v>1228</v>
      </c>
    </row>
    <row r="7" spans="1:9" x14ac:dyDescent="0.25">
      <c r="A7" t="s">
        <v>76</v>
      </c>
      <c r="B7" t="s">
        <v>959</v>
      </c>
      <c r="C7" t="s">
        <v>650</v>
      </c>
      <c r="D7" t="s">
        <v>697</v>
      </c>
      <c r="F7" s="197" t="s">
        <v>1027</v>
      </c>
      <c r="G7" s="197" t="s">
        <v>1028</v>
      </c>
      <c r="H7" s="197"/>
      <c r="I7" s="197">
        <v>812</v>
      </c>
    </row>
    <row r="8" spans="1:9" x14ac:dyDescent="0.25">
      <c r="A8" t="s">
        <v>34</v>
      </c>
      <c r="B8" t="s">
        <v>959</v>
      </c>
      <c r="C8" t="s">
        <v>650</v>
      </c>
      <c r="D8" t="s">
        <v>697</v>
      </c>
    </row>
    <row r="9" spans="1:9" x14ac:dyDescent="0.25">
      <c r="A9" t="s">
        <v>35</v>
      </c>
      <c r="B9" t="s">
        <v>959</v>
      </c>
      <c r="C9" t="s">
        <v>650</v>
      </c>
      <c r="D9" t="s">
        <v>697</v>
      </c>
    </row>
    <row r="10" spans="1:9" x14ac:dyDescent="0.25">
      <c r="A10" t="s">
        <v>897</v>
      </c>
      <c r="B10" t="s">
        <v>959</v>
      </c>
      <c r="C10" t="s">
        <v>650</v>
      </c>
      <c r="D10" t="s">
        <v>697</v>
      </c>
    </row>
    <row r="11" spans="1:9" x14ac:dyDescent="0.25">
      <c r="A11" t="s">
        <v>615</v>
      </c>
      <c r="B11" t="s">
        <v>959</v>
      </c>
      <c r="C11" t="s">
        <v>650</v>
      </c>
      <c r="D11" t="s">
        <v>697</v>
      </c>
    </row>
    <row r="12" spans="1:9" x14ac:dyDescent="0.25">
      <c r="A12" t="s">
        <v>903</v>
      </c>
      <c r="B12" t="s">
        <v>959</v>
      </c>
      <c r="C12" t="s">
        <v>650</v>
      </c>
      <c r="D12" t="s">
        <v>697</v>
      </c>
    </row>
    <row r="13" spans="1:9" x14ac:dyDescent="0.25">
      <c r="A13" t="s">
        <v>134</v>
      </c>
      <c r="B13" t="s">
        <v>959</v>
      </c>
      <c r="C13" t="s">
        <v>650</v>
      </c>
      <c r="D13" t="s">
        <v>697</v>
      </c>
    </row>
    <row r="14" spans="1:9" x14ac:dyDescent="0.25">
      <c r="A14" t="s">
        <v>27</v>
      </c>
      <c r="B14" t="s">
        <v>959</v>
      </c>
      <c r="C14" t="s">
        <v>650</v>
      </c>
      <c r="D14" t="s">
        <v>697</v>
      </c>
    </row>
    <row r="15" spans="1:9" x14ac:dyDescent="0.25">
      <c r="A15" t="s">
        <v>363</v>
      </c>
      <c r="B15" t="s">
        <v>959</v>
      </c>
      <c r="C15" t="s">
        <v>650</v>
      </c>
      <c r="D15" t="s">
        <v>697</v>
      </c>
    </row>
    <row r="16" spans="1:9" x14ac:dyDescent="0.25">
      <c r="A16" t="s">
        <v>28</v>
      </c>
      <c r="B16" t="s">
        <v>959</v>
      </c>
      <c r="C16" t="s">
        <v>650</v>
      </c>
      <c r="D16" t="s">
        <v>697</v>
      </c>
    </row>
    <row r="17" spans="1:4" x14ac:dyDescent="0.25">
      <c r="A17" t="s">
        <v>616</v>
      </c>
      <c r="B17" t="s">
        <v>959</v>
      </c>
      <c r="C17" t="s">
        <v>650</v>
      </c>
      <c r="D17" t="s">
        <v>697</v>
      </c>
    </row>
    <row r="18" spans="1:4" x14ac:dyDescent="0.25">
      <c r="A18" t="s">
        <v>31</v>
      </c>
      <c r="B18" t="s">
        <v>959</v>
      </c>
      <c r="C18" t="s">
        <v>650</v>
      </c>
      <c r="D18" t="s">
        <v>697</v>
      </c>
    </row>
    <row r="19" spans="1:4" x14ac:dyDescent="0.25">
      <c r="A19" t="s">
        <v>704</v>
      </c>
      <c r="B19" t="s">
        <v>959</v>
      </c>
      <c r="C19" t="s">
        <v>650</v>
      </c>
      <c r="D19" t="s">
        <v>697</v>
      </c>
    </row>
    <row r="20" spans="1:4" x14ac:dyDescent="0.25">
      <c r="A20" t="s">
        <v>752</v>
      </c>
      <c r="B20" t="s">
        <v>959</v>
      </c>
      <c r="C20" t="s">
        <v>650</v>
      </c>
      <c r="D20" t="s">
        <v>697</v>
      </c>
    </row>
    <row r="21" spans="1:4" x14ac:dyDescent="0.25">
      <c r="A21" t="s">
        <v>366</v>
      </c>
      <c r="B21" t="s">
        <v>959</v>
      </c>
      <c r="C21" t="s">
        <v>650</v>
      </c>
      <c r="D21" t="s">
        <v>697</v>
      </c>
    </row>
    <row r="22" spans="1:4" x14ac:dyDescent="0.25">
      <c r="A22" t="s">
        <v>86</v>
      </c>
      <c r="B22" t="s">
        <v>959</v>
      </c>
      <c r="C22" t="s">
        <v>650</v>
      </c>
      <c r="D22" t="s">
        <v>697</v>
      </c>
    </row>
    <row r="23" spans="1:4" x14ac:dyDescent="0.25">
      <c r="A23" t="s">
        <v>344</v>
      </c>
      <c r="B23" t="s">
        <v>959</v>
      </c>
      <c r="C23" t="s">
        <v>650</v>
      </c>
      <c r="D23" t="s">
        <v>697</v>
      </c>
    </row>
    <row r="24" spans="1:4" x14ac:dyDescent="0.25">
      <c r="A24" t="s">
        <v>43</v>
      </c>
      <c r="B24" t="s">
        <v>959</v>
      </c>
      <c r="C24" t="s">
        <v>650</v>
      </c>
      <c r="D24" t="s">
        <v>697</v>
      </c>
    </row>
    <row r="25" spans="1:4" x14ac:dyDescent="0.25">
      <c r="A25" t="s">
        <v>714</v>
      </c>
      <c r="B25" t="s">
        <v>959</v>
      </c>
      <c r="C25" t="s">
        <v>650</v>
      </c>
      <c r="D25" t="s">
        <v>697</v>
      </c>
    </row>
    <row r="26" spans="1:4" x14ac:dyDescent="0.25">
      <c r="A26" t="s">
        <v>894</v>
      </c>
      <c r="B26" t="s">
        <v>959</v>
      </c>
      <c r="C26" t="s">
        <v>650</v>
      </c>
      <c r="D26" t="s">
        <v>697</v>
      </c>
    </row>
    <row r="27" spans="1:4" x14ac:dyDescent="0.25">
      <c r="A27" t="s">
        <v>194</v>
      </c>
      <c r="B27" t="s">
        <v>959</v>
      </c>
      <c r="C27" t="s">
        <v>650</v>
      </c>
      <c r="D27" t="s">
        <v>697</v>
      </c>
    </row>
    <row r="28" spans="1:4" x14ac:dyDescent="0.25">
      <c r="A28" t="s">
        <v>98</v>
      </c>
      <c r="B28" t="s">
        <v>959</v>
      </c>
      <c r="C28" t="s">
        <v>650</v>
      </c>
      <c r="D28" t="s">
        <v>697</v>
      </c>
    </row>
    <row r="29" spans="1:4" x14ac:dyDescent="0.25">
      <c r="A29" t="s">
        <v>707</v>
      </c>
      <c r="B29" t="s">
        <v>959</v>
      </c>
      <c r="C29" t="s">
        <v>650</v>
      </c>
      <c r="D29" t="s">
        <v>697</v>
      </c>
    </row>
    <row r="30" spans="1:4" x14ac:dyDescent="0.25">
      <c r="A30" t="s">
        <v>907</v>
      </c>
      <c r="B30" t="s">
        <v>959</v>
      </c>
      <c r="C30" t="s">
        <v>650</v>
      </c>
      <c r="D30" t="s">
        <v>697</v>
      </c>
    </row>
    <row r="31" spans="1:4" x14ac:dyDescent="0.25">
      <c r="A31" t="s">
        <v>96</v>
      </c>
      <c r="B31" t="s">
        <v>959</v>
      </c>
      <c r="C31" t="s">
        <v>650</v>
      </c>
      <c r="D31" t="s">
        <v>697</v>
      </c>
    </row>
    <row r="32" spans="1:4" x14ac:dyDescent="0.25">
      <c r="A32" t="s">
        <v>290</v>
      </c>
      <c r="B32" t="s">
        <v>959</v>
      </c>
      <c r="C32" t="s">
        <v>650</v>
      </c>
      <c r="D32" t="s">
        <v>697</v>
      </c>
    </row>
    <row r="33" spans="1:4" x14ac:dyDescent="0.25">
      <c r="A33" t="s">
        <v>39</v>
      </c>
      <c r="B33" t="s">
        <v>959</v>
      </c>
      <c r="C33" t="s">
        <v>650</v>
      </c>
      <c r="D33" t="s">
        <v>697</v>
      </c>
    </row>
    <row r="34" spans="1:4" x14ac:dyDescent="0.25">
      <c r="A34" t="s">
        <v>99</v>
      </c>
      <c r="B34" t="s">
        <v>959</v>
      </c>
      <c r="C34" t="s">
        <v>650</v>
      </c>
      <c r="D34" t="s">
        <v>697</v>
      </c>
    </row>
    <row r="35" spans="1:4" x14ac:dyDescent="0.25">
      <c r="A35" t="s">
        <v>765</v>
      </c>
      <c r="B35" t="s">
        <v>959</v>
      </c>
      <c r="C35" t="s">
        <v>650</v>
      </c>
      <c r="D35" t="s">
        <v>697</v>
      </c>
    </row>
    <row r="36" spans="1:4" x14ac:dyDescent="0.25">
      <c r="A36" t="s">
        <v>22</v>
      </c>
      <c r="B36" t="s">
        <v>959</v>
      </c>
      <c r="C36" t="s">
        <v>650</v>
      </c>
      <c r="D36" t="s">
        <v>697</v>
      </c>
    </row>
    <row r="37" spans="1:4" x14ac:dyDescent="0.25">
      <c r="A37" t="s">
        <v>266</v>
      </c>
      <c r="B37" t="s">
        <v>959</v>
      </c>
      <c r="C37" t="s">
        <v>650</v>
      </c>
      <c r="D37" t="s">
        <v>697</v>
      </c>
    </row>
    <row r="38" spans="1:4" x14ac:dyDescent="0.25">
      <c r="A38" t="s">
        <v>591</v>
      </c>
      <c r="B38" t="s">
        <v>959</v>
      </c>
      <c r="C38" t="s">
        <v>650</v>
      </c>
      <c r="D38" t="s">
        <v>697</v>
      </c>
    </row>
    <row r="39" spans="1:4" x14ac:dyDescent="0.25">
      <c r="A39" t="s">
        <v>368</v>
      </c>
      <c r="B39" t="s">
        <v>959</v>
      </c>
      <c r="C39" t="s">
        <v>650</v>
      </c>
      <c r="D39" t="s">
        <v>697</v>
      </c>
    </row>
    <row r="40" spans="1:4" x14ac:dyDescent="0.25">
      <c r="A40" t="s">
        <v>88</v>
      </c>
      <c r="B40" t="s">
        <v>959</v>
      </c>
      <c r="C40" t="s">
        <v>650</v>
      </c>
      <c r="D40" t="s">
        <v>697</v>
      </c>
    </row>
    <row r="41" spans="1:4" x14ac:dyDescent="0.25">
      <c r="A41" t="s">
        <v>218</v>
      </c>
      <c r="B41" t="s">
        <v>959</v>
      </c>
      <c r="C41" t="s">
        <v>650</v>
      </c>
      <c r="D41" t="s">
        <v>697</v>
      </c>
    </row>
    <row r="42" spans="1:4" x14ac:dyDescent="0.25">
      <c r="A42" t="s">
        <v>16</v>
      </c>
      <c r="B42" t="s">
        <v>959</v>
      </c>
      <c r="C42" t="s">
        <v>650</v>
      </c>
      <c r="D42" t="s">
        <v>697</v>
      </c>
    </row>
    <row r="43" spans="1:4" x14ac:dyDescent="0.25">
      <c r="A43" t="s">
        <v>210</v>
      </c>
      <c r="B43" t="s">
        <v>959</v>
      </c>
      <c r="C43" t="s">
        <v>650</v>
      </c>
      <c r="D43" t="s">
        <v>697</v>
      </c>
    </row>
    <row r="44" spans="1:4" x14ac:dyDescent="0.25">
      <c r="A44" t="s">
        <v>576</v>
      </c>
      <c r="B44" t="s">
        <v>959</v>
      </c>
      <c r="C44" t="s">
        <v>650</v>
      </c>
      <c r="D44" t="s">
        <v>697</v>
      </c>
    </row>
    <row r="45" spans="1:4" x14ac:dyDescent="0.25">
      <c r="A45" t="s">
        <v>15</v>
      </c>
      <c r="B45" t="s">
        <v>959</v>
      </c>
      <c r="C45" t="s">
        <v>650</v>
      </c>
      <c r="D45" t="s">
        <v>697</v>
      </c>
    </row>
    <row r="46" spans="1:4" x14ac:dyDescent="0.25">
      <c r="A46" t="s">
        <v>713</v>
      </c>
      <c r="B46" t="s">
        <v>959</v>
      </c>
      <c r="C46" t="s">
        <v>650</v>
      </c>
      <c r="D46" t="s">
        <v>697</v>
      </c>
    </row>
    <row r="47" spans="1:4" x14ac:dyDescent="0.25">
      <c r="A47" t="s">
        <v>866</v>
      </c>
      <c r="B47" t="s">
        <v>959</v>
      </c>
      <c r="C47" t="s">
        <v>650</v>
      </c>
      <c r="D47" t="s">
        <v>697</v>
      </c>
    </row>
    <row r="48" spans="1:4" x14ac:dyDescent="0.25">
      <c r="A48" t="s">
        <v>357</v>
      </c>
      <c r="B48" t="s">
        <v>959</v>
      </c>
      <c r="C48" t="s">
        <v>650</v>
      </c>
      <c r="D48" t="s">
        <v>697</v>
      </c>
    </row>
    <row r="49" spans="1:4" x14ac:dyDescent="0.25">
      <c r="A49" t="s">
        <v>265</v>
      </c>
      <c r="B49" t="s">
        <v>959</v>
      </c>
      <c r="C49" t="s">
        <v>650</v>
      </c>
      <c r="D49" t="s">
        <v>697</v>
      </c>
    </row>
    <row r="50" spans="1:4" x14ac:dyDescent="0.25">
      <c r="A50" t="s">
        <v>77</v>
      </c>
      <c r="B50" t="s">
        <v>959</v>
      </c>
      <c r="C50" t="s">
        <v>650</v>
      </c>
      <c r="D50" t="s">
        <v>697</v>
      </c>
    </row>
    <row r="51" spans="1:4" x14ac:dyDescent="0.25">
      <c r="A51" t="s">
        <v>251</v>
      </c>
      <c r="B51" t="s">
        <v>959</v>
      </c>
      <c r="C51" t="s">
        <v>650</v>
      </c>
      <c r="D51" t="s">
        <v>697</v>
      </c>
    </row>
    <row r="52" spans="1:4" x14ac:dyDescent="0.25">
      <c r="A52" t="s">
        <v>314</v>
      </c>
      <c r="B52" t="s">
        <v>959</v>
      </c>
      <c r="C52" t="s">
        <v>650</v>
      </c>
      <c r="D52" t="s">
        <v>697</v>
      </c>
    </row>
    <row r="53" spans="1:4" x14ac:dyDescent="0.25">
      <c r="A53" t="s">
        <v>655</v>
      </c>
      <c r="B53" t="s">
        <v>959</v>
      </c>
      <c r="C53" t="s">
        <v>650</v>
      </c>
      <c r="D53" t="s">
        <v>697</v>
      </c>
    </row>
    <row r="54" spans="1:4" x14ac:dyDescent="0.25">
      <c r="A54" t="s">
        <v>905</v>
      </c>
      <c r="B54" t="s">
        <v>959</v>
      </c>
      <c r="C54" t="s">
        <v>650</v>
      </c>
      <c r="D54" t="s">
        <v>697</v>
      </c>
    </row>
    <row r="55" spans="1:4" x14ac:dyDescent="0.25">
      <c r="A55" t="s">
        <v>335</v>
      </c>
      <c r="B55" t="s">
        <v>959</v>
      </c>
      <c r="C55" t="s">
        <v>650</v>
      </c>
      <c r="D55" t="s">
        <v>697</v>
      </c>
    </row>
    <row r="56" spans="1:4" x14ac:dyDescent="0.25">
      <c r="A56" t="s">
        <v>937</v>
      </c>
      <c r="B56" t="s">
        <v>959</v>
      </c>
      <c r="C56" t="s">
        <v>650</v>
      </c>
      <c r="D56" t="s">
        <v>697</v>
      </c>
    </row>
    <row r="57" spans="1:4" x14ac:dyDescent="0.25">
      <c r="A57" t="s">
        <v>817</v>
      </c>
      <c r="B57" t="s">
        <v>959</v>
      </c>
      <c r="C57" t="s">
        <v>650</v>
      </c>
      <c r="D57" t="s">
        <v>697</v>
      </c>
    </row>
    <row r="58" spans="1:4" x14ac:dyDescent="0.25">
      <c r="A58" t="s">
        <v>672</v>
      </c>
      <c r="B58" t="s">
        <v>959</v>
      </c>
      <c r="C58" t="s">
        <v>650</v>
      </c>
      <c r="D58" t="s">
        <v>697</v>
      </c>
    </row>
    <row r="59" spans="1:4" x14ac:dyDescent="0.25">
      <c r="A59" t="s">
        <v>670</v>
      </c>
      <c r="B59" t="s">
        <v>959</v>
      </c>
      <c r="C59" t="s">
        <v>650</v>
      </c>
      <c r="D59" t="s">
        <v>697</v>
      </c>
    </row>
    <row r="60" spans="1:4" x14ac:dyDescent="0.25">
      <c r="A60" t="s">
        <v>146</v>
      </c>
      <c r="B60" t="s">
        <v>959</v>
      </c>
      <c r="C60" t="s">
        <v>650</v>
      </c>
      <c r="D60" t="s">
        <v>697</v>
      </c>
    </row>
    <row r="61" spans="1:4" x14ac:dyDescent="0.25">
      <c r="A61" t="s">
        <v>715</v>
      </c>
      <c r="B61" t="s">
        <v>959</v>
      </c>
      <c r="C61" t="s">
        <v>650</v>
      </c>
      <c r="D61" t="s">
        <v>697</v>
      </c>
    </row>
    <row r="62" spans="1:4" x14ac:dyDescent="0.25">
      <c r="A62" t="s">
        <v>19</v>
      </c>
      <c r="B62" t="s">
        <v>959</v>
      </c>
      <c r="C62" t="s">
        <v>650</v>
      </c>
      <c r="D62" t="s">
        <v>697</v>
      </c>
    </row>
    <row r="63" spans="1:4" x14ac:dyDescent="0.25">
      <c r="A63" t="s">
        <v>442</v>
      </c>
      <c r="B63" t="s">
        <v>959</v>
      </c>
      <c r="C63" t="s">
        <v>650</v>
      </c>
      <c r="D63" t="s">
        <v>697</v>
      </c>
    </row>
    <row r="64" spans="1:4" x14ac:dyDescent="0.25">
      <c r="A64" t="s">
        <v>21</v>
      </c>
      <c r="B64" t="s">
        <v>959</v>
      </c>
      <c r="C64" t="s">
        <v>650</v>
      </c>
      <c r="D64" t="s">
        <v>697</v>
      </c>
    </row>
    <row r="65" spans="1:4" x14ac:dyDescent="0.25">
      <c r="A65" t="s">
        <v>902</v>
      </c>
      <c r="B65" t="s">
        <v>959</v>
      </c>
      <c r="C65" t="s">
        <v>650</v>
      </c>
      <c r="D65" t="s">
        <v>697</v>
      </c>
    </row>
    <row r="66" spans="1:4" x14ac:dyDescent="0.25">
      <c r="A66" t="s">
        <v>735</v>
      </c>
      <c r="B66" t="s">
        <v>959</v>
      </c>
      <c r="C66" t="s">
        <v>650</v>
      </c>
      <c r="D66" t="s">
        <v>697</v>
      </c>
    </row>
    <row r="67" spans="1:4" x14ac:dyDescent="0.25">
      <c r="A67" t="s">
        <v>129</v>
      </c>
      <c r="B67" t="s">
        <v>959</v>
      </c>
      <c r="C67" t="s">
        <v>650</v>
      </c>
      <c r="D67" t="s">
        <v>697</v>
      </c>
    </row>
    <row r="68" spans="1:4" x14ac:dyDescent="0.25">
      <c r="A68" t="s">
        <v>243</v>
      </c>
      <c r="B68" t="s">
        <v>959</v>
      </c>
      <c r="C68" t="s">
        <v>650</v>
      </c>
      <c r="D68" t="s">
        <v>697</v>
      </c>
    </row>
    <row r="69" spans="1:4" x14ac:dyDescent="0.25">
      <c r="A69" t="s">
        <v>131</v>
      </c>
      <c r="B69" t="s">
        <v>959</v>
      </c>
      <c r="C69" t="s">
        <v>650</v>
      </c>
      <c r="D69" t="s">
        <v>697</v>
      </c>
    </row>
    <row r="70" spans="1:4" x14ac:dyDescent="0.25">
      <c r="A70" t="s">
        <v>223</v>
      </c>
      <c r="B70" t="s">
        <v>959</v>
      </c>
      <c r="C70" t="s">
        <v>650</v>
      </c>
      <c r="D70" t="s">
        <v>697</v>
      </c>
    </row>
    <row r="71" spans="1:4" x14ac:dyDescent="0.25">
      <c r="A71" t="s">
        <v>738</v>
      </c>
      <c r="B71" t="s">
        <v>959</v>
      </c>
      <c r="C71" t="s">
        <v>650</v>
      </c>
      <c r="D71" t="s">
        <v>697</v>
      </c>
    </row>
    <row r="72" spans="1:4" x14ac:dyDescent="0.25">
      <c r="A72" t="s">
        <v>390</v>
      </c>
      <c r="B72" t="s">
        <v>959</v>
      </c>
      <c r="C72" t="s">
        <v>650</v>
      </c>
      <c r="D72" t="s">
        <v>697</v>
      </c>
    </row>
    <row r="73" spans="1:4" x14ac:dyDescent="0.25">
      <c r="A73" t="s">
        <v>18</v>
      </c>
      <c r="B73" t="s">
        <v>959</v>
      </c>
      <c r="C73" t="s">
        <v>650</v>
      </c>
      <c r="D73" t="s">
        <v>697</v>
      </c>
    </row>
    <row r="74" spans="1:4" x14ac:dyDescent="0.25">
      <c r="A74" t="s">
        <v>20</v>
      </c>
      <c r="B74" t="s">
        <v>959</v>
      </c>
      <c r="C74" t="s">
        <v>650</v>
      </c>
      <c r="D74" t="s">
        <v>697</v>
      </c>
    </row>
    <row r="75" spans="1:4" x14ac:dyDescent="0.25">
      <c r="A75" t="s">
        <v>25</v>
      </c>
      <c r="B75" t="s">
        <v>959</v>
      </c>
      <c r="C75" t="s">
        <v>650</v>
      </c>
      <c r="D75" t="s">
        <v>697</v>
      </c>
    </row>
    <row r="76" spans="1:4" x14ac:dyDescent="0.25">
      <c r="A76" t="s">
        <v>859</v>
      </c>
      <c r="B76" t="s">
        <v>959</v>
      </c>
      <c r="C76" t="s">
        <v>650</v>
      </c>
      <c r="D76" t="s">
        <v>701</v>
      </c>
    </row>
    <row r="77" spans="1:4" x14ac:dyDescent="0.25">
      <c r="A77" t="s">
        <v>757</v>
      </c>
      <c r="B77" t="s">
        <v>959</v>
      </c>
      <c r="C77" t="s">
        <v>650</v>
      </c>
      <c r="D77" t="s">
        <v>700</v>
      </c>
    </row>
    <row r="78" spans="1:4" x14ac:dyDescent="0.25">
      <c r="A78" t="s">
        <v>626</v>
      </c>
      <c r="B78" t="s">
        <v>959</v>
      </c>
      <c r="C78" t="s">
        <v>650</v>
      </c>
      <c r="D78" t="s">
        <v>699</v>
      </c>
    </row>
    <row r="79" spans="1:4" x14ac:dyDescent="0.25">
      <c r="A79" t="s">
        <v>79</v>
      </c>
      <c r="B79" t="s">
        <v>959</v>
      </c>
      <c r="C79" t="s">
        <v>650</v>
      </c>
      <c r="D79" t="s">
        <v>698</v>
      </c>
    </row>
    <row r="80" spans="1:4" x14ac:dyDescent="0.25">
      <c r="A80" t="s">
        <v>286</v>
      </c>
      <c r="B80" t="s">
        <v>959</v>
      </c>
      <c r="C80" t="s">
        <v>650</v>
      </c>
      <c r="D80" t="s">
        <v>700</v>
      </c>
    </row>
    <row r="81" spans="1:4" x14ac:dyDescent="0.25">
      <c r="A81" t="s">
        <v>756</v>
      </c>
      <c r="B81" t="s">
        <v>959</v>
      </c>
      <c r="C81" t="s">
        <v>650</v>
      </c>
      <c r="D81" t="s">
        <v>699</v>
      </c>
    </row>
    <row r="82" spans="1:4" x14ac:dyDescent="0.25">
      <c r="A82" t="s">
        <v>705</v>
      </c>
      <c r="B82" t="s">
        <v>959</v>
      </c>
      <c r="C82" t="s">
        <v>650</v>
      </c>
      <c r="D82" t="s">
        <v>699</v>
      </c>
    </row>
    <row r="83" spans="1:4" x14ac:dyDescent="0.25">
      <c r="A83" t="s">
        <v>36</v>
      </c>
      <c r="B83" t="s">
        <v>959</v>
      </c>
      <c r="C83" t="s">
        <v>650</v>
      </c>
      <c r="D83" t="s">
        <v>700</v>
      </c>
    </row>
    <row r="84" spans="1:4" x14ac:dyDescent="0.25">
      <c r="A84" t="s">
        <v>315</v>
      </c>
      <c r="B84" t="s">
        <v>959</v>
      </c>
      <c r="C84" t="s">
        <v>650</v>
      </c>
      <c r="D84" t="s">
        <v>699</v>
      </c>
    </row>
    <row r="85" spans="1:4" x14ac:dyDescent="0.25">
      <c r="A85" t="s">
        <v>906</v>
      </c>
      <c r="B85" t="s">
        <v>959</v>
      </c>
      <c r="C85" t="s">
        <v>650</v>
      </c>
      <c r="D85" t="s">
        <v>700</v>
      </c>
    </row>
    <row r="86" spans="1:4" x14ac:dyDescent="0.25">
      <c r="A86" t="s">
        <v>815</v>
      </c>
      <c r="B86" t="s">
        <v>959</v>
      </c>
      <c r="C86" t="s">
        <v>650</v>
      </c>
      <c r="D86" t="s">
        <v>699</v>
      </c>
    </row>
    <row r="87" spans="1:4" x14ac:dyDescent="0.25">
      <c r="A87" t="s">
        <v>269</v>
      </c>
      <c r="B87" t="s">
        <v>959</v>
      </c>
      <c r="C87" t="s">
        <v>650</v>
      </c>
      <c r="D87" t="s">
        <v>700</v>
      </c>
    </row>
    <row r="88" spans="1:4" x14ac:dyDescent="0.25">
      <c r="A88" t="s">
        <v>393</v>
      </c>
      <c r="B88" t="s">
        <v>959</v>
      </c>
      <c r="C88" t="s">
        <v>650</v>
      </c>
      <c r="D88" t="s">
        <v>700</v>
      </c>
    </row>
    <row r="89" spans="1:4" x14ac:dyDescent="0.25">
      <c r="A89" t="s">
        <v>803</v>
      </c>
      <c r="B89" t="s">
        <v>959</v>
      </c>
      <c r="C89" t="s">
        <v>650</v>
      </c>
      <c r="D89" t="s">
        <v>701</v>
      </c>
    </row>
    <row r="90" spans="1:4" x14ac:dyDescent="0.25">
      <c r="A90" t="s">
        <v>895</v>
      </c>
      <c r="B90" t="s">
        <v>959</v>
      </c>
      <c r="C90" t="s">
        <v>650</v>
      </c>
      <c r="D90" t="s">
        <v>699</v>
      </c>
    </row>
    <row r="91" spans="1:4" x14ac:dyDescent="0.25">
      <c r="A91" t="s">
        <v>750</v>
      </c>
      <c r="B91" t="s">
        <v>959</v>
      </c>
      <c r="C91" t="s">
        <v>650</v>
      </c>
      <c r="D91" t="s">
        <v>699</v>
      </c>
    </row>
    <row r="92" spans="1:4" x14ac:dyDescent="0.25">
      <c r="A92" t="s">
        <v>808</v>
      </c>
      <c r="B92" t="s">
        <v>959</v>
      </c>
      <c r="C92" t="s">
        <v>650</v>
      </c>
      <c r="D92" t="s">
        <v>698</v>
      </c>
    </row>
    <row r="93" spans="1:4" x14ac:dyDescent="0.25">
      <c r="A93" t="s">
        <v>155</v>
      </c>
      <c r="B93" t="s">
        <v>959</v>
      </c>
      <c r="C93" t="s">
        <v>650</v>
      </c>
      <c r="D93" t="s">
        <v>700</v>
      </c>
    </row>
    <row r="94" spans="1:4" x14ac:dyDescent="0.25">
      <c r="A94" t="s">
        <v>785</v>
      </c>
      <c r="B94" t="s">
        <v>959</v>
      </c>
      <c r="C94" t="s">
        <v>650</v>
      </c>
      <c r="D94" t="s">
        <v>700</v>
      </c>
    </row>
    <row r="95" spans="1:4" x14ac:dyDescent="0.25">
      <c r="A95" t="s">
        <v>904</v>
      </c>
      <c r="B95" t="s">
        <v>959</v>
      </c>
      <c r="C95" t="s">
        <v>650</v>
      </c>
      <c r="D95" t="s">
        <v>699</v>
      </c>
    </row>
    <row r="96" spans="1:4" x14ac:dyDescent="0.25">
      <c r="A96" t="s">
        <v>394</v>
      </c>
      <c r="B96" t="s">
        <v>959</v>
      </c>
      <c r="C96" t="s">
        <v>650</v>
      </c>
      <c r="D96" t="s">
        <v>700</v>
      </c>
    </row>
    <row r="97" spans="1:4" x14ac:dyDescent="0.25">
      <c r="A97" t="s">
        <v>136</v>
      </c>
      <c r="B97" t="s">
        <v>959</v>
      </c>
      <c r="C97" t="s">
        <v>650</v>
      </c>
      <c r="D97" t="s">
        <v>700</v>
      </c>
    </row>
    <row r="98" spans="1:4" x14ac:dyDescent="0.25">
      <c r="A98" t="s">
        <v>618</v>
      </c>
      <c r="B98" t="s">
        <v>959</v>
      </c>
      <c r="C98" t="s">
        <v>650</v>
      </c>
      <c r="D98" t="s">
        <v>700</v>
      </c>
    </row>
    <row r="99" spans="1:4" x14ac:dyDescent="0.25">
      <c r="A99" t="s">
        <v>138</v>
      </c>
      <c r="B99" t="s">
        <v>959</v>
      </c>
      <c r="C99" t="s">
        <v>650</v>
      </c>
      <c r="D99" t="s">
        <v>699</v>
      </c>
    </row>
    <row r="100" spans="1:4" x14ac:dyDescent="0.25">
      <c r="A100" t="s">
        <v>183</v>
      </c>
      <c r="B100" t="s">
        <v>959</v>
      </c>
      <c r="C100" t="s">
        <v>650</v>
      </c>
      <c r="D100" t="s">
        <v>700</v>
      </c>
    </row>
    <row r="101" spans="1:4" x14ac:dyDescent="0.25">
      <c r="A101" t="s">
        <v>796</v>
      </c>
      <c r="B101" t="s">
        <v>959</v>
      </c>
      <c r="C101" t="s">
        <v>650</v>
      </c>
      <c r="D101" t="s">
        <v>699</v>
      </c>
    </row>
    <row r="102" spans="1:4" x14ac:dyDescent="0.25">
      <c r="A102" t="s">
        <v>291</v>
      </c>
      <c r="B102" t="s">
        <v>959</v>
      </c>
      <c r="C102" t="s">
        <v>650</v>
      </c>
      <c r="D102" t="s">
        <v>699</v>
      </c>
    </row>
    <row r="103" spans="1:4" x14ac:dyDescent="0.25">
      <c r="A103" t="s">
        <v>208</v>
      </c>
      <c r="B103" t="s">
        <v>959</v>
      </c>
      <c r="C103" t="s">
        <v>650</v>
      </c>
      <c r="D103" t="s">
        <v>700</v>
      </c>
    </row>
    <row r="104" spans="1:4" x14ac:dyDescent="0.25">
      <c r="A104" t="s">
        <v>876</v>
      </c>
      <c r="B104" t="s">
        <v>959</v>
      </c>
      <c r="C104" t="s">
        <v>650</v>
      </c>
      <c r="D104" t="s">
        <v>699</v>
      </c>
    </row>
    <row r="105" spans="1:4" x14ac:dyDescent="0.25">
      <c r="A105" t="s">
        <v>642</v>
      </c>
      <c r="B105" t="s">
        <v>959</v>
      </c>
      <c r="C105" t="s">
        <v>650</v>
      </c>
      <c r="D105" t="s">
        <v>701</v>
      </c>
    </row>
    <row r="106" spans="1:4" x14ac:dyDescent="0.25">
      <c r="A106" t="s">
        <v>706</v>
      </c>
      <c r="B106" t="s">
        <v>959</v>
      </c>
      <c r="C106" t="s">
        <v>650</v>
      </c>
      <c r="D106" t="s">
        <v>700</v>
      </c>
    </row>
    <row r="107" spans="1:4" x14ac:dyDescent="0.25">
      <c r="A107" t="s">
        <v>638</v>
      </c>
      <c r="B107" t="s">
        <v>959</v>
      </c>
      <c r="C107" t="s">
        <v>650</v>
      </c>
      <c r="D107" t="s">
        <v>699</v>
      </c>
    </row>
    <row r="108" spans="1:4" x14ac:dyDescent="0.25">
      <c r="A108" t="s">
        <v>37</v>
      </c>
      <c r="B108" t="s">
        <v>959</v>
      </c>
      <c r="C108" t="s">
        <v>650</v>
      </c>
      <c r="D108" t="s">
        <v>700</v>
      </c>
    </row>
    <row r="109" spans="1:4" x14ac:dyDescent="0.25">
      <c r="A109" t="s">
        <v>640</v>
      </c>
      <c r="B109" t="s">
        <v>959</v>
      </c>
      <c r="C109" t="s">
        <v>650</v>
      </c>
      <c r="D109" t="s">
        <v>701</v>
      </c>
    </row>
    <row r="110" spans="1:4" x14ac:dyDescent="0.25">
      <c r="A110" t="s">
        <v>873</v>
      </c>
      <c r="B110" t="s">
        <v>959</v>
      </c>
      <c r="C110" t="s">
        <v>650</v>
      </c>
      <c r="D110" t="s">
        <v>700</v>
      </c>
    </row>
    <row r="111" spans="1:4" x14ac:dyDescent="0.25">
      <c r="A111" t="s">
        <v>914</v>
      </c>
      <c r="B111" t="s">
        <v>959</v>
      </c>
      <c r="C111" t="s">
        <v>650</v>
      </c>
      <c r="D111" t="s">
        <v>699</v>
      </c>
    </row>
    <row r="112" spans="1:4" x14ac:dyDescent="0.25">
      <c r="A112" t="s">
        <v>477</v>
      </c>
      <c r="B112" t="s">
        <v>959</v>
      </c>
      <c r="C112" t="s">
        <v>650</v>
      </c>
      <c r="D112" t="s">
        <v>699</v>
      </c>
    </row>
    <row r="113" spans="1:4" x14ac:dyDescent="0.25">
      <c r="A113" t="s">
        <v>878</v>
      </c>
      <c r="B113" t="s">
        <v>959</v>
      </c>
      <c r="C113" t="s">
        <v>650</v>
      </c>
      <c r="D113" t="s">
        <v>699</v>
      </c>
    </row>
    <row r="114" spans="1:4" x14ac:dyDescent="0.25">
      <c r="A114" t="s">
        <v>768</v>
      </c>
      <c r="B114" t="s">
        <v>959</v>
      </c>
      <c r="C114" t="s">
        <v>650</v>
      </c>
      <c r="D114" t="s">
        <v>699</v>
      </c>
    </row>
    <row r="115" spans="1:4" x14ac:dyDescent="0.25">
      <c r="A115" t="s">
        <v>682</v>
      </c>
      <c r="B115" t="s">
        <v>959</v>
      </c>
      <c r="C115" t="s">
        <v>650</v>
      </c>
      <c r="D115" t="s">
        <v>699</v>
      </c>
    </row>
    <row r="116" spans="1:4" x14ac:dyDescent="0.25">
      <c r="A116" t="s">
        <v>361</v>
      </c>
      <c r="B116" t="s">
        <v>959</v>
      </c>
      <c r="C116" t="s">
        <v>650</v>
      </c>
      <c r="D116" t="s">
        <v>700</v>
      </c>
    </row>
    <row r="117" spans="1:4" x14ac:dyDescent="0.25">
      <c r="A117" t="s">
        <v>632</v>
      </c>
      <c r="B117" t="s">
        <v>959</v>
      </c>
      <c r="C117" t="s">
        <v>650</v>
      </c>
      <c r="D117" t="s">
        <v>701</v>
      </c>
    </row>
    <row r="118" spans="1:4" x14ac:dyDescent="0.25">
      <c r="A118" t="s">
        <v>763</v>
      </c>
      <c r="B118" t="s">
        <v>959</v>
      </c>
      <c r="C118" t="s">
        <v>650</v>
      </c>
      <c r="D118" t="s">
        <v>699</v>
      </c>
    </row>
    <row r="119" spans="1:4" x14ac:dyDescent="0.25">
      <c r="A119" t="s">
        <v>797</v>
      </c>
      <c r="B119" t="s">
        <v>959</v>
      </c>
      <c r="C119" t="s">
        <v>650</v>
      </c>
      <c r="D119" t="s">
        <v>701</v>
      </c>
    </row>
    <row r="120" spans="1:4" x14ac:dyDescent="0.25">
      <c r="A120" t="s">
        <v>761</v>
      </c>
      <c r="B120" t="s">
        <v>959</v>
      </c>
      <c r="C120" t="s">
        <v>650</v>
      </c>
      <c r="D120" t="s">
        <v>701</v>
      </c>
    </row>
    <row r="121" spans="1:4" x14ac:dyDescent="0.25">
      <c r="A121" t="s">
        <v>805</v>
      </c>
      <c r="B121" t="s">
        <v>959</v>
      </c>
      <c r="C121" t="s">
        <v>650</v>
      </c>
      <c r="D121" t="s">
        <v>701</v>
      </c>
    </row>
    <row r="122" spans="1:4" x14ac:dyDescent="0.25">
      <c r="A122" t="s">
        <v>38</v>
      </c>
      <c r="B122" t="s">
        <v>959</v>
      </c>
      <c r="C122" t="s">
        <v>650</v>
      </c>
      <c r="D122" t="s">
        <v>698</v>
      </c>
    </row>
    <row r="123" spans="1:4" x14ac:dyDescent="0.25">
      <c r="A123" t="s">
        <v>716</v>
      </c>
      <c r="B123" t="s">
        <v>959</v>
      </c>
      <c r="C123" t="s">
        <v>650</v>
      </c>
      <c r="D123" t="s">
        <v>700</v>
      </c>
    </row>
    <row r="124" spans="1:4" x14ac:dyDescent="0.25">
      <c r="A124" t="s">
        <v>874</v>
      </c>
      <c r="B124" t="s">
        <v>959</v>
      </c>
      <c r="C124" t="s">
        <v>650</v>
      </c>
      <c r="D124" t="s">
        <v>700</v>
      </c>
    </row>
    <row r="125" spans="1:4" x14ac:dyDescent="0.25">
      <c r="A125" t="s">
        <v>680</v>
      </c>
      <c r="B125" t="s">
        <v>959</v>
      </c>
      <c r="C125" t="s">
        <v>650</v>
      </c>
      <c r="D125" t="s">
        <v>699</v>
      </c>
    </row>
    <row r="126" spans="1:4" x14ac:dyDescent="0.25">
      <c r="A126" t="s">
        <v>807</v>
      </c>
      <c r="B126" t="s">
        <v>959</v>
      </c>
      <c r="C126" t="s">
        <v>650</v>
      </c>
      <c r="D126" t="s">
        <v>699</v>
      </c>
    </row>
    <row r="127" spans="1:4" x14ac:dyDescent="0.25">
      <c r="A127" t="s">
        <v>250</v>
      </c>
      <c r="B127" t="s">
        <v>959</v>
      </c>
      <c r="C127" t="s">
        <v>650</v>
      </c>
      <c r="D127" t="s">
        <v>699</v>
      </c>
    </row>
    <row r="128" spans="1:4" x14ac:dyDescent="0.25">
      <c r="A128" t="s">
        <v>872</v>
      </c>
      <c r="B128" t="s">
        <v>959</v>
      </c>
      <c r="C128" t="s">
        <v>650</v>
      </c>
      <c r="D128" t="s">
        <v>699</v>
      </c>
    </row>
    <row r="129" spans="1:4" x14ac:dyDescent="0.25">
      <c r="A129" t="s">
        <v>220</v>
      </c>
      <c r="B129" t="s">
        <v>959</v>
      </c>
      <c r="C129" t="s">
        <v>650</v>
      </c>
      <c r="D129" t="s">
        <v>699</v>
      </c>
    </row>
    <row r="130" spans="1:4" x14ac:dyDescent="0.25">
      <c r="A130" t="s">
        <v>240</v>
      </c>
      <c r="B130" t="s">
        <v>959</v>
      </c>
      <c r="C130" t="s">
        <v>650</v>
      </c>
      <c r="D130" t="s">
        <v>698</v>
      </c>
    </row>
    <row r="131" spans="1:4" x14ac:dyDescent="0.25">
      <c r="A131" t="s">
        <v>205</v>
      </c>
      <c r="B131" t="s">
        <v>959</v>
      </c>
      <c r="C131" t="s">
        <v>650</v>
      </c>
      <c r="D131" t="s">
        <v>699</v>
      </c>
    </row>
    <row r="132" spans="1:4" x14ac:dyDescent="0.25">
      <c r="A132" t="s">
        <v>636</v>
      </c>
      <c r="B132" t="s">
        <v>959</v>
      </c>
      <c r="C132" t="s">
        <v>650</v>
      </c>
      <c r="D132" t="s">
        <v>699</v>
      </c>
    </row>
    <row r="133" spans="1:4" x14ac:dyDescent="0.25">
      <c r="A133" t="s">
        <v>452</v>
      </c>
      <c r="B133" t="s">
        <v>959</v>
      </c>
      <c r="C133" t="s">
        <v>650</v>
      </c>
      <c r="D133" t="s">
        <v>700</v>
      </c>
    </row>
    <row r="134" spans="1:4" x14ac:dyDescent="0.25">
      <c r="A134" t="s">
        <v>589</v>
      </c>
      <c r="B134" t="s">
        <v>959</v>
      </c>
      <c r="C134" t="s">
        <v>650</v>
      </c>
      <c r="D134" t="s">
        <v>701</v>
      </c>
    </row>
    <row r="135" spans="1:4" x14ac:dyDescent="0.25">
      <c r="A135" t="s">
        <v>595</v>
      </c>
      <c r="B135" t="s">
        <v>959</v>
      </c>
      <c r="C135" t="s">
        <v>650</v>
      </c>
      <c r="D135" t="s">
        <v>698</v>
      </c>
    </row>
    <row r="136" spans="1:4" x14ac:dyDescent="0.25">
      <c r="A136" t="s">
        <v>202</v>
      </c>
      <c r="B136" t="s">
        <v>959</v>
      </c>
      <c r="C136" t="s">
        <v>650</v>
      </c>
      <c r="D136" t="s">
        <v>700</v>
      </c>
    </row>
    <row r="137" spans="1:4" x14ac:dyDescent="0.25">
      <c r="A137" t="s">
        <v>711</v>
      </c>
      <c r="B137" t="s">
        <v>959</v>
      </c>
      <c r="C137" t="s">
        <v>650</v>
      </c>
      <c r="D137" t="s">
        <v>700</v>
      </c>
    </row>
    <row r="138" spans="1:4" x14ac:dyDescent="0.25">
      <c r="A138" t="s">
        <v>649</v>
      </c>
      <c r="B138" t="s">
        <v>959</v>
      </c>
      <c r="C138" t="s">
        <v>650</v>
      </c>
      <c r="D138" t="s">
        <v>699</v>
      </c>
    </row>
    <row r="139" spans="1:4" x14ac:dyDescent="0.25">
      <c r="A139" t="s">
        <v>657</v>
      </c>
      <c r="B139" t="s">
        <v>959</v>
      </c>
      <c r="C139" t="s">
        <v>650</v>
      </c>
      <c r="D139" t="s">
        <v>700</v>
      </c>
    </row>
    <row r="140" spans="1:4" x14ac:dyDescent="0.25">
      <c r="A140" t="s">
        <v>33</v>
      </c>
      <c r="B140" t="s">
        <v>959</v>
      </c>
      <c r="C140" t="s">
        <v>650</v>
      </c>
      <c r="D140" t="s">
        <v>699</v>
      </c>
    </row>
    <row r="141" spans="1:4" x14ac:dyDescent="0.25">
      <c r="A141" t="s">
        <v>729</v>
      </c>
      <c r="B141" t="s">
        <v>959</v>
      </c>
      <c r="C141" t="s">
        <v>650</v>
      </c>
      <c r="D141" t="s">
        <v>700</v>
      </c>
    </row>
    <row r="142" spans="1:4" x14ac:dyDescent="0.25">
      <c r="A142" t="s">
        <v>732</v>
      </c>
      <c r="B142" t="s">
        <v>959</v>
      </c>
      <c r="C142" t="s">
        <v>650</v>
      </c>
      <c r="D142" t="s">
        <v>701</v>
      </c>
    </row>
    <row r="143" spans="1:4" x14ac:dyDescent="0.25">
      <c r="A143" t="s">
        <v>654</v>
      </c>
      <c r="B143" t="s">
        <v>959</v>
      </c>
      <c r="C143" t="s">
        <v>650</v>
      </c>
      <c r="D143" t="s">
        <v>698</v>
      </c>
    </row>
    <row r="144" spans="1:4" x14ac:dyDescent="0.25">
      <c r="A144" t="s">
        <v>441</v>
      </c>
      <c r="B144" t="s">
        <v>959</v>
      </c>
      <c r="C144" t="s">
        <v>650</v>
      </c>
      <c r="D144" t="s">
        <v>698</v>
      </c>
    </row>
    <row r="145" spans="1:4" x14ac:dyDescent="0.25">
      <c r="A145" t="s">
        <v>727</v>
      </c>
      <c r="B145" t="s">
        <v>959</v>
      </c>
      <c r="C145" t="s">
        <v>650</v>
      </c>
      <c r="D145" t="s">
        <v>701</v>
      </c>
    </row>
    <row r="146" spans="1:4" x14ac:dyDescent="0.25">
      <c r="A146" t="s">
        <v>719</v>
      </c>
      <c r="B146" t="s">
        <v>959</v>
      </c>
      <c r="C146" t="s">
        <v>650</v>
      </c>
      <c r="D146" t="s">
        <v>699</v>
      </c>
    </row>
    <row r="147" spans="1:4" x14ac:dyDescent="0.25">
      <c r="A147" t="s">
        <v>869</v>
      </c>
      <c r="B147" t="s">
        <v>959</v>
      </c>
      <c r="C147" t="s">
        <v>650</v>
      </c>
      <c r="D147" t="s">
        <v>699</v>
      </c>
    </row>
    <row r="148" spans="1:4" x14ac:dyDescent="0.25">
      <c r="A148" t="s">
        <v>263</v>
      </c>
      <c r="B148" t="s">
        <v>959</v>
      </c>
      <c r="C148" t="s">
        <v>650</v>
      </c>
      <c r="D148" t="s">
        <v>698</v>
      </c>
    </row>
    <row r="149" spans="1:4" x14ac:dyDescent="0.25">
      <c r="A149" t="s">
        <v>786</v>
      </c>
      <c r="B149" t="s">
        <v>959</v>
      </c>
      <c r="C149" t="s">
        <v>650</v>
      </c>
      <c r="D149" t="s">
        <v>699</v>
      </c>
    </row>
    <row r="150" spans="1:4" x14ac:dyDescent="0.25">
      <c r="A150" t="s">
        <v>870</v>
      </c>
      <c r="B150" t="s">
        <v>959</v>
      </c>
      <c r="C150" t="s">
        <v>650</v>
      </c>
      <c r="D150" t="s">
        <v>699</v>
      </c>
    </row>
    <row r="151" spans="1:4" x14ac:dyDescent="0.25">
      <c r="A151" t="s">
        <v>579</v>
      </c>
      <c r="B151" t="s">
        <v>959</v>
      </c>
      <c r="C151" t="s">
        <v>650</v>
      </c>
      <c r="D151" t="s">
        <v>700</v>
      </c>
    </row>
    <row r="152" spans="1:4" x14ac:dyDescent="0.25">
      <c r="A152" t="s">
        <v>13</v>
      </c>
      <c r="B152" t="s">
        <v>959</v>
      </c>
      <c r="C152" t="s">
        <v>650</v>
      </c>
      <c r="D152" t="s">
        <v>700</v>
      </c>
    </row>
    <row r="153" spans="1:4" x14ac:dyDescent="0.25">
      <c r="A153" t="s">
        <v>717</v>
      </c>
      <c r="B153" t="s">
        <v>959</v>
      </c>
      <c r="C153" t="s">
        <v>650</v>
      </c>
      <c r="D153" t="s">
        <v>700</v>
      </c>
    </row>
    <row r="154" spans="1:4" x14ac:dyDescent="0.25">
      <c r="A154" t="s">
        <v>122</v>
      </c>
      <c r="B154" t="s">
        <v>959</v>
      </c>
      <c r="C154" t="s">
        <v>650</v>
      </c>
      <c r="D154" t="s">
        <v>698</v>
      </c>
    </row>
    <row r="155" spans="1:4" x14ac:dyDescent="0.25">
      <c r="A155" t="s">
        <v>171</v>
      </c>
      <c r="B155" t="s">
        <v>959</v>
      </c>
      <c r="C155" t="s">
        <v>650</v>
      </c>
      <c r="D155" t="s">
        <v>700</v>
      </c>
    </row>
    <row r="156" spans="1:4" x14ac:dyDescent="0.25">
      <c r="A156" t="s">
        <v>723</v>
      </c>
      <c r="B156" t="s">
        <v>959</v>
      </c>
      <c r="C156" t="s">
        <v>650</v>
      </c>
      <c r="D156" t="s">
        <v>699</v>
      </c>
    </row>
    <row r="157" spans="1:4" x14ac:dyDescent="0.25">
      <c r="A157" t="s">
        <v>87</v>
      </c>
      <c r="B157" t="s">
        <v>959</v>
      </c>
      <c r="C157" t="s">
        <v>650</v>
      </c>
      <c r="D157" t="s">
        <v>699</v>
      </c>
    </row>
    <row r="158" spans="1:4" x14ac:dyDescent="0.25">
      <c r="A158" t="s">
        <v>285</v>
      </c>
      <c r="B158" t="s">
        <v>959</v>
      </c>
      <c r="C158" t="s">
        <v>650</v>
      </c>
      <c r="D158" t="s">
        <v>699</v>
      </c>
    </row>
    <row r="159" spans="1:4" x14ac:dyDescent="0.25">
      <c r="A159" t="s">
        <v>151</v>
      </c>
      <c r="B159" t="s">
        <v>959</v>
      </c>
      <c r="C159" t="s">
        <v>650</v>
      </c>
      <c r="D159" t="s">
        <v>699</v>
      </c>
    </row>
    <row r="160" spans="1:4" x14ac:dyDescent="0.25">
      <c r="A160" t="s">
        <v>721</v>
      </c>
      <c r="B160" t="s">
        <v>959</v>
      </c>
      <c r="C160" t="s">
        <v>650</v>
      </c>
      <c r="D160" t="s">
        <v>699</v>
      </c>
    </row>
    <row r="161" spans="1:4" x14ac:dyDescent="0.25">
      <c r="A161" t="s">
        <v>14</v>
      </c>
      <c r="B161" t="s">
        <v>959</v>
      </c>
      <c r="C161" t="s">
        <v>650</v>
      </c>
      <c r="D161" t="s">
        <v>700</v>
      </c>
    </row>
    <row r="162" spans="1:4" x14ac:dyDescent="0.25">
      <c r="A162" t="s">
        <v>282</v>
      </c>
      <c r="B162" t="s">
        <v>959</v>
      </c>
      <c r="C162" t="s">
        <v>650</v>
      </c>
      <c r="D162" t="s">
        <v>700</v>
      </c>
    </row>
    <row r="163" spans="1:4" x14ac:dyDescent="0.25">
      <c r="A163" t="s">
        <v>74</v>
      </c>
      <c r="B163" t="s">
        <v>959</v>
      </c>
      <c r="C163" t="s">
        <v>650</v>
      </c>
      <c r="D163" t="s">
        <v>700</v>
      </c>
    </row>
    <row r="164" spans="1:4" x14ac:dyDescent="0.25">
      <c r="A164" t="s">
        <v>406</v>
      </c>
      <c r="B164" t="s">
        <v>959</v>
      </c>
      <c r="C164" t="s">
        <v>650</v>
      </c>
      <c r="D164" t="s">
        <v>699</v>
      </c>
    </row>
    <row r="165" spans="1:4" x14ac:dyDescent="0.25">
      <c r="A165" t="s">
        <v>23</v>
      </c>
      <c r="B165" t="s">
        <v>959</v>
      </c>
      <c r="C165" t="s">
        <v>650</v>
      </c>
      <c r="D165" t="s">
        <v>699</v>
      </c>
    </row>
    <row r="166" spans="1:4" x14ac:dyDescent="0.25">
      <c r="A166" t="s">
        <v>577</v>
      </c>
      <c r="B166" t="s">
        <v>959</v>
      </c>
      <c r="C166" t="s">
        <v>650</v>
      </c>
      <c r="D166" t="s">
        <v>700</v>
      </c>
    </row>
    <row r="167" spans="1:4" x14ac:dyDescent="0.25">
      <c r="A167" t="s">
        <v>26</v>
      </c>
      <c r="B167" t="s">
        <v>959</v>
      </c>
      <c r="C167" t="s">
        <v>650</v>
      </c>
      <c r="D167" t="s">
        <v>700</v>
      </c>
    </row>
    <row r="168" spans="1:4" x14ac:dyDescent="0.25">
      <c r="A168" t="s">
        <v>609</v>
      </c>
      <c r="B168" t="s">
        <v>959</v>
      </c>
      <c r="C168" t="s">
        <v>650</v>
      </c>
      <c r="D168" t="s">
        <v>700</v>
      </c>
    </row>
    <row r="169" spans="1:4" x14ac:dyDescent="0.25">
      <c r="A169" t="s">
        <v>666</v>
      </c>
      <c r="B169" t="s">
        <v>959</v>
      </c>
      <c r="C169" t="s">
        <v>650</v>
      </c>
      <c r="D169" t="s">
        <v>699</v>
      </c>
    </row>
    <row r="170" spans="1:4" x14ac:dyDescent="0.25">
      <c r="A170" t="s">
        <v>740</v>
      </c>
      <c r="B170" t="s">
        <v>959</v>
      </c>
      <c r="C170" t="s">
        <v>650</v>
      </c>
      <c r="D170" t="s">
        <v>700</v>
      </c>
    </row>
    <row r="171" spans="1:4" x14ac:dyDescent="0.25">
      <c r="A171" t="s">
        <v>668</v>
      </c>
      <c r="B171" t="s">
        <v>959</v>
      </c>
      <c r="C171" t="s">
        <v>650</v>
      </c>
      <c r="D171" t="s">
        <v>699</v>
      </c>
    </row>
    <row r="172" spans="1:4" x14ac:dyDescent="0.25">
      <c r="A172" t="s">
        <v>871</v>
      </c>
      <c r="B172" t="s">
        <v>959</v>
      </c>
      <c r="C172" t="s">
        <v>650</v>
      </c>
      <c r="D172" t="s">
        <v>699</v>
      </c>
    </row>
    <row r="173" spans="1:4" x14ac:dyDescent="0.25">
      <c r="A173" t="s">
        <v>794</v>
      </c>
      <c r="B173" t="s">
        <v>959</v>
      </c>
      <c r="C173" t="s">
        <v>650</v>
      </c>
      <c r="D173" t="s">
        <v>699</v>
      </c>
    </row>
    <row r="174" spans="1:4" x14ac:dyDescent="0.25">
      <c r="A174" t="s">
        <v>787</v>
      </c>
      <c r="B174" t="s">
        <v>959</v>
      </c>
      <c r="C174" t="s">
        <v>650</v>
      </c>
      <c r="D174" t="s">
        <v>700</v>
      </c>
    </row>
    <row r="175" spans="1:4" x14ac:dyDescent="0.25">
      <c r="A175" t="s">
        <v>674</v>
      </c>
      <c r="B175" t="s">
        <v>959</v>
      </c>
      <c r="C175" t="s">
        <v>650</v>
      </c>
      <c r="D175" t="s">
        <v>699</v>
      </c>
    </row>
    <row r="176" spans="1:4" x14ac:dyDescent="0.25">
      <c r="A176" t="s">
        <v>746</v>
      </c>
      <c r="B176" t="s">
        <v>959</v>
      </c>
      <c r="C176" t="s">
        <v>650</v>
      </c>
      <c r="D176" t="s">
        <v>698</v>
      </c>
    </row>
    <row r="177" spans="1:4" x14ac:dyDescent="0.25">
      <c r="A177" t="s">
        <v>453</v>
      </c>
      <c r="B177" t="s">
        <v>959</v>
      </c>
      <c r="C177" t="s">
        <v>650</v>
      </c>
      <c r="D177" t="s">
        <v>700</v>
      </c>
    </row>
    <row r="178" spans="1:4" x14ac:dyDescent="0.25">
      <c r="A178" t="s">
        <v>606</v>
      </c>
      <c r="B178" t="s">
        <v>959</v>
      </c>
      <c r="C178" t="s">
        <v>650</v>
      </c>
      <c r="D178" t="s">
        <v>700</v>
      </c>
    </row>
    <row r="179" spans="1:4" x14ac:dyDescent="0.25">
      <c r="A179" t="s">
        <v>241</v>
      </c>
      <c r="B179" t="s">
        <v>959</v>
      </c>
      <c r="C179" t="s">
        <v>650</v>
      </c>
      <c r="D179" t="s">
        <v>701</v>
      </c>
    </row>
    <row r="180" spans="1:4" x14ac:dyDescent="0.25">
      <c r="A180" t="s">
        <v>712</v>
      </c>
      <c r="B180" t="s">
        <v>959</v>
      </c>
      <c r="C180" t="s">
        <v>650</v>
      </c>
      <c r="D180" t="s">
        <v>698</v>
      </c>
    </row>
    <row r="181" spans="1:4" x14ac:dyDescent="0.25">
      <c r="A181" t="s">
        <v>875</v>
      </c>
      <c r="B181" t="s">
        <v>959</v>
      </c>
      <c r="C181" t="s">
        <v>650</v>
      </c>
      <c r="D181" t="s">
        <v>699</v>
      </c>
    </row>
    <row r="182" spans="1:4" x14ac:dyDescent="0.25">
      <c r="A182" t="s">
        <v>734</v>
      </c>
      <c r="B182" t="s">
        <v>959</v>
      </c>
      <c r="C182" t="s">
        <v>650</v>
      </c>
      <c r="D182" t="s">
        <v>701</v>
      </c>
    </row>
    <row r="183" spans="1:4" x14ac:dyDescent="0.25">
      <c r="A183" t="s">
        <v>604</v>
      </c>
      <c r="B183" t="s">
        <v>959</v>
      </c>
      <c r="C183" t="s">
        <v>650</v>
      </c>
      <c r="D183" t="s">
        <v>700</v>
      </c>
    </row>
    <row r="184" spans="1:4" x14ac:dyDescent="0.25">
      <c r="A184" t="s">
        <v>288</v>
      </c>
      <c r="B184" t="s">
        <v>959</v>
      </c>
      <c r="C184" t="s">
        <v>650</v>
      </c>
      <c r="D184" t="s">
        <v>698</v>
      </c>
    </row>
    <row r="185" spans="1:4" x14ac:dyDescent="0.25">
      <c r="A185" t="s">
        <v>173</v>
      </c>
      <c r="B185" t="s">
        <v>959</v>
      </c>
      <c r="C185" t="s">
        <v>650</v>
      </c>
      <c r="D185" t="s">
        <v>698</v>
      </c>
    </row>
    <row r="186" spans="1:4" x14ac:dyDescent="0.25">
      <c r="A186" t="s">
        <v>287</v>
      </c>
      <c r="B186" t="s">
        <v>959</v>
      </c>
      <c r="C186" t="s">
        <v>650</v>
      </c>
      <c r="D186" t="s">
        <v>700</v>
      </c>
    </row>
    <row r="187" spans="1:4" x14ac:dyDescent="0.25">
      <c r="A187" t="s">
        <v>798</v>
      </c>
      <c r="B187" t="s">
        <v>1050</v>
      </c>
      <c r="C187" t="s">
        <v>650</v>
      </c>
      <c r="D187" t="s">
        <v>701</v>
      </c>
    </row>
    <row r="188" spans="1:4" x14ac:dyDescent="0.25">
      <c r="A188" t="s">
        <v>1031</v>
      </c>
      <c r="B188" t="s">
        <v>1050</v>
      </c>
      <c r="C188" t="s">
        <v>650</v>
      </c>
      <c r="D188" t="s">
        <v>700</v>
      </c>
    </row>
    <row r="189" spans="1:4" x14ac:dyDescent="0.25">
      <c r="A189" t="s">
        <v>804</v>
      </c>
      <c r="B189" t="s">
        <v>1050</v>
      </c>
      <c r="C189" t="s">
        <v>650</v>
      </c>
      <c r="D189" t="s">
        <v>701</v>
      </c>
    </row>
    <row r="190" spans="1:4" x14ac:dyDescent="0.25">
      <c r="A190" t="s">
        <v>593</v>
      </c>
      <c r="B190" t="s">
        <v>1050</v>
      </c>
      <c r="C190" t="s">
        <v>650</v>
      </c>
      <c r="D190" t="s">
        <v>697</v>
      </c>
    </row>
    <row r="191" spans="1:4" x14ac:dyDescent="0.25">
      <c r="A191" t="s">
        <v>622</v>
      </c>
      <c r="B191" t="s">
        <v>1050</v>
      </c>
      <c r="C191" t="s">
        <v>650</v>
      </c>
      <c r="D191" t="s">
        <v>698</v>
      </c>
    </row>
    <row r="192" spans="1:4" x14ac:dyDescent="0.25">
      <c r="A192" t="s">
        <v>742</v>
      </c>
      <c r="B192" t="s">
        <v>1282</v>
      </c>
      <c r="C192" t="s">
        <v>650</v>
      </c>
      <c r="D192" t="s">
        <v>698</v>
      </c>
    </row>
    <row r="193" spans="1:4" x14ac:dyDescent="0.25">
      <c r="A193" t="s">
        <v>1263</v>
      </c>
      <c r="B193" t="s">
        <v>1283</v>
      </c>
      <c r="C193" t="s">
        <v>650</v>
      </c>
      <c r="D193" t="s">
        <v>1284</v>
      </c>
    </row>
    <row r="194" spans="1:4" x14ac:dyDescent="0.25">
      <c r="A194" t="s">
        <v>408</v>
      </c>
      <c r="B194" t="s">
        <v>1283</v>
      </c>
      <c r="C194" t="s">
        <v>650</v>
      </c>
      <c r="D194" t="s">
        <v>698</v>
      </c>
    </row>
    <row r="195" spans="1:4" x14ac:dyDescent="0.25">
      <c r="A195" t="s">
        <v>304</v>
      </c>
      <c r="B195" t="s">
        <v>1283</v>
      </c>
      <c r="C195" t="s">
        <v>650</v>
      </c>
      <c r="D195" t="s">
        <v>701</v>
      </c>
    </row>
    <row r="196" spans="1:4" x14ac:dyDescent="0.25">
      <c r="A196" t="s">
        <v>1270</v>
      </c>
      <c r="B196" t="s">
        <v>1285</v>
      </c>
      <c r="C196" t="s">
        <v>650</v>
      </c>
      <c r="D196" t="s">
        <v>697</v>
      </c>
    </row>
    <row r="197" spans="1:4" x14ac:dyDescent="0.25">
      <c r="A197" t="s">
        <v>581</v>
      </c>
      <c r="B197" t="s">
        <v>1285</v>
      </c>
      <c r="C197" t="s">
        <v>650</v>
      </c>
      <c r="D197" t="s">
        <v>700</v>
      </c>
    </row>
    <row r="198" spans="1:4" x14ac:dyDescent="0.25">
      <c r="A198" t="s">
        <v>1272</v>
      </c>
      <c r="B198" t="s">
        <v>1285</v>
      </c>
      <c r="C198" t="s">
        <v>650</v>
      </c>
      <c r="D198" t="s">
        <v>697</v>
      </c>
    </row>
    <row r="199" spans="1:4" x14ac:dyDescent="0.25">
      <c r="A199" t="s">
        <v>954</v>
      </c>
      <c r="B199" t="s">
        <v>1285</v>
      </c>
      <c r="C199" t="s">
        <v>650</v>
      </c>
      <c r="D199" t="s">
        <v>697</v>
      </c>
    </row>
    <row r="200" spans="1:4" x14ac:dyDescent="0.25">
      <c r="A200" t="s">
        <v>1274</v>
      </c>
      <c r="B200" t="s">
        <v>1285</v>
      </c>
      <c r="C200" t="s">
        <v>650</v>
      </c>
      <c r="D200" t="s">
        <v>697</v>
      </c>
    </row>
    <row r="201" spans="1:4" x14ac:dyDescent="0.25">
      <c r="A201" t="s">
        <v>861</v>
      </c>
      <c r="B201" t="s">
        <v>1285</v>
      </c>
      <c r="C201" t="s">
        <v>650</v>
      </c>
      <c r="D201" t="s">
        <v>697</v>
      </c>
    </row>
    <row r="202" spans="1:4" x14ac:dyDescent="0.25">
      <c r="A202" t="s">
        <v>877</v>
      </c>
      <c r="B202" t="s">
        <v>1285</v>
      </c>
      <c r="C202" t="s">
        <v>650</v>
      </c>
      <c r="D202" t="s">
        <v>701</v>
      </c>
    </row>
    <row r="203" spans="1:4" x14ac:dyDescent="0.25">
      <c r="A203" t="s">
        <v>1267</v>
      </c>
      <c r="B203" t="s">
        <v>1285</v>
      </c>
      <c r="C203" t="s">
        <v>650</v>
      </c>
      <c r="D203" t="s">
        <v>699</v>
      </c>
    </row>
    <row r="204" spans="1:4" x14ac:dyDescent="0.25">
      <c r="A204" t="s">
        <v>862</v>
      </c>
      <c r="B204" t="s">
        <v>1285</v>
      </c>
      <c r="C204" t="s">
        <v>650</v>
      </c>
      <c r="D204" t="s">
        <v>700</v>
      </c>
    </row>
    <row r="205" spans="1:4" x14ac:dyDescent="0.25">
      <c r="A205" t="s">
        <v>439</v>
      </c>
      <c r="B205" t="s">
        <v>1285</v>
      </c>
      <c r="C205" t="s">
        <v>650</v>
      </c>
      <c r="D205" t="s">
        <v>700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02C7A28-EB2C-4658-8258-7EB0A9CDE53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22</vt:i4>
      </vt:variant>
    </vt:vector>
  </HeadingPairs>
  <TitlesOfParts>
    <vt:vector size="32" baseType="lpstr">
      <vt:lpstr>Index</vt:lpstr>
      <vt:lpstr>Holdings</vt:lpstr>
      <vt:lpstr>USD Companies</vt:lpstr>
      <vt:lpstr>CAD Companies</vt:lpstr>
      <vt:lpstr>Journal</vt:lpstr>
      <vt:lpstr>Scratch pad</vt:lpstr>
      <vt:lpstr>Reports</vt:lpstr>
      <vt:lpstr>Morningstar</vt:lpstr>
      <vt:lpstr>Morningstar_CAD</vt:lpstr>
      <vt:lpstr>Queries</vt:lpstr>
      <vt:lpstr>Morningstar_CAD!Canada_All__1_Export</vt:lpstr>
      <vt:lpstr>ColEnd</vt:lpstr>
      <vt:lpstr>ColEnd_CAD</vt:lpstr>
      <vt:lpstr>ColStart</vt:lpstr>
      <vt:lpstr>ColStart_CAD</vt:lpstr>
      <vt:lpstr>Companies_Cols</vt:lpstr>
      <vt:lpstr>Companies_Cols_CAD</vt:lpstr>
      <vt:lpstr>EXACT_MATCH</vt:lpstr>
      <vt:lpstr>Morningstar</vt:lpstr>
      <vt:lpstr>Morningstar_Cols</vt:lpstr>
      <vt:lpstr>Morningstar_Cols_CAD</vt:lpstr>
      <vt:lpstr>PFV_Green</vt:lpstr>
      <vt:lpstr>PFV_Grn</vt:lpstr>
      <vt:lpstr>PFV_Red</vt:lpstr>
      <vt:lpstr>PhoneTradeFee</vt:lpstr>
      <vt:lpstr>PSR_Green</vt:lpstr>
      <vt:lpstr>PSR_Red</vt:lpstr>
      <vt:lpstr>RatingDefault</vt:lpstr>
      <vt:lpstr>Return12Mo_Grn</vt:lpstr>
      <vt:lpstr>Return12Mo_Red</vt:lpstr>
      <vt:lpstr>Return3Mo_Grn</vt:lpstr>
      <vt:lpstr>Return3Mo_Red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/>
  <dc:creator>David Chase (PREMIER)</dc:creator>
  <cp:lastModifiedBy>David Chase</cp:lastModifiedBy>
  <cp:lastPrinted>2018-07-17T21:07:14Z</cp:lastPrinted>
  <dcterms:created xsi:type="dcterms:W3CDTF">2017-10-31T12:16:13Z</dcterms:created>
  <dcterms:modified xsi:type="dcterms:W3CDTF">2022-09-19T13:30:51Z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7ba5c36-b7cf-4793-bbc2-bd5b3a9f95ca_Enabled">
    <vt:lpwstr>True</vt:lpwstr>
  </property>
  <property fmtid="{D5CDD505-2E9C-101B-9397-08002B2CF9AE}" pid="3" name="MSIP_Label_87ba5c36-b7cf-4793-bbc2-bd5b3a9f95ca_SiteId">
    <vt:lpwstr>72f988bf-86f1-41af-91ab-2d7cd011db47</vt:lpwstr>
  </property>
  <property fmtid="{D5CDD505-2E9C-101B-9397-08002B2CF9AE}" pid="4" name="MSIP_Label_87ba5c36-b7cf-4793-bbc2-bd5b3a9f95ca_Owner">
    <vt:lpwstr>davidch@microsoft.com</vt:lpwstr>
  </property>
  <property fmtid="{D5CDD505-2E9C-101B-9397-08002B2CF9AE}" pid="5" name="MSIP_Label_87ba5c36-b7cf-4793-bbc2-bd5b3a9f95ca_SetDate">
    <vt:lpwstr>2017-11-21T13:55:23.3294969Z</vt:lpwstr>
  </property>
  <property fmtid="{D5CDD505-2E9C-101B-9397-08002B2CF9AE}" pid="6" name="MSIP_Label_87ba5c36-b7cf-4793-bbc2-bd5b3a9f95ca_Name">
    <vt:lpwstr>Non-Business</vt:lpwstr>
  </property>
  <property fmtid="{D5CDD505-2E9C-101B-9397-08002B2CF9AE}" pid="7" name="MSIP_Label_87ba5c36-b7cf-4793-bbc2-bd5b3a9f95ca_Application">
    <vt:lpwstr>Microsoft Azure Information Protection</vt:lpwstr>
  </property>
  <property fmtid="{D5CDD505-2E9C-101B-9397-08002B2CF9AE}" pid="8" name="MSIP_Label_87ba5c36-b7cf-4793-bbc2-bd5b3a9f95ca_Extended_MSFT_Method">
    <vt:lpwstr>Manual</vt:lpwstr>
  </property>
  <property fmtid="{D5CDD505-2E9C-101B-9397-08002B2CF9AE}" pid="9" name="Sensitivity">
    <vt:lpwstr>Non-Business</vt:lpwstr>
  </property>
</Properties>
</file>