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2.xml" ContentType="application/vnd.openxmlformats-officedocument.spreadsheetml.query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Shared\Finances\"/>
    </mc:Choice>
  </mc:AlternateContent>
  <xr:revisionPtr revIDLastSave="0" documentId="13_ncr:1_{EC456F95-C1FC-404A-8CEA-2DE2078C17B9}" xr6:coauthVersionLast="47" xr6:coauthVersionMax="47" xr10:uidLastSave="{00000000-0000-0000-0000-000000000000}"/>
  <bookViews>
    <workbookView xWindow="19080" yWindow="0" windowWidth="19395" windowHeight="20880" xr2:uid="{046858EE-5834-47FF-B1F2-0D5E20DD1B68}"/>
  </bookViews>
  <sheets>
    <sheet name="Balances" sheetId="2" r:id="rId1"/>
    <sheet name="tbMyQuotes" sheetId="20" state="hidden" r:id="rId2"/>
    <sheet name="Transactions" sheetId="1" r:id="rId3"/>
    <sheet name="Journal" sheetId="15" state="hidden" r:id="rId4"/>
    <sheet name="Dashboard" sheetId="17" r:id="rId5"/>
    <sheet name="Scratch Pad" sheetId="7" r:id="rId6"/>
    <sheet name="Penny Stocks" sheetId="21" r:id="rId7"/>
    <sheet name="Asset history" sheetId="11" state="hidden" r:id="rId8"/>
    <sheet name="Asset watchlist" sheetId="13" state="hidden" r:id="rId9"/>
    <sheet name="Exchange" sheetId="6" state="hidden" r:id="rId10"/>
  </sheets>
  <functionGroups builtInGroupCount="19"/>
  <definedNames>
    <definedName name="ExternalData_1" localSheetId="8" hidden="1">'Asset watchlist'!$A$1:$F$360</definedName>
    <definedName name="ExternalData_1" localSheetId="1" hidden="1">tbMyQuotes!$A$1:$F$12</definedName>
    <definedName name="iBITO_Delta">Dashboard!$M$10</definedName>
    <definedName name="iBITO_Price">Dashboard!$C$10</definedName>
    <definedName name="iBTC_Cap" localSheetId="9">Exchange!#REF!</definedName>
    <definedName name="iBTC_Cap">#REF!</definedName>
    <definedName name="iBTCX_Delta">Dashboard!$M$16</definedName>
    <definedName name="iBTCX_Price">Dashboard!$C$16</definedName>
    <definedName name="iCurrentValueETH" localSheetId="4">Dashboard!$F$70</definedName>
    <definedName name="iCurrentValueETH">'Scratch Pad'!$C$9</definedName>
    <definedName name="iDelta" localSheetId="4">Dashboard!$F$74</definedName>
    <definedName name="iDelta">'Scratch Pad'!$C$10</definedName>
    <definedName name="iETH_Delta">Dashboard!$M$4</definedName>
    <definedName name="iETH_Price">Dashboard!$C$4</definedName>
    <definedName name="iETHAdded" localSheetId="4">Dashboard!$I$66</definedName>
    <definedName name="iETHAdded">'Scratch Pad'!$F$5</definedName>
    <definedName name="iETHStarting" localSheetId="4">Dashboard!$I$64</definedName>
    <definedName name="iETHStarting">'Scratch Pad'!$F$3</definedName>
    <definedName name="iETHX_Delta">Dashboard!$M$22</definedName>
    <definedName name="iETHX_Price">Dashboard!$C$22</definedName>
    <definedName name="iGrowthETH" localSheetId="4">Dashboard!$I$67</definedName>
    <definedName name="iGrowthETH">'Scratch Pad'!$F$6</definedName>
    <definedName name="iOpeningBalanceETH">Journal!$E$6</definedName>
    <definedName name="iTotalCap" localSheetId="9">Exchange!#REF!</definedName>
    <definedName name="iTotalCap">#REF!</definedName>
    <definedName name="PhoneTradeFee" localSheetId="4">Dashboard!$G$18</definedName>
    <definedName name="PhoneTradeFee">'Scratch Pad'!#REF!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2" i="13" l="1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H2" i="13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273" i="13"/>
  <c r="H274" i="13"/>
  <c r="H275" i="13"/>
  <c r="H276" i="13"/>
  <c r="H277" i="13"/>
  <c r="H278" i="13"/>
  <c r="H279" i="13"/>
  <c r="H280" i="13"/>
  <c r="H281" i="13"/>
  <c r="H282" i="13"/>
  <c r="H283" i="13"/>
  <c r="H284" i="13"/>
  <c r="H285" i="13"/>
  <c r="H286" i="13"/>
  <c r="H287" i="13"/>
  <c r="H288" i="13"/>
  <c r="H289" i="13"/>
  <c r="H290" i="13"/>
  <c r="H291" i="13"/>
  <c r="H292" i="13"/>
  <c r="H293" i="13"/>
  <c r="H294" i="13"/>
  <c r="H295" i="13"/>
  <c r="H296" i="13"/>
  <c r="H297" i="13"/>
  <c r="H298" i="13"/>
  <c r="H299" i="13"/>
  <c r="H300" i="13"/>
  <c r="H301" i="13"/>
  <c r="H302" i="13"/>
  <c r="H303" i="13"/>
  <c r="H304" i="13"/>
  <c r="H305" i="13"/>
  <c r="H306" i="13"/>
  <c r="H307" i="13"/>
  <c r="H308" i="13"/>
  <c r="H309" i="13"/>
  <c r="H310" i="13"/>
  <c r="H311" i="13"/>
  <c r="H312" i="13"/>
  <c r="H313" i="13"/>
  <c r="H314" i="13"/>
  <c r="H315" i="13"/>
  <c r="H316" i="13"/>
  <c r="H317" i="13"/>
  <c r="H318" i="13"/>
  <c r="H319" i="13"/>
  <c r="H320" i="13"/>
  <c r="H321" i="13"/>
  <c r="H322" i="13"/>
  <c r="H323" i="13"/>
  <c r="H324" i="13"/>
  <c r="H325" i="13"/>
  <c r="H326" i="13"/>
  <c r="H327" i="13"/>
  <c r="H328" i="13"/>
  <c r="H329" i="13"/>
  <c r="H330" i="13"/>
  <c r="H331" i="13"/>
  <c r="H332" i="13"/>
  <c r="H333" i="13"/>
  <c r="H334" i="13"/>
  <c r="H335" i="13"/>
  <c r="H336" i="13"/>
  <c r="H337" i="13"/>
  <c r="H338" i="13"/>
  <c r="H339" i="13"/>
  <c r="H340" i="13"/>
  <c r="H341" i="13"/>
  <c r="H342" i="13"/>
  <c r="H343" i="13"/>
  <c r="H344" i="13"/>
  <c r="H345" i="13"/>
  <c r="H346" i="13"/>
  <c r="H347" i="13"/>
  <c r="H348" i="13"/>
  <c r="H349" i="13"/>
  <c r="H350" i="13"/>
  <c r="H351" i="13"/>
  <c r="H352" i="13"/>
  <c r="H353" i="13"/>
  <c r="H354" i="13"/>
  <c r="H355" i="13"/>
  <c r="H356" i="13"/>
  <c r="H357" i="13"/>
  <c r="H358" i="13"/>
  <c r="H359" i="13"/>
  <c r="H360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I158" i="13"/>
  <c r="I159" i="13"/>
  <c r="I160" i="13"/>
  <c r="I161" i="13"/>
  <c r="I162" i="13"/>
  <c r="I163" i="13"/>
  <c r="I164" i="13"/>
  <c r="I165" i="13"/>
  <c r="I166" i="13"/>
  <c r="I167" i="13"/>
  <c r="I168" i="13"/>
  <c r="I169" i="13"/>
  <c r="I170" i="13"/>
  <c r="I171" i="13"/>
  <c r="I172" i="13"/>
  <c r="I173" i="13"/>
  <c r="I174" i="13"/>
  <c r="I175" i="13"/>
  <c r="I176" i="13"/>
  <c r="I177" i="13"/>
  <c r="I178" i="13"/>
  <c r="I179" i="13"/>
  <c r="I180" i="13"/>
  <c r="I181" i="13"/>
  <c r="I182" i="13"/>
  <c r="I183" i="13"/>
  <c r="I184" i="13"/>
  <c r="I185" i="13"/>
  <c r="I186" i="13"/>
  <c r="I187" i="13"/>
  <c r="I188" i="13"/>
  <c r="I189" i="13"/>
  <c r="I190" i="13"/>
  <c r="I191" i="13"/>
  <c r="I192" i="13"/>
  <c r="I193" i="13"/>
  <c r="I194" i="13"/>
  <c r="I195" i="13"/>
  <c r="I196" i="13"/>
  <c r="I197" i="13"/>
  <c r="I198" i="13"/>
  <c r="I199" i="13"/>
  <c r="I200" i="13"/>
  <c r="I201" i="13"/>
  <c r="I202" i="13"/>
  <c r="I203" i="13"/>
  <c r="I204" i="13"/>
  <c r="I205" i="13"/>
  <c r="I206" i="13"/>
  <c r="I207" i="13"/>
  <c r="I208" i="13"/>
  <c r="I209" i="13"/>
  <c r="I210" i="13"/>
  <c r="I211" i="13"/>
  <c r="I212" i="13"/>
  <c r="I213" i="13"/>
  <c r="I214" i="13"/>
  <c r="I215" i="13"/>
  <c r="I216" i="13"/>
  <c r="I217" i="13"/>
  <c r="I218" i="13"/>
  <c r="I219" i="13"/>
  <c r="I220" i="13"/>
  <c r="I221" i="13"/>
  <c r="I222" i="13"/>
  <c r="I223" i="13"/>
  <c r="I224" i="13"/>
  <c r="I225" i="13"/>
  <c r="I226" i="13"/>
  <c r="I227" i="13"/>
  <c r="I228" i="13"/>
  <c r="I229" i="13"/>
  <c r="I230" i="13"/>
  <c r="I231" i="13"/>
  <c r="I232" i="13"/>
  <c r="I233" i="13"/>
  <c r="I234" i="13"/>
  <c r="I235" i="13"/>
  <c r="I236" i="13"/>
  <c r="I237" i="13"/>
  <c r="I238" i="13"/>
  <c r="I239" i="13"/>
  <c r="I240" i="13"/>
  <c r="I241" i="13"/>
  <c r="I242" i="13"/>
  <c r="I243" i="13"/>
  <c r="I244" i="13"/>
  <c r="I245" i="13"/>
  <c r="I246" i="13"/>
  <c r="I247" i="13"/>
  <c r="I248" i="13"/>
  <c r="I249" i="13"/>
  <c r="I250" i="13"/>
  <c r="I251" i="13"/>
  <c r="I252" i="13"/>
  <c r="I253" i="13"/>
  <c r="I254" i="13"/>
  <c r="I255" i="13"/>
  <c r="I256" i="13"/>
  <c r="I257" i="13"/>
  <c r="I258" i="13"/>
  <c r="I259" i="13"/>
  <c r="I260" i="13"/>
  <c r="I261" i="13"/>
  <c r="I262" i="13"/>
  <c r="I263" i="13"/>
  <c r="I264" i="13"/>
  <c r="I265" i="13"/>
  <c r="I266" i="13"/>
  <c r="I267" i="13"/>
  <c r="I268" i="13"/>
  <c r="I269" i="13"/>
  <c r="I270" i="13"/>
  <c r="I271" i="13"/>
  <c r="I272" i="13"/>
  <c r="I273" i="13"/>
  <c r="I274" i="13"/>
  <c r="I275" i="13"/>
  <c r="I276" i="13"/>
  <c r="I277" i="13"/>
  <c r="I278" i="13"/>
  <c r="I279" i="13"/>
  <c r="I280" i="13"/>
  <c r="I281" i="13"/>
  <c r="I282" i="13"/>
  <c r="I283" i="13"/>
  <c r="I284" i="13"/>
  <c r="I285" i="13"/>
  <c r="I286" i="13"/>
  <c r="I287" i="13"/>
  <c r="I288" i="13"/>
  <c r="I289" i="13"/>
  <c r="I290" i="13"/>
  <c r="I291" i="13"/>
  <c r="I292" i="13"/>
  <c r="I293" i="13"/>
  <c r="I294" i="13"/>
  <c r="I295" i="13"/>
  <c r="I296" i="13"/>
  <c r="I297" i="13"/>
  <c r="I298" i="13"/>
  <c r="I299" i="13"/>
  <c r="I300" i="13"/>
  <c r="I301" i="13"/>
  <c r="I302" i="13"/>
  <c r="I303" i="13"/>
  <c r="I304" i="13"/>
  <c r="I305" i="13"/>
  <c r="I306" i="13"/>
  <c r="I307" i="13"/>
  <c r="I308" i="13"/>
  <c r="I309" i="13"/>
  <c r="I310" i="13"/>
  <c r="I311" i="13"/>
  <c r="I312" i="13"/>
  <c r="I313" i="13"/>
  <c r="I314" i="13"/>
  <c r="I315" i="13"/>
  <c r="I316" i="13"/>
  <c r="I317" i="13"/>
  <c r="I318" i="13"/>
  <c r="I319" i="13"/>
  <c r="I320" i="13"/>
  <c r="I321" i="13"/>
  <c r="I322" i="13"/>
  <c r="I323" i="13"/>
  <c r="I324" i="13"/>
  <c r="I325" i="13"/>
  <c r="I326" i="13"/>
  <c r="I327" i="13"/>
  <c r="I328" i="13"/>
  <c r="I329" i="13"/>
  <c r="I330" i="13"/>
  <c r="I331" i="13"/>
  <c r="I332" i="13"/>
  <c r="I333" i="13"/>
  <c r="I334" i="13"/>
  <c r="I335" i="13"/>
  <c r="I336" i="13"/>
  <c r="I337" i="13"/>
  <c r="I338" i="13"/>
  <c r="I339" i="13"/>
  <c r="I340" i="13"/>
  <c r="I341" i="13"/>
  <c r="I342" i="13"/>
  <c r="I343" i="13"/>
  <c r="I344" i="13"/>
  <c r="I345" i="13"/>
  <c r="I346" i="13"/>
  <c r="I347" i="13"/>
  <c r="I348" i="13"/>
  <c r="I349" i="13"/>
  <c r="I350" i="13"/>
  <c r="I351" i="13"/>
  <c r="I352" i="13"/>
  <c r="I353" i="13"/>
  <c r="I354" i="13"/>
  <c r="I355" i="13"/>
  <c r="I356" i="13"/>
  <c r="I357" i="13"/>
  <c r="I358" i="13"/>
  <c r="I359" i="13"/>
  <c r="I360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57" i="13"/>
  <c r="J358" i="13"/>
  <c r="J359" i="13"/>
  <c r="J360" i="13"/>
  <c r="K1294" i="1"/>
  <c r="H1294" i="1"/>
  <c r="K1293" i="1"/>
  <c r="H1293" i="1"/>
  <c r="K1292" i="1"/>
  <c r="H1292" i="1"/>
  <c r="K1291" i="1"/>
  <c r="H1291" i="1"/>
  <c r="K1290" i="1"/>
  <c r="H1290" i="1"/>
  <c r="K1289" i="1"/>
  <c r="H1289" i="1"/>
  <c r="K1288" i="1"/>
  <c r="H1288" i="1"/>
  <c r="K1287" i="1"/>
  <c r="H1287" i="1"/>
  <c r="K1286" i="1"/>
  <c r="H1286" i="1"/>
  <c r="K1285" i="1"/>
  <c r="H1285" i="1"/>
  <c r="K1283" i="1"/>
  <c r="H1283" i="1"/>
  <c r="K1282" i="1"/>
  <c r="H1282" i="1"/>
  <c r="K1281" i="1"/>
  <c r="H1281" i="1"/>
  <c r="K1280" i="1"/>
  <c r="H1280" i="1"/>
  <c r="K1279" i="1"/>
  <c r="K1278" i="1"/>
  <c r="H1265" i="1"/>
  <c r="K1265" i="1"/>
  <c r="K1276" i="1"/>
  <c r="H1276" i="1"/>
  <c r="K1275" i="1"/>
  <c r="H1275" i="1"/>
  <c r="K1274" i="1"/>
  <c r="H1274" i="1"/>
  <c r="K1273" i="1"/>
  <c r="H1273" i="1"/>
  <c r="K1272" i="1"/>
  <c r="H1272" i="1"/>
  <c r="K1271" i="1"/>
  <c r="H1271" i="1"/>
  <c r="K1270" i="1"/>
  <c r="H1270" i="1"/>
  <c r="K1264" i="1" l="1"/>
  <c r="H1264" i="1"/>
  <c r="K1263" i="1"/>
  <c r="H1263" i="1"/>
  <c r="K1262" i="1"/>
  <c r="H1262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84" i="1"/>
  <c r="H1279" i="1"/>
  <c r="H1278" i="1"/>
  <c r="H1277" i="1"/>
  <c r="H1269" i="1"/>
  <c r="H1268" i="1"/>
  <c r="H1267" i="1"/>
  <c r="K1267" i="1"/>
  <c r="K1268" i="1"/>
  <c r="K1269" i="1"/>
  <c r="K1277" i="1"/>
  <c r="K128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H76" i="7"/>
  <c r="H75" i="7"/>
  <c r="H74" i="7"/>
  <c r="H73" i="7"/>
  <c r="H72" i="7"/>
  <c r="H71" i="7"/>
  <c r="H70" i="7"/>
  <c r="H69" i="7"/>
  <c r="H68" i="7"/>
  <c r="H67" i="7"/>
  <c r="G76" i="7"/>
  <c r="G75" i="7"/>
  <c r="G74" i="7"/>
  <c r="G73" i="7"/>
  <c r="G72" i="7"/>
  <c r="G71" i="7"/>
  <c r="G70" i="7"/>
  <c r="G69" i="7"/>
  <c r="G68" i="7"/>
  <c r="G67" i="7"/>
  <c r="F76" i="7"/>
  <c r="F75" i="7"/>
  <c r="F74" i="7"/>
  <c r="F73" i="7"/>
  <c r="F72" i="7"/>
  <c r="F71" i="7"/>
  <c r="F70" i="7"/>
  <c r="F69" i="7"/>
  <c r="F68" i="7"/>
  <c r="F67" i="7"/>
  <c r="D67" i="7"/>
  <c r="E67" i="7" s="1"/>
  <c r="E68" i="7" s="1"/>
  <c r="E69" i="7" s="1"/>
  <c r="E70" i="7" s="1"/>
  <c r="E71" i="7" s="1"/>
  <c r="E72" i="7" s="1"/>
  <c r="E73" i="7" s="1"/>
  <c r="E74" i="7" s="1"/>
  <c r="E75" i="7" s="1"/>
  <c r="E76" i="7" s="1"/>
  <c r="C68" i="7"/>
  <c r="C69" i="7" s="1"/>
  <c r="C70" i="7" s="1"/>
  <c r="C71" i="7" s="1"/>
  <c r="C72" i="7" s="1"/>
  <c r="C73" i="7" s="1"/>
  <c r="C74" i="7" s="1"/>
  <c r="C75" i="7" s="1"/>
  <c r="C76" i="7" s="1"/>
  <c r="K1255" i="1"/>
  <c r="H1255" i="1"/>
  <c r="K1256" i="1"/>
  <c r="H1256" i="1"/>
  <c r="K1254" i="1"/>
  <c r="H1254" i="1"/>
  <c r="K1253" i="1"/>
  <c r="H1253" i="1"/>
  <c r="K1252" i="1"/>
  <c r="H1252" i="1"/>
  <c r="K1251" i="1"/>
  <c r="H1251" i="1"/>
  <c r="K1250" i="1"/>
  <c r="H1250" i="1"/>
  <c r="K1249" i="1"/>
  <c r="H1249" i="1"/>
  <c r="K1248" i="1"/>
  <c r="H1248" i="1"/>
  <c r="K1247" i="1"/>
  <c r="H1247" i="1"/>
  <c r="K1246" i="1"/>
  <c r="H1246" i="1"/>
  <c r="K1245" i="1"/>
  <c r="H1245" i="1"/>
  <c r="H1266" i="1"/>
  <c r="H1261" i="1"/>
  <c r="H1260" i="1"/>
  <c r="H1259" i="1"/>
  <c r="H1258" i="1"/>
  <c r="H1257" i="1"/>
  <c r="K1257" i="1"/>
  <c r="K1258" i="1"/>
  <c r="K1259" i="1"/>
  <c r="K1260" i="1"/>
  <c r="K1261" i="1"/>
  <c r="K1266" i="1"/>
  <c r="K1244" i="1"/>
  <c r="H1244" i="1"/>
  <c r="K1243" i="1"/>
  <c r="H1243" i="1"/>
  <c r="K1242" i="1"/>
  <c r="H1242" i="1"/>
  <c r="K1241" i="1"/>
  <c r="H1241" i="1"/>
  <c r="H1239" i="1"/>
  <c r="K1237" i="1"/>
  <c r="H1237" i="1"/>
  <c r="K1236" i="1"/>
  <c r="H1236" i="1"/>
  <c r="K1235" i="1"/>
  <c r="H1235" i="1"/>
  <c r="K1234" i="1"/>
  <c r="H1234" i="1"/>
  <c r="K1233" i="1"/>
  <c r="H1233" i="1"/>
  <c r="K1231" i="1"/>
  <c r="K1232" i="1"/>
  <c r="H1232" i="1"/>
  <c r="H1231" i="1"/>
  <c r="K1230" i="1"/>
  <c r="H1230" i="1"/>
  <c r="K1229" i="1"/>
  <c r="H1229" i="1"/>
  <c r="K1228" i="1"/>
  <c r="H1228" i="1"/>
  <c r="K1227" i="1"/>
  <c r="H1227" i="1"/>
  <c r="K1226" i="1"/>
  <c r="H1226" i="1"/>
  <c r="K1225" i="1"/>
  <c r="H1225" i="1"/>
  <c r="K1224" i="1"/>
  <c r="H1224" i="1"/>
  <c r="K1223" i="1"/>
  <c r="H1223" i="1"/>
  <c r="K1222" i="1"/>
  <c r="H1222" i="1"/>
  <c r="K1221" i="1"/>
  <c r="H1221" i="1"/>
  <c r="K1220" i="1"/>
  <c r="H1220" i="1"/>
  <c r="K1219" i="1"/>
  <c r="H1219" i="1"/>
  <c r="K1218" i="1"/>
  <c r="H1218" i="1"/>
  <c r="K1217" i="1"/>
  <c r="H1217" i="1"/>
  <c r="K1216" i="1"/>
  <c r="H1216" i="1"/>
  <c r="K1215" i="1"/>
  <c r="H1215" i="1"/>
  <c r="K1214" i="1"/>
  <c r="H1214" i="1"/>
  <c r="K1213" i="1"/>
  <c r="H1213" i="1"/>
  <c r="K1212" i="1"/>
  <c r="H1212" i="1"/>
  <c r="E1210" i="1"/>
  <c r="K1210" i="1" s="1"/>
  <c r="K1211" i="1"/>
  <c r="H1211" i="1"/>
  <c r="K1209" i="1"/>
  <c r="H1209" i="1"/>
  <c r="K1208" i="1"/>
  <c r="H1208" i="1"/>
  <c r="K1207" i="1"/>
  <c r="H1207" i="1"/>
  <c r="K1206" i="1"/>
  <c r="H1206" i="1"/>
  <c r="K1205" i="1"/>
  <c r="H1205" i="1"/>
  <c r="K1204" i="1"/>
  <c r="H1204" i="1"/>
  <c r="K1203" i="1"/>
  <c r="H1203" i="1"/>
  <c r="K1202" i="1"/>
  <c r="H1202" i="1"/>
  <c r="K1201" i="1"/>
  <c r="H1201" i="1"/>
  <c r="K1200" i="1"/>
  <c r="H1200" i="1"/>
  <c r="K1199" i="1"/>
  <c r="K1198" i="1"/>
  <c r="K1197" i="1"/>
  <c r="H1197" i="1"/>
  <c r="K1196" i="1"/>
  <c r="H1196" i="1"/>
  <c r="K1195" i="1"/>
  <c r="H1195" i="1"/>
  <c r="K1194" i="1"/>
  <c r="H1194" i="1"/>
  <c r="K1193" i="1"/>
  <c r="H1193" i="1"/>
  <c r="K1192" i="1"/>
  <c r="H1192" i="1"/>
  <c r="K1191" i="1"/>
  <c r="H1191" i="1"/>
  <c r="K1190" i="1"/>
  <c r="H1190" i="1"/>
  <c r="K1189" i="1"/>
  <c r="H1189" i="1"/>
  <c r="K1188" i="1"/>
  <c r="H1188" i="1"/>
  <c r="K1187" i="1"/>
  <c r="H1187" i="1"/>
  <c r="K1186" i="1"/>
  <c r="H1186" i="1"/>
  <c r="K1185" i="1"/>
  <c r="H1185" i="1"/>
  <c r="K1184" i="1"/>
  <c r="H1184" i="1"/>
  <c r="K1183" i="1"/>
  <c r="H1183" i="1"/>
  <c r="K1182" i="1"/>
  <c r="H1182" i="1"/>
  <c r="K1181" i="1"/>
  <c r="H1181" i="1"/>
  <c r="K1180" i="1"/>
  <c r="H1180" i="1"/>
  <c r="K1179" i="1"/>
  <c r="H1179" i="1"/>
  <c r="K1178" i="1"/>
  <c r="H1178" i="1"/>
  <c r="K1177" i="1"/>
  <c r="H1177" i="1"/>
  <c r="K1176" i="1"/>
  <c r="H1176" i="1"/>
  <c r="K1175" i="1"/>
  <c r="H1175" i="1"/>
  <c r="K1174" i="1"/>
  <c r="H1174" i="1"/>
  <c r="K1173" i="1"/>
  <c r="H1173" i="1"/>
  <c r="K1172" i="1"/>
  <c r="K1171" i="1"/>
  <c r="K1170" i="1"/>
  <c r="K1169" i="1"/>
  <c r="H1169" i="1"/>
  <c r="K1168" i="1"/>
  <c r="H1168" i="1"/>
  <c r="K1167" i="1"/>
  <c r="H1167" i="1"/>
  <c r="K1166" i="1"/>
  <c r="H1166" i="1"/>
  <c r="K1165" i="1"/>
  <c r="H1165" i="1"/>
  <c r="K1164" i="1"/>
  <c r="H1164" i="1"/>
  <c r="K1163" i="1"/>
  <c r="H1163" i="1"/>
  <c r="K1162" i="1"/>
  <c r="H1162" i="1"/>
  <c r="K1161" i="1"/>
  <c r="H1161" i="1"/>
  <c r="K1160" i="1"/>
  <c r="H1160" i="1"/>
  <c r="K1158" i="1"/>
  <c r="H1158" i="1"/>
  <c r="E1155" i="1"/>
  <c r="H1155" i="1" s="1"/>
  <c r="K1153" i="1"/>
  <c r="H1153" i="1"/>
  <c r="K1152" i="1"/>
  <c r="H1152" i="1"/>
  <c r="K1151" i="1"/>
  <c r="H1151" i="1"/>
  <c r="K1150" i="1"/>
  <c r="H1150" i="1"/>
  <c r="K1149" i="1"/>
  <c r="H1149" i="1"/>
  <c r="K1148" i="1"/>
  <c r="H1148" i="1"/>
  <c r="K1147" i="1"/>
  <c r="H1147" i="1"/>
  <c r="K1146" i="1"/>
  <c r="H1146" i="1"/>
  <c r="K1145" i="1"/>
  <c r="H1145" i="1"/>
  <c r="K1144" i="1"/>
  <c r="K1143" i="1"/>
  <c r="E1141" i="1"/>
  <c r="K1141" i="1" s="1"/>
  <c r="K1139" i="1"/>
  <c r="H1139" i="1"/>
  <c r="K1138" i="1"/>
  <c r="H1138" i="1"/>
  <c r="K1137" i="1"/>
  <c r="H1137" i="1"/>
  <c r="K1384" i="1"/>
  <c r="K1240" i="1"/>
  <c r="H1240" i="1"/>
  <c r="K1239" i="1"/>
  <c r="K1238" i="1"/>
  <c r="H1238" i="1"/>
  <c r="H1199" i="1"/>
  <c r="H1198" i="1"/>
  <c r="H1172" i="1"/>
  <c r="H1171" i="1"/>
  <c r="H1170" i="1"/>
  <c r="K1157" i="1"/>
  <c r="H1157" i="1"/>
  <c r="K1156" i="1"/>
  <c r="H1156" i="1"/>
  <c r="K1154" i="1"/>
  <c r="H1154" i="1"/>
  <c r="K1136" i="1"/>
  <c r="H1136" i="1"/>
  <c r="K1135" i="1"/>
  <c r="H1135" i="1"/>
  <c r="K1134" i="1"/>
  <c r="H1134" i="1"/>
  <c r="K1133" i="1"/>
  <c r="H1133" i="1"/>
  <c r="H1131" i="1"/>
  <c r="K1128" i="1"/>
  <c r="H1128" i="1"/>
  <c r="K1127" i="1"/>
  <c r="H1127" i="1"/>
  <c r="K1126" i="1"/>
  <c r="H1126" i="1"/>
  <c r="K1125" i="1"/>
  <c r="H1125" i="1"/>
  <c r="K1124" i="1"/>
  <c r="H1124" i="1"/>
  <c r="K1123" i="1"/>
  <c r="H1123" i="1"/>
  <c r="K1122" i="1"/>
  <c r="H1122" i="1"/>
  <c r="K1121" i="1"/>
  <c r="H1121" i="1"/>
  <c r="K1120" i="1"/>
  <c r="H1120" i="1"/>
  <c r="K1119" i="1"/>
  <c r="H1119" i="1"/>
  <c r="K1118" i="1"/>
  <c r="H1118" i="1"/>
  <c r="K1117" i="1"/>
  <c r="H1117" i="1"/>
  <c r="K1116" i="1"/>
  <c r="H1116" i="1"/>
  <c r="K1115" i="1"/>
  <c r="H1115" i="1"/>
  <c r="K1114" i="1"/>
  <c r="H1114" i="1"/>
  <c r="K1113" i="1"/>
  <c r="H1113" i="1"/>
  <c r="K1112" i="1"/>
  <c r="H1112" i="1"/>
  <c r="K1111" i="1"/>
  <c r="H1111" i="1"/>
  <c r="K1110" i="1"/>
  <c r="H1110" i="1"/>
  <c r="K1109" i="1"/>
  <c r="H1109" i="1"/>
  <c r="K1108" i="1"/>
  <c r="H1108" i="1"/>
  <c r="K1107" i="1"/>
  <c r="H1107" i="1"/>
  <c r="K1106" i="1"/>
  <c r="H1106" i="1"/>
  <c r="K1105" i="1"/>
  <c r="H1105" i="1"/>
  <c r="I19" i="21"/>
  <c r="I7" i="21"/>
  <c r="I6" i="21"/>
  <c r="I18" i="21"/>
  <c r="G28" i="21"/>
  <c r="G27" i="21"/>
  <c r="G26" i="21"/>
  <c r="G25" i="21"/>
  <c r="G24" i="21"/>
  <c r="G19" i="21"/>
  <c r="G12" i="21"/>
  <c r="G16" i="21"/>
  <c r="G7" i="21"/>
  <c r="G5" i="21"/>
  <c r="G23" i="21"/>
  <c r="G20" i="21"/>
  <c r="G18" i="21"/>
  <c r="G6" i="21"/>
  <c r="G22" i="21"/>
  <c r="G21" i="21"/>
  <c r="G17" i="21"/>
  <c r="G15" i="21"/>
  <c r="G14" i="21"/>
  <c r="G13" i="21"/>
  <c r="G11" i="21"/>
  <c r="G10" i="21"/>
  <c r="G9" i="21"/>
  <c r="G8" i="21"/>
  <c r="G4" i="21"/>
  <c r="I28" i="21"/>
  <c r="I27" i="21"/>
  <c r="I26" i="21"/>
  <c r="K26" i="21" s="1"/>
  <c r="I25" i="21"/>
  <c r="K25" i="21" s="1"/>
  <c r="I24" i="21"/>
  <c r="K24" i="21" s="1"/>
  <c r="I12" i="21"/>
  <c r="I16" i="21"/>
  <c r="I5" i="21"/>
  <c r="I23" i="21"/>
  <c r="I20" i="21"/>
  <c r="I22" i="21"/>
  <c r="I21" i="21"/>
  <c r="I17" i="21"/>
  <c r="I15" i="21"/>
  <c r="I14" i="21"/>
  <c r="I13" i="21"/>
  <c r="I11" i="21"/>
  <c r="I10" i="21"/>
  <c r="I9" i="21"/>
  <c r="I8" i="21"/>
  <c r="I4" i="21"/>
  <c r="K1104" i="1"/>
  <c r="H1104" i="1"/>
  <c r="K1103" i="1"/>
  <c r="H1103" i="1"/>
  <c r="K1102" i="1"/>
  <c r="K1101" i="1"/>
  <c r="K1099" i="1"/>
  <c r="H1099" i="1"/>
  <c r="K1098" i="1"/>
  <c r="H1098" i="1"/>
  <c r="K1097" i="1"/>
  <c r="H1097" i="1"/>
  <c r="K1096" i="1"/>
  <c r="H1096" i="1"/>
  <c r="K1095" i="1"/>
  <c r="H1095" i="1"/>
  <c r="K1094" i="1"/>
  <c r="E1093" i="1"/>
  <c r="K1093" i="1" s="1"/>
  <c r="K1092" i="1"/>
  <c r="H1092" i="1"/>
  <c r="K1091" i="1"/>
  <c r="H1091" i="1"/>
  <c r="K1090" i="1"/>
  <c r="H1090" i="1"/>
  <c r="K1089" i="1"/>
  <c r="H1089" i="1"/>
  <c r="K1088" i="1"/>
  <c r="H1088" i="1"/>
  <c r="K1087" i="1"/>
  <c r="H1087" i="1"/>
  <c r="K1086" i="1"/>
  <c r="H1086" i="1"/>
  <c r="K1085" i="1"/>
  <c r="H1085" i="1"/>
  <c r="K1084" i="1"/>
  <c r="H1084" i="1"/>
  <c r="K1083" i="1"/>
  <c r="H1083" i="1"/>
  <c r="K1082" i="1"/>
  <c r="H1082" i="1"/>
  <c r="K1081" i="1"/>
  <c r="H1081" i="1"/>
  <c r="K1080" i="1"/>
  <c r="H1080" i="1"/>
  <c r="H1144" i="1"/>
  <c r="H1143" i="1"/>
  <c r="K1142" i="1"/>
  <c r="H1142" i="1"/>
  <c r="K1140" i="1"/>
  <c r="H1140" i="1"/>
  <c r="K1132" i="1"/>
  <c r="H1132" i="1"/>
  <c r="K1130" i="1"/>
  <c r="H1130" i="1"/>
  <c r="K1129" i="1"/>
  <c r="H1129" i="1"/>
  <c r="H1102" i="1"/>
  <c r="H1101" i="1"/>
  <c r="K1100" i="1"/>
  <c r="H1100" i="1"/>
  <c r="H1094" i="1"/>
  <c r="K1079" i="1"/>
  <c r="H1079" i="1"/>
  <c r="K1078" i="1"/>
  <c r="H1078" i="1"/>
  <c r="K1077" i="1"/>
  <c r="H1077" i="1"/>
  <c r="K1076" i="1"/>
  <c r="K1075" i="1"/>
  <c r="H1075" i="1"/>
  <c r="K1074" i="1"/>
  <c r="H1074" i="1"/>
  <c r="K1073" i="1"/>
  <c r="H1073" i="1"/>
  <c r="K1072" i="1"/>
  <c r="H1072" i="1"/>
  <c r="K1071" i="1"/>
  <c r="H1071" i="1"/>
  <c r="K1070" i="1"/>
  <c r="H1070" i="1"/>
  <c r="K1069" i="1"/>
  <c r="H1069" i="1"/>
  <c r="K1068" i="1"/>
  <c r="K1067" i="1"/>
  <c r="K1066" i="1"/>
  <c r="H1076" i="1"/>
  <c r="K1065" i="1"/>
  <c r="H1065" i="1"/>
  <c r="K1064" i="1"/>
  <c r="H1064" i="1"/>
  <c r="K1063" i="1"/>
  <c r="H1063" i="1"/>
  <c r="K1062" i="1"/>
  <c r="H1062" i="1"/>
  <c r="K1061" i="1"/>
  <c r="H1061" i="1"/>
  <c r="K1060" i="1"/>
  <c r="H1060" i="1"/>
  <c r="K1059" i="1"/>
  <c r="K1057" i="1"/>
  <c r="H1057" i="1"/>
  <c r="K1056" i="1"/>
  <c r="H1056" i="1"/>
  <c r="K1055" i="1"/>
  <c r="H1055" i="1"/>
  <c r="K1054" i="1"/>
  <c r="H1054" i="1"/>
  <c r="D40" i="7"/>
  <c r="K1053" i="1"/>
  <c r="K1052" i="1"/>
  <c r="K1051" i="1"/>
  <c r="K1050" i="1"/>
  <c r="H1050" i="1"/>
  <c r="K1049" i="1"/>
  <c r="H1049" i="1"/>
  <c r="K1048" i="1"/>
  <c r="H1048" i="1"/>
  <c r="K1047" i="1"/>
  <c r="K1046" i="1"/>
  <c r="K1045" i="1"/>
  <c r="K1044" i="1"/>
  <c r="K1043" i="1"/>
  <c r="H1043" i="1"/>
  <c r="K1042" i="1"/>
  <c r="H1042" i="1"/>
  <c r="K1041" i="1"/>
  <c r="H1041" i="1"/>
  <c r="H1068" i="1"/>
  <c r="H1067" i="1"/>
  <c r="H1066" i="1"/>
  <c r="H1059" i="1"/>
  <c r="K1058" i="1"/>
  <c r="H1058" i="1"/>
  <c r="H1053" i="1"/>
  <c r="H1052" i="1"/>
  <c r="H1051" i="1"/>
  <c r="H1047" i="1"/>
  <c r="H1046" i="1"/>
  <c r="K1040" i="1"/>
  <c r="H1040" i="1"/>
  <c r="K1039" i="1"/>
  <c r="H1039" i="1"/>
  <c r="K1038" i="1"/>
  <c r="H1038" i="1"/>
  <c r="K1037" i="1"/>
  <c r="H1037" i="1"/>
  <c r="K1036" i="1"/>
  <c r="H1036" i="1"/>
  <c r="K1035" i="1"/>
  <c r="H1035" i="1"/>
  <c r="K1034" i="1"/>
  <c r="H1034" i="1"/>
  <c r="K1155" i="1" l="1"/>
  <c r="H1141" i="1"/>
  <c r="H1210" i="1"/>
  <c r="H1093" i="1"/>
  <c r="J20" i="21"/>
  <c r="K20" i="21" s="1"/>
  <c r="J9" i="21"/>
  <c r="K9" i="21" s="1"/>
  <c r="J10" i="21"/>
  <c r="K10" i="21" s="1"/>
  <c r="J11" i="21"/>
  <c r="K11" i="21" s="1"/>
  <c r="J18" i="21"/>
  <c r="K18" i="21" s="1"/>
  <c r="K27" i="21"/>
  <c r="J22" i="21"/>
  <c r="K22" i="21" s="1"/>
  <c r="J6" i="21"/>
  <c r="K6" i="21" s="1"/>
  <c r="K28" i="21"/>
  <c r="J21" i="21"/>
  <c r="K21" i="21" s="1"/>
  <c r="J23" i="21"/>
  <c r="K23" i="21" s="1"/>
  <c r="J26" i="21"/>
  <c r="J25" i="21"/>
  <c r="J24" i="21"/>
  <c r="J13" i="21"/>
  <c r="K13" i="21" s="1"/>
  <c r="J8" i="21"/>
  <c r="K8" i="21" s="1"/>
  <c r="K1033" i="1"/>
  <c r="H1033" i="1"/>
  <c r="K1032" i="1"/>
  <c r="H1032" i="1"/>
  <c r="K1031" i="1"/>
  <c r="H1031" i="1"/>
  <c r="K1030" i="1"/>
  <c r="H1030" i="1"/>
  <c r="K1029" i="1"/>
  <c r="H1029" i="1"/>
  <c r="K1028" i="1"/>
  <c r="H1028" i="1"/>
  <c r="K1027" i="1"/>
  <c r="H1027" i="1"/>
  <c r="K1026" i="1"/>
  <c r="H1026" i="1"/>
  <c r="K1025" i="1"/>
  <c r="H1025" i="1"/>
  <c r="K1024" i="1"/>
  <c r="H1024" i="1"/>
  <c r="K1023" i="1"/>
  <c r="H1023" i="1"/>
  <c r="K1022" i="1"/>
  <c r="H1022" i="1"/>
  <c r="K1021" i="1"/>
  <c r="H1021" i="1"/>
  <c r="K1020" i="1"/>
  <c r="H1020" i="1"/>
  <c r="K1019" i="1"/>
  <c r="H1019" i="1"/>
  <c r="K1018" i="1"/>
  <c r="H1018" i="1"/>
  <c r="K1017" i="1"/>
  <c r="H1017" i="1"/>
  <c r="K1016" i="1"/>
  <c r="H1016" i="1"/>
  <c r="J15" i="21" l="1"/>
  <c r="K15" i="21" s="1"/>
  <c r="J27" i="21"/>
  <c r="J14" i="21"/>
  <c r="K14" i="21" s="1"/>
  <c r="J19" i="21"/>
  <c r="K19" i="21" s="1"/>
  <c r="J5" i="21"/>
  <c r="K5" i="21" s="1"/>
  <c r="J16" i="21"/>
  <c r="K16" i="21" s="1"/>
  <c r="J12" i="21"/>
  <c r="K12" i="21" s="1"/>
  <c r="J7" i="21"/>
  <c r="K7" i="21" s="1"/>
  <c r="G29" i="21"/>
  <c r="J4" i="21"/>
  <c r="K4" i="21" s="1"/>
  <c r="J28" i="21"/>
  <c r="I29" i="21"/>
  <c r="J17" i="21"/>
  <c r="K17" i="21" s="1"/>
  <c r="K1015" i="1"/>
  <c r="H1015" i="1"/>
  <c r="K1014" i="1"/>
  <c r="H1014" i="1"/>
  <c r="J29" i="21" l="1"/>
  <c r="K29" i="21" s="1"/>
  <c r="K1013" i="1"/>
  <c r="H1013" i="1"/>
  <c r="K1012" i="1"/>
  <c r="H1012" i="1"/>
  <c r="K1011" i="1"/>
  <c r="H1011" i="1"/>
  <c r="K1010" i="1"/>
  <c r="K1009" i="1"/>
  <c r="H1009" i="1"/>
  <c r="K1008" i="1"/>
  <c r="H1008" i="1"/>
  <c r="K1007" i="1"/>
  <c r="H1007" i="1"/>
  <c r="K1006" i="1"/>
  <c r="K1005" i="1"/>
  <c r="H1005" i="1"/>
  <c r="K998" i="1"/>
  <c r="H998" i="1"/>
  <c r="K997" i="1"/>
  <c r="H997" i="1"/>
  <c r="K996" i="1"/>
  <c r="H996" i="1"/>
  <c r="K994" i="1"/>
  <c r="H994" i="1"/>
  <c r="K993" i="1"/>
  <c r="H993" i="1"/>
  <c r="K992" i="1"/>
  <c r="H992" i="1"/>
  <c r="K991" i="1"/>
  <c r="H991" i="1"/>
  <c r="H1010" i="1"/>
  <c r="H1006" i="1"/>
  <c r="K1004" i="1"/>
  <c r="H1004" i="1"/>
  <c r="K1003" i="1"/>
  <c r="H1003" i="1"/>
  <c r="K1002" i="1"/>
  <c r="H1002" i="1"/>
  <c r="K1001" i="1"/>
  <c r="H1001" i="1"/>
  <c r="K1000" i="1"/>
  <c r="H1000" i="1"/>
  <c r="K999" i="1"/>
  <c r="H999" i="1"/>
  <c r="K995" i="1"/>
  <c r="H995" i="1"/>
  <c r="K990" i="1"/>
  <c r="H990" i="1"/>
  <c r="K970" i="1"/>
  <c r="H970" i="1"/>
  <c r="K971" i="1"/>
  <c r="H971" i="1"/>
  <c r="K969" i="1"/>
  <c r="H969" i="1"/>
  <c r="K968" i="1"/>
  <c r="H968" i="1"/>
  <c r="K965" i="1"/>
  <c r="K963" i="1"/>
  <c r="H963" i="1"/>
  <c r="K962" i="1"/>
  <c r="H962" i="1"/>
  <c r="K961" i="1"/>
  <c r="H961" i="1"/>
  <c r="K960" i="1"/>
  <c r="H960" i="1"/>
  <c r="K957" i="1"/>
  <c r="K956" i="1"/>
  <c r="H956" i="1"/>
  <c r="K955" i="1"/>
  <c r="H955" i="1"/>
  <c r="K954" i="1"/>
  <c r="H954" i="1"/>
  <c r="K953" i="1"/>
  <c r="H953" i="1"/>
  <c r="K952" i="1"/>
  <c r="H952" i="1"/>
  <c r="K950" i="1"/>
  <c r="H950" i="1"/>
  <c r="K949" i="1"/>
  <c r="H949" i="1"/>
  <c r="K948" i="1"/>
  <c r="H948" i="1"/>
  <c r="K947" i="1"/>
  <c r="H947" i="1"/>
  <c r="K946" i="1"/>
  <c r="H946" i="1"/>
  <c r="K945" i="1"/>
  <c r="H945" i="1"/>
  <c r="K944" i="1"/>
  <c r="H944" i="1"/>
  <c r="K943" i="1"/>
  <c r="H943" i="1"/>
  <c r="K942" i="1"/>
  <c r="H942" i="1"/>
  <c r="K941" i="1"/>
  <c r="H941" i="1"/>
  <c r="K940" i="1"/>
  <c r="H940" i="1"/>
  <c r="K939" i="1"/>
  <c r="H939" i="1"/>
  <c r="K938" i="1"/>
  <c r="H938" i="1"/>
  <c r="K937" i="1"/>
  <c r="H937" i="1"/>
  <c r="K936" i="1"/>
  <c r="H936" i="1"/>
  <c r="H1045" i="1"/>
  <c r="H1044" i="1"/>
  <c r="K989" i="1"/>
  <c r="H989" i="1"/>
  <c r="K988" i="1"/>
  <c r="H988" i="1"/>
  <c r="K987" i="1"/>
  <c r="H987" i="1"/>
  <c r="K986" i="1"/>
  <c r="H986" i="1"/>
  <c r="K985" i="1"/>
  <c r="H985" i="1"/>
  <c r="K984" i="1"/>
  <c r="H984" i="1"/>
  <c r="K983" i="1"/>
  <c r="H983" i="1"/>
  <c r="K982" i="1"/>
  <c r="H982" i="1"/>
  <c r="K981" i="1"/>
  <c r="H981" i="1"/>
  <c r="K980" i="1"/>
  <c r="H980" i="1"/>
  <c r="K979" i="1"/>
  <c r="H979" i="1"/>
  <c r="K978" i="1"/>
  <c r="H978" i="1"/>
  <c r="K977" i="1"/>
  <c r="H977" i="1"/>
  <c r="K976" i="1"/>
  <c r="H976" i="1"/>
  <c r="K975" i="1"/>
  <c r="H975" i="1"/>
  <c r="K974" i="1"/>
  <c r="H974" i="1"/>
  <c r="K973" i="1"/>
  <c r="H973" i="1"/>
  <c r="K972" i="1"/>
  <c r="H972" i="1"/>
  <c r="K967" i="1"/>
  <c r="H967" i="1"/>
  <c r="K966" i="1"/>
  <c r="H966" i="1"/>
  <c r="K964" i="1"/>
  <c r="H964" i="1"/>
  <c r="K959" i="1"/>
  <c r="H959" i="1"/>
  <c r="K958" i="1"/>
  <c r="H958" i="1"/>
  <c r="K951" i="1"/>
  <c r="H951" i="1"/>
  <c r="K935" i="1"/>
  <c r="H935" i="1"/>
  <c r="K934" i="1"/>
  <c r="H934" i="1"/>
  <c r="K933" i="1"/>
  <c r="H933" i="1"/>
  <c r="K932" i="1"/>
  <c r="H932" i="1"/>
  <c r="K930" i="1"/>
  <c r="H930" i="1"/>
  <c r="K928" i="1"/>
  <c r="H928" i="1"/>
  <c r="K929" i="1"/>
  <c r="H929" i="1"/>
  <c r="G20" i="17"/>
  <c r="G14" i="17"/>
  <c r="G8" i="17"/>
  <c r="G2" i="17"/>
  <c r="K927" i="1"/>
  <c r="H927" i="1"/>
  <c r="K926" i="1"/>
  <c r="H926" i="1"/>
  <c r="K925" i="1"/>
  <c r="H925" i="1"/>
  <c r="K924" i="1"/>
  <c r="H924" i="1"/>
  <c r="K923" i="1"/>
  <c r="H923" i="1"/>
  <c r="K922" i="1"/>
  <c r="H922" i="1"/>
  <c r="K921" i="1"/>
  <c r="H921" i="1"/>
  <c r="K920" i="1"/>
  <c r="H920" i="1"/>
  <c r="K919" i="1"/>
  <c r="H919" i="1"/>
  <c r="K917" i="1"/>
  <c r="H917" i="1"/>
  <c r="K918" i="1"/>
  <c r="H918" i="1"/>
  <c r="K916" i="1"/>
  <c r="H916" i="1"/>
  <c r="K915" i="1"/>
  <c r="H915" i="1"/>
  <c r="K914" i="1"/>
  <c r="H914" i="1"/>
  <c r="K913" i="1"/>
  <c r="H913" i="1"/>
  <c r="K912" i="1"/>
  <c r="H912" i="1"/>
  <c r="K904" i="1"/>
  <c r="H904" i="1"/>
  <c r="F902" i="1"/>
  <c r="H902" i="1" s="1"/>
  <c r="K903" i="1"/>
  <c r="H903" i="1"/>
  <c r="K902" i="1"/>
  <c r="K901" i="1"/>
  <c r="H901" i="1"/>
  <c r="E11" i="2"/>
  <c r="H11" i="2" s="1"/>
  <c r="K900" i="1"/>
  <c r="H900" i="1"/>
  <c r="E899" i="1"/>
  <c r="K897" i="1"/>
  <c r="H897" i="1"/>
  <c r="K896" i="1"/>
  <c r="H896" i="1"/>
  <c r="K895" i="1"/>
  <c r="H895" i="1"/>
  <c r="H893" i="1"/>
  <c r="K894" i="1"/>
  <c r="H894" i="1"/>
  <c r="K893" i="1"/>
  <c r="K892" i="1"/>
  <c r="H892" i="1"/>
  <c r="K891" i="1"/>
  <c r="H891" i="1"/>
  <c r="K890" i="1"/>
  <c r="H890" i="1"/>
  <c r="K889" i="1"/>
  <c r="H889" i="1"/>
  <c r="K888" i="1"/>
  <c r="H888" i="1"/>
  <c r="K887" i="1"/>
  <c r="H887" i="1"/>
  <c r="K886" i="1"/>
  <c r="H886" i="1"/>
  <c r="K885" i="1"/>
  <c r="H885" i="1"/>
  <c r="K884" i="1"/>
  <c r="H884" i="1"/>
  <c r="K883" i="1"/>
  <c r="H883" i="1"/>
  <c r="K882" i="1"/>
  <c r="H882" i="1"/>
  <c r="H965" i="1" l="1"/>
  <c r="H957" i="1"/>
  <c r="K881" i="1"/>
  <c r="H881" i="1"/>
  <c r="K880" i="1"/>
  <c r="H880" i="1"/>
  <c r="K879" i="1"/>
  <c r="H879" i="1"/>
  <c r="K878" i="1"/>
  <c r="H878" i="1"/>
  <c r="I22" i="17"/>
  <c r="E22" i="17"/>
  <c r="L22" i="17"/>
  <c r="D38" i="2"/>
  <c r="E38" i="2"/>
  <c r="F38" i="2"/>
  <c r="G38" i="2"/>
  <c r="H38" i="2"/>
  <c r="I38" i="2"/>
  <c r="J38" i="2"/>
  <c r="K38" i="2"/>
  <c r="L38" i="2"/>
  <c r="F10" i="2"/>
  <c r="C22" i="17" s="1"/>
  <c r="E24" i="17" s="1"/>
  <c r="E10" i="2"/>
  <c r="K877" i="1"/>
  <c r="K876" i="1"/>
  <c r="D28" i="7"/>
  <c r="M38" i="2" l="1"/>
  <c r="G10" i="2"/>
  <c r="L33" i="2"/>
  <c r="L34" i="2"/>
  <c r="L35" i="2"/>
  <c r="L36" i="2"/>
  <c r="L37" i="2"/>
  <c r="L39" i="2"/>
  <c r="L40" i="2"/>
  <c r="L41" i="2"/>
  <c r="L42" i="2"/>
  <c r="L43" i="2"/>
  <c r="L44" i="2"/>
  <c r="K33" i="2"/>
  <c r="K35" i="2"/>
  <c r="K36" i="2"/>
  <c r="K37" i="2"/>
  <c r="K39" i="2"/>
  <c r="K40" i="2"/>
  <c r="K41" i="2"/>
  <c r="K42" i="2"/>
  <c r="K43" i="2"/>
  <c r="K44" i="2"/>
  <c r="J33" i="2"/>
  <c r="J34" i="2"/>
  <c r="J35" i="2"/>
  <c r="J36" i="2"/>
  <c r="J37" i="2"/>
  <c r="J39" i="2"/>
  <c r="J40" i="2"/>
  <c r="J41" i="2"/>
  <c r="J42" i="2"/>
  <c r="J43" i="2"/>
  <c r="J44" i="2"/>
  <c r="I33" i="2"/>
  <c r="I34" i="2"/>
  <c r="I35" i="2"/>
  <c r="I36" i="2"/>
  <c r="I37" i="2"/>
  <c r="I39" i="2"/>
  <c r="I40" i="2"/>
  <c r="I41" i="2"/>
  <c r="I42" i="2"/>
  <c r="I43" i="2"/>
  <c r="I44" i="2"/>
  <c r="H33" i="2"/>
  <c r="H34" i="2"/>
  <c r="H35" i="2"/>
  <c r="H36" i="2"/>
  <c r="H37" i="2"/>
  <c r="H39" i="2"/>
  <c r="H40" i="2"/>
  <c r="H41" i="2"/>
  <c r="H42" i="2"/>
  <c r="H43" i="2"/>
  <c r="H44" i="2"/>
  <c r="G33" i="2"/>
  <c r="G34" i="2"/>
  <c r="G35" i="2"/>
  <c r="G36" i="2"/>
  <c r="G39" i="2"/>
  <c r="G40" i="2"/>
  <c r="G41" i="2"/>
  <c r="G42" i="2"/>
  <c r="G43" i="2"/>
  <c r="G44" i="2"/>
  <c r="F33" i="2"/>
  <c r="F34" i="2"/>
  <c r="F35" i="2"/>
  <c r="F36" i="2"/>
  <c r="F37" i="2"/>
  <c r="F39" i="2"/>
  <c r="F40" i="2"/>
  <c r="F41" i="2"/>
  <c r="F42" i="2"/>
  <c r="F43" i="2"/>
  <c r="F44" i="2"/>
  <c r="E33" i="2"/>
  <c r="E34" i="2"/>
  <c r="E35" i="2"/>
  <c r="E36" i="2"/>
  <c r="E37" i="2"/>
  <c r="E39" i="2"/>
  <c r="E40" i="2"/>
  <c r="E41" i="2"/>
  <c r="E42" i="2"/>
  <c r="E43" i="2"/>
  <c r="E44" i="2"/>
  <c r="D33" i="2"/>
  <c r="D34" i="2"/>
  <c r="D35" i="2"/>
  <c r="D36" i="2"/>
  <c r="D37" i="2"/>
  <c r="D39" i="2"/>
  <c r="D40" i="2"/>
  <c r="D41" i="2"/>
  <c r="D42" i="2"/>
  <c r="D43" i="2"/>
  <c r="D44" i="2"/>
  <c r="K931" i="1"/>
  <c r="H931" i="1"/>
  <c r="K911" i="1"/>
  <c r="H911" i="1"/>
  <c r="K910" i="1"/>
  <c r="H910" i="1"/>
  <c r="K909" i="1"/>
  <c r="H909" i="1"/>
  <c r="K908" i="1"/>
  <c r="H908" i="1"/>
  <c r="K907" i="1"/>
  <c r="H907" i="1"/>
  <c r="K906" i="1"/>
  <c r="H906" i="1"/>
  <c r="K905" i="1"/>
  <c r="H905" i="1"/>
  <c r="K899" i="1"/>
  <c r="H899" i="1"/>
  <c r="K898" i="1"/>
  <c r="H898" i="1"/>
  <c r="K869" i="1"/>
  <c r="H869" i="1"/>
  <c r="D53" i="7" a="1"/>
  <c r="M35" i="2" l="1"/>
  <c r="M41" i="2"/>
  <c r="M44" i="2"/>
  <c r="M39" i="2"/>
  <c r="M36" i="2"/>
  <c r="M43" i="2"/>
  <c r="M42" i="2"/>
  <c r="M33" i="2"/>
  <c r="M40" i="2"/>
  <c r="D53" i="7"/>
  <c r="K866" i="1" l="1"/>
  <c r="K865" i="1"/>
  <c r="K864" i="1"/>
  <c r="G11" i="2"/>
  <c r="K860" i="1"/>
  <c r="H860" i="1"/>
  <c r="K857" i="1"/>
  <c r="H857" i="1"/>
  <c r="K856" i="1"/>
  <c r="H856" i="1"/>
  <c r="K855" i="1"/>
  <c r="H855" i="1"/>
  <c r="K854" i="1"/>
  <c r="H854" i="1"/>
  <c r="K853" i="1"/>
  <c r="H853" i="1"/>
  <c r="K852" i="1"/>
  <c r="H852" i="1"/>
  <c r="K851" i="1"/>
  <c r="H851" i="1"/>
  <c r="K850" i="1"/>
  <c r="H850" i="1"/>
  <c r="K849" i="1"/>
  <c r="H849" i="1"/>
  <c r="K848" i="1"/>
  <c r="H848" i="1"/>
  <c r="F12" i="2"/>
  <c r="K847" i="1"/>
  <c r="H847" i="1"/>
  <c r="K839" i="1"/>
  <c r="H839" i="1"/>
  <c r="K838" i="1"/>
  <c r="H838" i="1"/>
  <c r="K837" i="1"/>
  <c r="H837" i="1"/>
  <c r="K836" i="1"/>
  <c r="H836" i="1"/>
  <c r="K835" i="1"/>
  <c r="H835" i="1"/>
  <c r="K834" i="1"/>
  <c r="H834" i="1"/>
  <c r="K833" i="1"/>
  <c r="H833" i="1"/>
  <c r="K832" i="1"/>
  <c r="H832" i="1"/>
  <c r="K831" i="1"/>
  <c r="H831" i="1"/>
  <c r="H877" i="1"/>
  <c r="H876" i="1"/>
  <c r="K875" i="1"/>
  <c r="H875" i="1"/>
  <c r="K874" i="1"/>
  <c r="H874" i="1"/>
  <c r="K873" i="1"/>
  <c r="H873" i="1"/>
  <c r="K872" i="1"/>
  <c r="H872" i="1"/>
  <c r="K871" i="1"/>
  <c r="H871" i="1"/>
  <c r="K870" i="1"/>
  <c r="H870" i="1"/>
  <c r="K868" i="1"/>
  <c r="H868" i="1"/>
  <c r="K867" i="1"/>
  <c r="H867" i="1"/>
  <c r="H866" i="1"/>
  <c r="H865" i="1"/>
  <c r="H864" i="1"/>
  <c r="K863" i="1"/>
  <c r="H863" i="1"/>
  <c r="K862" i="1"/>
  <c r="H862" i="1"/>
  <c r="K861" i="1"/>
  <c r="H861" i="1"/>
  <c r="K859" i="1"/>
  <c r="H859" i="1"/>
  <c r="K858" i="1"/>
  <c r="H858" i="1"/>
  <c r="K846" i="1"/>
  <c r="H846" i="1"/>
  <c r="K845" i="1"/>
  <c r="H845" i="1"/>
  <c r="K844" i="1"/>
  <c r="H844" i="1"/>
  <c r="K843" i="1"/>
  <c r="H843" i="1"/>
  <c r="K842" i="1"/>
  <c r="H842" i="1"/>
  <c r="K841" i="1"/>
  <c r="H841" i="1"/>
  <c r="K840" i="1"/>
  <c r="H840" i="1"/>
  <c r="K830" i="1"/>
  <c r="H830" i="1"/>
  <c r="K829" i="1"/>
  <c r="H829" i="1"/>
  <c r="K828" i="1"/>
  <c r="H828" i="1"/>
  <c r="K827" i="1"/>
  <c r="H827" i="1"/>
  <c r="K826" i="1"/>
  <c r="H826" i="1"/>
  <c r="H10" i="2" l="1"/>
  <c r="I10" i="2" s="1"/>
  <c r="J10" i="2" s="1"/>
  <c r="K10" i="2" s="1"/>
  <c r="I11" i="2"/>
  <c r="K825" i="1"/>
  <c r="H825" i="1"/>
  <c r="K824" i="1"/>
  <c r="H824" i="1"/>
  <c r="K823" i="1"/>
  <c r="H823" i="1"/>
  <c r="K821" i="1"/>
  <c r="H821" i="1"/>
  <c r="K820" i="1"/>
  <c r="H820" i="1"/>
  <c r="K819" i="1"/>
  <c r="H819" i="1"/>
  <c r="K818" i="1"/>
  <c r="H818" i="1"/>
  <c r="K817" i="1"/>
  <c r="H817" i="1"/>
  <c r="K816" i="1"/>
  <c r="H816" i="1"/>
  <c r="J11" i="2" l="1"/>
  <c r="K11" i="2" s="1"/>
  <c r="I14" i="7"/>
  <c r="K815" i="1"/>
  <c r="H815" i="1"/>
  <c r="K814" i="1"/>
  <c r="H814" i="1"/>
  <c r="K813" i="1"/>
  <c r="H813" i="1"/>
  <c r="K812" i="1"/>
  <c r="H812" i="1"/>
  <c r="K811" i="1"/>
  <c r="H811" i="1"/>
  <c r="K810" i="1"/>
  <c r="H810" i="1"/>
  <c r="K809" i="1"/>
  <c r="H809" i="1"/>
  <c r="K808" i="1"/>
  <c r="H808" i="1"/>
  <c r="K807" i="1"/>
  <c r="H807" i="1"/>
  <c r="K806" i="1"/>
  <c r="H806" i="1"/>
  <c r="K805" i="1"/>
  <c r="H805" i="1"/>
  <c r="K804" i="1"/>
  <c r="H804" i="1"/>
  <c r="K803" i="1"/>
  <c r="H803" i="1"/>
  <c r="F14" i="2" l="1"/>
  <c r="F15" i="2"/>
  <c r="F5" i="2"/>
  <c r="F7" i="2"/>
  <c r="F17" i="2"/>
  <c r="F9" i="2"/>
  <c r="F40" i="7" s="1"/>
  <c r="I16" i="17"/>
  <c r="E16" i="17"/>
  <c r="E10" i="17"/>
  <c r="I10" i="17"/>
  <c r="C20" i="7" a="1"/>
  <c r="C20" i="7" s="1"/>
  <c r="C10" i="7"/>
  <c r="K802" i="1"/>
  <c r="H802" i="1"/>
  <c r="K801" i="1"/>
  <c r="K800" i="1"/>
  <c r="K799" i="1"/>
  <c r="K798" i="1"/>
  <c r="H798" i="1"/>
  <c r="C50" i="7"/>
  <c r="E7" i="2"/>
  <c r="K76" i="15"/>
  <c r="J76" i="15"/>
  <c r="I76" i="15"/>
  <c r="H76" i="15"/>
  <c r="G76" i="15"/>
  <c r="F76" i="15"/>
  <c r="J75" i="15"/>
  <c r="G75" i="15"/>
  <c r="H800" i="1"/>
  <c r="H799" i="1"/>
  <c r="K793" i="1"/>
  <c r="H793" i="1"/>
  <c r="K792" i="1"/>
  <c r="H792" i="1"/>
  <c r="K791" i="1"/>
  <c r="H791" i="1"/>
  <c r="K790" i="1"/>
  <c r="H790" i="1"/>
  <c r="K789" i="1"/>
  <c r="H789" i="1"/>
  <c r="K788" i="1"/>
  <c r="H788" i="1"/>
  <c r="E787" i="1"/>
  <c r="K787" i="1" s="1"/>
  <c r="K786" i="1"/>
  <c r="H786" i="1"/>
  <c r="K783" i="1"/>
  <c r="K782" i="1"/>
  <c r="K781" i="1"/>
  <c r="K780" i="1"/>
  <c r="K773" i="1"/>
  <c r="H773" i="1"/>
  <c r="K772" i="1"/>
  <c r="H772" i="1"/>
  <c r="K771" i="1"/>
  <c r="H771" i="1"/>
  <c r="K770" i="1"/>
  <c r="H770" i="1"/>
  <c r="K768" i="1"/>
  <c r="H768" i="1"/>
  <c r="H766" i="1"/>
  <c r="K765" i="1"/>
  <c r="H765" i="1"/>
  <c r="J70" i="15"/>
  <c r="G70" i="15"/>
  <c r="K69" i="15"/>
  <c r="J69" i="15"/>
  <c r="I69" i="15"/>
  <c r="H69" i="15"/>
  <c r="G69" i="15"/>
  <c r="F69" i="15"/>
  <c r="G68" i="15"/>
  <c r="D32" i="7"/>
  <c r="D33" i="7"/>
  <c r="F33" i="7" s="1"/>
  <c r="D35" i="7"/>
  <c r="F35" i="7" s="1"/>
  <c r="K762" i="1"/>
  <c r="H762" i="1"/>
  <c r="G63" i="15"/>
  <c r="F13" i="7"/>
  <c r="E15" i="2"/>
  <c r="H15" i="2" s="1"/>
  <c r="J65" i="15"/>
  <c r="G65" i="15"/>
  <c r="K64" i="15"/>
  <c r="J64" i="15"/>
  <c r="I64" i="15"/>
  <c r="H64" i="15"/>
  <c r="G64" i="15"/>
  <c r="F64" i="15"/>
  <c r="K758" i="1"/>
  <c r="H758" i="1"/>
  <c r="J62" i="15"/>
  <c r="G62" i="15"/>
  <c r="K61" i="15"/>
  <c r="J61" i="15"/>
  <c r="I61" i="15"/>
  <c r="F61" i="15"/>
  <c r="G61" i="15"/>
  <c r="H61" i="15"/>
  <c r="H28" i="7"/>
  <c r="L25" i="7"/>
  <c r="H25" i="7"/>
  <c r="D25" i="7"/>
  <c r="K822" i="1"/>
  <c r="H822" i="1"/>
  <c r="H801" i="1"/>
  <c r="K797" i="1"/>
  <c r="H797" i="1"/>
  <c r="K796" i="1"/>
  <c r="H796" i="1"/>
  <c r="K795" i="1"/>
  <c r="H795" i="1"/>
  <c r="K794" i="1"/>
  <c r="H794" i="1"/>
  <c r="K785" i="1"/>
  <c r="H785" i="1"/>
  <c r="K784" i="1"/>
  <c r="H784" i="1"/>
  <c r="H783" i="1"/>
  <c r="H782" i="1"/>
  <c r="H781" i="1"/>
  <c r="H780" i="1"/>
  <c r="K779" i="1"/>
  <c r="H779" i="1"/>
  <c r="K778" i="1"/>
  <c r="H778" i="1"/>
  <c r="K777" i="1"/>
  <c r="H777" i="1"/>
  <c r="K776" i="1"/>
  <c r="H776" i="1"/>
  <c r="K775" i="1"/>
  <c r="H775" i="1"/>
  <c r="K774" i="1"/>
  <c r="H774" i="1"/>
  <c r="K769" i="1"/>
  <c r="H769" i="1"/>
  <c r="K764" i="1"/>
  <c r="H764" i="1"/>
  <c r="K763" i="1"/>
  <c r="H763" i="1"/>
  <c r="K766" i="1"/>
  <c r="K761" i="1"/>
  <c r="H761" i="1"/>
  <c r="K760" i="1"/>
  <c r="H760" i="1"/>
  <c r="K759" i="1"/>
  <c r="H759" i="1"/>
  <c r="K757" i="1"/>
  <c r="H757" i="1"/>
  <c r="K756" i="1"/>
  <c r="H756" i="1"/>
  <c r="K754" i="1"/>
  <c r="H754" i="1"/>
  <c r="K753" i="1"/>
  <c r="H753" i="1"/>
  <c r="K752" i="1"/>
  <c r="H752" i="1"/>
  <c r="K751" i="1"/>
  <c r="H751" i="1"/>
  <c r="K750" i="1"/>
  <c r="H750" i="1"/>
  <c r="K749" i="1"/>
  <c r="H749" i="1"/>
  <c r="K747" i="1"/>
  <c r="H747" i="1"/>
  <c r="K746" i="1"/>
  <c r="H746" i="1"/>
  <c r="F19" i="7"/>
  <c r="K745" i="1"/>
  <c r="H745" i="1"/>
  <c r="K744" i="1"/>
  <c r="H744" i="1"/>
  <c r="K743" i="1"/>
  <c r="H743" i="1"/>
  <c r="K742" i="1"/>
  <c r="H742" i="1"/>
  <c r="K741" i="1"/>
  <c r="H741" i="1"/>
  <c r="K740" i="1"/>
  <c r="H740" i="1"/>
  <c r="K739" i="1"/>
  <c r="H739" i="1"/>
  <c r="K738" i="1"/>
  <c r="H738" i="1"/>
  <c r="K737" i="1"/>
  <c r="H737" i="1"/>
  <c r="K736" i="1"/>
  <c r="H736" i="1"/>
  <c r="K735" i="1"/>
  <c r="H735" i="1"/>
  <c r="K734" i="1"/>
  <c r="H734" i="1"/>
  <c r="K733" i="1"/>
  <c r="H733" i="1"/>
  <c r="K732" i="1"/>
  <c r="H732" i="1"/>
  <c r="K731" i="1"/>
  <c r="H731" i="1"/>
  <c r="K730" i="1"/>
  <c r="H730" i="1"/>
  <c r="K729" i="1"/>
  <c r="H729" i="1"/>
  <c r="K728" i="1"/>
  <c r="H728" i="1"/>
  <c r="H54" i="15"/>
  <c r="F5" i="7" s="1"/>
  <c r="E40" i="15" s="1"/>
  <c r="F40" i="15" s="1"/>
  <c r="H725" i="1"/>
  <c r="K726" i="1"/>
  <c r="K723" i="1"/>
  <c r="H723" i="1"/>
  <c r="K719" i="1"/>
  <c r="H719" i="1"/>
  <c r="K722" i="1"/>
  <c r="K721" i="1"/>
  <c r="K720" i="1"/>
  <c r="F9" i="7"/>
  <c r="K748" i="1"/>
  <c r="H748" i="1"/>
  <c r="K727" i="1"/>
  <c r="H727" i="1"/>
  <c r="K725" i="1"/>
  <c r="K724" i="1"/>
  <c r="H724" i="1"/>
  <c r="K714" i="1"/>
  <c r="H714" i="1"/>
  <c r="K710" i="1"/>
  <c r="H710" i="1"/>
  <c r="I49" i="15"/>
  <c r="G49" i="15"/>
  <c r="K709" i="1"/>
  <c r="H709" i="1"/>
  <c r="K708" i="1"/>
  <c r="H708" i="1"/>
  <c r="K707" i="1"/>
  <c r="H707" i="1"/>
  <c r="K706" i="1"/>
  <c r="H706" i="1"/>
  <c r="K704" i="1"/>
  <c r="K703" i="1"/>
  <c r="H703" i="1"/>
  <c r="K702" i="1"/>
  <c r="H702" i="1"/>
  <c r="F4" i="7"/>
  <c r="I46" i="15"/>
  <c r="G46" i="15"/>
  <c r="I41" i="15"/>
  <c r="G41" i="15"/>
  <c r="K701" i="1"/>
  <c r="K700" i="1"/>
  <c r="K699" i="1"/>
  <c r="H726" i="1"/>
  <c r="K692" i="1"/>
  <c r="H692" i="1"/>
  <c r="K691" i="1"/>
  <c r="H691" i="1"/>
  <c r="K679" i="1"/>
  <c r="H679" i="1"/>
  <c r="K678" i="1"/>
  <c r="H678" i="1"/>
  <c r="K675" i="1"/>
  <c r="H675" i="1"/>
  <c r="K674" i="1"/>
  <c r="H674" i="1"/>
  <c r="H722" i="1"/>
  <c r="H721" i="1"/>
  <c r="H720" i="1"/>
  <c r="K718" i="1"/>
  <c r="H718" i="1"/>
  <c r="K717" i="1"/>
  <c r="H717" i="1"/>
  <c r="K716" i="1"/>
  <c r="H716" i="1"/>
  <c r="K715" i="1"/>
  <c r="H715" i="1"/>
  <c r="K713" i="1"/>
  <c r="H713" i="1"/>
  <c r="K712" i="1"/>
  <c r="H712" i="1"/>
  <c r="K711" i="1"/>
  <c r="H711" i="1"/>
  <c r="K705" i="1"/>
  <c r="H705" i="1"/>
  <c r="H704" i="1"/>
  <c r="H701" i="1"/>
  <c r="H700" i="1"/>
  <c r="H699" i="1"/>
  <c r="K698" i="1"/>
  <c r="H698" i="1"/>
  <c r="K697" i="1"/>
  <c r="H697" i="1"/>
  <c r="K696" i="1"/>
  <c r="H696" i="1"/>
  <c r="K695" i="1"/>
  <c r="H695" i="1"/>
  <c r="K694" i="1"/>
  <c r="H694" i="1"/>
  <c r="K693" i="1"/>
  <c r="H693" i="1"/>
  <c r="K690" i="1"/>
  <c r="H690" i="1"/>
  <c r="K689" i="1"/>
  <c r="H689" i="1"/>
  <c r="K688" i="1"/>
  <c r="H688" i="1"/>
  <c r="K687" i="1"/>
  <c r="H687" i="1"/>
  <c r="K686" i="1"/>
  <c r="H686" i="1"/>
  <c r="K685" i="1"/>
  <c r="H685" i="1"/>
  <c r="K684" i="1"/>
  <c r="H684" i="1"/>
  <c r="K673" i="1"/>
  <c r="H673" i="1"/>
  <c r="K672" i="1"/>
  <c r="H672" i="1"/>
  <c r="E32" i="15"/>
  <c r="F32" i="15" s="1"/>
  <c r="K668" i="1"/>
  <c r="H668" i="1"/>
  <c r="K667" i="1"/>
  <c r="H667" i="1"/>
  <c r="K666" i="1"/>
  <c r="H666" i="1"/>
  <c r="K665" i="1"/>
  <c r="H665" i="1"/>
  <c r="E25" i="15"/>
  <c r="F25" i="15" s="1"/>
  <c r="E20" i="15"/>
  <c r="F20" i="15" s="1"/>
  <c r="K677" i="1"/>
  <c r="H677" i="1"/>
  <c r="K676" i="1"/>
  <c r="H676" i="1"/>
  <c r="K671" i="1"/>
  <c r="H671" i="1"/>
  <c r="K670" i="1"/>
  <c r="H670" i="1"/>
  <c r="K669" i="1"/>
  <c r="H669" i="1"/>
  <c r="K664" i="1"/>
  <c r="H664" i="1"/>
  <c r="K662" i="1"/>
  <c r="H662" i="1"/>
  <c r="K660" i="1"/>
  <c r="H660" i="1"/>
  <c r="K659" i="1"/>
  <c r="H659" i="1"/>
  <c r="K656" i="1"/>
  <c r="H656" i="1"/>
  <c r="K655" i="1"/>
  <c r="H655" i="1"/>
  <c r="K663" i="1"/>
  <c r="H663" i="1"/>
  <c r="G13" i="15"/>
  <c r="G10" i="15"/>
  <c r="H10" i="15" s="1"/>
  <c r="E4" i="15"/>
  <c r="F3" i="15"/>
  <c r="K651" i="1"/>
  <c r="K650" i="1"/>
  <c r="H650" i="1"/>
  <c r="K649" i="1"/>
  <c r="H649" i="1"/>
  <c r="K643" i="1"/>
  <c r="H643" i="1"/>
  <c r="K642" i="1"/>
  <c r="H642" i="1"/>
  <c r="K641" i="1"/>
  <c r="H641" i="1"/>
  <c r="K683" i="1"/>
  <c r="H683" i="1"/>
  <c r="K682" i="1"/>
  <c r="H682" i="1"/>
  <c r="K681" i="1"/>
  <c r="H681" i="1"/>
  <c r="K680" i="1"/>
  <c r="H680" i="1"/>
  <c r="K661" i="1"/>
  <c r="H661" i="1"/>
  <c r="K658" i="1"/>
  <c r="H658" i="1"/>
  <c r="K657" i="1"/>
  <c r="H657" i="1"/>
  <c r="K640" i="1"/>
  <c r="H640" i="1"/>
  <c r="K639" i="1"/>
  <c r="H639" i="1"/>
  <c r="E17" i="2"/>
  <c r="H654" i="1"/>
  <c r="H653" i="1"/>
  <c r="H652" i="1"/>
  <c r="H651" i="1"/>
  <c r="H648" i="1"/>
  <c r="H647" i="1"/>
  <c r="H646" i="1"/>
  <c r="H645" i="1"/>
  <c r="H644" i="1"/>
  <c r="H638" i="1"/>
  <c r="H637" i="1"/>
  <c r="H636" i="1"/>
  <c r="H635" i="1"/>
  <c r="H634" i="1"/>
  <c r="H633" i="1"/>
  <c r="H632" i="1"/>
  <c r="H631" i="1"/>
  <c r="H630" i="1"/>
  <c r="H629" i="1"/>
  <c r="H628" i="1"/>
  <c r="K628" i="1"/>
  <c r="K629" i="1"/>
  <c r="K630" i="1"/>
  <c r="K631" i="1"/>
  <c r="K632" i="1"/>
  <c r="K633" i="1"/>
  <c r="K634" i="1"/>
  <c r="K635" i="1"/>
  <c r="K636" i="1"/>
  <c r="K637" i="1"/>
  <c r="K638" i="1"/>
  <c r="K644" i="1"/>
  <c r="K645" i="1"/>
  <c r="K646" i="1"/>
  <c r="K647" i="1"/>
  <c r="K648" i="1"/>
  <c r="K652" i="1"/>
  <c r="K653" i="1"/>
  <c r="K654" i="1"/>
  <c r="K622" i="1"/>
  <c r="H622" i="1"/>
  <c r="K621" i="1"/>
  <c r="H621" i="1"/>
  <c r="K620" i="1"/>
  <c r="H620" i="1"/>
  <c r="K619" i="1"/>
  <c r="H619" i="1"/>
  <c r="K617" i="1"/>
  <c r="H617" i="1"/>
  <c r="K614" i="1"/>
  <c r="H614" i="1"/>
  <c r="K613" i="1"/>
  <c r="H613" i="1"/>
  <c r="K603" i="1"/>
  <c r="H603" i="1"/>
  <c r="K602" i="1"/>
  <c r="H602" i="1"/>
  <c r="K601" i="1"/>
  <c r="H601" i="1"/>
  <c r="H600" i="1"/>
  <c r="H627" i="1"/>
  <c r="H626" i="1"/>
  <c r="H625" i="1"/>
  <c r="H624" i="1"/>
  <c r="H623" i="1"/>
  <c r="H618" i="1"/>
  <c r="H616" i="1"/>
  <c r="H615" i="1"/>
  <c r="H612" i="1"/>
  <c r="H611" i="1"/>
  <c r="H610" i="1"/>
  <c r="H609" i="1"/>
  <c r="H608" i="1"/>
  <c r="H607" i="1"/>
  <c r="H606" i="1"/>
  <c r="H605" i="1"/>
  <c r="H604" i="1"/>
  <c r="H599" i="1"/>
  <c r="H598" i="1"/>
  <c r="H597" i="1"/>
  <c r="H596" i="1"/>
  <c r="K596" i="1"/>
  <c r="K597" i="1"/>
  <c r="K598" i="1"/>
  <c r="K599" i="1"/>
  <c r="K604" i="1"/>
  <c r="K605" i="1"/>
  <c r="K606" i="1"/>
  <c r="K607" i="1"/>
  <c r="K608" i="1"/>
  <c r="K609" i="1"/>
  <c r="K610" i="1"/>
  <c r="K611" i="1"/>
  <c r="K612" i="1"/>
  <c r="K615" i="1"/>
  <c r="K618" i="1"/>
  <c r="K623" i="1"/>
  <c r="K624" i="1"/>
  <c r="K625" i="1"/>
  <c r="K626" i="1"/>
  <c r="K627" i="1"/>
  <c r="K588" i="1"/>
  <c r="H588" i="1"/>
  <c r="K587" i="1"/>
  <c r="H587" i="1"/>
  <c r="K559" i="1"/>
  <c r="H559" i="1"/>
  <c r="K549" i="1"/>
  <c r="H549" i="1"/>
  <c r="K545" i="1"/>
  <c r="H545" i="1"/>
  <c r="K542" i="1"/>
  <c r="H542" i="1"/>
  <c r="K595" i="1"/>
  <c r="H595" i="1"/>
  <c r="K594" i="1"/>
  <c r="H594" i="1"/>
  <c r="K593" i="1"/>
  <c r="H593" i="1"/>
  <c r="K592" i="1"/>
  <c r="H592" i="1"/>
  <c r="K591" i="1"/>
  <c r="H591" i="1"/>
  <c r="K590" i="1"/>
  <c r="H590" i="1"/>
  <c r="K589" i="1"/>
  <c r="H589" i="1"/>
  <c r="K586" i="1"/>
  <c r="H586" i="1"/>
  <c r="K585" i="1"/>
  <c r="H585" i="1"/>
  <c r="K584" i="1"/>
  <c r="H584" i="1"/>
  <c r="K583" i="1"/>
  <c r="H583" i="1"/>
  <c r="K582" i="1"/>
  <c r="H582" i="1"/>
  <c r="K581" i="1"/>
  <c r="H581" i="1"/>
  <c r="K580" i="1"/>
  <c r="H580" i="1"/>
  <c r="K579" i="1"/>
  <c r="H579" i="1"/>
  <c r="K573" i="1"/>
  <c r="H573" i="1"/>
  <c r="K556" i="1"/>
  <c r="H556" i="1"/>
  <c r="K555" i="1"/>
  <c r="H555" i="1"/>
  <c r="F123" i="1"/>
  <c r="H123" i="1" s="1"/>
  <c r="F111" i="1"/>
  <c r="H111" i="1" s="1"/>
  <c r="F110" i="1"/>
  <c r="H110" i="1" s="1"/>
  <c r="F109" i="1"/>
  <c r="H109" i="1" s="1"/>
  <c r="F108" i="1"/>
  <c r="H108" i="1" s="1"/>
  <c r="F107" i="1"/>
  <c r="H107" i="1" s="1"/>
  <c r="K550" i="1"/>
  <c r="K546" i="1"/>
  <c r="H546" i="1"/>
  <c r="K543" i="1"/>
  <c r="H527" i="1"/>
  <c r="K527" i="1"/>
  <c r="E25" i="2"/>
  <c r="H25" i="2" s="1"/>
  <c r="K536" i="1"/>
  <c r="H536" i="1"/>
  <c r="K534" i="1"/>
  <c r="K533" i="1"/>
  <c r="H533" i="1"/>
  <c r="K532" i="1"/>
  <c r="H532" i="1"/>
  <c r="K531" i="1"/>
  <c r="H531" i="1"/>
  <c r="K530" i="1"/>
  <c r="H530" i="1"/>
  <c r="K600" i="1"/>
  <c r="K576" i="1"/>
  <c r="H576" i="1"/>
  <c r="K575" i="1"/>
  <c r="H575" i="1"/>
  <c r="K572" i="1"/>
  <c r="H572" i="1"/>
  <c r="K571" i="1"/>
  <c r="H571" i="1"/>
  <c r="K570" i="1"/>
  <c r="H570" i="1"/>
  <c r="K569" i="1"/>
  <c r="H569" i="1"/>
  <c r="K568" i="1"/>
  <c r="H568" i="1"/>
  <c r="K567" i="1"/>
  <c r="H567" i="1"/>
  <c r="K566" i="1"/>
  <c r="H566" i="1"/>
  <c r="K565" i="1"/>
  <c r="H565" i="1"/>
  <c r="K564" i="1"/>
  <c r="H564" i="1"/>
  <c r="K563" i="1"/>
  <c r="H563" i="1"/>
  <c r="K562" i="1"/>
  <c r="H562" i="1"/>
  <c r="K561" i="1"/>
  <c r="H561" i="1"/>
  <c r="K558" i="1"/>
  <c r="H558" i="1"/>
  <c r="K557" i="1"/>
  <c r="H557" i="1"/>
  <c r="K554" i="1"/>
  <c r="H554" i="1"/>
  <c r="K553" i="1"/>
  <c r="H553" i="1"/>
  <c r="K552" i="1"/>
  <c r="H552" i="1"/>
  <c r="K551" i="1"/>
  <c r="H551" i="1"/>
  <c r="H550" i="1"/>
  <c r="K548" i="1"/>
  <c r="H548" i="1"/>
  <c r="K547" i="1"/>
  <c r="H547" i="1"/>
  <c r="K544" i="1"/>
  <c r="H544" i="1"/>
  <c r="H543" i="1"/>
  <c r="K541" i="1"/>
  <c r="H541" i="1"/>
  <c r="K540" i="1"/>
  <c r="H540" i="1"/>
  <c r="K539" i="1"/>
  <c r="H539" i="1"/>
  <c r="K538" i="1"/>
  <c r="H538" i="1"/>
  <c r="K537" i="1"/>
  <c r="H537" i="1"/>
  <c r="H534" i="1"/>
  <c r="K528" i="1"/>
  <c r="E18" i="2"/>
  <c r="H18" i="2" s="1"/>
  <c r="K522" i="1"/>
  <c r="K512" i="1"/>
  <c r="H512" i="1"/>
  <c r="K511" i="1"/>
  <c r="H511" i="1"/>
  <c r="K510" i="1"/>
  <c r="H510" i="1"/>
  <c r="K509" i="1"/>
  <c r="H509" i="1"/>
  <c r="K524" i="1"/>
  <c r="H524" i="1"/>
  <c r="K523" i="1"/>
  <c r="H523" i="1"/>
  <c r="H522" i="1"/>
  <c r="K521" i="1"/>
  <c r="H521" i="1"/>
  <c r="K520" i="1"/>
  <c r="H520" i="1"/>
  <c r="K519" i="1"/>
  <c r="H519" i="1"/>
  <c r="K518" i="1"/>
  <c r="H518" i="1"/>
  <c r="K517" i="1"/>
  <c r="H517" i="1"/>
  <c r="K516" i="1"/>
  <c r="H516" i="1"/>
  <c r="K514" i="1"/>
  <c r="H514" i="1"/>
  <c r="K513" i="1"/>
  <c r="H513" i="1"/>
  <c r="K515" i="1"/>
  <c r="H515" i="1"/>
  <c r="K508" i="1"/>
  <c r="K507" i="1"/>
  <c r="E12" i="2"/>
  <c r="K499" i="1"/>
  <c r="K496" i="1"/>
  <c r="K491" i="1"/>
  <c r="K490" i="1"/>
  <c r="K488" i="1"/>
  <c r="K487" i="1"/>
  <c r="K484" i="1"/>
  <c r="K483" i="1"/>
  <c r="K475" i="1"/>
  <c r="E473" i="1"/>
  <c r="K473" i="1" s="1"/>
  <c r="E19" i="2"/>
  <c r="K460" i="1"/>
  <c r="K459" i="1"/>
  <c r="K456" i="1"/>
  <c r="K455" i="1"/>
  <c r="K453" i="1"/>
  <c r="K452" i="1"/>
  <c r="H578" i="1"/>
  <c r="H577" i="1"/>
  <c r="H528" i="1"/>
  <c r="H529" i="1"/>
  <c r="H526" i="1"/>
  <c r="H525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6" i="1"/>
  <c r="H485" i="1"/>
  <c r="H488" i="1"/>
  <c r="H487" i="1"/>
  <c r="H484" i="1"/>
  <c r="H482" i="1"/>
  <c r="H481" i="1"/>
  <c r="H483" i="1"/>
  <c r="H480" i="1"/>
  <c r="H479" i="1"/>
  <c r="H478" i="1"/>
  <c r="H477" i="1"/>
  <c r="H476" i="1"/>
  <c r="H475" i="1"/>
  <c r="H474" i="1"/>
  <c r="H472" i="1"/>
  <c r="H471" i="1"/>
  <c r="H470" i="1"/>
  <c r="H468" i="1"/>
  <c r="H465" i="1"/>
  <c r="H464" i="1"/>
  <c r="H469" i="1"/>
  <c r="H467" i="1"/>
  <c r="H466" i="1"/>
  <c r="H463" i="1"/>
  <c r="H462" i="1"/>
  <c r="H460" i="1"/>
  <c r="H459" i="1"/>
  <c r="H458" i="1"/>
  <c r="H457" i="1"/>
  <c r="K457" i="1"/>
  <c r="K458" i="1"/>
  <c r="K462" i="1"/>
  <c r="K463" i="1"/>
  <c r="K466" i="1"/>
  <c r="K467" i="1"/>
  <c r="K469" i="1"/>
  <c r="K464" i="1"/>
  <c r="K465" i="1"/>
  <c r="K468" i="1"/>
  <c r="K470" i="1"/>
  <c r="K471" i="1"/>
  <c r="K472" i="1"/>
  <c r="K474" i="1"/>
  <c r="K476" i="1"/>
  <c r="K477" i="1"/>
  <c r="K478" i="1"/>
  <c r="K479" i="1"/>
  <c r="K480" i="1"/>
  <c r="K481" i="1"/>
  <c r="K482" i="1"/>
  <c r="K485" i="1"/>
  <c r="K486" i="1"/>
  <c r="K489" i="1"/>
  <c r="K492" i="1"/>
  <c r="K493" i="1"/>
  <c r="K494" i="1"/>
  <c r="K495" i="1"/>
  <c r="K497" i="1"/>
  <c r="K498" i="1"/>
  <c r="K500" i="1"/>
  <c r="K501" i="1"/>
  <c r="K502" i="1"/>
  <c r="K503" i="1"/>
  <c r="K504" i="1"/>
  <c r="K505" i="1"/>
  <c r="K506" i="1"/>
  <c r="K525" i="1"/>
  <c r="K526" i="1"/>
  <c r="K529" i="1"/>
  <c r="K577" i="1"/>
  <c r="K578" i="1"/>
  <c r="E447" i="1"/>
  <c r="K440" i="1"/>
  <c r="K461" i="1"/>
  <c r="K445" i="1"/>
  <c r="H455" i="1"/>
  <c r="H454" i="1"/>
  <c r="H453" i="1"/>
  <c r="H452" i="1"/>
  <c r="H535" i="1"/>
  <c r="H451" i="1"/>
  <c r="H450" i="1"/>
  <c r="H449" i="1"/>
  <c r="H448" i="1"/>
  <c r="H446" i="1"/>
  <c r="H445" i="1"/>
  <c r="H444" i="1"/>
  <c r="K444" i="1"/>
  <c r="K446" i="1"/>
  <c r="K448" i="1"/>
  <c r="K449" i="1"/>
  <c r="K450" i="1"/>
  <c r="K451" i="1"/>
  <c r="K535" i="1"/>
  <c r="K454" i="1"/>
  <c r="E16" i="2"/>
  <c r="H16" i="2" s="1"/>
  <c r="K429" i="1"/>
  <c r="K432" i="1"/>
  <c r="K433" i="1"/>
  <c r="K428" i="1"/>
  <c r="H456" i="1"/>
  <c r="K443" i="1"/>
  <c r="H443" i="1"/>
  <c r="K442" i="1"/>
  <c r="H442" i="1"/>
  <c r="K441" i="1"/>
  <c r="H441" i="1"/>
  <c r="K439" i="1"/>
  <c r="H439" i="1"/>
  <c r="K438" i="1"/>
  <c r="H438" i="1"/>
  <c r="K437" i="1"/>
  <c r="H437" i="1"/>
  <c r="K436" i="1"/>
  <c r="H436" i="1"/>
  <c r="K435" i="1"/>
  <c r="H435" i="1"/>
  <c r="K431" i="1"/>
  <c r="H431" i="1"/>
  <c r="K434" i="1"/>
  <c r="H434" i="1"/>
  <c r="K427" i="1"/>
  <c r="E6" i="2"/>
  <c r="H6" i="2" s="1"/>
  <c r="K755" i="1"/>
  <c r="K430" i="1"/>
  <c r="H430" i="1"/>
  <c r="H429" i="1"/>
  <c r="H432" i="1"/>
  <c r="H433" i="1"/>
  <c r="H428" i="1"/>
  <c r="H427" i="1"/>
  <c r="K394" i="1"/>
  <c r="H394" i="1"/>
  <c r="K393" i="1"/>
  <c r="H393" i="1"/>
  <c r="K426" i="1"/>
  <c r="H426" i="1"/>
  <c r="E422" i="1"/>
  <c r="E406" i="1"/>
  <c r="K406" i="1" s="1"/>
  <c r="K407" i="1"/>
  <c r="K417" i="1"/>
  <c r="K418" i="1"/>
  <c r="K419" i="1"/>
  <c r="H419" i="1"/>
  <c r="E412" i="1"/>
  <c r="H412" i="1" s="1"/>
  <c r="K425" i="1"/>
  <c r="H425" i="1"/>
  <c r="K424" i="1"/>
  <c r="H424" i="1"/>
  <c r="K423" i="1"/>
  <c r="H423" i="1"/>
  <c r="K422" i="1"/>
  <c r="K421" i="1"/>
  <c r="H421" i="1"/>
  <c r="K420" i="1"/>
  <c r="H420" i="1"/>
  <c r="H407" i="1"/>
  <c r="H417" i="1"/>
  <c r="H418" i="1"/>
  <c r="K416" i="1"/>
  <c r="H416" i="1"/>
  <c r="K415" i="1"/>
  <c r="H415" i="1"/>
  <c r="K414" i="1"/>
  <c r="H414" i="1"/>
  <c r="K413" i="1"/>
  <c r="H413" i="1"/>
  <c r="K411" i="1"/>
  <c r="H411" i="1"/>
  <c r="K410" i="1"/>
  <c r="H410" i="1"/>
  <c r="K409" i="1"/>
  <c r="H409" i="1"/>
  <c r="K402" i="1"/>
  <c r="H402" i="1"/>
  <c r="K403" i="1"/>
  <c r="H403" i="1"/>
  <c r="K404" i="1"/>
  <c r="H404" i="1"/>
  <c r="K399" i="1"/>
  <c r="E395" i="1"/>
  <c r="K408" i="1"/>
  <c r="H408" i="1"/>
  <c r="K405" i="1"/>
  <c r="H405" i="1"/>
  <c r="K574" i="1"/>
  <c r="H574" i="1"/>
  <c r="K401" i="1"/>
  <c r="H401" i="1"/>
  <c r="K400" i="1"/>
  <c r="H400" i="1"/>
  <c r="K398" i="1"/>
  <c r="H398" i="1"/>
  <c r="K397" i="1"/>
  <c r="H397" i="1"/>
  <c r="K396" i="1"/>
  <c r="H396" i="1"/>
  <c r="K392" i="1"/>
  <c r="H392" i="1"/>
  <c r="K391" i="1"/>
  <c r="H391" i="1"/>
  <c r="K390" i="1"/>
  <c r="H390" i="1"/>
  <c r="K389" i="1"/>
  <c r="H389" i="1"/>
  <c r="K388" i="1"/>
  <c r="H388" i="1"/>
  <c r="K387" i="1"/>
  <c r="H387" i="1"/>
  <c r="K386" i="1"/>
  <c r="H386" i="1"/>
  <c r="K385" i="1"/>
  <c r="H385" i="1"/>
  <c r="E377" i="1"/>
  <c r="K377" i="1" s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63" i="1"/>
  <c r="K164" i="1"/>
  <c r="K165" i="1"/>
  <c r="K166" i="1"/>
  <c r="K167" i="1"/>
  <c r="K3" i="1"/>
  <c r="K4" i="1"/>
  <c r="K5" i="1"/>
  <c r="K6" i="1"/>
  <c r="K7" i="1"/>
  <c r="K8" i="1"/>
  <c r="K9" i="1"/>
  <c r="K10" i="1"/>
  <c r="K168" i="1"/>
  <c r="K169" i="1"/>
  <c r="K170" i="1"/>
  <c r="K171" i="1"/>
  <c r="K172" i="1"/>
  <c r="K173" i="1"/>
  <c r="K174" i="1"/>
  <c r="K175" i="1"/>
  <c r="K176" i="1"/>
  <c r="K179" i="1"/>
  <c r="K180" i="1"/>
  <c r="K181" i="1"/>
  <c r="K182" i="1"/>
  <c r="K183" i="1"/>
  <c r="K184" i="1"/>
  <c r="K185" i="1"/>
  <c r="K189" i="1"/>
  <c r="K190" i="1"/>
  <c r="K191" i="1"/>
  <c r="K192" i="1"/>
  <c r="K193" i="1"/>
  <c r="K194" i="1"/>
  <c r="K195" i="1"/>
  <c r="K196" i="1"/>
  <c r="K197" i="1"/>
  <c r="K198" i="1"/>
  <c r="K199" i="1"/>
  <c r="K177" i="1"/>
  <c r="K178" i="1"/>
  <c r="K11" i="1"/>
  <c r="K12" i="1"/>
  <c r="K186" i="1"/>
  <c r="K187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154" i="1"/>
  <c r="K155" i="1"/>
  <c r="K156" i="1"/>
  <c r="K157" i="1"/>
  <c r="K158" i="1"/>
  <c r="K159" i="1"/>
  <c r="K160" i="1"/>
  <c r="K161" i="1"/>
  <c r="K162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3" i="1"/>
  <c r="K257" i="1"/>
  <c r="K262" i="1"/>
  <c r="K263" i="1"/>
  <c r="K264" i="1"/>
  <c r="K265" i="1"/>
  <c r="K266" i="1"/>
  <c r="K267" i="1"/>
  <c r="K258" i="1"/>
  <c r="K268" i="1"/>
  <c r="K251" i="1"/>
  <c r="K252" i="1"/>
  <c r="K254" i="1"/>
  <c r="K255" i="1"/>
  <c r="K256" i="1"/>
  <c r="K259" i="1"/>
  <c r="K260" i="1"/>
  <c r="K261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7" i="1"/>
  <c r="K288" i="1"/>
  <c r="K289" i="1"/>
  <c r="K292" i="1"/>
  <c r="K282" i="1"/>
  <c r="K283" i="1"/>
  <c r="K284" i="1"/>
  <c r="K285" i="1"/>
  <c r="K286" i="1"/>
  <c r="K290" i="1"/>
  <c r="K291" i="1"/>
  <c r="K293" i="1"/>
  <c r="K294" i="1"/>
  <c r="K295" i="1"/>
  <c r="K296" i="1"/>
  <c r="K300" i="1"/>
  <c r="K297" i="1"/>
  <c r="K298" i="1"/>
  <c r="K299" i="1"/>
  <c r="K301" i="1"/>
  <c r="K303" i="1"/>
  <c r="K305" i="1"/>
  <c r="K302" i="1"/>
  <c r="K304" i="1"/>
  <c r="K306" i="1"/>
  <c r="K310" i="1"/>
  <c r="K307" i="1"/>
  <c r="K308" i="1"/>
  <c r="K309" i="1"/>
  <c r="K311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8" i="1"/>
  <c r="K329" i="1"/>
  <c r="K330" i="1"/>
  <c r="K312" i="1"/>
  <c r="K313" i="1"/>
  <c r="K327" i="1"/>
  <c r="K331" i="1"/>
  <c r="K332" i="1"/>
  <c r="K333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52" i="1"/>
  <c r="K354" i="1"/>
  <c r="K353" i="1"/>
  <c r="K348" i="1"/>
  <c r="K334" i="1"/>
  <c r="K349" i="1"/>
  <c r="K355" i="1"/>
  <c r="K357" i="1"/>
  <c r="K358" i="1"/>
  <c r="K360" i="1"/>
  <c r="K365" i="1"/>
  <c r="K366" i="1"/>
  <c r="K362" i="1"/>
  <c r="K359" i="1"/>
  <c r="K356" i="1"/>
  <c r="K367" i="1"/>
  <c r="K363" i="1"/>
  <c r="K364" i="1"/>
  <c r="K350" i="1"/>
  <c r="K351" i="1"/>
  <c r="K370" i="1"/>
  <c r="K371" i="1"/>
  <c r="K372" i="1"/>
  <c r="K369" i="1"/>
  <c r="K368" i="1"/>
  <c r="K373" i="1"/>
  <c r="K374" i="1"/>
  <c r="K375" i="1"/>
  <c r="K376" i="1"/>
  <c r="K378" i="1"/>
  <c r="K379" i="1"/>
  <c r="K380" i="1"/>
  <c r="K381" i="1"/>
  <c r="K382" i="1"/>
  <c r="K383" i="1"/>
  <c r="K384" i="1"/>
  <c r="E361" i="1"/>
  <c r="K361" i="1" s="1"/>
  <c r="H560" i="1"/>
  <c r="H358" i="1"/>
  <c r="H357" i="1"/>
  <c r="H355" i="1"/>
  <c r="H349" i="1"/>
  <c r="H384" i="1"/>
  <c r="H383" i="1"/>
  <c r="H382" i="1"/>
  <c r="H381" i="1"/>
  <c r="H380" i="1"/>
  <c r="H379" i="1"/>
  <c r="H378" i="1"/>
  <c r="H376" i="1"/>
  <c r="H375" i="1"/>
  <c r="H374" i="1"/>
  <c r="H373" i="1"/>
  <c r="H368" i="1"/>
  <c r="H369" i="1"/>
  <c r="H372" i="1"/>
  <c r="H371" i="1"/>
  <c r="H370" i="1"/>
  <c r="H351" i="1"/>
  <c r="H350" i="1"/>
  <c r="H364" i="1"/>
  <c r="H363" i="1"/>
  <c r="H367" i="1"/>
  <c r="H356" i="1"/>
  <c r="H359" i="1"/>
  <c r="H362" i="1"/>
  <c r="H366" i="1"/>
  <c r="H365" i="1"/>
  <c r="H360" i="1"/>
  <c r="H334" i="1"/>
  <c r="H348" i="1"/>
  <c r="H353" i="1"/>
  <c r="H337" i="1"/>
  <c r="H328" i="1"/>
  <c r="H320" i="1"/>
  <c r="H307" i="1"/>
  <c r="H354" i="1"/>
  <c r="H352" i="1"/>
  <c r="H347" i="1"/>
  <c r="H346" i="1"/>
  <c r="H345" i="1"/>
  <c r="H344" i="1"/>
  <c r="H343" i="1"/>
  <c r="H342" i="1"/>
  <c r="H341" i="1"/>
  <c r="H340" i="1"/>
  <c r="H339" i="1"/>
  <c r="H338" i="1"/>
  <c r="H336" i="1"/>
  <c r="H335" i="1"/>
  <c r="H333" i="1"/>
  <c r="H332" i="1"/>
  <c r="H331" i="1"/>
  <c r="H327" i="1"/>
  <c r="H313" i="1"/>
  <c r="H312" i="1"/>
  <c r="H330" i="1"/>
  <c r="H329" i="1"/>
  <c r="H326" i="1"/>
  <c r="H325" i="1"/>
  <c r="H324" i="1"/>
  <c r="H323" i="1"/>
  <c r="H322" i="1"/>
  <c r="H321" i="1"/>
  <c r="H319" i="1"/>
  <c r="H318" i="1"/>
  <c r="H317" i="1"/>
  <c r="H316" i="1"/>
  <c r="H315" i="1"/>
  <c r="H314" i="1"/>
  <c r="H311" i="1"/>
  <c r="H309" i="1"/>
  <c r="H308" i="1"/>
  <c r="H310" i="1"/>
  <c r="H306" i="1"/>
  <c r="H304" i="1"/>
  <c r="H302" i="1"/>
  <c r="H305" i="1"/>
  <c r="H303" i="1"/>
  <c r="H301" i="1"/>
  <c r="H299" i="1"/>
  <c r="H298" i="1"/>
  <c r="H297" i="1"/>
  <c r="H300" i="1"/>
  <c r="H296" i="1"/>
  <c r="H295" i="1"/>
  <c r="H294" i="1"/>
  <c r="H293" i="1"/>
  <c r="H291" i="1"/>
  <c r="H290" i="1"/>
  <c r="H286" i="1"/>
  <c r="H285" i="1"/>
  <c r="H284" i="1"/>
  <c r="H283" i="1"/>
  <c r="H282" i="1"/>
  <c r="H292" i="1"/>
  <c r="H289" i="1"/>
  <c r="H288" i="1"/>
  <c r="H287" i="1"/>
  <c r="H281" i="1"/>
  <c r="H280" i="1"/>
  <c r="H279" i="1"/>
  <c r="H278" i="1"/>
  <c r="H277" i="1"/>
  <c r="H276" i="1"/>
  <c r="H275" i="1"/>
  <c r="H274" i="1"/>
  <c r="H273" i="1"/>
  <c r="H272" i="1"/>
  <c r="H271" i="1"/>
  <c r="H251" i="1"/>
  <c r="H252" i="1"/>
  <c r="H254" i="1"/>
  <c r="H255" i="1"/>
  <c r="H256" i="1"/>
  <c r="H259" i="1"/>
  <c r="H260" i="1"/>
  <c r="H261" i="1"/>
  <c r="H269" i="1"/>
  <c r="H270" i="1"/>
  <c r="H268" i="1"/>
  <c r="H258" i="1"/>
  <c r="H212" i="1"/>
  <c r="H245" i="1"/>
  <c r="H246" i="1"/>
  <c r="H247" i="1"/>
  <c r="H248" i="1"/>
  <c r="H249" i="1"/>
  <c r="H250" i="1"/>
  <c r="H253" i="1"/>
  <c r="H257" i="1"/>
  <c r="H262" i="1"/>
  <c r="H263" i="1"/>
  <c r="H264" i="1"/>
  <c r="H265" i="1"/>
  <c r="H266" i="1"/>
  <c r="H267" i="1"/>
  <c r="H235" i="1"/>
  <c r="H229" i="1"/>
  <c r="H233" i="1"/>
  <c r="H232" i="1"/>
  <c r="H227" i="1"/>
  <c r="H236" i="1"/>
  <c r="H237" i="1"/>
  <c r="H238" i="1"/>
  <c r="H239" i="1"/>
  <c r="H240" i="1"/>
  <c r="H241" i="1"/>
  <c r="H242" i="1"/>
  <c r="H243" i="1"/>
  <c r="H244" i="1"/>
  <c r="H156" i="1"/>
  <c r="H155" i="1"/>
  <c r="H234" i="1"/>
  <c r="H231" i="1"/>
  <c r="H162" i="1"/>
  <c r="H161" i="1"/>
  <c r="H160" i="1"/>
  <c r="H159" i="1"/>
  <c r="H158" i="1"/>
  <c r="H157" i="1"/>
  <c r="F223" i="1"/>
  <c r="H223" i="1" s="1"/>
  <c r="H222" i="1"/>
  <c r="H218" i="1"/>
  <c r="H217" i="1"/>
  <c r="H216" i="1"/>
  <c r="H224" i="1"/>
  <c r="H225" i="1"/>
  <c r="H226" i="1"/>
  <c r="H228" i="1"/>
  <c r="H230" i="1"/>
  <c r="H154" i="1"/>
  <c r="H210" i="1"/>
  <c r="H209" i="1"/>
  <c r="H221" i="1"/>
  <c r="H220" i="1"/>
  <c r="H219" i="1"/>
  <c r="H215" i="1"/>
  <c r="H214" i="1"/>
  <c r="H213" i="1"/>
  <c r="H211" i="1"/>
  <c r="H207" i="1"/>
  <c r="H206" i="1"/>
  <c r="H186" i="1"/>
  <c r="H189" i="1"/>
  <c r="E188" i="1"/>
  <c r="H188" i="1" s="1"/>
  <c r="F176" i="1"/>
  <c r="H176" i="1" s="1"/>
  <c r="H175" i="1"/>
  <c r="H208" i="1"/>
  <c r="H205" i="1"/>
  <c r="H204" i="1"/>
  <c r="H203" i="1"/>
  <c r="H202" i="1"/>
  <c r="H201" i="1"/>
  <c r="H200" i="1"/>
  <c r="H187" i="1"/>
  <c r="H12" i="1"/>
  <c r="H11" i="1"/>
  <c r="H177" i="1"/>
  <c r="H199" i="1"/>
  <c r="H198" i="1"/>
  <c r="H197" i="1"/>
  <c r="H196" i="1"/>
  <c r="H195" i="1"/>
  <c r="H194" i="1"/>
  <c r="H193" i="1"/>
  <c r="H192" i="1"/>
  <c r="H191" i="1"/>
  <c r="H190" i="1"/>
  <c r="H185" i="1"/>
  <c r="H184" i="1"/>
  <c r="H183" i="1"/>
  <c r="H182" i="1"/>
  <c r="H181" i="1"/>
  <c r="H180" i="1"/>
  <c r="H179" i="1"/>
  <c r="H174" i="1"/>
  <c r="H461" i="1"/>
  <c r="H399" i="1"/>
  <c r="H755" i="1"/>
  <c r="K560" i="1"/>
  <c r="H6" i="1"/>
  <c r="H4" i="1"/>
  <c r="H8" i="1"/>
  <c r="F167" i="1"/>
  <c r="H167" i="1" s="1"/>
  <c r="H173" i="1"/>
  <c r="H172" i="1"/>
  <c r="H171" i="1"/>
  <c r="H170" i="1"/>
  <c r="H169" i="1"/>
  <c r="H168" i="1"/>
  <c r="H10" i="1"/>
  <c r="H9" i="1"/>
  <c r="H7" i="1"/>
  <c r="H5" i="1"/>
  <c r="H3" i="1"/>
  <c r="H166" i="1"/>
  <c r="H165" i="1"/>
  <c r="H164" i="1"/>
  <c r="H163" i="1"/>
  <c r="H153" i="1"/>
  <c r="H152" i="1"/>
  <c r="H151" i="1"/>
  <c r="F148" i="1"/>
  <c r="H148" i="1" s="1"/>
  <c r="H147" i="1"/>
  <c r="F146" i="1"/>
  <c r="H146" i="1" s="1"/>
  <c r="F115" i="1"/>
  <c r="H115" i="1" s="1"/>
  <c r="F113" i="1"/>
  <c r="H113" i="1" s="1"/>
  <c r="H150" i="1"/>
  <c r="H149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2" i="1"/>
  <c r="H121" i="1"/>
  <c r="H120" i="1"/>
  <c r="H119" i="1"/>
  <c r="H118" i="1"/>
  <c r="H117" i="1"/>
  <c r="H116" i="1"/>
  <c r="H114" i="1"/>
  <c r="H112" i="1"/>
  <c r="H105" i="1"/>
  <c r="H104" i="1"/>
  <c r="H103" i="1"/>
  <c r="H102" i="1"/>
  <c r="H101" i="1"/>
  <c r="H100" i="1"/>
  <c r="H99" i="1"/>
  <c r="H97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F106" i="1"/>
  <c r="H106" i="1" s="1"/>
  <c r="H13" i="1"/>
  <c r="E4" i="2"/>
  <c r="E20" i="2"/>
  <c r="E23" i="2"/>
  <c r="E24" i="2"/>
  <c r="E22" i="2"/>
  <c r="E28" i="2"/>
  <c r="H28" i="2" s="1"/>
  <c r="E27" i="2"/>
  <c r="H27" i="2" s="1"/>
  <c r="E21" i="2"/>
  <c r="E13" i="2"/>
  <c r="D152" i="6"/>
  <c r="D157" i="6"/>
  <c r="D139" i="6"/>
  <c r="D180" i="6"/>
  <c r="D177" i="6"/>
  <c r="D128" i="6"/>
  <c r="D100" i="6"/>
  <c r="D104" i="6"/>
  <c r="D39" i="6"/>
  <c r="D184" i="6"/>
  <c r="D119" i="6"/>
  <c r="D89" i="6"/>
  <c r="D120" i="6"/>
  <c r="D182" i="6"/>
  <c r="D117" i="6"/>
  <c r="D36" i="6"/>
  <c r="D153" i="6"/>
  <c r="D134" i="6"/>
  <c r="D141" i="6"/>
  <c r="D164" i="6"/>
  <c r="D163" i="6"/>
  <c r="D126" i="6"/>
  <c r="D132" i="6"/>
  <c r="D113" i="6"/>
  <c r="D101" i="6"/>
  <c r="D87" i="6"/>
  <c r="D90" i="6"/>
  <c r="D40" i="6"/>
  <c r="D144" i="6"/>
  <c r="D129" i="6"/>
  <c r="D95" i="6"/>
  <c r="D22" i="6"/>
  <c r="D142" i="6"/>
  <c r="D162" i="6"/>
  <c r="D131" i="6"/>
  <c r="D92" i="6"/>
  <c r="D178" i="6"/>
  <c r="D155" i="6"/>
  <c r="D145" i="6"/>
  <c r="D172" i="6"/>
  <c r="D127" i="6"/>
  <c r="D130" i="6"/>
  <c r="D114" i="6"/>
  <c r="D105" i="6"/>
  <c r="D88" i="6"/>
  <c r="D93" i="6"/>
  <c r="D30" i="6"/>
  <c r="D31" i="6"/>
  <c r="D17" i="6"/>
  <c r="D140" i="6"/>
  <c r="D108" i="6"/>
  <c r="D91" i="6"/>
  <c r="D35" i="6"/>
  <c r="D183" i="6"/>
  <c r="D96" i="6"/>
  <c r="D23" i="6"/>
  <c r="D38" i="6"/>
  <c r="D148" i="6"/>
  <c r="D171" i="6"/>
  <c r="D115" i="6"/>
  <c r="D175" i="6"/>
  <c r="D154" i="6"/>
  <c r="D143" i="6"/>
  <c r="D174" i="6"/>
  <c r="D161" i="6"/>
  <c r="D179" i="6"/>
  <c r="D116" i="6"/>
  <c r="D118" i="6"/>
  <c r="D102" i="6"/>
  <c r="D82" i="6"/>
  <c r="D41" i="6"/>
  <c r="D18" i="6"/>
  <c r="D135" i="6"/>
  <c r="D176" i="6"/>
  <c r="D173" i="6"/>
  <c r="D181" i="6"/>
  <c r="D122" i="6"/>
  <c r="D109" i="6"/>
  <c r="D103" i="6"/>
  <c r="D37" i="6"/>
  <c r="D27" i="6"/>
  <c r="D147" i="6"/>
  <c r="D121" i="6"/>
  <c r="D106" i="6"/>
  <c r="D158" i="6"/>
  <c r="D83" i="6"/>
  <c r="D25" i="6"/>
  <c r="D156" i="6"/>
  <c r="D28" i="6"/>
  <c r="D20" i="6"/>
  <c r="D26" i="6"/>
  <c r="D24" i="6"/>
  <c r="D69" i="6"/>
  <c r="D150" i="6"/>
  <c r="D165" i="6"/>
  <c r="D48" i="6"/>
  <c r="D123" i="6"/>
  <c r="D146" i="6"/>
  <c r="D125" i="6"/>
  <c r="D50" i="6"/>
  <c r="D149" i="6"/>
  <c r="D44" i="6"/>
  <c r="D42" i="6"/>
  <c r="D81" i="6"/>
  <c r="D84" i="6"/>
  <c r="D86" i="6"/>
  <c r="D57" i="6"/>
  <c r="D111" i="6"/>
  <c r="D67" i="6"/>
  <c r="D66" i="6"/>
  <c r="D85" i="6"/>
  <c r="D168" i="6"/>
  <c r="D62" i="6"/>
  <c r="D124" i="6"/>
  <c r="D60" i="6"/>
  <c r="D64" i="6"/>
  <c r="D160" i="6"/>
  <c r="D159" i="6"/>
  <c r="D75" i="6"/>
  <c r="D32" i="6"/>
  <c r="D77" i="6"/>
  <c r="D76" i="6"/>
  <c r="D68" i="6"/>
  <c r="D9" i="6"/>
  <c r="D58" i="6"/>
  <c r="D8" i="6"/>
  <c r="D73" i="6"/>
  <c r="D51" i="6"/>
  <c r="D169" i="6"/>
  <c r="D97" i="6"/>
  <c r="D46" i="6"/>
  <c r="D79" i="6"/>
  <c r="D5" i="6"/>
  <c r="D3" i="6"/>
  <c r="D107" i="6"/>
  <c r="D13" i="6"/>
  <c r="D59" i="6"/>
  <c r="D4" i="6"/>
  <c r="D10" i="6"/>
  <c r="D166" i="6"/>
  <c r="D11" i="6"/>
  <c r="D54" i="6"/>
  <c r="D110" i="6"/>
  <c r="D151" i="6"/>
  <c r="D19" i="6"/>
  <c r="D61" i="6"/>
  <c r="D15" i="6"/>
  <c r="D136" i="6"/>
  <c r="D29" i="6"/>
  <c r="D16" i="6"/>
  <c r="D21" i="6"/>
  <c r="D167" i="6"/>
  <c r="D133" i="6"/>
  <c r="D53" i="6"/>
  <c r="D47" i="6"/>
  <c r="D7" i="6"/>
  <c r="D72" i="6"/>
  <c r="D12" i="6"/>
  <c r="D170" i="6"/>
  <c r="D6" i="6"/>
  <c r="D99" i="6"/>
  <c r="D98" i="6"/>
  <c r="D43" i="6"/>
  <c r="D74" i="6"/>
  <c r="D14" i="6"/>
  <c r="D112" i="6"/>
  <c r="D71" i="6"/>
  <c r="D78" i="6"/>
  <c r="D137" i="6"/>
  <c r="D55" i="6"/>
  <c r="D56" i="6"/>
  <c r="D138" i="6"/>
  <c r="D34" i="6"/>
  <c r="D33" i="6"/>
  <c r="D65" i="6"/>
  <c r="D70" i="6"/>
  <c r="D45" i="6"/>
  <c r="D80" i="6"/>
  <c r="D94" i="6"/>
  <c r="D63" i="6"/>
  <c r="D49" i="6"/>
  <c r="D52" i="6"/>
  <c r="H96" i="1"/>
  <c r="H98" i="1"/>
  <c r="K616" i="1"/>
  <c r="K767" i="1"/>
  <c r="H767" i="1"/>
  <c r="H17" i="2" l="1"/>
  <c r="I17" i="2" s="1"/>
  <c r="H12" i="2"/>
  <c r="I12" i="2" s="1"/>
  <c r="H13" i="2"/>
  <c r="I13" i="2" s="1"/>
  <c r="H7" i="2"/>
  <c r="I7" i="2" s="1"/>
  <c r="H21" i="2"/>
  <c r="H22" i="2"/>
  <c r="H19" i="2"/>
  <c r="H24" i="2"/>
  <c r="H23" i="2"/>
  <c r="H20" i="2"/>
  <c r="H4" i="2"/>
  <c r="I4" i="2" s="1"/>
  <c r="G21" i="2"/>
  <c r="G18" i="2"/>
  <c r="G13" i="2"/>
  <c r="G27" i="2"/>
  <c r="G24" i="2"/>
  <c r="C15" i="7"/>
  <c r="I15" i="2"/>
  <c r="G23" i="2"/>
  <c r="G20" i="2"/>
  <c r="G22" i="2"/>
  <c r="G6" i="2"/>
  <c r="I6" i="2"/>
  <c r="C7" i="7"/>
  <c r="G19" i="2"/>
  <c r="G25" i="2"/>
  <c r="G4" i="2"/>
  <c r="E8" i="2"/>
  <c r="H17" i="15"/>
  <c r="H447" i="1"/>
  <c r="K34" i="2"/>
  <c r="M34" i="2" s="1"/>
  <c r="K395" i="1"/>
  <c r="G37" i="2"/>
  <c r="M37" i="2" s="1"/>
  <c r="H422" i="1"/>
  <c r="K47" i="15"/>
  <c r="K11" i="15"/>
  <c r="I8" i="15"/>
  <c r="F44" i="15"/>
  <c r="I28" i="15"/>
  <c r="J28" i="15"/>
  <c r="I38" i="15"/>
  <c r="J57" i="15"/>
  <c r="G8" i="15"/>
  <c r="F52" i="15"/>
  <c r="J73" i="15"/>
  <c r="J50" i="15"/>
  <c r="J8" i="15"/>
  <c r="F38" i="15"/>
  <c r="H71" i="15"/>
  <c r="F17" i="15"/>
  <c r="K38" i="15"/>
  <c r="F47" i="15"/>
  <c r="H50" i="15"/>
  <c r="K17" i="15"/>
  <c r="J60" i="15"/>
  <c r="G26" i="15"/>
  <c r="G52" i="15"/>
  <c r="I47" i="15"/>
  <c r="G50" i="15"/>
  <c r="I52" i="15"/>
  <c r="I57" i="15"/>
  <c r="I60" i="15"/>
  <c r="G71" i="15"/>
  <c r="K8" i="15"/>
  <c r="H26" i="15"/>
  <c r="F43" i="15"/>
  <c r="I44" i="15"/>
  <c r="F11" i="15"/>
  <c r="J26" i="15"/>
  <c r="H43" i="15"/>
  <c r="K44" i="15"/>
  <c r="I59" i="15"/>
  <c r="I11" i="15"/>
  <c r="G28" i="15"/>
  <c r="K43" i="15"/>
  <c r="J59" i="15"/>
  <c r="H66" i="15"/>
  <c r="J66" i="15"/>
  <c r="K73" i="15"/>
  <c r="G17" i="15"/>
  <c r="I26" i="15"/>
  <c r="K28" i="15"/>
  <c r="G43" i="15"/>
  <c r="I50" i="15"/>
  <c r="H52" i="15"/>
  <c r="K57" i="15"/>
  <c r="K59" i="15"/>
  <c r="K60" i="15"/>
  <c r="K71" i="15"/>
  <c r="F8" i="15"/>
  <c r="G11" i="15"/>
  <c r="I17" i="15"/>
  <c r="K26" i="15"/>
  <c r="G38" i="15"/>
  <c r="I43" i="15"/>
  <c r="G44" i="15"/>
  <c r="G47" i="15"/>
  <c r="K50" i="15"/>
  <c r="J52" i="15"/>
  <c r="I71" i="15"/>
  <c r="K8" i="13"/>
  <c r="H11" i="15"/>
  <c r="J17" i="15"/>
  <c r="F28" i="15"/>
  <c r="H38" i="15"/>
  <c r="J43" i="15"/>
  <c r="H44" i="15"/>
  <c r="H47" i="15"/>
  <c r="K52" i="15"/>
  <c r="F57" i="15"/>
  <c r="F59" i="15"/>
  <c r="F60" i="15"/>
  <c r="J71" i="15"/>
  <c r="G57" i="15"/>
  <c r="G59" i="15"/>
  <c r="G60" i="15"/>
  <c r="F66" i="15"/>
  <c r="H8" i="15"/>
  <c r="J11" i="15"/>
  <c r="F26" i="15"/>
  <c r="H28" i="15"/>
  <c r="J38" i="15"/>
  <c r="J44" i="15"/>
  <c r="J47" i="15"/>
  <c r="F50" i="15"/>
  <c r="H57" i="15"/>
  <c r="H59" i="15"/>
  <c r="H60" i="15"/>
  <c r="G66" i="15"/>
  <c r="H73" i="15"/>
  <c r="G12" i="2"/>
  <c r="G16" i="2"/>
  <c r="G7" i="2"/>
  <c r="G28" i="2"/>
  <c r="G15" i="2"/>
  <c r="C4" i="17"/>
  <c r="E6" i="17" s="1"/>
  <c r="C6" i="7"/>
  <c r="G17" i="2"/>
  <c r="I66" i="15"/>
  <c r="K66" i="15"/>
  <c r="F73" i="15"/>
  <c r="F71" i="15"/>
  <c r="G73" i="15"/>
  <c r="I73" i="15"/>
  <c r="E5" i="2"/>
  <c r="H5" i="2" s="1"/>
  <c r="H377" i="1"/>
  <c r="E14" i="2"/>
  <c r="H14" i="2" s="1"/>
  <c r="H787" i="1"/>
  <c r="D34" i="7"/>
  <c r="F34" i="7" s="1"/>
  <c r="K447" i="1"/>
  <c r="H361" i="1"/>
  <c r="K412" i="1"/>
  <c r="H473" i="1"/>
  <c r="H395" i="1"/>
  <c r="H406" i="1"/>
  <c r="E9" i="2"/>
  <c r="H9" i="2" s="1"/>
  <c r="K188" i="1"/>
  <c r="C16" i="17"/>
  <c r="C14" i="7"/>
  <c r="C10" i="17"/>
  <c r="C4" i="7"/>
  <c r="F32" i="7"/>
  <c r="E26" i="2"/>
  <c r="H26" i="2" s="1"/>
  <c r="E33" i="7"/>
  <c r="E35" i="7"/>
  <c r="H8" i="2" l="1"/>
  <c r="I8" i="2" s="1"/>
  <c r="G8" i="2"/>
  <c r="G26" i="2"/>
  <c r="G14" i="2"/>
  <c r="G9" i="2"/>
  <c r="E40" i="7"/>
  <c r="I22" i="2"/>
  <c r="K22" i="2" s="1"/>
  <c r="I16" i="2"/>
  <c r="K16" i="2" s="1"/>
  <c r="I19" i="2"/>
  <c r="K19" i="2" s="1"/>
  <c r="I27" i="2"/>
  <c r="J27" i="2" s="1"/>
  <c r="I21" i="2"/>
  <c r="J21" i="2" s="1"/>
  <c r="K21" i="2" s="1"/>
  <c r="I18" i="2"/>
  <c r="K18" i="2" s="1"/>
  <c r="I28" i="2"/>
  <c r="K28" i="2" s="1"/>
  <c r="I20" i="2"/>
  <c r="K20" i="2" s="1"/>
  <c r="I25" i="2"/>
  <c r="K25" i="2" s="1"/>
  <c r="I24" i="2"/>
  <c r="K24" i="2" s="1"/>
  <c r="I23" i="2"/>
  <c r="K23" i="2" s="1"/>
  <c r="G5" i="2"/>
  <c r="I5" i="2"/>
  <c r="I4" i="17"/>
  <c r="E4" i="17"/>
  <c r="E32" i="7"/>
  <c r="E34" i="7"/>
  <c r="E18" i="17"/>
  <c r="E12" i="17"/>
  <c r="C17" i="7"/>
  <c r="C19" i="7" s="1"/>
  <c r="I13" i="7"/>
  <c r="I3" i="7"/>
  <c r="F36" i="7"/>
  <c r="J7" i="2"/>
  <c r="K7" i="2" s="1"/>
  <c r="J13" i="2"/>
  <c r="K13" i="2" s="1"/>
  <c r="J6" i="2"/>
  <c r="K6" i="2" s="1"/>
  <c r="J15" i="2"/>
  <c r="K15" i="2" s="1"/>
  <c r="J12" i="2"/>
  <c r="K12" i="2" s="1"/>
  <c r="J4" i="2"/>
  <c r="K4" i="2" s="1"/>
  <c r="J17" i="2"/>
  <c r="K17" i="2" s="1"/>
  <c r="J8" i="2" l="1"/>
  <c r="K8" i="2" s="1"/>
  <c r="J24" i="2"/>
  <c r="C44" i="7"/>
  <c r="J18" i="2"/>
  <c r="J25" i="2"/>
  <c r="J22" i="2"/>
  <c r="J20" i="2"/>
  <c r="K27" i="2"/>
  <c r="I9" i="2"/>
  <c r="J9" i="2" s="1"/>
  <c r="K9" i="2" s="1"/>
  <c r="J28" i="2"/>
  <c r="J19" i="2"/>
  <c r="J16" i="2"/>
  <c r="J23" i="2"/>
  <c r="I26" i="2"/>
  <c r="K26" i="2" s="1"/>
  <c r="I14" i="2"/>
  <c r="J14" i="2" s="1"/>
  <c r="K14" i="2" s="1"/>
  <c r="J5" i="2"/>
  <c r="K5" i="2" s="1"/>
  <c r="C18" i="7"/>
  <c r="F16" i="7"/>
  <c r="F17" i="7" s="1"/>
  <c r="F20" i="7" s="1"/>
  <c r="G29" i="2"/>
  <c r="C54" i="7" s="1"/>
  <c r="C60" i="7" s="1"/>
  <c r="C8" i="7" l="1"/>
  <c r="C9" i="7" s="1"/>
  <c r="F6" i="7" s="1"/>
  <c r="F7" i="7" s="1"/>
  <c r="F10" i="7" s="1"/>
  <c r="I4" i="7"/>
  <c r="I29" i="2"/>
  <c r="J29" i="2" s="1"/>
  <c r="K29" i="2" s="1"/>
  <c r="J26" i="2"/>
  <c r="C48" i="7"/>
  <c r="D42" i="7" a="1"/>
  <c r="D42" i="7" l="1"/>
  <c r="C43" i="7"/>
  <c r="C45" i="7" s="1"/>
  <c r="C46" i="7" s="1"/>
  <c r="C51" i="7" s="1"/>
  <c r="K1131" i="1"/>
  <c r="K1159" i="1"/>
  <c r="H1159" i="1"/>
  <c r="H138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interval="15" name="Query - qryAssets" description="Connection to the 'qryAssets' query in the workbook." type="5" refreshedVersion="8" background="1" refreshOnLoad="1" saveData="1">
    <dbPr connection="Provider=Microsoft.Mashup.OleDb.1;Data Source=$Workbook$;Location=qryAssets;Extended Properties=&quot;&quot;" command="SELECT * FROM [qryAssets]"/>
  </connection>
  <connection id="2" xr16:uid="{37A80EB1-2935-490D-A614-3E6568C869B2}" keepAlive="1" interval="1" name="Query - qryMyQuotes" description="Connection to the 'qryMyQuotes' query in the workbook." type="5" refreshedVersion="8" background="1" refreshOnLoad="1" saveData="1">
    <dbPr connection="Provider=Microsoft.Mashup.OleDb.1;Data Source=$Workbook$;Location=qryMyQuotes;Extended Properties=&quot;&quot;" command="SELECT * FROM [qryMyQuot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<sst xmlns="http://schemas.openxmlformats.org/spreadsheetml/2006/main" count="7321" uniqueCount="841">
  <si>
    <t>Currency</t>
  </si>
  <si>
    <t>Qty</t>
  </si>
  <si>
    <t>Total</t>
  </si>
  <si>
    <t>Date</t>
  </si>
  <si>
    <t>Curr. Price</t>
  </si>
  <si>
    <t>Current Value</t>
  </si>
  <si>
    <t>n/a</t>
  </si>
  <si>
    <t>BA</t>
  </si>
  <si>
    <t>ALGO</t>
  </si>
  <si>
    <t>Amount</t>
  </si>
  <si>
    <t>TX</t>
  </si>
  <si>
    <t>Unit Cost</t>
  </si>
  <si>
    <t>Transaction fee</t>
  </si>
  <si>
    <t>Comments</t>
  </si>
  <si>
    <t>Ticker1</t>
  </si>
  <si>
    <t>Ticker2</t>
  </si>
  <si>
    <t>Current</t>
  </si>
  <si>
    <t>ADA</t>
  </si>
  <si>
    <t>ATOM</t>
  </si>
  <si>
    <t>BTC</t>
  </si>
  <si>
    <t>DOT</t>
  </si>
  <si>
    <t>EOS</t>
  </si>
  <si>
    <t>ETH</t>
  </si>
  <si>
    <t>ICP</t>
  </si>
  <si>
    <t>LINK</t>
  </si>
  <si>
    <t>XLM</t>
  </si>
  <si>
    <t>ZIL</t>
  </si>
  <si>
    <t>XMR</t>
  </si>
  <si>
    <t>XRP</t>
  </si>
  <si>
    <t>Reconciliation</t>
  </si>
  <si>
    <t>Type</t>
  </si>
  <si>
    <t>Exchange</t>
  </si>
  <si>
    <t>Transfer</t>
  </si>
  <si>
    <t>Average Cost</t>
  </si>
  <si>
    <t>Exchange Rate</t>
  </si>
  <si>
    <t>Transfer ADA to Daedalus</t>
  </si>
  <si>
    <t>Exchange ETH for DOT</t>
  </si>
  <si>
    <t>Approx Book Value</t>
  </si>
  <si>
    <t>G/L $</t>
  </si>
  <si>
    <t>G/L %</t>
  </si>
  <si>
    <t>Interest for staked ATOM</t>
  </si>
  <si>
    <t>GME</t>
  </si>
  <si>
    <t>Account</t>
  </si>
  <si>
    <t>Asset</t>
  </si>
  <si>
    <t>Symbol</t>
  </si>
  <si>
    <t>VOO</t>
  </si>
  <si>
    <t>^VIX</t>
  </si>
  <si>
    <t>HSD.TO</t>
  </si>
  <si>
    <t>AMC</t>
  </si>
  <si>
    <t>ATH.TO</t>
  </si>
  <si>
    <t>BND</t>
  </si>
  <si>
    <t>GDX</t>
  </si>
  <si>
    <t>GXE.TO</t>
  </si>
  <si>
    <t>HEP.TO</t>
  </si>
  <si>
    <t>IJR</t>
  </si>
  <si>
    <t>ITE.TO</t>
  </si>
  <si>
    <t>LEAF.TO</t>
  </si>
  <si>
    <t>QQQ</t>
  </si>
  <si>
    <t>VAB.TO</t>
  </si>
  <si>
    <t>VGLT</t>
  </si>
  <si>
    <t>VNQ</t>
  </si>
  <si>
    <t>VRE.TO</t>
  </si>
  <si>
    <t>VTI</t>
  </si>
  <si>
    <t>XSP.TO</t>
  </si>
  <si>
    <t>CEW</t>
  </si>
  <si>
    <t>DIA</t>
  </si>
  <si>
    <t>EEM</t>
  </si>
  <si>
    <t>GLD</t>
  </si>
  <si>
    <t>IAU</t>
  </si>
  <si>
    <t>ITOT</t>
  </si>
  <si>
    <t>IWN</t>
  </si>
  <si>
    <t>RWM</t>
  </si>
  <si>
    <t>SCHB</t>
  </si>
  <si>
    <t>SDOW</t>
  </si>
  <si>
    <t>SDS</t>
  </si>
  <si>
    <t>SH</t>
  </si>
  <si>
    <t>SPXL</t>
  </si>
  <si>
    <t>SQQQ</t>
  </si>
  <si>
    <t>SSO</t>
  </si>
  <si>
    <t>TNA</t>
  </si>
  <si>
    <t>TQQQ</t>
  </si>
  <si>
    <t>TWM</t>
  </si>
  <si>
    <t>UDOW</t>
  </si>
  <si>
    <t>VGIT</t>
  </si>
  <si>
    <t>VWO</t>
  </si>
  <si>
    <t>AAP</t>
  </si>
  <si>
    <t>ABEV</t>
  </si>
  <si>
    <t>ABM</t>
  </si>
  <si>
    <t>ACH</t>
  </si>
  <si>
    <t>ADNT</t>
  </si>
  <si>
    <t>AEL</t>
  </si>
  <si>
    <t>AGX</t>
  </si>
  <si>
    <t>AIG</t>
  </si>
  <si>
    <t>ALXN</t>
  </si>
  <si>
    <t>AMEH</t>
  </si>
  <si>
    <t>AMRC</t>
  </si>
  <si>
    <t>ANF</t>
  </si>
  <si>
    <t>ANTM</t>
  </si>
  <si>
    <t>APRN</t>
  </si>
  <si>
    <t>ARCB</t>
  </si>
  <si>
    <t>ARNC</t>
  </si>
  <si>
    <t>ASIX</t>
  </si>
  <si>
    <t>ATHN</t>
  </si>
  <si>
    <t>ATI</t>
  </si>
  <si>
    <t>ATUS</t>
  </si>
  <si>
    <t>AVGO</t>
  </si>
  <si>
    <t>BAK</t>
  </si>
  <si>
    <t>BBSI</t>
  </si>
  <si>
    <t>BBY</t>
  </si>
  <si>
    <t>BCC</t>
  </si>
  <si>
    <t>BIIB</t>
  </si>
  <si>
    <t>BKD</t>
  </si>
  <si>
    <t>BLD</t>
  </si>
  <si>
    <t>BLDR</t>
  </si>
  <si>
    <t>BLK</t>
  </si>
  <si>
    <t>BMWYY</t>
  </si>
  <si>
    <t>BOOT</t>
  </si>
  <si>
    <t>BTI</t>
  </si>
  <si>
    <t>BTU</t>
  </si>
  <si>
    <t>BUD</t>
  </si>
  <si>
    <t>BXP</t>
  </si>
  <si>
    <t>BZH</t>
  </si>
  <si>
    <t>CAH</t>
  </si>
  <si>
    <t>CAPL</t>
  </si>
  <si>
    <t>CCJ</t>
  </si>
  <si>
    <t>CCK</t>
  </si>
  <si>
    <t>CENX</t>
  </si>
  <si>
    <t>CG</t>
  </si>
  <si>
    <t>CHEF</t>
  </si>
  <si>
    <t>CL</t>
  </si>
  <si>
    <t>CLB</t>
  </si>
  <si>
    <t>CLMT</t>
  </si>
  <si>
    <t>CLNE</t>
  </si>
  <si>
    <t>CLNY</t>
  </si>
  <si>
    <t>CLSN</t>
  </si>
  <si>
    <t>CLX</t>
  </si>
  <si>
    <t>CMCSA</t>
  </si>
  <si>
    <t>CMP</t>
  </si>
  <si>
    <t>CMTL</t>
  </si>
  <si>
    <t>CNC</t>
  </si>
  <si>
    <t>CNHI</t>
  </si>
  <si>
    <t>CNSL</t>
  </si>
  <si>
    <t>COF</t>
  </si>
  <si>
    <t>COKE</t>
  </si>
  <si>
    <t>CONN</t>
  </si>
  <si>
    <t>CORE</t>
  </si>
  <si>
    <t>COTY</t>
  </si>
  <si>
    <t>CRC</t>
  </si>
  <si>
    <t>CRM</t>
  </si>
  <si>
    <t>CROX</t>
  </si>
  <si>
    <t>CRTO</t>
  </si>
  <si>
    <t>CSTM</t>
  </si>
  <si>
    <t>CURO</t>
  </si>
  <si>
    <t>CVE</t>
  </si>
  <si>
    <t>CVI</t>
  </si>
  <si>
    <t>CVS</t>
  </si>
  <si>
    <t>CYD</t>
  </si>
  <si>
    <t>CZR</t>
  </si>
  <si>
    <t>D</t>
  </si>
  <si>
    <t>DAN</t>
  </si>
  <si>
    <t>DDAIF</t>
  </si>
  <si>
    <t>DDS</t>
  </si>
  <si>
    <t>DHI</t>
  </si>
  <si>
    <t>DISCA</t>
  </si>
  <si>
    <t>DK</t>
  </si>
  <si>
    <t>DS</t>
  </si>
  <si>
    <t>DSKE</t>
  </si>
  <si>
    <t>DYN</t>
  </si>
  <si>
    <t>EMR</t>
  </si>
  <si>
    <t>ENB</t>
  </si>
  <si>
    <t>ENPH</t>
  </si>
  <si>
    <t>ENSG</t>
  </si>
  <si>
    <t>ENVA</t>
  </si>
  <si>
    <t>EPD</t>
  </si>
  <si>
    <t>ET</t>
  </si>
  <si>
    <t>EVRI</t>
  </si>
  <si>
    <t>EXPE</t>
  </si>
  <si>
    <t>EXTN</t>
  </si>
  <si>
    <t>EZPW</t>
  </si>
  <si>
    <t>F</t>
  </si>
  <si>
    <t>FANUY</t>
  </si>
  <si>
    <t>FL</t>
  </si>
  <si>
    <t>FLOW</t>
  </si>
  <si>
    <t>FOSL</t>
  </si>
  <si>
    <t>FRGI</t>
  </si>
  <si>
    <t>FTSI</t>
  </si>
  <si>
    <t>GES</t>
  </si>
  <si>
    <t>GIII</t>
  </si>
  <si>
    <t>GILD</t>
  </si>
  <si>
    <t>GIS</t>
  </si>
  <si>
    <t>GM</t>
  </si>
  <si>
    <t>GPRK</t>
  </si>
  <si>
    <t>GPRO</t>
  </si>
  <si>
    <t>GRFS</t>
  </si>
  <si>
    <t>GRUB</t>
  </si>
  <si>
    <t>GSK</t>
  </si>
  <si>
    <t>GTN</t>
  </si>
  <si>
    <t>GWRE</t>
  </si>
  <si>
    <t>HBI</t>
  </si>
  <si>
    <t>HCC</t>
  </si>
  <si>
    <t>HEES</t>
  </si>
  <si>
    <t>HFC</t>
  </si>
  <si>
    <t>HOFT</t>
  </si>
  <si>
    <t>HOME</t>
  </si>
  <si>
    <t>HPQ</t>
  </si>
  <si>
    <t>BetaPro S&amp;P 500 -2x Daily Bear ETF</t>
  </si>
  <si>
    <t>HUN</t>
  </si>
  <si>
    <t>ICPT</t>
  </si>
  <si>
    <t>IFF</t>
  </si>
  <si>
    <t>ILMN</t>
  </si>
  <si>
    <t>IMBBY</t>
  </si>
  <si>
    <t>ING</t>
  </si>
  <si>
    <t>INGR</t>
  </si>
  <si>
    <t>ITGR</t>
  </si>
  <si>
    <t>IVC</t>
  </si>
  <si>
    <t>IVZ</t>
  </si>
  <si>
    <t>JCI</t>
  </si>
  <si>
    <t>JKS</t>
  </si>
  <si>
    <t>JLL</t>
  </si>
  <si>
    <t>K</t>
  </si>
  <si>
    <t>KBH</t>
  </si>
  <si>
    <t>KEN</t>
  </si>
  <si>
    <t>KFRC</t>
  </si>
  <si>
    <t>KFY</t>
  </si>
  <si>
    <t>KHC</t>
  </si>
  <si>
    <t>KMPR</t>
  </si>
  <si>
    <t>KO</t>
  </si>
  <si>
    <t>KRA</t>
  </si>
  <si>
    <t>KRC</t>
  </si>
  <si>
    <t>KSS</t>
  </si>
  <si>
    <t>LB</t>
  </si>
  <si>
    <t>LE</t>
  </si>
  <si>
    <t>LEN</t>
  </si>
  <si>
    <t>LKQ</t>
  </si>
  <si>
    <t>LL</t>
  </si>
  <si>
    <t>LTRPA</t>
  </si>
  <si>
    <t>LYV</t>
  </si>
  <si>
    <t>M</t>
  </si>
  <si>
    <t>MAC</t>
  </si>
  <si>
    <t>MAT</t>
  </si>
  <si>
    <t>MCD</t>
  </si>
  <si>
    <t>MCHP</t>
  </si>
  <si>
    <t>MCK</t>
  </si>
  <si>
    <t>MDC</t>
  </si>
  <si>
    <t>MDT</t>
  </si>
  <si>
    <t>MGI</t>
  </si>
  <si>
    <t>MGLN</t>
  </si>
  <si>
    <t>MGM</t>
  </si>
  <si>
    <t>MLM</t>
  </si>
  <si>
    <t>MMP</t>
  </si>
  <si>
    <t>MOD</t>
  </si>
  <si>
    <t>MOH</t>
  </si>
  <si>
    <t>MOV</t>
  </si>
  <si>
    <t>MRK</t>
  </si>
  <si>
    <t>MSFT</t>
  </si>
  <si>
    <t>MTCH</t>
  </si>
  <si>
    <t>MTOR</t>
  </si>
  <si>
    <t>MTRN</t>
  </si>
  <si>
    <t>MTRX</t>
  </si>
  <si>
    <t>MTW</t>
  </si>
  <si>
    <t>MUFG</t>
  </si>
  <si>
    <t>NAV</t>
  </si>
  <si>
    <t>NOG</t>
  </si>
  <si>
    <t>NOW</t>
  </si>
  <si>
    <t>NRG</t>
  </si>
  <si>
    <t>NSANY</t>
  </si>
  <si>
    <t>NSP</t>
  </si>
  <si>
    <t>NUAN</t>
  </si>
  <si>
    <t>NVS</t>
  </si>
  <si>
    <t>ODP</t>
  </si>
  <si>
    <t>OSTK</t>
  </si>
  <si>
    <t>PBF</t>
  </si>
  <si>
    <t>PBH</t>
  </si>
  <si>
    <t>PBI</t>
  </si>
  <si>
    <t>PBR</t>
  </si>
  <si>
    <t>PCG</t>
  </si>
  <si>
    <t>PDCO</t>
  </si>
  <si>
    <t>PENN</t>
  </si>
  <si>
    <t>PEP</t>
  </si>
  <si>
    <t>PFE</t>
  </si>
  <si>
    <t>PG</t>
  </si>
  <si>
    <t>PHG</t>
  </si>
  <si>
    <t>PHM</t>
  </si>
  <si>
    <t>PLUS</t>
  </si>
  <si>
    <t>PM</t>
  </si>
  <si>
    <t>PPC</t>
  </si>
  <si>
    <t>PPL</t>
  </si>
  <si>
    <t>QNST</t>
  </si>
  <si>
    <t>QSR</t>
  </si>
  <si>
    <t>RBGLY</t>
  </si>
  <si>
    <t>RCII</t>
  </si>
  <si>
    <t>RCM</t>
  </si>
  <si>
    <t>RDNT</t>
  </si>
  <si>
    <t>RES</t>
  </si>
  <si>
    <t>REVG</t>
  </si>
  <si>
    <t>RFP</t>
  </si>
  <si>
    <t>RH</t>
  </si>
  <si>
    <t>RHHBY</t>
  </si>
  <si>
    <t>RL</t>
  </si>
  <si>
    <t>RRC</t>
  </si>
  <si>
    <t>RUSHA</t>
  </si>
  <si>
    <t>SBUX</t>
  </si>
  <si>
    <t>SCHN</t>
  </si>
  <si>
    <t>SEM</t>
  </si>
  <si>
    <t>SGMS</t>
  </si>
  <si>
    <t>SKY</t>
  </si>
  <si>
    <t>SKYW</t>
  </si>
  <si>
    <t>SLG</t>
  </si>
  <si>
    <t>SMCI</t>
  </si>
  <si>
    <t>SOHU</t>
  </si>
  <si>
    <t>SPB</t>
  </si>
  <si>
    <t>SPTN</t>
  </si>
  <si>
    <t>SQM</t>
  </si>
  <si>
    <t>SRI</t>
  </si>
  <si>
    <t>SSP</t>
  </si>
  <si>
    <t>SYNA</t>
  </si>
  <si>
    <t>SYX</t>
  </si>
  <si>
    <t>T</t>
  </si>
  <si>
    <t>TACO</t>
  </si>
  <si>
    <t>TDOC</t>
  </si>
  <si>
    <t>TEF</t>
  </si>
  <si>
    <t>TEO</t>
  </si>
  <si>
    <t>TGI</t>
  </si>
  <si>
    <t>TGNA</t>
  </si>
  <si>
    <t>THC</t>
  </si>
  <si>
    <t>THO</t>
  </si>
  <si>
    <t>TISI</t>
  </si>
  <si>
    <t>TITN</t>
  </si>
  <si>
    <t>TMST</t>
  </si>
  <si>
    <t>TNDM</t>
  </si>
  <si>
    <t>TNET</t>
  </si>
  <si>
    <t>TOL</t>
  </si>
  <si>
    <t>TOT</t>
  </si>
  <si>
    <t>TPC</t>
  </si>
  <si>
    <t>TRGP</t>
  </si>
  <si>
    <t>TUSK</t>
  </si>
  <si>
    <t>UCTT</t>
  </si>
  <si>
    <t>UL</t>
  </si>
  <si>
    <t>ULH</t>
  </si>
  <si>
    <t>UNM</t>
  </si>
  <si>
    <t>URBN</t>
  </si>
  <si>
    <t>USCR</t>
  </si>
  <si>
    <t>VAC</t>
  </si>
  <si>
    <t>VEEV</t>
  </si>
  <si>
    <t>VHI</t>
  </si>
  <si>
    <t>VLO</t>
  </si>
  <si>
    <t>VPG</t>
  </si>
  <si>
    <t>VRS</t>
  </si>
  <si>
    <t>VSEC</t>
  </si>
  <si>
    <t>VVI</t>
  </si>
  <si>
    <t>WBK</t>
  </si>
  <si>
    <t>WELL</t>
  </si>
  <si>
    <t>WFC</t>
  </si>
  <si>
    <t>WGO</t>
  </si>
  <si>
    <t>WLK</t>
  </si>
  <si>
    <t>WNC</t>
  </si>
  <si>
    <t>WOW</t>
  </si>
  <si>
    <t>WTI</t>
  </si>
  <si>
    <t>X</t>
  </si>
  <si>
    <t>XNET</t>
  </si>
  <si>
    <t>XOM</t>
  </si>
  <si>
    <t>XPO</t>
  </si>
  <si>
    <t>YUMC</t>
  </si>
  <si>
    <t>ZUMZ</t>
  </si>
  <si>
    <t>GameStop Corp</t>
  </si>
  <si>
    <t>BB</t>
  </si>
  <si>
    <t>KOSS</t>
  </si>
  <si>
    <t>NOK</t>
  </si>
  <si>
    <t>TLRY</t>
  </si>
  <si>
    <t>PLTR</t>
  </si>
  <si>
    <t>BBBY</t>
  </si>
  <si>
    <t>ADA-CAD</t>
  </si>
  <si>
    <t>ALGO-CAD</t>
  </si>
  <si>
    <t>BCH-CAD</t>
  </si>
  <si>
    <t>BNB-CAD</t>
  </si>
  <si>
    <t>BTC-CAD</t>
  </si>
  <si>
    <t>DOGE-CAD</t>
  </si>
  <si>
    <t>EOS-CAD</t>
  </si>
  <si>
    <t>ETH-CAD</t>
  </si>
  <si>
    <t>LINK-CAD</t>
  </si>
  <si>
    <t>LTC-CAD</t>
  </si>
  <si>
    <t>MATIC-CAD</t>
  </si>
  <si>
    <t>VET-CAD</t>
  </si>
  <si>
    <t>XLM-CAD</t>
  </si>
  <si>
    <t>XMR-CAD</t>
  </si>
  <si>
    <t>XRP-CAD</t>
  </si>
  <si>
    <t>ZIL-CAD</t>
  </si>
  <si>
    <t>PMN.TO</t>
  </si>
  <si>
    <t>URL.CN</t>
  </si>
  <si>
    <t>ZLB.TO</t>
  </si>
  <si>
    <t>CGL.TO</t>
  </si>
  <si>
    <t>HSU.TO</t>
  </si>
  <si>
    <t>VCN.TO</t>
  </si>
  <si>
    <t>VDY.TO</t>
  </si>
  <si>
    <t>VFV.TO</t>
  </si>
  <si>
    <t>VSP.TO</t>
  </si>
  <si>
    <t>XAW.TO</t>
  </si>
  <si>
    <t>XEF.TO</t>
  </si>
  <si>
    <t>XIU.TO</t>
  </si>
  <si>
    <t>XUS.TO</t>
  </si>
  <si>
    <t>HTZGQ</t>
  </si>
  <si>
    <t>VEQT.TO</t>
  </si>
  <si>
    <t>VGRO.TO</t>
  </si>
  <si>
    <t>3-Jun-21</t>
  </si>
  <si>
    <t>Instrument Type</t>
  </si>
  <si>
    <t>Price</t>
  </si>
  <si>
    <t>Previous Close</t>
  </si>
  <si>
    <t>GL Percent</t>
  </si>
  <si>
    <t>USD</t>
  </si>
  <si>
    <t>EQUITY</t>
  </si>
  <si>
    <t>CRYPTOCURRENCY</t>
  </si>
  <si>
    <t>CAD</t>
  </si>
  <si>
    <t>ETF</t>
  </si>
  <si>
    <t>Asset Type</t>
  </si>
  <si>
    <t>All Assets</t>
  </si>
  <si>
    <t>4-Jun-21</t>
  </si>
  <si>
    <t>5-Jun-21</t>
  </si>
  <si>
    <t>Transfer XLM to Exodus</t>
  </si>
  <si>
    <t>Transfer ETH to Exodus</t>
  </si>
  <si>
    <t>6-Jun-21</t>
  </si>
  <si>
    <t>7-Jun-21</t>
  </si>
  <si>
    <t>8-Jun-21</t>
  </si>
  <si>
    <t>Coinbase</t>
  </si>
  <si>
    <t>MATIC</t>
  </si>
  <si>
    <t>COMP</t>
  </si>
  <si>
    <t>GRT</t>
  </si>
  <si>
    <t>FORTH</t>
  </si>
  <si>
    <t>Interest for staked ADA</t>
  </si>
  <si>
    <t>Equity</t>
  </si>
  <si>
    <t>Buy GME</t>
  </si>
  <si>
    <t>Buy LINK</t>
  </si>
  <si>
    <t>Exodus</t>
  </si>
  <si>
    <t>Transfer to Metamask</t>
  </si>
  <si>
    <t>MELP</t>
  </si>
  <si>
    <t>MATIC/ETH MELP</t>
  </si>
  <si>
    <t>Invest in MATIC/ETH LP</t>
  </si>
  <si>
    <t>Crypto portfolio book value:</t>
  </si>
  <si>
    <t>Crypto portfolio current value:</t>
  </si>
  <si>
    <t>G/L in $</t>
  </si>
  <si>
    <t>Buy ETH</t>
  </si>
  <si>
    <t>AMP</t>
  </si>
  <si>
    <t>Amp</t>
  </si>
  <si>
    <t>Invest in MATIC/ETH LP (https://etherscan.io/tx/0x8d19f5267cbf73829f2b607420bb31bf5ef9ef08fb353945cbcf64f2a4543b0e)</t>
  </si>
  <si>
    <t>Free CAD award</t>
  </si>
  <si>
    <t>Free XLM award</t>
  </si>
  <si>
    <t>Free MATIC award</t>
  </si>
  <si>
    <t>Free AMP award</t>
  </si>
  <si>
    <t>Free COMP award</t>
  </si>
  <si>
    <t>Free GRT award</t>
  </si>
  <si>
    <t>Free FORTH award</t>
  </si>
  <si>
    <t>Buy EOS</t>
  </si>
  <si>
    <t>Buy XRP</t>
  </si>
  <si>
    <t>Buy XLM</t>
  </si>
  <si>
    <t>Sell XRP</t>
  </si>
  <si>
    <t>Buy ADA</t>
  </si>
  <si>
    <t>Buy DOT</t>
  </si>
  <si>
    <t>Buy MATIC</t>
  </si>
  <si>
    <t>Buy AMP</t>
  </si>
  <si>
    <t>EALP</t>
  </si>
  <si>
    <t>ETH/AMP EALP</t>
  </si>
  <si>
    <t>Invest in ETH/AMP LP (https://etherscan.io/tx/0x4593c581d2f092f50535106b292318fb98e4f26d0e7d3655d303527227643736)</t>
  </si>
  <si>
    <t>ERROR</t>
  </si>
  <si>
    <t>Free BOND award</t>
  </si>
  <si>
    <t>Transfer to Daedalus</t>
  </si>
  <si>
    <t>Mined TFUEL</t>
  </si>
  <si>
    <t>Interest for staked DOT</t>
  </si>
  <si>
    <t>Transfer ETH to PDEX</t>
  </si>
  <si>
    <t>PDEX</t>
  </si>
  <si>
    <t>Polkadex</t>
  </si>
  <si>
    <t>Buy ATOM</t>
  </si>
  <si>
    <t>Transfer ATOM to Exodus</t>
  </si>
  <si>
    <t>Staking ATOM</t>
  </si>
  <si>
    <t/>
  </si>
  <si>
    <t>Sell ETH/AMP LP</t>
  </si>
  <si>
    <t>Sell MATIC/ETH LP</t>
  </si>
  <si>
    <t>INDEX</t>
  </si>
  <si>
    <t>4</t>
  </si>
  <si>
    <t>Free CLV award</t>
  </si>
  <si>
    <t>CLV</t>
  </si>
  <si>
    <t>BOND</t>
  </si>
  <si>
    <t>BarnBridge</t>
  </si>
  <si>
    <t>Ampleforth Governence Token</t>
  </si>
  <si>
    <t>The Graph</t>
  </si>
  <si>
    <t>Clover</t>
  </si>
  <si>
    <t>Cardano</t>
  </si>
  <si>
    <t>Compound</t>
  </si>
  <si>
    <t>Cosmos</t>
  </si>
  <si>
    <t>Polkadot</t>
  </si>
  <si>
    <t>Stellar</t>
  </si>
  <si>
    <t>Ethereum</t>
  </si>
  <si>
    <t>Chainlink</t>
  </si>
  <si>
    <t>Polygon</t>
  </si>
  <si>
    <t>Transfer AMP to Metamask</t>
  </si>
  <si>
    <t>Transfer MATIC to Metamask</t>
  </si>
  <si>
    <t>Buy USDT</t>
  </si>
  <si>
    <t>Transfer USDT to Metamask</t>
  </si>
  <si>
    <t>USDT</t>
  </si>
  <si>
    <t>Tether</t>
  </si>
  <si>
    <t>Sub-Type</t>
  </si>
  <si>
    <t>CIBC</t>
  </si>
  <si>
    <t>Credit CX</t>
  </si>
  <si>
    <t>Debit CX</t>
  </si>
  <si>
    <t>Deposit fiat</t>
  </si>
  <si>
    <t>TFUEL</t>
  </si>
  <si>
    <t>Coinsmart</t>
  </si>
  <si>
    <t>Purchase from CX</t>
  </si>
  <si>
    <t>Sell to CX</t>
  </si>
  <si>
    <t>Daedalus</t>
  </si>
  <si>
    <t>Bitbuy</t>
  </si>
  <si>
    <t>Netcoins</t>
  </si>
  <si>
    <t>Polkadot Web</t>
  </si>
  <si>
    <t>Polkadot Web (Stash)</t>
  </si>
  <si>
    <t>Theta Web</t>
  </si>
  <si>
    <t>Staking AMP</t>
  </si>
  <si>
    <t>Authorize zapper to access USDT</t>
  </si>
  <si>
    <t>Authorize cream to access USDT</t>
  </si>
  <si>
    <t>Free award</t>
  </si>
  <si>
    <t>Purchase from DEX</t>
  </si>
  <si>
    <t>Staking interest</t>
  </si>
  <si>
    <t>Purchase equity</t>
  </si>
  <si>
    <t>Sell to DX</t>
  </si>
  <si>
    <t>Transfer EOS to Exodus</t>
  </si>
  <si>
    <t>Debit broker</t>
  </si>
  <si>
    <t>Create controller wallet</t>
  </si>
  <si>
    <t>Create stash wallet</t>
  </si>
  <si>
    <t>Transfer ETH to Metamask</t>
  </si>
  <si>
    <t>Debit DEX</t>
  </si>
  <si>
    <t>Cream</t>
  </si>
  <si>
    <t>Stake USDT on CREAM</t>
  </si>
  <si>
    <t>Register coupland.eth</t>
  </si>
  <si>
    <t>Borrow interest</t>
  </si>
  <si>
    <t>Flexa Capacity</t>
  </si>
  <si>
    <t>Stake AMP on Flexa Capacity</t>
  </si>
  <si>
    <t>Stake my MATIC</t>
  </si>
  <si>
    <t>Polygon Web Wallet</t>
  </si>
  <si>
    <t>Transfer LINK to Metamask</t>
  </si>
  <si>
    <t>Purchase ETH</t>
  </si>
  <si>
    <t>Authorize Compound to spend LINK</t>
  </si>
  <si>
    <t>Supply LINK on Compound</t>
  </si>
  <si>
    <t>Supply USDT on CREAM</t>
  </si>
  <si>
    <t>Kraken</t>
  </si>
  <si>
    <t>Transfer ETH to Kraken</t>
  </si>
  <si>
    <t>ETH2 Network</t>
  </si>
  <si>
    <t>Stake my ETH</t>
  </si>
  <si>
    <t># Update record</t>
  </si>
  <si>
    <t>Gain (Coins)</t>
  </si>
  <si>
    <t>Gain %</t>
  </si>
  <si>
    <t>Gain $</t>
  </si>
  <si>
    <t>Transfer ADA to CoinSmart</t>
  </si>
  <si>
    <t>Sell my ADA</t>
  </si>
  <si>
    <t>Borrow interest from 14-Aug to 26-Aug</t>
  </si>
  <si>
    <t>Buy HSD.TO</t>
  </si>
  <si>
    <t>FET</t>
  </si>
  <si>
    <t>Free FET award</t>
  </si>
  <si>
    <t>Fetch.ai</t>
  </si>
  <si>
    <t>Transfer FET to Metamask</t>
  </si>
  <si>
    <t>Interest for staked ETH</t>
  </si>
  <si>
    <t>Portfolio ATH</t>
  </si>
  <si>
    <t>To ATH</t>
  </si>
  <si>
    <t>Stake my FET</t>
  </si>
  <si>
    <t>Column1</t>
  </si>
  <si>
    <t>Unstake USDT</t>
  </si>
  <si>
    <t>Transfer USDT to Netcoins</t>
  </si>
  <si>
    <t>Sell my USDT</t>
  </si>
  <si>
    <t>Found my missing ETH</t>
  </si>
  <si>
    <t>Borrow interest from 27-Aug to 7-Sep</t>
  </si>
  <si>
    <t>Register davidchase.eth</t>
  </si>
  <si>
    <t>Move my AMP to Lightning Transformer</t>
  </si>
  <si>
    <t>Stake AMP on Lightning</t>
  </si>
  <si>
    <t>Flexa Lightning</t>
  </si>
  <si>
    <t>Buy ALGO</t>
  </si>
  <si>
    <t>Algorand</t>
  </si>
  <si>
    <t>Interest for staked ALGO</t>
  </si>
  <si>
    <t>XYO</t>
  </si>
  <si>
    <t>XY Oracle Network</t>
  </si>
  <si>
    <t>Buy XYO</t>
  </si>
  <si>
    <t>Sell ADA</t>
  </si>
  <si>
    <t>Staking FET ERC20 token</t>
  </si>
  <si>
    <t>CHZ</t>
  </si>
  <si>
    <t>Transfer PDEX to ETH</t>
  </si>
  <si>
    <t>Fund Polygon network</t>
  </si>
  <si>
    <t>Metamask Polygon</t>
  </si>
  <si>
    <t>Sell GME</t>
  </si>
  <si>
    <t>Unstake MATIC</t>
  </si>
  <si>
    <t>Staking interest for MATIC</t>
  </si>
  <si>
    <t>Unstake my USDT</t>
  </si>
  <si>
    <t>ETH Metamask</t>
  </si>
  <si>
    <t>Transfer USDT to ETH Metamask</t>
  </si>
  <si>
    <t>Unstake MATIC rewards</t>
  </si>
  <si>
    <t>Transfer MATIC to Metamask Polygon</t>
  </si>
  <si>
    <t>Unstake LINK</t>
  </si>
  <si>
    <t>Transfer ETH to ETH Metamask</t>
  </si>
  <si>
    <t>Borrow interest from LINK</t>
  </si>
  <si>
    <t>Send Polygon ETH to my new wallet</t>
  </si>
  <si>
    <t>MATIC Metamask</t>
  </si>
  <si>
    <t>Send Polygon MATIC to my new wallet</t>
  </si>
  <si>
    <t>Transfer ETH from Coinbase to ETH Metamask</t>
  </si>
  <si>
    <t>Swap USDT to ETH</t>
  </si>
  <si>
    <t>Bridge ETH to Polygon</t>
  </si>
  <si>
    <t>Bridge all MATIC to Polygon</t>
  </si>
  <si>
    <t>Time</t>
  </si>
  <si>
    <t>I finish consolidating everything in my new wallet on Polygon.  I am starting with 2.33 WETH.  ETH is at $3961.22</t>
  </si>
  <si>
    <t>USDC</t>
  </si>
  <si>
    <t>Swap</t>
  </si>
  <si>
    <t xml:space="preserve">I start assuming 4 shares total, meaning each one is worth 0.58 ETH. </t>
  </si>
  <si>
    <t>I swap one share from ETH to USDC at $3,964.85.</t>
  </si>
  <si>
    <t>Purchase FET</t>
  </si>
  <si>
    <t>Swap ETH for EOS</t>
  </si>
  <si>
    <t>Swap XLM for EOS</t>
  </si>
  <si>
    <t>Swap ETH for ATOM</t>
  </si>
  <si>
    <t>Swap ETH for ADA</t>
  </si>
  <si>
    <t>Swap EOS for LINK</t>
  </si>
  <si>
    <t>Here are the rungs with my baseline at $3961.  I only have one share in USDC so I buy in at $3565.</t>
  </si>
  <si>
    <t>So I guess the way this will work is that at every threshhold I either buy or sell a share.  That then becomes the new baseline.  Rinse and repeat.</t>
  </si>
  <si>
    <t>Swap USDC to ETH</t>
  </si>
  <si>
    <t>Failed transaction</t>
  </si>
  <si>
    <t>This is the new baseline.</t>
  </si>
  <si>
    <t>We've dropped a threshold so I trade some USDC for ETH.  I get 0.055 more ETH total, a 2.35% increase.</t>
  </si>
  <si>
    <t>Var1</t>
  </si>
  <si>
    <t>Var2</t>
  </si>
  <si>
    <t>Var3</t>
  </si>
  <si>
    <t>Var4</t>
  </si>
  <si>
    <t>Var5</t>
  </si>
  <si>
    <t>Var6</t>
  </si>
  <si>
    <t>Var7</t>
  </si>
  <si>
    <t xml:space="preserve">For some reason the failed transaction cost me $10 in MATIC and the successful one cost $20.  A rush on the bank?  Still seems insanely high.  </t>
  </si>
  <si>
    <t>The end result is I paid $30 in MATIC for a $195 increase in ETH.</t>
  </si>
  <si>
    <t>My total ETH balance.</t>
  </si>
  <si>
    <t>Buy USDC</t>
  </si>
  <si>
    <t>ETH price</t>
  </si>
  <si>
    <t>ETH balance</t>
  </si>
  <si>
    <t>USDC price</t>
  </si>
  <si>
    <t>USDC balance</t>
  </si>
  <si>
    <t>Total value in $</t>
  </si>
  <si>
    <t>Total value in ETH</t>
  </si>
  <si>
    <t>Approve ETH on QuickSwap</t>
  </si>
  <si>
    <t>Swap ETH for USDC</t>
  </si>
  <si>
    <t>I swap one share (0.6 ETH) from ETH to USDC at $3,871.</t>
  </si>
  <si>
    <t>I reset my alerts on Cryptocurrencyalerts</t>
  </si>
  <si>
    <t>My trading fund balance in ETH.</t>
  </si>
  <si>
    <t>My net trading fund growth in ETH.</t>
  </si>
  <si>
    <t>I have 1 share in USDC and 3 shares in ETH.</t>
  </si>
  <si>
    <t>Approve USDC on QuickSwap</t>
  </si>
  <si>
    <t>I have 0 shares in USDC and 4 shares in ETH.</t>
  </si>
  <si>
    <t>I swap 2211 USDC at 1.27 for 0.78 ETH at $3,547.36</t>
  </si>
  <si>
    <t>66.0000</t>
  </si>
  <si>
    <t>Swap USDC for ETH</t>
  </si>
  <si>
    <t>Swap USDT for ETH</t>
  </si>
  <si>
    <t>Swap LINK for ETH</t>
  </si>
  <si>
    <t>I add $500 in USDC from fiat.  This represents 0.129 ETH that have been added to my portfolio</t>
  </si>
  <si>
    <t>ETH added to account</t>
  </si>
  <si>
    <t>Growth in ETH</t>
  </si>
  <si>
    <t>Growth %</t>
  </si>
  <si>
    <t>Actionable delta</t>
  </si>
  <si>
    <t>Column2</t>
  </si>
  <si>
    <t>Column3</t>
  </si>
  <si>
    <t>Column4</t>
  </si>
  <si>
    <t>Swap ALGO for ETH</t>
  </si>
  <si>
    <t>Swap XYO for ETH</t>
  </si>
  <si>
    <t>I add 0.313 ETH to my balance.  This was from selling XYO and ALGO.</t>
  </si>
  <si>
    <t>I reset my iDelta down to 8%.  There have been too many times it's approached the 10% mark then backed off.</t>
  </si>
  <si>
    <t>I swap one share (0.68 ETH) from ETH at $4062 to 2172 USDC at $1.27.</t>
  </si>
  <si>
    <t>I have 2 shares in USDC and 2 shares in ETH.</t>
  </si>
  <si>
    <t>I swap one share (0.7 ETH) from ETH at $4411 to 2454 USDC at $126.</t>
  </si>
  <si>
    <t>Price has dropped overnight.  I buy one share of ETH.</t>
  </si>
  <si>
    <t>Price has risen since 7.  I sell one share of ETH.</t>
  </si>
  <si>
    <t>Opening $ value</t>
  </si>
  <si>
    <t>Opening ETH balance</t>
  </si>
  <si>
    <t>Loss to recover my tokens from smart contract</t>
  </si>
  <si>
    <t>Date begun</t>
  </si>
  <si>
    <t>Days since begun</t>
  </si>
  <si>
    <t>I add 2008.29 USDC to my balance.  This was by funding $2500 from Paytrie.  This is equivalent to 0.53011 ETH at the time.</t>
  </si>
  <si>
    <t>I add 2009.38 USDC to my balance.  This was by funding $2500 from Paytrie.  This is equivalent to 0.513752 ETH at the time.</t>
  </si>
  <si>
    <t>I do a reset on my shares by purchasing 1.077 more ETH.  This is because of the additional USDC I've purchased with fiat, and also because I have a hunch ETH will just keep rising.  I decide to reset my baseline here.</t>
  </si>
  <si>
    <t>BITO Swing trading</t>
  </si>
  <si>
    <t>Opening shares</t>
  </si>
  <si>
    <t>Annualized return</t>
  </si>
  <si>
    <t>Share price</t>
  </si>
  <si>
    <t>Total stacks</t>
  </si>
  <si>
    <t>Stack size in $</t>
  </si>
  <si>
    <t>Shares owned</t>
  </si>
  <si>
    <t xml:space="preserve">Cash </t>
  </si>
  <si>
    <t>Stack size in shares</t>
  </si>
  <si>
    <t>$ added to principal</t>
  </si>
  <si>
    <t>Growth in $</t>
  </si>
  <si>
    <t>Swap FET for ETH</t>
  </si>
  <si>
    <t>BITO</t>
  </si>
  <si>
    <t>Calculators</t>
  </si>
  <si>
    <t>Start</t>
  </si>
  <si>
    <t>Finish</t>
  </si>
  <si>
    <t>Spread</t>
  </si>
  <si>
    <t>Desired Spread</t>
  </si>
  <si>
    <t>Strike</t>
  </si>
  <si>
    <t>Days</t>
  </si>
  <si>
    <t>Annualized</t>
  </si>
  <si>
    <t>Buy price</t>
  </si>
  <si>
    <t>Shares</t>
  </si>
  <si>
    <t>Buy BITO</t>
  </si>
  <si>
    <r>
      <t xml:space="preserve">This is the </t>
    </r>
    <r>
      <rPr>
        <sz val="10"/>
        <color rgb="FFFF0000"/>
        <rFont val="Segoe UI Light"/>
        <family val="2"/>
      </rPr>
      <t>BITO</t>
    </r>
    <r>
      <rPr>
        <sz val="10"/>
        <color theme="1"/>
        <rFont val="Segoe UI Light"/>
        <family val="2"/>
      </rPr>
      <t xml:space="preserve"> baseline.</t>
    </r>
  </si>
  <si>
    <r>
      <t xml:space="preserve">I set my </t>
    </r>
    <r>
      <rPr>
        <sz val="10"/>
        <color rgb="FFFF0000"/>
        <rFont val="Segoe UI Light"/>
        <family val="2"/>
      </rPr>
      <t>BITO</t>
    </r>
    <r>
      <rPr>
        <sz val="10"/>
        <color theme="1"/>
        <rFont val="Segoe UI Light"/>
        <family val="2"/>
      </rPr>
      <t xml:space="preserve"> limit trades.</t>
    </r>
  </si>
  <si>
    <r>
      <t xml:space="preserve">This is the </t>
    </r>
    <r>
      <rPr>
        <sz val="10"/>
        <color rgb="FF00B0F0"/>
        <rFont val="Segoe UI Light"/>
        <family val="2"/>
      </rPr>
      <t>ETH</t>
    </r>
    <r>
      <rPr>
        <sz val="10"/>
        <color theme="1"/>
        <rFont val="Segoe UI Light"/>
        <family val="2"/>
      </rPr>
      <t xml:space="preserve"> baseline.</t>
    </r>
  </si>
  <si>
    <t>Transfer coupland.eth</t>
  </si>
  <si>
    <r>
      <t xml:space="preserve">My </t>
    </r>
    <r>
      <rPr>
        <sz val="10"/>
        <color rgb="FFFF0000"/>
        <rFont val="Segoe UI Light"/>
        <family val="2"/>
      </rPr>
      <t>BITO</t>
    </r>
    <r>
      <rPr>
        <sz val="10"/>
        <color theme="1"/>
        <rFont val="Segoe UI Light"/>
        <family val="2"/>
      </rPr>
      <t xml:space="preserve"> sell order triggers.</t>
    </r>
  </si>
  <si>
    <t>Proshares Bitcoin ETF</t>
  </si>
  <si>
    <t>ETH Swing trading</t>
  </si>
  <si>
    <t>Date started</t>
  </si>
  <si>
    <t>Days since started</t>
  </si>
  <si>
    <t>Annualized returns</t>
  </si>
  <si>
    <t>Staking Rewards</t>
  </si>
  <si>
    <r>
      <t xml:space="preserve">I reset my </t>
    </r>
    <r>
      <rPr>
        <sz val="10"/>
        <color rgb="FF00B0F0"/>
        <rFont val="Segoe UI Light"/>
        <family val="2"/>
      </rPr>
      <t>ETH</t>
    </r>
    <r>
      <rPr>
        <sz val="10"/>
        <color theme="1"/>
        <rFont val="Segoe UI Light"/>
        <family val="2"/>
      </rPr>
      <t xml:space="preserve"> alerts.</t>
    </r>
  </si>
  <si>
    <r>
      <t xml:space="preserve">My </t>
    </r>
    <r>
      <rPr>
        <sz val="10"/>
        <color rgb="FFFF0000"/>
        <rFont val="Segoe UI Light"/>
        <family val="2"/>
      </rPr>
      <t>BITO</t>
    </r>
    <r>
      <rPr>
        <sz val="10"/>
        <color theme="1"/>
        <rFont val="Segoe UI Light"/>
        <family val="2"/>
      </rPr>
      <t xml:space="preserve"> buy order triggers.</t>
    </r>
  </si>
  <si>
    <t>Sell equity</t>
  </si>
  <si>
    <t>Sell BITO</t>
  </si>
  <si>
    <t>Transfer davidchase.eth</t>
  </si>
  <si>
    <t>Questrade RRSP</t>
  </si>
  <si>
    <t>Questrade TFSA</t>
  </si>
  <si>
    <t>BTCX.B</t>
  </si>
  <si>
    <t>Sell HSD.TO</t>
  </si>
  <si>
    <t>Approve Gelato for limit orders</t>
  </si>
  <si>
    <t>Create a limit order on QuickSwap</t>
  </si>
  <si>
    <t>Cancel second transaction</t>
  </si>
  <si>
    <t>Cancel first transaction</t>
  </si>
  <si>
    <t>Value in ETH</t>
  </si>
  <si>
    <t>Value in USDC</t>
  </si>
  <si>
    <t>CIBC RESP</t>
  </si>
  <si>
    <t>Credit broker</t>
  </si>
  <si>
    <t>CI Galaxy Bitoin</t>
  </si>
  <si>
    <t>Crypto Portfolio stats</t>
  </si>
  <si>
    <t>Crypto</t>
  </si>
  <si>
    <t>Buy amount</t>
  </si>
  <si>
    <t>Sell amount</t>
  </si>
  <si>
    <t>Trade Delta</t>
  </si>
  <si>
    <t>BTCX</t>
  </si>
  <si>
    <t>Buy BTCX</t>
  </si>
  <si>
    <t>Buy BTCX in RESP</t>
  </si>
  <si>
    <t>Value in BITO</t>
  </si>
  <si>
    <t>Value in cash</t>
  </si>
  <si>
    <t>Cancelled transaction</t>
  </si>
  <si>
    <t>X Rate</t>
  </si>
  <si>
    <t>Buy BTCX in TFSA</t>
  </si>
  <si>
    <t>Buy equity</t>
  </si>
  <si>
    <t>1671 USDC</t>
  </si>
  <si>
    <t>0.36 ETH</t>
  </si>
  <si>
    <t>Sell BTCX</t>
  </si>
  <si>
    <t>Null transaction</t>
  </si>
  <si>
    <t>Update coupland.eth</t>
  </si>
  <si>
    <t>ENS</t>
  </si>
  <si>
    <t>Ethereum Name Service</t>
  </si>
  <si>
    <t>Airdrop for ENS</t>
  </si>
  <si>
    <t>Claim ENS tokens</t>
  </si>
  <si>
    <t>Transfer ENS to ETH Metamask</t>
  </si>
  <si>
    <t>Total net worth</t>
  </si>
  <si>
    <t>Portfolio total</t>
  </si>
  <si>
    <t>Home equity</t>
  </si>
  <si>
    <t>Car equity</t>
  </si>
  <si>
    <t>GSK Pension</t>
  </si>
  <si>
    <t>Valuables</t>
  </si>
  <si>
    <t>Home loan</t>
  </si>
  <si>
    <t>Assets by Account</t>
  </si>
  <si>
    <t>Legacy Metamask</t>
  </si>
  <si>
    <t>Sell BTCX in TFSA</t>
  </si>
  <si>
    <t>Buy ETHX in TFSA</t>
  </si>
  <si>
    <t>ETHX</t>
  </si>
  <si>
    <t>CI Galaxy Ethereum</t>
  </si>
  <si>
    <t>ETHX.B</t>
  </si>
  <si>
    <t>Withdraw ETH to ETH Metamask</t>
  </si>
  <si>
    <t>=IF(iETHX_Price&lt;E22,SoundDown(),"")</t>
  </si>
  <si>
    <t>=IF(iBTCX_Price&lt;E16,SoundDown(),"")</t>
  </si>
  <si>
    <t>=IF(iBITO_Price&lt;E10,SoundDown(),"")</t>
  </si>
  <si>
    <t>=IF(iETH_Price&lt;E4,SoundDown(),"")</t>
  </si>
  <si>
    <t>Mining reward</t>
  </si>
  <si>
    <t>Mined ETH</t>
  </si>
  <si>
    <t>Transfer mined ETH to Kraken</t>
  </si>
  <si>
    <t>Swap ENS for ETH</t>
  </si>
  <si>
    <t>Approve ENS for swaps</t>
  </si>
  <si>
    <t>Swap ADA for ETH</t>
  </si>
  <si>
    <t>Polkadot Web (Controller)</t>
  </si>
  <si>
    <t>Transfer DOT to Kraken</t>
  </si>
  <si>
    <t>Mining Rewards</t>
  </si>
  <si>
    <t>CIBC TFSA</t>
  </si>
  <si>
    <t>Sell ETHX</t>
  </si>
  <si>
    <t>GME stock split</t>
  </si>
  <si>
    <t>Margin</t>
  </si>
  <si>
    <t>Athabasca Oil Corp</t>
  </si>
  <si>
    <t>East Side Games Group Inc</t>
  </si>
  <si>
    <t>EAGR.TO</t>
  </si>
  <si>
    <t>FOBI AI Inc</t>
  </si>
  <si>
    <t>FOBI.VN</t>
  </si>
  <si>
    <t>FP Newspapers</t>
  </si>
  <si>
    <t>FP.VN</t>
  </si>
  <si>
    <t>Gear Energy Ltd</t>
  </si>
  <si>
    <t>I3 Energy Plc</t>
  </si>
  <si>
    <t>Kodiak Copper Corp</t>
  </si>
  <si>
    <t>KDK.VN</t>
  </si>
  <si>
    <t>Radishred Capital Corp</t>
  </si>
  <si>
    <t>KUT.VN</t>
  </si>
  <si>
    <t>Promis Neurosciences</t>
  </si>
  <si>
    <t>Namesilo Technology</t>
  </si>
  <si>
    <t>Western Forest Products</t>
  </si>
  <si>
    <t>WEF.TO</t>
  </si>
  <si>
    <t>RRSP</t>
  </si>
  <si>
    <t>Spectra7 Microsystems Inc</t>
  </si>
  <si>
    <t>SEV.VN</t>
  </si>
  <si>
    <t>Tamarack Valley Energy</t>
  </si>
  <si>
    <t>TVE.TO</t>
  </si>
  <si>
    <t>XBC.TO</t>
  </si>
  <si>
    <t>TFSA</t>
  </si>
  <si>
    <t>BTE.TO</t>
  </si>
  <si>
    <t>Xebec Adsorption</t>
  </si>
  <si>
    <t>Baytex Energy Corp</t>
  </si>
  <si>
    <t>DOC.VN</t>
  </si>
  <si>
    <t>CloudMD Software</t>
  </si>
  <si>
    <t>OGI.TO</t>
  </si>
  <si>
    <t>Organigram Holdings Inc</t>
  </si>
  <si>
    <t>HTL.VN</t>
  </si>
  <si>
    <t>Sangoma Technologies Corp</t>
  </si>
  <si>
    <t>STC.TO</t>
  </si>
  <si>
    <t>AMP1-CAD</t>
  </si>
  <si>
    <t>ATOM1-CAD</t>
  </si>
  <si>
    <t>DOT1-CAD</t>
  </si>
  <si>
    <t>Hamilton Thorne Ltd</t>
  </si>
  <si>
    <t>Penny Stocks</t>
  </si>
  <si>
    <t>Start Date</t>
  </si>
  <si>
    <t>Transfer cash into Questrade RRSP</t>
  </si>
  <si>
    <t>Purchase ETHX</t>
  </si>
  <si>
    <t>Buy ETHX in RRSP</t>
  </si>
  <si>
    <t>Buy ETHX in RESP</t>
  </si>
  <si>
    <t>Deposit fiat in Questrade RRSP</t>
  </si>
  <si>
    <t>Deposit fiat in CIBC RESP</t>
  </si>
  <si>
    <t>ETH ATH</t>
  </si>
  <si>
    <t>My Bull Run Plan</t>
  </si>
  <si>
    <t>"After ETH reaches ATH, for each 20% it rises, sell 10% by total coins.  For each 30% it falls, buy 10% by dollar value."</t>
  </si>
  <si>
    <t xml:space="preserve">Starting Balance: </t>
  </si>
  <si>
    <t>Cash</t>
  </si>
  <si>
    <t>Sell</t>
  </si>
  <si>
    <t>Buy</t>
  </si>
  <si>
    <t>Deposit fiat in Questrade RESP</t>
  </si>
  <si>
    <t>LCE.VN</t>
  </si>
  <si>
    <t>Century Lithium Corp</t>
  </si>
  <si>
    <t>Buy GME in RRSP</t>
  </si>
  <si>
    <t>RRSP contribution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</si>
</sst>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8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dd/mmm/yy;@"/>
    <numFmt numFmtId="165" formatCode="&quot;$&quot;#,##0.0000"/>
    <numFmt numFmtId="166" formatCode="&quot;$&quot;#,##0.00"/>
    <numFmt numFmtId="167" formatCode="&quot;$&quot;#,##0"/>
    <numFmt numFmtId="168" formatCode="0000"/>
    <numFmt numFmtId="169" formatCode="0.0000"/>
    <numFmt numFmtId="170" formatCode="#,##0.00000000"/>
    <numFmt numFmtId="171" formatCode="[$-409]d/mmm/yy;@"/>
    <numFmt numFmtId="172" formatCode="0.0%;[Red]0.0%"/>
    <numFmt numFmtId="173" formatCode="0%;[Red]0%"/>
    <numFmt numFmtId="174" formatCode="[$-409]h:mm\ AM/PM;@"/>
    <numFmt numFmtId="175" formatCode="0.000"/>
    <numFmt numFmtId="176" formatCode="0.0%"/>
    <numFmt numFmtId="177" formatCode="[Green]0.0%;[Red]0.0%"/>
  </numFmts>
  <fonts count="56" x14ac:knownFonts="1">
    <font>
      <sz val="11"/>
      <color theme="1"/>
      <name val="Calibri"/>
      <family val="2"/>
      <scheme val="minor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0"/>
      <color theme="1"/>
      <name val="Segoe UI Light"/>
      <family val="2"/>
    </font>
    <font>
      <sz val="11"/>
      <color theme="1"/>
      <name val="Calibri"/>
      <family val="2"/>
      <scheme val="minor"/>
    </font>
    <font>
      <sz val="10"/>
      <color rgb="FF000000"/>
      <name val="Segoe UI Light"/>
      <family val="2"/>
    </font>
    <font>
      <sz val="10"/>
      <name val="Segoe UI Light"/>
      <family val="2"/>
    </font>
    <font>
      <b/>
      <sz val="14"/>
      <color theme="1"/>
      <name val="Segoe UI Light"/>
      <family val="2"/>
    </font>
    <font>
      <sz val="8"/>
      <name val="Calibri"/>
      <family val="2"/>
      <scheme val="minor"/>
    </font>
    <font>
      <sz val="10"/>
      <color rgb="FFFF0000"/>
      <name val="Segoe UI Light"/>
      <family val="2"/>
    </font>
    <font>
      <sz val="10"/>
      <color rgb="FF00B050"/>
      <name val="Segoe UI Light"/>
      <family val="2"/>
    </font>
    <font>
      <b/>
      <sz val="10"/>
      <color theme="0"/>
      <name val="Segoe UI Light"/>
      <family val="2"/>
    </font>
    <font>
      <b/>
      <sz val="11"/>
      <color theme="0"/>
      <name val="Segoe UI Light"/>
      <family val="2"/>
    </font>
    <font>
      <sz val="10"/>
      <color rgb="FF00B0F0"/>
      <name val="Segoe UI Light"/>
      <family val="2"/>
    </font>
    <font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Segoe UI Light"/>
      <family val="2"/>
    </font>
    <font>
      <sz val="16"/>
      <color theme="0"/>
      <name val="Segoe UI Light"/>
      <family val="2"/>
    </font>
    <font>
      <i/>
      <sz val="10"/>
      <color theme="0"/>
      <name val="Segoe UI Light"/>
      <family val="2"/>
    </font>
    <font>
      <sz val="11"/>
      <color theme="0"/>
      <name val="Segoe UI Light"/>
      <family val="2"/>
    </font>
    <font>
      <b/>
      <i/>
      <sz val="10"/>
      <color theme="0"/>
      <name val="Segoe UI Light"/>
      <family val="2"/>
    </font>
    <font>
      <sz val="11"/>
      <color theme="1" tint="0.14999847407452621"/>
      <name val="Calibri"/>
      <family val="2"/>
      <scheme val="minor"/>
    </font>
    <font>
      <b/>
      <sz val="14"/>
      <color theme="4"/>
      <name val="Segoe UI Light"/>
      <family val="2"/>
    </font>
    <font>
      <sz val="16"/>
      <color theme="4"/>
      <name val="Segoe UI Light"/>
      <family val="2"/>
    </font>
    <font>
      <sz val="14"/>
      <color theme="4"/>
      <name val="Segoe UI Light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-0.499984740745262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9" fontId="32" fillId="0" borderId="0" applyFont="0" applyFill="0" applyBorder="0" applyAlignment="0" applyProtection="0"/>
    <xf numFmtId="0" fontId="35" fillId="0" borderId="0" applyNumberFormat="0" applyFill="0" applyProtection="0">
      <alignment vertical="center"/>
    </xf>
    <xf numFmtId="44" fontId="32" fillId="0" borderId="0" applyFont="0" applyFill="0" applyBorder="0" applyAlignment="0" applyProtection="0"/>
    <xf numFmtId="0" fontId="32" fillId="0" borderId="0"/>
    <xf numFmtId="43" fontId="32" fillId="0" borderId="0" applyFont="0" applyFill="0" applyBorder="0" applyAlignment="0" applyProtection="0"/>
  </cellStyleXfs>
  <cellXfs count="256">
    <xf numFmtId="0" fontId="0" fillId="0" borderId="0" xfId="0"/>
    <xf numFmtId="0" fontId="31" fillId="0" borderId="0" xfId="0" applyFont="1" applyAlignment="1">
      <alignment vertical="center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horizontal="center" vertical="center"/>
    </xf>
    <xf numFmtId="166" fontId="31" fillId="0" borderId="0" xfId="0" applyNumberFormat="1" applyFont="1" applyAlignment="1">
      <alignment horizontal="center" vertical="center"/>
    </xf>
    <xf numFmtId="166" fontId="30" fillId="0" borderId="0" xfId="0" applyNumberFormat="1" applyFont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166" fontId="33" fillId="0" borderId="0" xfId="0" applyNumberFormat="1" applyFont="1" applyAlignment="1">
      <alignment horizontal="center" vertical="center"/>
    </xf>
    <xf numFmtId="4" fontId="31" fillId="0" borderId="0" xfId="0" applyNumberFormat="1" applyFont="1" applyAlignment="1">
      <alignment vertical="center"/>
    </xf>
    <xf numFmtId="4" fontId="30" fillId="0" borderId="0" xfId="0" applyNumberFormat="1" applyFont="1" applyAlignment="1">
      <alignment horizontal="center" vertical="center" wrapText="1"/>
    </xf>
    <xf numFmtId="170" fontId="30" fillId="0" borderId="0" xfId="0" applyNumberFormat="1" applyFont="1" applyAlignment="1">
      <alignment horizontal="center" vertical="center" wrapText="1"/>
    </xf>
    <xf numFmtId="170" fontId="33" fillId="0" borderId="0" xfId="0" applyNumberFormat="1" applyFont="1" applyAlignment="1">
      <alignment horizontal="center" vertical="center"/>
    </xf>
    <xf numFmtId="169" fontId="29" fillId="0" borderId="0" xfId="0" applyNumberFormat="1" applyFont="1" applyAlignment="1">
      <alignment vertical="center"/>
    </xf>
    <xf numFmtId="0" fontId="27" fillId="0" borderId="0" xfId="0" applyFont="1" applyAlignment="1">
      <alignment vertical="center"/>
    </xf>
    <xf numFmtId="0" fontId="26" fillId="0" borderId="0" xfId="0" applyFont="1" applyAlignment="1">
      <alignment vertical="center"/>
    </xf>
    <xf numFmtId="0" fontId="25" fillId="0" borderId="0" xfId="0" applyFont="1" applyAlignment="1">
      <alignment vertical="center"/>
    </xf>
    <xf numFmtId="171" fontId="27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33" fillId="0" borderId="0" xfId="0" applyFont="1" applyAlignment="1">
      <alignment vertical="center"/>
    </xf>
    <xf numFmtId="171" fontId="24" fillId="0" borderId="0" xfId="0" applyNumberFormat="1" applyFont="1" applyAlignment="1">
      <alignment vertical="center"/>
    </xf>
    <xf numFmtId="171" fontId="23" fillId="0" borderId="0" xfId="0" applyNumberFormat="1" applyFont="1" applyAlignment="1">
      <alignment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167" fontId="22" fillId="0" borderId="0" xfId="0" applyNumberFormat="1" applyFont="1" applyAlignment="1">
      <alignment horizontal="center" vertical="center"/>
    </xf>
    <xf numFmtId="164" fontId="22" fillId="0" borderId="0" xfId="0" applyNumberFormat="1" applyFont="1" applyAlignment="1">
      <alignment horizontal="center" vertical="center"/>
    </xf>
    <xf numFmtId="174" fontId="22" fillId="0" borderId="0" xfId="0" applyNumberFormat="1" applyFont="1" applyAlignment="1">
      <alignment horizontal="center" vertical="center"/>
    </xf>
    <xf numFmtId="0" fontId="22" fillId="0" borderId="0" xfId="0" applyFont="1" applyAlignment="1">
      <alignment vertical="center" wrapText="1"/>
    </xf>
    <xf numFmtId="0" fontId="22" fillId="0" borderId="0" xfId="0" quotePrefix="1" applyFont="1" applyAlignment="1">
      <alignment horizontal="center" vertical="center"/>
    </xf>
    <xf numFmtId="164" fontId="21" fillId="0" borderId="0" xfId="0" applyNumberFormat="1" applyFont="1" applyAlignment="1">
      <alignment horizontal="center" vertical="center"/>
    </xf>
    <xf numFmtId="174" fontId="21" fillId="0" borderId="0" xfId="0" applyNumberFormat="1" applyFont="1" applyAlignment="1">
      <alignment horizontal="center" vertical="center"/>
    </xf>
    <xf numFmtId="169" fontId="21" fillId="0" borderId="0" xfId="0" applyNumberFormat="1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21" fillId="0" borderId="2" xfId="0" applyFont="1" applyBorder="1" applyAlignment="1">
      <alignment horizontal="center" vertical="center"/>
    </xf>
    <xf numFmtId="166" fontId="21" fillId="0" borderId="2" xfId="0" applyNumberFormat="1" applyFont="1" applyBorder="1" applyAlignment="1">
      <alignment horizontal="center" vertical="center"/>
    </xf>
    <xf numFmtId="167" fontId="21" fillId="0" borderId="2" xfId="0" applyNumberFormat="1" applyFont="1" applyBorder="1" applyAlignment="1">
      <alignment horizontal="center" vertical="center"/>
    </xf>
    <xf numFmtId="167" fontId="37" fillId="0" borderId="2" xfId="0" applyNumberFormat="1" applyFont="1" applyBorder="1" applyAlignment="1">
      <alignment horizontal="center" vertical="center"/>
    </xf>
    <xf numFmtId="167" fontId="38" fillId="0" borderId="2" xfId="0" applyNumberFormat="1" applyFont="1" applyBorder="1" applyAlignment="1">
      <alignment horizontal="center" vertical="center"/>
    </xf>
    <xf numFmtId="175" fontId="21" fillId="0" borderId="2" xfId="0" applyNumberFormat="1" applyFont="1" applyBorder="1" applyAlignment="1">
      <alignment horizontal="center" vertical="center"/>
    </xf>
    <xf numFmtId="10" fontId="21" fillId="0" borderId="2" xfId="1" applyNumberFormat="1" applyFont="1" applyBorder="1" applyAlignment="1">
      <alignment horizontal="center" vertical="center"/>
    </xf>
    <xf numFmtId="164" fontId="20" fillId="0" borderId="0" xfId="0" applyNumberFormat="1" applyFont="1" applyAlignment="1">
      <alignment horizontal="center" vertical="center"/>
    </xf>
    <xf numFmtId="174" fontId="20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 wrapText="1"/>
    </xf>
    <xf numFmtId="0" fontId="20" fillId="0" borderId="0" xfId="0" applyFont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164" fontId="19" fillId="0" borderId="0" xfId="0" applyNumberFormat="1" applyFont="1" applyAlignment="1">
      <alignment horizontal="center" vertical="center"/>
    </xf>
    <xf numFmtId="174" fontId="19" fillId="0" borderId="0" xfId="0" applyNumberFormat="1" applyFont="1" applyAlignment="1">
      <alignment horizontal="center" vertical="center"/>
    </xf>
    <xf numFmtId="0" fontId="19" fillId="0" borderId="0" xfId="0" applyFont="1" applyAlignment="1">
      <alignment vertical="center" wrapText="1"/>
    </xf>
    <xf numFmtId="0" fontId="19" fillId="0" borderId="0" xfId="0" applyFont="1" applyAlignment="1">
      <alignment horizontal="center" vertical="center"/>
    </xf>
    <xf numFmtId="167" fontId="21" fillId="0" borderId="2" xfId="0" applyNumberFormat="1" applyFont="1" applyBorder="1" applyAlignment="1">
      <alignment vertical="center"/>
    </xf>
    <xf numFmtId="167" fontId="0" fillId="0" borderId="0" xfId="0" applyNumberFormat="1" applyAlignment="1">
      <alignment vertical="center"/>
    </xf>
    <xf numFmtId="164" fontId="18" fillId="0" borderId="0" xfId="0" applyNumberFormat="1" applyFont="1" applyAlignment="1">
      <alignment horizontal="center" vertical="center"/>
    </xf>
    <xf numFmtId="174" fontId="18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 wrapText="1"/>
    </xf>
    <xf numFmtId="0" fontId="18" fillId="0" borderId="0" xfId="0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174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/>
    </xf>
    <xf numFmtId="0" fontId="17" fillId="0" borderId="0" xfId="1" applyNumberFormat="1" applyFont="1" applyBorder="1" applyAlignment="1">
      <alignment horizontal="center" vertical="center"/>
    </xf>
    <xf numFmtId="164" fontId="16" fillId="0" borderId="0" xfId="0" applyNumberFormat="1" applyFont="1" applyAlignment="1">
      <alignment horizontal="center" vertical="center"/>
    </xf>
    <xf numFmtId="174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vertical="center" wrapText="1"/>
    </xf>
    <xf numFmtId="0" fontId="16" fillId="0" borderId="0" xfId="0" applyFont="1" applyAlignment="1">
      <alignment horizontal="center" vertical="center"/>
    </xf>
    <xf numFmtId="169" fontId="16" fillId="0" borderId="0" xfId="0" applyNumberFormat="1" applyFont="1" applyAlignment="1">
      <alignment vertical="center" wrapText="1"/>
    </xf>
    <xf numFmtId="169" fontId="15" fillId="0" borderId="0" xfId="0" applyNumberFormat="1" applyFont="1" applyAlignment="1">
      <alignment vertical="center" wrapText="1"/>
    </xf>
    <xf numFmtId="164" fontId="14" fillId="0" borderId="0" xfId="0" applyNumberFormat="1" applyFont="1" applyAlignment="1">
      <alignment horizontal="center" vertical="center"/>
    </xf>
    <xf numFmtId="174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 wrapText="1"/>
    </xf>
    <xf numFmtId="0" fontId="14" fillId="0" borderId="0" xfId="0" applyFont="1" applyAlignment="1">
      <alignment horizontal="center" vertical="center"/>
    </xf>
    <xf numFmtId="175" fontId="21" fillId="0" borderId="0" xfId="0" applyNumberFormat="1" applyFont="1" applyAlignment="1">
      <alignment horizontal="center" vertical="center"/>
    </xf>
    <xf numFmtId="0" fontId="21" fillId="0" borderId="2" xfId="1" applyNumberFormat="1" applyFont="1" applyBorder="1" applyAlignment="1">
      <alignment horizontal="center" vertical="center"/>
    </xf>
    <xf numFmtId="10" fontId="34" fillId="0" borderId="0" xfId="1" applyNumberFormat="1" applyFont="1" applyBorder="1" applyAlignment="1">
      <alignment horizontal="center" vertical="center"/>
    </xf>
    <xf numFmtId="166" fontId="34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74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174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64" fontId="11" fillId="0" borderId="0" xfId="0" applyNumberFormat="1" applyFont="1" applyAlignment="1">
      <alignment horizontal="center" vertical="center"/>
    </xf>
    <xf numFmtId="174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/>
    </xf>
    <xf numFmtId="174" fontId="10" fillId="0" borderId="0" xfId="0" applyNumberFormat="1" applyFont="1" applyAlignment="1">
      <alignment horizontal="center" vertical="center"/>
    </xf>
    <xf numFmtId="0" fontId="10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17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/>
    </xf>
    <xf numFmtId="164" fontId="8" fillId="0" borderId="0" xfId="0" applyNumberFormat="1" applyFont="1" applyAlignment="1">
      <alignment horizontal="center" vertical="center"/>
    </xf>
    <xf numFmtId="174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74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/>
    </xf>
    <xf numFmtId="166" fontId="37" fillId="0" borderId="2" xfId="0" applyNumberFormat="1" applyFont="1" applyBorder="1" applyAlignment="1">
      <alignment horizontal="center" vertical="center"/>
    </xf>
    <xf numFmtId="166" fontId="38" fillId="0" borderId="2" xfId="0" applyNumberFormat="1" applyFont="1" applyBorder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17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6" fontId="37" fillId="0" borderId="0" xfId="0" applyNumberFormat="1" applyFont="1" applyAlignment="1">
      <alignment horizontal="center" vertical="center"/>
    </xf>
    <xf numFmtId="6" fontId="38" fillId="0" borderId="0" xfId="0" applyNumberFormat="1" applyFont="1" applyAlignment="1">
      <alignment horizontal="center" vertical="center"/>
    </xf>
    <xf numFmtId="167" fontId="21" fillId="0" borderId="0" xfId="0" applyNumberFormat="1" applyFont="1" applyAlignment="1">
      <alignment horizontal="center" vertical="center"/>
    </xf>
    <xf numFmtId="166" fontId="21" fillId="0" borderId="0" xfId="0" applyNumberFormat="1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167" fontId="37" fillId="0" borderId="0" xfId="0" applyNumberFormat="1" applyFont="1" applyAlignment="1">
      <alignment horizontal="center" vertical="center"/>
    </xf>
    <xf numFmtId="166" fontId="37" fillId="0" borderId="0" xfId="0" applyNumberFormat="1" applyFont="1" applyAlignment="1">
      <alignment horizontal="center" vertical="center"/>
    </xf>
    <xf numFmtId="167" fontId="38" fillId="0" borderId="0" xfId="0" applyNumberFormat="1" applyFont="1" applyAlignment="1">
      <alignment horizontal="center" vertical="center"/>
    </xf>
    <xf numFmtId="166" fontId="38" fillId="0" borderId="0" xfId="0" applyNumberFormat="1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8" fontId="6" fillId="0" borderId="0" xfId="0" applyNumberFormat="1" applyFont="1" applyAlignment="1">
      <alignment horizontal="center" vertical="center"/>
    </xf>
    <xf numFmtId="8" fontId="6" fillId="0" borderId="2" xfId="0" applyNumberFormat="1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17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/>
    </xf>
    <xf numFmtId="8" fontId="5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17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7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7" fillId="0" borderId="6" xfId="0" applyFont="1" applyBorder="1" applyAlignment="1">
      <alignment horizontal="center" vertical="center"/>
    </xf>
    <xf numFmtId="0" fontId="38" fillId="0" borderId="6" xfId="0" applyFont="1" applyBorder="1" applyAlignment="1">
      <alignment horizontal="center" vertical="center"/>
    </xf>
    <xf numFmtId="8" fontId="42" fillId="3" borderId="8" xfId="0" applyNumberFormat="1" applyFont="1" applyFill="1" applyBorder="1" applyAlignment="1">
      <alignment horizontal="center" vertical="center"/>
    </xf>
    <xf numFmtId="8" fontId="42" fillId="4" borderId="7" xfId="0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7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8" fontId="42" fillId="2" borderId="9" xfId="0" applyNumberFormat="1" applyFont="1" applyFill="1" applyBorder="1" applyAlignment="1">
      <alignment horizontal="center" vertical="center"/>
    </xf>
    <xf numFmtId="0" fontId="39" fillId="2" borderId="10" xfId="4" applyFont="1" applyFill="1" applyBorder="1" applyAlignment="1">
      <alignment horizontal="center" vertical="center"/>
    </xf>
    <xf numFmtId="0" fontId="40" fillId="2" borderId="11" xfId="4" applyFont="1" applyFill="1" applyBorder="1" applyAlignment="1">
      <alignment horizontal="center" vertical="center"/>
    </xf>
    <xf numFmtId="0" fontId="39" fillId="2" borderId="11" xfId="4" applyFont="1" applyFill="1" applyBorder="1" applyAlignment="1">
      <alignment horizontal="center" vertical="center"/>
    </xf>
    <xf numFmtId="0" fontId="39" fillId="2" borderId="12" xfId="4" applyFont="1" applyFill="1" applyBorder="1" applyAlignment="1">
      <alignment horizontal="center" vertical="center"/>
    </xf>
    <xf numFmtId="0" fontId="39" fillId="2" borderId="11" xfId="4" applyFont="1" applyFill="1" applyBorder="1" applyAlignment="1">
      <alignment horizontal="center" vertical="center" wrapText="1"/>
    </xf>
    <xf numFmtId="0" fontId="47" fillId="6" borderId="0" xfId="0" applyFont="1" applyFill="1" applyAlignment="1">
      <alignment horizontal="center" vertical="center"/>
    </xf>
    <xf numFmtId="8" fontId="42" fillId="5" borderId="0" xfId="0" applyNumberFormat="1" applyFont="1" applyFill="1" applyAlignment="1">
      <alignment horizontal="center" vertical="center"/>
    </xf>
    <xf numFmtId="0" fontId="47" fillId="7" borderId="0" xfId="0" applyFont="1" applyFill="1" applyAlignment="1">
      <alignment vertical="center" wrapText="1"/>
    </xf>
    <xf numFmtId="0" fontId="47" fillId="7" borderId="0" xfId="0" applyFont="1" applyFill="1" applyAlignment="1">
      <alignment horizontal="center" vertical="center" wrapText="1"/>
    </xf>
    <xf numFmtId="0" fontId="47" fillId="7" borderId="0" xfId="0" applyFont="1" applyFill="1" applyAlignment="1">
      <alignment vertical="center"/>
    </xf>
    <xf numFmtId="0" fontId="47" fillId="7" borderId="0" xfId="0" applyFont="1" applyFill="1" applyAlignment="1">
      <alignment horizontal="center" vertical="center"/>
    </xf>
    <xf numFmtId="166" fontId="47" fillId="7" borderId="0" xfId="0" applyNumberFormat="1" applyFont="1" applyFill="1" applyAlignment="1">
      <alignment horizontal="center" vertical="center"/>
    </xf>
    <xf numFmtId="6" fontId="47" fillId="7" borderId="0" xfId="0" applyNumberFormat="1" applyFont="1" applyFill="1" applyAlignment="1">
      <alignment horizontal="center" vertical="center"/>
    </xf>
    <xf numFmtId="177" fontId="47" fillId="7" borderId="0" xfId="1" applyNumberFormat="1" applyFont="1" applyFill="1" applyAlignment="1">
      <alignment horizontal="center" vertical="center"/>
    </xf>
    <xf numFmtId="0" fontId="47" fillId="7" borderId="3" xfId="0" applyFont="1" applyFill="1" applyBorder="1" applyAlignment="1">
      <alignment vertical="center" wrapText="1"/>
    </xf>
    <xf numFmtId="0" fontId="47" fillId="7" borderId="3" xfId="0" applyFont="1" applyFill="1" applyBorder="1" applyAlignment="1">
      <alignment horizontal="center" vertical="center" wrapText="1"/>
    </xf>
    <xf numFmtId="0" fontId="47" fillId="7" borderId="3" xfId="0" applyFont="1" applyFill="1" applyBorder="1" applyAlignment="1">
      <alignment horizontal="center" vertical="center"/>
    </xf>
    <xf numFmtId="166" fontId="47" fillId="7" borderId="3" xfId="0" applyNumberFormat="1" applyFont="1" applyFill="1" applyBorder="1" applyAlignment="1">
      <alignment horizontal="center" vertical="center"/>
    </xf>
    <xf numFmtId="6" fontId="47" fillId="7" borderId="3" xfId="0" applyNumberFormat="1" applyFont="1" applyFill="1" applyBorder="1" applyAlignment="1">
      <alignment horizontal="center" vertical="center"/>
    </xf>
    <xf numFmtId="177" fontId="47" fillId="7" borderId="3" xfId="1" applyNumberFormat="1" applyFont="1" applyFill="1" applyBorder="1" applyAlignment="1">
      <alignment horizontal="center" vertical="center"/>
    </xf>
    <xf numFmtId="0" fontId="47" fillId="7" borderId="1" xfId="0" applyFont="1" applyFill="1" applyBorder="1" applyAlignment="1">
      <alignment vertical="center"/>
    </xf>
    <xf numFmtId="0" fontId="47" fillId="7" borderId="1" xfId="0" applyFont="1" applyFill="1" applyBorder="1" applyAlignment="1">
      <alignment horizontal="center" vertical="center"/>
    </xf>
    <xf numFmtId="6" fontId="47" fillId="7" borderId="1" xfId="0" applyNumberFormat="1" applyFont="1" applyFill="1" applyBorder="1" applyAlignment="1">
      <alignment horizontal="center" vertical="center"/>
    </xf>
    <xf numFmtId="177" fontId="47" fillId="7" borderId="1" xfId="0" applyNumberFormat="1" applyFont="1" applyFill="1" applyBorder="1" applyAlignment="1">
      <alignment horizontal="center" vertical="center"/>
    </xf>
    <xf numFmtId="164" fontId="47" fillId="7" borderId="0" xfId="0" applyNumberFormat="1" applyFont="1" applyFill="1" applyAlignment="1">
      <alignment vertical="center"/>
    </xf>
    <xf numFmtId="165" fontId="47" fillId="7" borderId="0" xfId="0" applyNumberFormat="1" applyFont="1" applyFill="1" applyAlignment="1">
      <alignment horizontal="center" vertical="center"/>
    </xf>
    <xf numFmtId="0" fontId="47" fillId="7" borderId="13" xfId="0" applyFont="1" applyFill="1" applyBorder="1" applyAlignment="1">
      <alignment vertical="center"/>
    </xf>
    <xf numFmtId="172" fontId="47" fillId="7" borderId="0" xfId="1" applyNumberFormat="1" applyFont="1" applyFill="1" applyAlignment="1">
      <alignment horizontal="center" vertical="center"/>
    </xf>
    <xf numFmtId="172" fontId="47" fillId="7" borderId="0" xfId="0" applyNumberFormat="1" applyFont="1" applyFill="1" applyAlignment="1">
      <alignment horizontal="center" vertical="center"/>
    </xf>
    <xf numFmtId="3" fontId="47" fillId="7" borderId="0" xfId="0" applyNumberFormat="1" applyFont="1" applyFill="1" applyAlignment="1">
      <alignment horizontal="center" vertical="center"/>
    </xf>
    <xf numFmtId="4" fontId="47" fillId="7" borderId="0" xfId="0" applyNumberFormat="1" applyFont="1" applyFill="1" applyAlignment="1">
      <alignment horizontal="center" vertical="center"/>
    </xf>
    <xf numFmtId="165" fontId="34" fillId="6" borderId="0" xfId="0" applyNumberFormat="1" applyFont="1" applyFill="1" applyAlignment="1">
      <alignment horizontal="center" vertical="center"/>
    </xf>
    <xf numFmtId="169" fontId="47" fillId="7" borderId="0" xfId="0" applyNumberFormat="1" applyFont="1" applyFill="1" applyAlignment="1">
      <alignment vertical="center"/>
    </xf>
    <xf numFmtId="169" fontId="47" fillId="7" borderId="0" xfId="0" applyNumberFormat="1" applyFont="1" applyFill="1" applyAlignment="1">
      <alignment horizontal="center" vertical="center"/>
    </xf>
    <xf numFmtId="169" fontId="47" fillId="7" borderId="0" xfId="0" applyNumberFormat="1" applyFont="1" applyFill="1" applyAlignment="1">
      <alignment vertical="center" wrapText="1"/>
    </xf>
    <xf numFmtId="169" fontId="47" fillId="7" borderId="0" xfId="0" applyNumberFormat="1" applyFont="1" applyFill="1" applyAlignment="1">
      <alignment horizontal="center" vertical="center" wrapText="1"/>
    </xf>
    <xf numFmtId="168" fontId="47" fillId="7" borderId="0" xfId="0" applyNumberFormat="1" applyFont="1" applyFill="1" applyAlignment="1">
      <alignment horizontal="center" vertical="center"/>
    </xf>
    <xf numFmtId="164" fontId="47" fillId="7" borderId="0" xfId="0" applyNumberFormat="1" applyFont="1" applyFill="1" applyAlignment="1">
      <alignment horizontal="center" vertical="center"/>
    </xf>
    <xf numFmtId="166" fontId="47" fillId="7" borderId="0" xfId="0" applyNumberFormat="1" applyFont="1" applyFill="1" applyAlignment="1">
      <alignment vertical="center"/>
    </xf>
    <xf numFmtId="166" fontId="47" fillId="7" borderId="4" xfId="4" applyNumberFormat="1" applyFont="1" applyFill="1" applyBorder="1" applyAlignment="1">
      <alignment horizontal="center" vertical="center"/>
    </xf>
    <xf numFmtId="6" fontId="47" fillId="7" borderId="3" xfId="4" applyNumberFormat="1" applyFont="1" applyFill="1" applyBorder="1" applyAlignment="1">
      <alignment horizontal="center" vertical="center"/>
    </xf>
    <xf numFmtId="38" fontId="47" fillId="7" borderId="5" xfId="4" applyNumberFormat="1" applyFont="1" applyFill="1" applyBorder="1" applyAlignment="1">
      <alignment horizontal="center" vertical="center"/>
    </xf>
    <xf numFmtId="166" fontId="47" fillId="7" borderId="0" xfId="4" applyNumberFormat="1" applyFont="1" applyFill="1" applyAlignment="1">
      <alignment horizontal="center" vertical="center"/>
    </xf>
    <xf numFmtId="0" fontId="50" fillId="7" borderId="0" xfId="4" applyFont="1" applyFill="1" applyAlignment="1">
      <alignment vertical="center"/>
    </xf>
    <xf numFmtId="0" fontId="47" fillId="7" borderId="0" xfId="4" applyFont="1" applyFill="1" applyAlignment="1">
      <alignment vertical="center"/>
    </xf>
    <xf numFmtId="0" fontId="39" fillId="7" borderId="3" xfId="0" applyFont="1" applyFill="1" applyBorder="1" applyAlignment="1">
      <alignment vertical="center" wrapText="1"/>
    </xf>
    <xf numFmtId="0" fontId="39" fillId="7" borderId="3" xfId="0" applyFont="1" applyFill="1" applyBorder="1" applyAlignment="1">
      <alignment horizontal="center" vertical="center" wrapText="1"/>
    </xf>
    <xf numFmtId="10" fontId="47" fillId="7" borderId="0" xfId="1" applyNumberFormat="1" applyFont="1" applyFill="1" applyAlignment="1">
      <alignment horizontal="center" vertical="center"/>
    </xf>
    <xf numFmtId="167" fontId="47" fillId="7" borderId="0" xfId="0" applyNumberFormat="1" applyFont="1" applyFill="1" applyAlignment="1">
      <alignment horizontal="center" vertical="center"/>
    </xf>
    <xf numFmtId="172" fontId="47" fillId="7" borderId="0" xfId="1" applyNumberFormat="1" applyFont="1" applyFill="1" applyBorder="1" applyAlignment="1">
      <alignment horizontal="center" vertical="center"/>
    </xf>
    <xf numFmtId="173" fontId="47" fillId="7" borderId="0" xfId="1" applyNumberFormat="1" applyFont="1" applyFill="1" applyBorder="1" applyAlignment="1">
      <alignment horizontal="center" vertical="center"/>
    </xf>
    <xf numFmtId="15" fontId="47" fillId="7" borderId="0" xfId="0" applyNumberFormat="1" applyFont="1" applyFill="1" applyAlignment="1">
      <alignment horizontal="center" vertical="center"/>
    </xf>
    <xf numFmtId="1" fontId="47" fillId="7" borderId="0" xfId="0" applyNumberFormat="1" applyFont="1" applyFill="1" applyAlignment="1">
      <alignment horizontal="center" vertical="center"/>
    </xf>
    <xf numFmtId="9" fontId="47" fillId="7" borderId="0" xfId="1" applyFont="1" applyFill="1" applyAlignment="1">
      <alignment horizontal="center" vertical="center"/>
    </xf>
    <xf numFmtId="6" fontId="47" fillId="7" borderId="0" xfId="0" applyNumberFormat="1" applyFont="1" applyFill="1" applyAlignment="1">
      <alignment vertical="center"/>
    </xf>
    <xf numFmtId="4" fontId="47" fillId="7" borderId="0" xfId="0" applyNumberFormat="1" applyFont="1" applyFill="1" applyAlignment="1">
      <alignment vertical="center"/>
    </xf>
    <xf numFmtId="6" fontId="47" fillId="7" borderId="1" xfId="0" applyNumberFormat="1" applyFont="1" applyFill="1" applyBorder="1" applyAlignment="1">
      <alignment vertical="center"/>
    </xf>
    <xf numFmtId="0" fontId="39" fillId="7" borderId="0" xfId="4" applyFont="1" applyFill="1" applyAlignment="1">
      <alignment horizontal="center" vertical="center"/>
    </xf>
    <xf numFmtId="166" fontId="47" fillId="7" borderId="3" xfId="4" applyNumberFormat="1" applyFont="1" applyFill="1" applyBorder="1" applyAlignment="1">
      <alignment horizontal="center" vertical="center"/>
    </xf>
    <xf numFmtId="10" fontId="47" fillId="7" borderId="5" xfId="4" applyNumberFormat="1" applyFont="1" applyFill="1" applyBorder="1" applyAlignment="1">
      <alignment horizontal="center" vertical="center"/>
    </xf>
    <xf numFmtId="166" fontId="47" fillId="7" borderId="4" xfId="3" applyNumberFormat="1" applyFont="1" applyFill="1" applyBorder="1" applyAlignment="1">
      <alignment horizontal="center" vertical="center"/>
    </xf>
    <xf numFmtId="10" fontId="47" fillId="7" borderId="3" xfId="1" applyNumberFormat="1" applyFont="1" applyFill="1" applyBorder="1" applyAlignment="1">
      <alignment horizontal="center" vertical="center"/>
    </xf>
    <xf numFmtId="166" fontId="47" fillId="7" borderId="5" xfId="3" applyNumberFormat="1" applyFont="1" applyFill="1" applyBorder="1" applyAlignment="1">
      <alignment horizontal="center" vertical="center"/>
    </xf>
    <xf numFmtId="176" fontId="47" fillId="7" borderId="4" xfId="1" applyNumberFormat="1" applyFont="1" applyFill="1" applyBorder="1" applyAlignment="1">
      <alignment horizontal="center" vertical="center"/>
    </xf>
    <xf numFmtId="0" fontId="47" fillId="7" borderId="3" xfId="4" applyFont="1" applyFill="1" applyBorder="1" applyAlignment="1">
      <alignment horizontal="center" vertical="center"/>
    </xf>
    <xf numFmtId="176" fontId="47" fillId="7" borderId="5" xfId="1" applyNumberFormat="1" applyFont="1" applyFill="1" applyBorder="1" applyAlignment="1">
      <alignment horizontal="center" vertical="center"/>
    </xf>
    <xf numFmtId="171" fontId="43" fillId="7" borderId="0" xfId="0" applyNumberFormat="1" applyFont="1" applyFill="1" applyAlignment="1">
      <alignment vertical="center"/>
    </xf>
    <xf numFmtId="0" fontId="43" fillId="7" borderId="0" xfId="0" applyFont="1" applyFill="1" applyAlignment="1">
      <alignment vertical="center"/>
    </xf>
    <xf numFmtId="166" fontId="43" fillId="7" borderId="0" xfId="0" applyNumberFormat="1" applyFont="1" applyFill="1" applyAlignment="1">
      <alignment vertical="center"/>
    </xf>
    <xf numFmtId="176" fontId="47" fillId="7" borderId="0" xfId="1" applyNumberFormat="1" applyFont="1" applyFill="1" applyAlignment="1">
      <alignment horizontal="center" vertical="center"/>
    </xf>
    <xf numFmtId="8" fontId="47" fillId="7" borderId="0" xfId="0" applyNumberFormat="1" applyFont="1" applyFill="1" applyAlignment="1">
      <alignment horizontal="center" vertical="center"/>
    </xf>
    <xf numFmtId="176" fontId="47" fillId="7" borderId="0" xfId="0" applyNumberFormat="1" applyFont="1" applyFill="1" applyAlignment="1">
      <alignment horizontal="center" vertical="center"/>
    </xf>
    <xf numFmtId="9" fontId="47" fillId="7" borderId="0" xfId="0" applyNumberFormat="1" applyFont="1" applyFill="1" applyAlignment="1">
      <alignment horizontal="center" vertical="center"/>
    </xf>
    <xf numFmtId="0" fontId="48" fillId="7" borderId="0" xfId="0" applyFont="1" applyFill="1" applyAlignment="1">
      <alignment vertical="center"/>
    </xf>
    <xf numFmtId="0" fontId="49" fillId="7" borderId="0" xfId="0" applyFont="1" applyFill="1" applyAlignment="1">
      <alignment horizontal="center" vertical="center"/>
    </xf>
    <xf numFmtId="0" fontId="47" fillId="7" borderId="0" xfId="4" applyFont="1" applyFill="1"/>
    <xf numFmtId="0" fontId="50" fillId="7" borderId="0" xfId="0" applyFont="1" applyFill="1" applyAlignment="1">
      <alignment vertical="center"/>
    </xf>
    <xf numFmtId="167" fontId="51" fillId="7" borderId="0" xfId="0" applyNumberFormat="1" applyFont="1" applyFill="1" applyAlignment="1">
      <alignment horizontal="right" vertical="center"/>
    </xf>
    <xf numFmtId="175" fontId="47" fillId="7" borderId="0" xfId="0" applyNumberFormat="1" applyFont="1" applyFill="1" applyAlignment="1">
      <alignment horizontal="center" vertical="center"/>
    </xf>
    <xf numFmtId="0" fontId="43" fillId="7" borderId="0" xfId="0" applyFont="1" applyFill="1"/>
    <xf numFmtId="0" fontId="42" fillId="7" borderId="0" xfId="0" applyFont="1" applyFill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9" fontId="42" fillId="7" borderId="0" xfId="0" applyNumberFormat="1" applyFont="1" applyFill="1" applyAlignment="1">
      <alignment horizontal="center" vertical="center"/>
    </xf>
    <xf numFmtId="0" fontId="42" fillId="7" borderId="0" xfId="0" applyFont="1" applyFill="1"/>
    <xf numFmtId="0" fontId="44" fillId="7" borderId="0" xfId="0" applyFont="1" applyFill="1" applyAlignment="1">
      <alignment vertical="center"/>
    </xf>
    <xf numFmtId="0" fontId="52" fillId="7" borderId="0" xfId="0" quotePrefix="1" applyFont="1" applyFill="1"/>
    <xf numFmtId="0" fontId="46" fillId="7" borderId="0" xfId="0" applyFont="1" applyFill="1" applyAlignment="1">
      <alignment vertical="center"/>
    </xf>
    <xf numFmtId="0" fontId="43" fillId="7" borderId="0" xfId="0" applyFont="1" applyFill="1" applyAlignment="1">
      <alignment horizontal="center"/>
    </xf>
    <xf numFmtId="0" fontId="44" fillId="7" borderId="0" xfId="0" applyFont="1" applyFill="1" applyAlignment="1">
      <alignment horizontal="left" vertical="center"/>
    </xf>
    <xf numFmtId="0" fontId="53" fillId="7" borderId="0" xfId="2" applyFont="1" applyFill="1">
      <alignment vertical="center"/>
    </xf>
    <xf numFmtId="0" fontId="54" fillId="7" borderId="0" xfId="0" applyFont="1" applyFill="1" applyAlignment="1">
      <alignment vertical="center"/>
    </xf>
    <xf numFmtId="2" fontId="47" fillId="7" borderId="0" xfId="0" applyNumberFormat="1" applyFont="1" applyFill="1" applyAlignment="1">
      <alignment horizontal="center" vertical="center"/>
    </xf>
    <xf numFmtId="43" fontId="47" fillId="7" borderId="0" xfId="5" applyFont="1" applyFill="1" applyAlignment="1">
      <alignment horizontal="center" vertical="center"/>
    </xf>
    <xf numFmtId="8" fontId="47" fillId="7" borderId="0" xfId="0" applyNumberFormat="1" applyFont="1" applyFill="1" applyAlignment="1">
      <alignment vertical="center"/>
    </xf>
    <xf numFmtId="15" fontId="47" fillId="7" borderId="0" xfId="0" applyNumberFormat="1" applyFont="1" applyFill="1" applyAlignment="1">
      <alignment vertical="center"/>
    </xf>
    <xf numFmtId="8" fontId="47" fillId="7" borderId="14" xfId="0" applyNumberFormat="1" applyFont="1" applyFill="1" applyBorder="1" applyAlignment="1">
      <alignment horizontal="center" vertical="center"/>
    </xf>
    <xf numFmtId="15" fontId="47" fillId="7" borderId="1" xfId="0" applyNumberFormat="1" applyFont="1" applyFill="1" applyBorder="1" applyAlignment="1">
      <alignment horizontal="center" vertical="center"/>
    </xf>
    <xf numFmtId="0" fontId="47" fillId="7" borderId="15" xfId="0" applyFont="1" applyFill="1" applyBorder="1" applyAlignment="1">
      <alignment horizontal="center" vertical="center"/>
    </xf>
    <xf numFmtId="8" fontId="47" fillId="7" borderId="16" xfId="0" applyNumberFormat="1" applyFont="1" applyFill="1" applyBorder="1" applyAlignment="1">
      <alignment horizontal="center" vertical="center"/>
    </xf>
    <xf numFmtId="8" fontId="47" fillId="7" borderId="17" xfId="0" applyNumberFormat="1" applyFont="1" applyFill="1" applyBorder="1" applyAlignment="1">
      <alignment horizontal="center" vertical="center"/>
    </xf>
    <xf numFmtId="8" fontId="47" fillId="7" borderId="4" xfId="0" applyNumberFormat="1" applyFont="1" applyFill="1" applyBorder="1" applyAlignment="1">
      <alignment horizontal="center" vertical="center"/>
    </xf>
    <xf numFmtId="2" fontId="47" fillId="7" borderId="3" xfId="0" applyNumberFormat="1" applyFont="1" applyFill="1" applyBorder="1" applyAlignment="1">
      <alignment horizontal="center" vertical="center"/>
    </xf>
    <xf numFmtId="8" fontId="47" fillId="7" borderId="5" xfId="0" applyNumberFormat="1" applyFont="1" applyFill="1" applyBorder="1" applyAlignment="1">
      <alignment horizontal="center" vertical="center"/>
    </xf>
    <xf numFmtId="2" fontId="47" fillId="7" borderId="1" xfId="0" applyNumberFormat="1" applyFont="1" applyFill="1" applyBorder="1" applyAlignment="1">
      <alignment horizontal="center" vertical="center"/>
    </xf>
    <xf numFmtId="8" fontId="47" fillId="7" borderId="15" xfId="0" applyNumberFormat="1" applyFont="1" applyFill="1" applyBorder="1" applyAlignment="1">
      <alignment horizontal="center" vertical="center"/>
    </xf>
    <xf numFmtId="2" fontId="47" fillId="7" borderId="10" xfId="0" applyNumberFormat="1" applyFont="1" applyFill="1" applyBorder="1" applyAlignment="1">
      <alignment horizontal="center" vertical="center"/>
    </xf>
    <xf numFmtId="0" fontId="47" fillId="7" borderId="11" xfId="0" applyFont="1" applyFill="1" applyBorder="1" applyAlignment="1">
      <alignment horizontal="center" vertical="center"/>
    </xf>
    <xf numFmtId="2" fontId="47" fillId="7" borderId="11" xfId="0" applyNumberFormat="1" applyFont="1" applyFill="1" applyBorder="1" applyAlignment="1">
      <alignment horizontal="center" vertical="center"/>
    </xf>
    <xf numFmtId="0" fontId="47" fillId="7" borderId="12" xfId="0" applyFont="1" applyFill="1" applyBorder="1" applyAlignment="1">
      <alignment horizontal="center" vertical="center"/>
    </xf>
    <xf numFmtId="0" fontId="47" fillId="7" borderId="14" xfId="0" applyFont="1" applyFill="1" applyBorder="1" applyAlignment="1">
      <alignment horizontal="center" vertical="center"/>
    </xf>
    <xf numFmtId="2" fontId="47" fillId="7" borderId="17" xfId="0" applyNumberFormat="1" applyFont="1" applyFill="1" applyBorder="1" applyAlignment="1">
      <alignment horizontal="center" vertical="center"/>
    </xf>
    <xf numFmtId="2" fontId="47" fillId="7" borderId="5" xfId="0" applyNumberFormat="1" applyFont="1" applyFill="1" applyBorder="1" applyAlignment="1">
      <alignment horizontal="center" vertical="center"/>
    </xf>
    <xf numFmtId="0" fontId="47" fillId="7" borderId="4" xfId="0" applyFont="1" applyFill="1" applyBorder="1" applyAlignment="1">
      <alignment horizontal="center" vertical="center"/>
    </xf>
    <xf numFmtId="0" fontId="47" fillId="7" borderId="5" xfId="0" applyFont="1" applyFill="1" applyBorder="1" applyAlignment="1">
      <alignment horizontal="center" vertical="center"/>
    </xf>
    <xf numFmtId="0" fontId="55" fillId="7" borderId="0" xfId="2" applyFont="1" applyFill="1">
      <alignment vertical="center"/>
    </xf>
    <xf numFmtId="1" fontId="47" fillId="7" borderId="0" xfId="5" applyNumberFormat="1" applyFont="1" applyFill="1" applyAlignment="1">
      <alignment horizontal="center" vertical="center"/>
    </xf>
    <xf numFmtId="8" fontId="45" fillId="7" borderId="0" xfId="0" applyNumberFormat="1" applyFont="1" applyFill="1" applyAlignment="1">
      <alignment horizontal="center" vertical="center"/>
    </xf>
  </cellXfs>
  <cellStyles count="6">
    <cellStyle name="Comma" xfId="5" builtinId="3"/>
    <cellStyle name="Currency" xfId="3" builtinId="4"/>
    <cellStyle name="Heading 1" xfId="2" builtinId="16" customBuiltin="1"/>
    <cellStyle name="Normal" xfId="0" builtinId="0"/>
    <cellStyle name="Normal 2" xfId="4" xr:uid="{81E0D174-AC8E-464D-9E3C-0B236930E633}"/>
    <cellStyle name="Percent" xfId="1" builtinId="5"/>
  </cellStyles>
  <dxfs count="598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67" formatCode="&quot;$&quot;#,##0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72" formatCode="0.0%;[Red]0.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numFmt numFmtId="170" formatCode="#,##0.00000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166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rgb="FF000000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Segoe UI Light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77" formatCode="[Green]0.0%;[Red]0.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77" formatCode="[Green]0.0%;[Red]0.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5" formatCode="&quot;$&quot;#,##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strike val="0"/>
        <outline val="0"/>
        <shadow val="0"/>
        <u val="none"/>
        <vertAlign val="baseline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4" formatCode="0.0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family val="2"/>
      </font>
      <fill>
        <patternFill patternType="solid">
          <fgColor indexed="64"/>
          <bgColor theme="3" tint="-0.499984740745262"/>
        </patternFill>
      </fill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4" formatCode="0.0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family val="2"/>
      </font>
      <fill>
        <patternFill patternType="solid">
          <fgColor indexed="64"/>
          <bgColor theme="3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alignment horizontal="general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174" formatCode="[$-409]h:mm\ AM/PM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164" formatCode="[$-409]dd/mmm/yy;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Segoe UI Light"/>
        <family val="2"/>
        <scheme val="none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9" formatCode="0.0000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8" formatCode="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3" formatCode="#,##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72" formatCode="0.0%;[Red]0.0%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6" formatCode="&quot;$&quot;#,##0.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0" formatCode="&quot;$&quot;#,##0_);[Red]\(&quot;$&quot;#,##0\)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5" formatCode="&quot;$&quot;#,##0.0000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3" tint="-0.499984740745262"/>
        </patternFill>
      </fill>
    </dxf>
    <dxf>
      <font>
        <strike val="0"/>
        <outline val="0"/>
        <shadow val="0"/>
        <u val="none"/>
        <vertAlign val="baseline"/>
        <color theme="0"/>
        <name val="Segoe UI Light"/>
        <family val="2"/>
        <scheme val="none"/>
      </font>
      <numFmt numFmtId="0" formatCode="General"/>
      <fill>
        <patternFill patternType="solid">
          <fgColor indexed="64"/>
          <bgColor theme="3" tint="-0.499984740745262"/>
        </patternFill>
      </fill>
      <alignment horizontal="center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numFmt numFmtId="164" formatCode="[$-409]dd/mmm/yy;@"/>
      <fill>
        <patternFill patternType="solid">
          <fgColor indexed="64"/>
          <bgColor theme="3" tint="-0.49998474074526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Segoe UI Light"/>
        <family val="2"/>
        <scheme val="none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ont>
        <b/>
        <i val="0"/>
      </font>
      <border>
        <top style="thin">
          <color auto="1"/>
        </top>
      </border>
    </dxf>
    <dxf>
      <font>
        <b/>
        <i val="0"/>
      </font>
      <border>
        <bottom style="thin">
          <color auto="1"/>
        </bottom>
      </border>
    </dxf>
    <dxf>
      <border>
        <horizontal style="hair">
          <color auto="1"/>
        </horizontal>
      </border>
    </dxf>
  </dxfs>
  <tableStyles count="1" defaultTableStyle="TableStyleMedium2" defaultPivotStyle="PivotStyleLight16">
    <tableStyle name="Simple" pivot="0" count="3" xr9:uid="{0E5597DB-14B7-4420-9DF2-B5A616521CF7}">
      <tableStyleElement type="wholeTable" dxfId="597"/>
      <tableStyleElement type="headerRow" dxfId="596"/>
      <tableStyleElement type="totalRow" dxfId="595"/>
    </tableStyle>
  </tableStyles>
  <colors>
    <mruColors>
      <color rgb="FFCCCC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476250</xdr:colOff>
      <xdr:row>4</xdr:row>
      <xdr:rowOff>47625</xdr:rowOff>
    </xdr:from>
    <xdr:to>
      <xdr:col>6</xdr:col>
      <xdr:colOff>476251</xdr:colOff>
      <xdr:row>6</xdr:row>
      <xdr:rowOff>38100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DC5A4D38-B90D-4CCD-BB9B-AB2054FA9BEE}"/>
            </a:ext>
          </a:extLst>
        </xdr:cNvPr>
        <xdr:cNvCxnSpPr/>
      </xdr:nvCxnSpPr>
      <xdr:spPr>
        <a:xfrm>
          <a:off x="2705100" y="1076325"/>
          <a:ext cx="1" cy="209550"/>
        </a:xfrm>
        <a:prstGeom prst="line">
          <a:avLst/>
        </a:prstGeom>
        <a:ln w="285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504825</xdr:colOff>
      <xdr:row>10</xdr:row>
      <xdr:rowOff>76200</xdr:rowOff>
    </xdr:from>
    <xdr:to>
      <xdr:col>6</xdr:col>
      <xdr:colOff>504826</xdr:colOff>
      <xdr:row>12</xdr:row>
      <xdr:rowOff>47625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A8DBA7F3-B9D2-4B83-B950-5C5453D73BD6}"/>
            </a:ext>
          </a:extLst>
        </xdr:cNvPr>
        <xdr:cNvCxnSpPr/>
      </xdr:nvCxnSpPr>
      <xdr:spPr>
        <a:xfrm>
          <a:off x="2733675" y="2276475"/>
          <a:ext cx="1" cy="209550"/>
        </a:xfrm>
        <a:prstGeom prst="line">
          <a:avLst/>
        </a:prstGeom>
        <a:ln w="285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504825</xdr:colOff>
      <xdr:row>16</xdr:row>
      <xdr:rowOff>76200</xdr:rowOff>
    </xdr:from>
    <xdr:to>
      <xdr:col>6</xdr:col>
      <xdr:colOff>504826</xdr:colOff>
      <xdr:row>19</xdr:row>
      <xdr:rowOff>47625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1B56807E-894F-4775-8897-9E1EA98B2FCA}"/>
            </a:ext>
          </a:extLst>
        </xdr:cNvPr>
        <xdr:cNvCxnSpPr/>
      </xdr:nvCxnSpPr>
      <xdr:spPr>
        <a:xfrm>
          <a:off x="2828925" y="2276475"/>
          <a:ext cx="1" cy="209550"/>
        </a:xfrm>
        <a:prstGeom prst="line">
          <a:avLst/>
        </a:prstGeom>
        <a:ln w="285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504825</xdr:colOff>
      <xdr:row>22</xdr:row>
      <xdr:rowOff>76200</xdr:rowOff>
    </xdr:from>
    <xdr:to>
      <xdr:col>6</xdr:col>
      <xdr:colOff>504826</xdr:colOff>
      <xdr:row>24</xdr:row>
      <xdr:rowOff>47625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5587DFD6-4528-4185-B0B2-9A7EE0B52D4E}"/>
            </a:ext>
          </a:extLst>
        </xdr:cNvPr>
        <xdr:cNvCxnSpPr/>
      </xdr:nvCxnSpPr>
      <xdr:spPr>
        <a:xfrm>
          <a:off x="2828925" y="3467100"/>
          <a:ext cx="1" cy="209550"/>
        </a:xfrm>
        <a:prstGeom prst="line">
          <a:avLst/>
        </a:prstGeom>
        <a:ln w="285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B87618F6-8CCD-4D38-AA72-9AB05D018DA6}" autoFormatId="16" applyNumberFormats="0" applyBorderFormats="0" applyFontFormats="0" applyPatternFormats="0" applyAlignmentFormats="0" applyWidthHeightFormats="0">
  <queryTableRefresh nextId="8" unboundColumnsRight="1">
    <queryTableFields count="7">
      <queryTableField id="1" name="Symbol" tableColumnId="1"/>
      <queryTableField id="2" name="Instrument Type" tableColumnId="2"/>
      <queryTableField id="3" name="Currency" tableColumnId="3"/>
      <queryTableField id="4" name="Price" tableColumnId="4"/>
      <queryTableField id="5" name="Previous Close" tableColumnId="5"/>
      <queryTableField id="6" name="GL Percent" tableColumnId="6"/>
      <queryTableField id="7" dataBound="0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1" xr16:uid="{00000000-0016-0000-0500-000000000000}" autoFormatId="16" applyNumberFormats="0" applyBorderFormats="0" applyFontFormats="0" applyPatternFormats="0" applyAlignmentFormats="0" applyWidthHeightFormats="0">
  <queryTableRefresh nextId="11" unboundColumnsRight="4">
    <queryTableFields count="10">
      <queryTableField id="1" name="Symbol" tableColumnId="1"/>
      <queryTableField id="2" name="Instrument Type" tableColumnId="2"/>
      <queryTableField id="3" name="Currency" tableColumnId="3"/>
      <queryTableField id="4" name="Price" tableColumnId="4"/>
      <queryTableField id="5" name="Previous Close" tableColumnId="5"/>
      <queryTableField id="6" name="GL Percent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C32C3C-D0F9-4701-8CA9-354A48F94006}" name="tbCryptoBalances" displayName="tbCryptoBalances" ref="B3:L29" totalsRowCount="1" headerRowDxfId="594" dataDxfId="593" totalsRowDxfId="592">
  <autoFilter ref="B3:L28" xr:uid="{01459388-E3E9-414C-AD04-BE95CEBEDCAB}">
    <filterColumn colId="5">
      <customFilters>
        <customFilter operator="greaterThan" val="100"/>
      </customFilters>
    </filterColumn>
  </autoFilter>
  <sortState xmlns:xlrd2="http://schemas.microsoft.com/office/spreadsheetml/2017/richdata2" ref="B4:L17">
    <sortCondition ref="B3:B28"/>
  </sortState>
  <tableColumns count="11">
    <tableColumn id="1" xr3:uid="{8E430792-9F96-4804-93F2-BFB07419B2D6}" name="Asset" totalsRowLabel="Total" dataDxfId="591" totalsRowDxfId="465"/>
    <tableColumn id="12" xr3:uid="{C6E3FD5A-A8A3-4BFF-A9AB-692E3470B3D2}" name="Symbol" dataDxfId="590" totalsRowDxfId="464"/>
    <tableColumn id="10" xr3:uid="{2540E8A5-03B9-4A64-BD50-776919CC5557}" name="Asset Type" dataDxfId="589" totalsRowDxfId="463"/>
    <tableColumn id="2" xr3:uid="{E82021E9-CF6A-4DE3-A371-7275D77CCE71}" name="Qty" dataDxfId="588" totalsRowDxfId="462">
      <calculatedColumnFormula>ROUND(SUMIFS(tbTransactions[Qty],tbTransactions[Symbol],tbCryptoBalances[[#This Row],[Symbol]]),8)</calculatedColumnFormula>
    </tableColumn>
    <tableColumn id="3" xr3:uid="{B12556AC-4D9C-438A-A2D1-FBFC7C98FF22}" name="Curr. Price" dataDxfId="587" totalsRowDxfId="461"/>
    <tableColumn id="5" xr3:uid="{A3D912D7-7C31-4023-BDAE-5D54B4FB0CF7}" name="Current Value" totalsRowFunction="sum" dataDxfId="586" totalsRowDxfId="460">
      <calculatedColumnFormula>tbCryptoBalances[[#This Row],[Qty]]*tbCryptoBalances[[#This Row],[Curr. Price]]*tbCryptoBalances[[#This Row],[X Rate]]</calculatedColumnFormula>
    </tableColumn>
    <tableColumn id="4" xr3:uid="{063F0811-E029-4298-9782-92FFFE2295A3}" name="Average Cost" dataDxfId="585" totalsRowDxfId="459">
      <calculatedColumnFormula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calculatedColumnFormula>
    </tableColumn>
    <tableColumn id="6" xr3:uid="{07A14E42-5F97-47BE-A700-3864055438CC}" name="Approx Book Value" totalsRowFunction="sum" dataDxfId="584" totalsRowDxfId="458">
      <calculatedColumnFormula>tbCryptoBalances[[#This Row],[Average Cost]]*tbCryptoBalances[[#This Row],[Qty]]*tbCryptoBalances[[#This Row],[X Rate]]</calculatedColumnFormula>
    </tableColumn>
    <tableColumn id="7" xr3:uid="{16E7F02C-680C-4EF0-AD7F-9BB9A2D58D0E}" name="G/L $" totalsRowFunction="custom" dataDxfId="583" totalsRowDxfId="457">
      <calculatedColumnFormula>tbCryptoBalances[[#This Row],[Current Value]]-tbCryptoBalances[[#This Row],[Approx Book Value]]</calculatedColumnFormula>
      <totalsRowFormula>tbCryptoBalances[[#Totals],[Current Value]]-tbCryptoBalances[[#Totals],[Approx Book Value]]</totalsRowFormula>
    </tableColumn>
    <tableColumn id="8" xr3:uid="{ACB34584-4AA9-4639-86D7-BFDB0B795B75}" name="G/L %" totalsRowFunction="custom" dataDxfId="582" totalsRowDxfId="456">
      <calculatedColumnFormula>IF(tbCryptoBalances[[#This Row],[Approx Book Value]]&gt;0,tbCryptoBalances[[#This Row],[G/L $]]/tbCryptoBalances[[#This Row],[Approx Book Value]],1)</calculatedColumnFormula>
      <totalsRowFormula>tbCryptoBalances[[#Totals],[G/L $]]/tbCryptoBalances[[#Totals],[Approx Book Value]]</totalsRowFormula>
    </tableColumn>
    <tableColumn id="9" xr3:uid="{DC61DB25-B414-44E4-8197-3FD7EA40D0FA}" name="X Rate" dataDxfId="581" totalsRowDxfId="455"/>
  </tableColumns>
  <tableStyleInfo name="Simp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B7B847C-F9DD-4A56-96BB-48CA6457DE46}" name="Table18" displayName="Table18" ref="B32:M44" totalsRowShown="0" headerRowDxfId="580" dataDxfId="579">
  <autoFilter ref="B32:M44" xr:uid="{DB7B847C-F9DD-4A56-96BB-48CA6457DE46}"/>
  <tableColumns count="12">
    <tableColumn id="1" xr3:uid="{CCD04893-D63B-4ADB-845A-0D9249B48E3C}" name="Asset" dataDxfId="578"/>
    <tableColumn id="2" xr3:uid="{C4970199-BE6B-46D8-BC8A-0AC0CD782538}" name="Symbol" dataDxfId="577"/>
    <tableColumn id="3" xr3:uid="{55948B65-34CE-4678-A69E-8CF55826574B}" name="CIBC RESP" dataDxfId="576">
      <calculatedColumnFormula>SUMIFS(tbTransactions[Qty],tbTransactions[Symbol],Table18[[#This Row],[Symbol]],tbTransactions[Account],"CIBC RESP")</calculatedColumnFormula>
    </tableColumn>
    <tableColumn id="4" xr3:uid="{F8368FDD-511C-4852-99E5-D086FE750614}" name="Questrade TFSA" dataDxfId="575">
      <calculatedColumnFormula>SUMIFS(tbTransactions[Qty],tbTransactions[Symbol],Table18[[#This Row],[Symbol]],tbTransactions[Account],"Questrade TFSA")</calculatedColumnFormula>
    </tableColumn>
    <tableColumn id="5" xr3:uid="{54240354-F8E3-49D0-A002-E18BB773859C}" name="Questrade RRSP" dataDxfId="574">
      <calculatedColumnFormula>SUMIFS(tbTransactions[Qty],tbTransactions[Symbol],Table18[[#This Row],[Symbol]],tbTransactions[Account],"Questrade RRSP")</calculatedColumnFormula>
    </tableColumn>
    <tableColumn id="6" xr3:uid="{25E15961-037F-401A-9EBB-1FA3179CE327}" name="Legacy Metamask" dataDxfId="573">
      <calculatedColumnFormula>SUMIFS(tbTransactions[Qty],tbTransactions[Symbol],Table18[[#This Row],[Symbol]],tbTransactions[Account],"Legacy Metamask")</calculatedColumnFormula>
    </tableColumn>
    <tableColumn id="7" xr3:uid="{5985D999-BE59-4A09-8147-398DADCBA95A}" name="ETH Metamask" dataDxfId="572">
      <calculatedColumnFormula>SUMIFS(tbTransactions[Qty],tbTransactions[Symbol],Table18[[#This Row],[Symbol]],tbTransactions[Account],"ETH Metamask")</calculatedColumnFormula>
    </tableColumn>
    <tableColumn id="8" xr3:uid="{0B1DB50E-BF8F-4775-95BC-7C0AE4DC49B1}" name="MATIC Metamask" dataDxfId="571">
      <calculatedColumnFormula>SUMIFS(tbTransactions[Qty],tbTransactions[Symbol],Table18[[#This Row],[Symbol]],tbTransactions[Account],"MATIC Metamask")</calculatedColumnFormula>
    </tableColumn>
    <tableColumn id="9" xr3:uid="{0EBEC53A-1B59-4256-8E6E-68223B0E3869}" name="ETH2 Network" dataDxfId="570">
      <calculatedColumnFormula>SUMIFS(tbTransactions[Qty],tbTransactions[Symbol],Table18[[#This Row],[Symbol]],tbTransactions[Account],"ETH2 Network")</calculatedColumnFormula>
    </tableColumn>
    <tableColumn id="10" xr3:uid="{BEEAE3F1-FD4B-45BA-80A3-B2BAD3B60AB6}" name="Daedalus" dataDxfId="569">
      <calculatedColumnFormula>SUMIFS(tbTransactions[Qty],tbTransactions[Symbol],Table18[[#This Row],[Symbol]],tbTransactions[Account],"Daedalus")</calculatedColumnFormula>
    </tableColumn>
    <tableColumn id="12" xr3:uid="{7F19064E-9F8E-4B25-9ACB-7AA0362F8EBD}" name="Flexa Lightning" dataDxfId="568">
      <calculatedColumnFormula>SUMIFS(tbTransactions[Qty],tbTransactions[Symbol],Table18[[#This Row],[Symbol]],tbTransactions[Account],"Flexa Lightning")</calculatedColumnFormula>
    </tableColumn>
    <tableColumn id="11" xr3:uid="{1A4C8C66-D03E-4141-AF1A-A9666C4DC8B2}" name="Total" dataDxfId="567">
      <calculatedColumnFormula>SUM(Table18[[#This Row],[CIBC RESP]:[Daedalus]])</calculatedColumnFormula>
    </tableColumn>
  </tableColumns>
  <tableStyleInfo name="Simp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2E3A9B-11CC-49DA-84DD-2EA36B0886A2}" name="qryMyQuotes" displayName="qryMyQuotes" ref="A1:G12" tableType="queryTable" totalsRowShown="0">
  <autoFilter ref="A1:G12" xr:uid="{102E3A9B-11CC-49DA-84DD-2EA36B0886A2}"/>
  <tableColumns count="7">
    <tableColumn id="1" xr3:uid="{9A49E6AB-C59A-465B-B3BC-4E027D2596D8}" uniqueName="1" name="Symbol" queryTableFieldId="1"/>
    <tableColumn id="2" xr3:uid="{E25291F5-A71E-4887-AF78-1E454CD15917}" uniqueName="2" name="Instrument Type" queryTableFieldId="2"/>
    <tableColumn id="3" xr3:uid="{2B988F6A-0233-4173-9C83-D5984F8393A2}" uniqueName="3" name="Currency" queryTableFieldId="3"/>
    <tableColumn id="4" xr3:uid="{D7792401-2A46-44B9-9576-9CDEA23E9F12}" uniqueName="4" name="Price" queryTableFieldId="4"/>
    <tableColumn id="5" xr3:uid="{6356953B-A72D-4E92-B01D-84BA75CE47B1}" uniqueName="5" name="Previous Close" queryTableFieldId="5"/>
    <tableColumn id="6" xr3:uid="{8F1BC253-6A59-4E23-B4B5-11EAE3DD7AE2}" uniqueName="6" name="GL Percent" queryTableFieldId="6"/>
    <tableColumn id="7" xr3:uid="{FCA41FD3-B6D8-4C58-AC67-10818A0C7333}" uniqueName="7" name="Column1" queryTableFieldId="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0F372C-E9FE-4FED-8567-A93DD14ED98B}" name="tbTransactions" displayName="tbTransactions" ref="C2:M1385" totalsRowCount="1" headerRowDxfId="566" dataDxfId="565" totalsRowDxfId="564">
  <autoFilter ref="C2:M1384" xr:uid="{C5D53AB9-2787-49E0-8C66-6609FD57D6A4}"/>
  <sortState xmlns:xlrd2="http://schemas.microsoft.com/office/spreadsheetml/2017/richdata2" ref="C3:M1384">
    <sortCondition ref="C2:C1384"/>
  </sortState>
  <tableColumns count="11">
    <tableColumn id="1" xr3:uid="{6DBE9C8E-F51A-4517-8DD2-61EC66056E51}" name="TX" dataDxfId="563" totalsRowDxfId="562"/>
    <tableColumn id="11" xr3:uid="{CD67327E-FDCB-4049-AC1E-C91E70C0A666}" name="Date" totalsRowLabel="Total" dataDxfId="561" totalsRowDxfId="560"/>
    <tableColumn id="4" xr3:uid="{A14B8301-6D7F-41FA-B368-FC453EE81A85}" name="Qty" totalsRowLabel="66.0000" dataDxfId="559" totalsRowDxfId="558"/>
    <tableColumn id="5" xr3:uid="{03FC9CB9-33E4-4FA1-9F80-6AA3684F36AB}" name="Unit Cost" dataDxfId="557" totalsRowDxfId="556"/>
    <tableColumn id="3" xr3:uid="{2D836D11-F7E2-4E79-9B3B-3CBB34A19759}" name="Exchange Rate" dataDxfId="555" totalsRowDxfId="554"/>
    <tableColumn id="6" xr3:uid="{7D12B0C0-3467-4D51-A151-501FE97F2D2A}" name="Total" totalsRowFunction="sum" dataDxfId="553" totalsRowDxfId="552"/>
    <tableColumn id="10" xr3:uid="{516D1B13-4DF7-45D0-AC1D-6B33E3BCEB4E}" name="Account" dataDxfId="551" totalsRowDxfId="550"/>
    <tableColumn id="14" xr3:uid="{AA1A5AFE-0685-4053-9481-E89A3CA019C3}" name="Symbol" dataDxfId="549" totalsRowDxfId="548"/>
    <tableColumn id="2" xr3:uid="{1E72D990-C238-47B0-833D-A2B47E53E8CE}" name="Type" dataDxfId="547" totalsRowDxfId="546">
      <calculatedColumnFormula>IF(tbTransactions[[#This Row],[Sub-Type]]="Transfer","Neutral",IF(tbTransactions[[#This Row],[Qty]]&lt;0,"Debit",IF(tbTransactions[[#This Row],[Qty]]&gt;0,"Credit","Neutral")))</calculatedColumnFormula>
    </tableColumn>
    <tableColumn id="7" xr3:uid="{A345E007-B256-42ED-90E8-B55E679790CB}" name="Sub-Type" dataDxfId="545" totalsRowDxfId="544"/>
    <tableColumn id="12" xr3:uid="{1A9CC2B6-19F4-4E9C-94E5-59CB1F14EB0A}" name="Comments" dataDxfId="543" totalsRowDxfId="542"/>
  </tableColumns>
  <tableStyleInfo name="Simp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9DC00F0-8776-446F-B0BB-5186EADD6226}" name="Table6" displayName="Table6" ref="B2:K76" totalsRowShown="0" headerRowDxfId="541" dataDxfId="540">
  <autoFilter ref="B2:K76" xr:uid="{D9DC00F0-8776-446F-B0BB-5186EADD6226}"/>
  <sortState xmlns:xlrd2="http://schemas.microsoft.com/office/spreadsheetml/2017/richdata2" ref="B3:K65">
    <sortCondition ref="B2:B65"/>
  </sortState>
  <tableColumns count="10">
    <tableColumn id="1" xr3:uid="{7B03F99C-1F6C-4B9B-8198-510023E63815}" name="Date" dataDxfId="539"/>
    <tableColumn id="2" xr3:uid="{6E5335BD-2CD9-45B3-9F0C-6127C06E8DB2}" name="Time" dataDxfId="538"/>
    <tableColumn id="3" xr3:uid="{5714CA11-935D-4D3B-8761-2001E509D6D8}" name="Comments" dataDxfId="537"/>
    <tableColumn id="4" xr3:uid="{BA9AFE13-DA10-4144-8905-3E6DF0EAE132}" name="Var1" dataDxfId="536"/>
    <tableColumn id="5" xr3:uid="{661A305E-8179-4D8E-9F9C-6EA0D1C6D0DB}" name="Var2" dataDxfId="535">
      <calculatedColumnFormula>E3*0.7</calculatedColumnFormula>
    </tableColumn>
    <tableColumn id="6" xr3:uid="{B5964D3F-A04E-4257-B3FE-1BFE24A960EF}" name="Var3" dataDxfId="534">
      <calculatedColumnFormula>E3*0.8</calculatedColumnFormula>
    </tableColumn>
    <tableColumn id="7" xr3:uid="{35A16148-69CB-4AFB-98BF-FBE429D7BE0F}" name="Var4" dataDxfId="533">
      <calculatedColumnFormula>E3*0.9</calculatedColumnFormula>
    </tableColumn>
    <tableColumn id="8" xr3:uid="{DA8C994F-2D69-4B62-B05B-D59049025684}" name="Var5" dataDxfId="532">
      <calculatedColumnFormula>E3*1.1</calculatedColumnFormula>
    </tableColumn>
    <tableColumn id="9" xr3:uid="{D2FD937F-68D3-402A-A991-866669CCC69A}" name="Var6" dataDxfId="531">
      <calculatedColumnFormula>E3*1.2</calculatedColumnFormula>
    </tableColumn>
    <tableColumn id="10" xr3:uid="{F93A099B-B99F-43F2-A2D2-D8E4F0FD968B}" name="Var7" dataDxfId="530">
      <calculatedColumnFormula>E3*1.3</calculatedColumnFormula>
    </tableColumn>
  </tableColumns>
  <tableStyleInfo name="Simp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70CC958-76DF-4380-9225-ED37107A5E0E}" name="tbStakingRewards" displayName="tbStakingRewards" ref="B31:G36" totalsRowCount="1" headerRowDxfId="529" dataDxfId="527" totalsRowDxfId="526" headerRowBorderDxfId="528">
  <autoFilter ref="B31:G35" xr:uid="{470CC958-76DF-4380-9225-ED37107A5E0E}"/>
  <tableColumns count="6">
    <tableColumn id="1" xr3:uid="{EF8B08B1-2AA3-4B2D-8097-11F1266EA0BA}" name="Asset" totalsRowLabel="Total" dataDxfId="525" totalsRowDxfId="524"/>
    <tableColumn id="2" xr3:uid="{5F762D42-9467-414B-8F1A-A7B20F052F4F}" name="Symbol" dataDxfId="523" totalsRowDxfId="522"/>
    <tableColumn id="3" xr3:uid="{AF1C277D-F1D0-45CE-9438-CAFEC7A192F6}" name="Gain (Coins)" dataDxfId="521" totalsRowDxfId="520">
      <calculatedColumnFormula>SUMIFS(tbTransactions[Qty],tbTransactions[Symbol],tbStakingRewards[[#This Row],[Symbol]],tbTransactions[Sub-Type],"Staking interest")+SUMIFS(tbTransactions[Qty],tbTransactions[Symbol],tbStakingRewards[[#This Row],[Symbol]],tbTransactions[Sub-Type],"Borrow interest")</calculatedColumnFormula>
    </tableColumn>
    <tableColumn id="4" xr3:uid="{667300B1-5938-474A-ABD3-74890F4E93E4}" name="Gain %" dataDxfId="519" totalsRowDxfId="518">
      <calculatedColumnFormula>tbStakingRewards[[#This Row],[Gain (Coins)]]/(_xlfn.XLOOKUP(tbStakingRewards[[#This Row],[Symbol]],tbCryptoBalances[Symbol],tbCryptoBalances[Qty])-tbStakingRewards[[#This Row],[Gain (Coins)]])</calculatedColumnFormula>
    </tableColumn>
    <tableColumn id="5" xr3:uid="{EC7A253D-A3F2-41DF-B2EE-9CC680845CFF}" name="Gain $" totalsRowFunction="sum" dataDxfId="517" totalsRowDxfId="516">
      <calculatedColumnFormula>tbStakingRewards[[#This Row],[Gain (Coins)]]*_xlfn.XLOOKUP(tbStakingRewards[[#This Row],[Symbol]],tbCryptoBalances[Symbol],tbCryptoBalances[Curr. Price])</calculatedColumnFormula>
    </tableColumn>
    <tableColumn id="6" xr3:uid="{18C81C50-7D67-4F67-A759-876F334BA710}" name="Start Date" dataDxfId="515" totalsRowDxfId="514"/>
  </tableColumns>
  <tableStyleInfo name="Simp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9BA783D-7950-4DAB-B83A-EAD8DBC2AE61}" name="tbMiningRewards" displayName="tbMiningRewards" ref="B39:F40" totalsRowShown="0" headerRowDxfId="513" dataDxfId="511" headerRowBorderDxfId="512">
  <autoFilter ref="B39:F40" xr:uid="{79BA783D-7950-4DAB-B83A-EAD8DBC2AE61}"/>
  <tableColumns count="5">
    <tableColumn id="1" xr3:uid="{E9F27E67-C2E1-4E7B-BBB8-F8704E1ECA8A}" name="Asset" dataDxfId="510"/>
    <tableColumn id="2" xr3:uid="{3E75E0F3-EAA5-421A-BD89-4C635923B941}" name="Symbol" dataDxfId="509"/>
    <tableColumn id="3" xr3:uid="{EB449C4B-C395-47F7-AAA4-8E05DF312F27}" name="Gain (Coins)" dataDxfId="508">
      <calculatedColumnFormula>SUMIFS(tbTransactions[Qty],tbTransactions[Symbol],tbMiningRewards[[#This Row],[Symbol]],tbTransactions[Sub-Type],"Mining reward")+SUMIFS(tbTransactions[Qty],tbTransactions[Symbol],tbMiningRewards[[#This Row],[Symbol]],tbTransactions[Sub-Type],"Mined ETH")</calculatedColumnFormula>
    </tableColumn>
    <tableColumn id="4" xr3:uid="{5BB5DA44-E01B-44A5-87DC-E4D71356F540}" name="Gain %" dataDxfId="507" dataCellStyle="Percent">
      <calculatedColumnFormula>tbMiningRewards[[#This Row],[Gain (Coins)]]/(_xlfn.XLOOKUP(tbMiningRewards[[#This Row],[Symbol]],tbCryptoBalances[Symbol],tbCryptoBalances[Qty])-tbMiningRewards[[#This Row],[Gain (Coins)]])</calculatedColumnFormula>
    </tableColumn>
    <tableColumn id="5" xr3:uid="{DF97764A-0C86-4BA1-8AFC-965B5D1F4FC3}" name="Gain $" dataDxfId="506">
      <calculatedColumnFormula>tbMiningRewards[[#This Row],[Gain (Coins)]]*_xlfn.XLOOKUP(tbMiningRewards[[#This Row],[Symbol]],tbCryptoBalances[Symbol],tbCryptoBalances[Curr. Price])</calculatedColumnFormula>
    </tableColumn>
  </tableColumns>
  <tableStyleInfo name="Simpl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CB4424A-B034-4240-A820-567F190DA5AC}" name="tbPennyStocks" displayName="tbPennyStocks" ref="B3:K29" totalsRowCount="1" headerRowDxfId="505" dataDxfId="504" totalsRowDxfId="503">
  <autoFilter ref="B3:K28" xr:uid="{01459388-E3E9-414C-AD04-BE95CEBEDCAB}">
    <filterColumn colId="2">
      <filters>
        <filter val="Margin"/>
      </filters>
    </filterColumn>
  </autoFilter>
  <sortState xmlns:xlrd2="http://schemas.microsoft.com/office/spreadsheetml/2017/richdata2" ref="B4:K28">
    <sortCondition ref="C3:C28"/>
  </sortState>
  <tableColumns count="10">
    <tableColumn id="1" xr3:uid="{E077B8E6-14ED-4A30-801F-C721D20052DA}" name="Asset" totalsRowLabel="Total" dataDxfId="502" totalsRowDxfId="501"/>
    <tableColumn id="12" xr3:uid="{F8CA890E-9782-4F3F-9AEA-DF7C3F2EBC47}" name="Symbol" dataDxfId="500" totalsRowDxfId="499"/>
    <tableColumn id="9" xr3:uid="{DB64599B-6AD7-4D72-9BFB-7C4BDF6262D9}" name="Account" dataDxfId="498" totalsRowDxfId="497"/>
    <tableColumn id="2" xr3:uid="{754F0B2F-20F4-4801-ADCE-5F04FB355CCE}" name="Qty" dataDxfId="496" totalsRowDxfId="495">
      <calculatedColumnFormula>ROUND(SUMIFS(tbTransactions[Qty],tbTransactions[Symbol],tbPennyStocks[[#This Row],[Symbol]]),8)</calculatedColumnFormula>
    </tableColumn>
    <tableColumn id="3" xr3:uid="{7FAF87E9-9FD3-49C7-A659-3B56462D172E}" name="Curr. Price" dataDxfId="494" totalsRowDxfId="493"/>
    <tableColumn id="5" xr3:uid="{EEC47734-42F6-4D28-B817-F315412B40A4}" name="Current Value" totalsRowFunction="sum" dataDxfId="492" totalsRowDxfId="491">
      <calculatedColumnFormula>tbPennyStocks[[#This Row],[Qty]]*tbPennyStocks[[#This Row],[Curr. Price]]</calculatedColumnFormula>
    </tableColumn>
    <tableColumn id="4" xr3:uid="{FCA1C356-132D-4117-933F-6F6904D0B53A}" name="Average Cost" dataDxfId="490" totalsRowDxfId="489">
      <calculatedColumnFormula>IF(tbPennyStocks[[#This Row],[Qty]]&gt;0,SUMIFS(tbTransactions[Total],tbTransactions[Symbol],tbPennyStocks[[#This Row],[Symbol]],tbTransactions[Type],"Credit")/SUMIFS(tbTransactions[Qty],tbTransactions[Symbol],tbPennyStocks[[#This Row],[Symbol]],tbTransactions[Type],"Credit"),0)</calculatedColumnFormula>
    </tableColumn>
    <tableColumn id="6" xr3:uid="{2EF65387-8875-4ADE-A88C-2B6713440E4D}" name="Approx Book Value" totalsRowFunction="sum" dataDxfId="488" totalsRowDxfId="487">
      <calculatedColumnFormula>tbPennyStocks[[#This Row],[Average Cost]]*tbPennyStocks[[#This Row],[Qty]]</calculatedColumnFormula>
    </tableColumn>
    <tableColumn id="7" xr3:uid="{6A0435C3-D733-419D-9D4B-66FFEF5A4DE9}" name="G/L $" totalsRowFunction="custom" dataDxfId="486" totalsRowDxfId="485">
      <calculatedColumnFormula>tbPennyStocks[[#This Row],[Current Value]]-tbPennyStocks[[#This Row],[Approx Book Value]]</calculatedColumnFormula>
      <totalsRowFormula>tbPennyStocks[[#Totals],[Current Value]]-tbPennyStocks[[#Totals],[Approx Book Value]]</totalsRowFormula>
    </tableColumn>
    <tableColumn id="8" xr3:uid="{14C55EB4-EED0-4E97-9545-0CB473BCCE2A}" name="G/L %" totalsRowFunction="custom" dataDxfId="484" totalsRowDxfId="483">
      <calculatedColumnFormula>IF(tbPennyStocks[[#This Row],[Approx Book Value]]&gt;0,tbPennyStocks[[#This Row],[G/L $]]/tbPennyStocks[[#This Row],[Approx Book Value]],1)</calculatedColumnFormula>
      <totalsRowFormula>tbPennyStocks[[#Totals],[G/L $]]/tbPennyStocks[[#Totals],[Approx Book Value]]</totalsRowFormula>
    </tableColumn>
  </tableColumns>
  <tableStyleInfo name="Simp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FAD5D8-593F-4578-8ABD-4BA5C17439BD}" name="tbAssetHistory" displayName="tbAssetHistory" ref="A1:G359" totalsRowShown="0" headerRowDxfId="482" dataDxfId="481">
  <autoFilter ref="A1:G359" xr:uid="{6322BF4D-159C-4B48-B5E0-0AFB476972EF}"/>
  <tableColumns count="7">
    <tableColumn id="1" xr3:uid="{CB13C791-4B2A-4F16-923E-C548C94839BE}" name="Symbol" dataDxfId="480"/>
    <tableColumn id="2" xr3:uid="{7AB9DC42-4DEE-46BD-89DD-5667592B704D}" name="3-Jun-21" dataDxfId="479"/>
    <tableColumn id="3" xr3:uid="{94F331F1-64D9-41A9-AD58-C8A1A1D7D418}" name="4-Jun-21" dataDxfId="478"/>
    <tableColumn id="4" xr3:uid="{10CC89D3-9E2B-4BC3-AD18-96C03E2BBDDF}" name="5-Jun-21" dataDxfId="477"/>
    <tableColumn id="5" xr3:uid="{34EA961A-D05B-43EC-97A3-F1EF19796EC3}" name="6-Jun-21" dataDxfId="476"/>
    <tableColumn id="6" xr3:uid="{FD094613-3D5E-4520-A570-24904DF3239B}" name="7-Jun-21" dataDxfId="475"/>
    <tableColumn id="7" xr3:uid="{9BA6D010-9613-413C-9498-5BB74AB46A8C}" name="8-Jun-21" dataDxfId="474"/>
  </tableColumns>
  <tableStyleInfo name="Simple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8C6E633-A85A-4BA5-B2FF-5A6216C879A2}" name="qryAssets" displayName="qryAssets" ref="A1:J360" tableType="queryTable" totalsRowShown="0" headerRowDxfId="473" dataDxfId="472">
  <autoFilter ref="A1:J360" xr:uid="{D8C6E633-A85A-4BA5-B2FF-5A6216C879A2}"/>
  <tableColumns count="10">
    <tableColumn id="1" xr3:uid="{C863CF80-6CF3-4C34-9126-C5A364B3951A}" uniqueName="1" name="Symbol" queryTableFieldId="1" dataDxfId="9"/>
    <tableColumn id="2" xr3:uid="{0544D923-1F74-4F69-BDDB-80FD3BEC9D60}" uniqueName="2" name="Instrument Type" queryTableFieldId="2" dataDxfId="8"/>
    <tableColumn id="3" xr3:uid="{D0CC7487-D38E-4B57-B248-D6BD39DA76F7}" uniqueName="3" name="Currency" queryTableFieldId="3" dataDxfId="7"/>
    <tableColumn id="4" xr3:uid="{133E597D-5D59-4E35-B7D6-7BDA65011873}" uniqueName="4" name="Price" queryTableFieldId="4" dataDxfId="6"/>
    <tableColumn id="5" xr3:uid="{043B79D4-3737-4444-8855-8AC72430014F}" uniqueName="5" name="Previous Close" queryTableFieldId="5" dataDxfId="5"/>
    <tableColumn id="6" xr3:uid="{30B3BC21-AB71-4AA5-A05C-EBAD95DDFFE8}" uniqueName="6" name="GL Percent" queryTableFieldId="6" dataDxfId="4"/>
    <tableColumn id="7" xr3:uid="{A2BC6E04-66D3-45A3-A6D8-1A879F4DA8A3}" uniqueName="7" name="Column1" queryTableFieldId="7" dataDxfId="3">
      <calculatedColumnFormula>E2*(1-iDelta*2)</calculatedColumnFormula>
    </tableColumn>
    <tableColumn id="8" xr3:uid="{30CC2782-ADA9-4C5E-B5E2-BF7D81BE4D59}" uniqueName="8" name="Column2" queryTableFieldId="8" dataDxfId="2">
      <calculatedColumnFormula>E2*(1-iDelta*1)</calculatedColumnFormula>
    </tableColumn>
    <tableColumn id="9" xr3:uid="{94C93D15-DBC3-4E7E-AE95-C018A0BB4ECF}" uniqueName="9" name="Column3" queryTableFieldId="9" dataDxfId="1">
      <calculatedColumnFormula>E2*(1+iDelta*1)</calculatedColumnFormula>
    </tableColumn>
    <tableColumn id="10" xr3:uid="{3380C90A-74F9-41ED-8429-E0ED0E9D8E53}" uniqueName="10" name="Column4" queryTableFieldId="10" dataDxfId="0">
      <calculatedColumnFormula>E2*(1+iDelta*2)</calculatedColumnFormula>
    </tableColumn>
  </tableColumns>
  <tableStyleInfo name="Simp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5FAE83F-3477-4F47-9D83-EDCB13BF6B62}" name="tbCoins8" displayName="tbCoins8" ref="B2:D184" headerRowDxfId="471" dataDxfId="470">
  <autoFilter ref="B2:D184" xr:uid="{01459388-E3E9-414C-AD04-BE95CEBEDCAB}"/>
  <sortState xmlns:xlrd2="http://schemas.microsoft.com/office/spreadsheetml/2017/richdata2" ref="B3:D184">
    <sortCondition ref="B2:B184"/>
  </sortState>
  <tableColumns count="3">
    <tableColumn id="3" xr3:uid="{C50D43B6-5C22-42B4-8FA8-8C15F725EA6F}" name="Ticker1" dataDxfId="469" totalsRowDxfId="468">
      <calculatedColumnFormula>LEFT(#REF!,FIND(":",#REF!)-1)</calculatedColumnFormula>
    </tableColumn>
    <tableColumn id="2" xr3:uid="{955A5738-3BC6-4280-BB2D-D0FF52C6EC70}" name="Ticker2" dataDxfId="467">
      <calculatedColumnFormula>RIGHT(#REF!,LEN(#REF!)-FIND(":",#REF!))</calculatedColumnFormula>
    </tableColumn>
    <tableColumn id="4" xr3:uid="{0A97B2CE-79B7-4096-B1A2-E2D445543EF1}" name="Current" dataDxfId="466">
      <calculatedColumnFormula>_xlfn.XLOOKUP(tbCoins8[[#This Row],[Ticker1]],#REF!,#REF!)/_xlfn.XLOOKUP(tbCoins8[[#This Row],[Ticker2]],#REF!,#REF!)</calculatedColumnFormula>
    </tableColumn>
  </tableColumns>
  <tableStyleInfo name="Simp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97980E5-7946-4C1A-B163-B09BA6DB01E9}">
  <we:reference id="wa104381695" version="1.0.10.0" store="en-US" storeType="OMEX"/>
  <we:alternateReferences>
    <we:reference id="wa104381695" version="1.0.1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_xldudf_CS_TIME</we:customFunctionIds>
        <we:customFunctionIds>_xldudf_CS_ATH</we:customFunctionIds>
        <we:customFunctionIds>_xldudf_CS_ENDPOINTS</we:customFunctionIds>
        <we:customFunctionIds>_xldudf_CS_EXCHANGES</we:customFunctionIds>
        <we:customFunctionIds>_xldudf_CS_EXRATE</we:customFunctionIds>
        <we:customFunctionIds>_xldudf_CS_OHLCV</we:customFunctionIds>
        <we:customFunctionIds>_xldudf_CS_ORDERBOOKS</we:customFunctionIds>
        <we:customFunctionIds>_xldudf_CS_PARAMETERS</we:customFunctionIds>
        <we:customFunctionIds>_xldudf_CS_PRICE</we:customFunctionIds>
        <we:customFunctionIds>_xldudf_CS_PRICEA</we:customFunctionIds>
        <we:customFunctionIds>_xldudf_CS_PROVIDERS</we:customFunctionIds>
        <we:customFunctionIds>_xldudf_CS_QUERY</we:customFunctionIds>
        <we:customFunctionIds>_xldudf_CS_QUERYA</we:customFunctionIds>
        <we:customFunctionIds>_xldudf_CS_SYMBOLS</we:customFunctionIds>
        <we:customFunctionIds>_xldudf_CS_TA</we:customFunctionIds>
        <we:customFunctionIds>_xldudf_CS_TAHIS</we:customFunctionIds>
        <we:customFunctionIds>_xldudf_CS_TRADES</we:customFunctionIds>
        <we:customFunctionIds>_xldudf_CS_ORDERBOOKSL3A</we:customFunctionIds>
        <we:customFunctionIds>_xldudf_CS_OHLCVA</we:customFunctionIds>
        <we:customFunctionIds>_xldudf_CS_ADDRESS</we:customFunctionIds>
        <we:customFunctionIds>_xldudf_CS_CHAIN</we:customFunctionIds>
        <we:customFunctionIds>_xldudf_CS_CLUSTERS</we:customFunctionIds>
        <we:customFunctionIds>_xldudf_CS_IDEAS</we:customFunctionIds>
        <we:customFunctionIds>_xldudf_CS_METRICS</we:customFunctionIds>
        <we:customFunctionIds>_xldudf_CS_AD</we:customFunctionIds>
        <we:customFunctionIds>_xldudf_CS_ADOSC</we:customFunctionIds>
        <we:customFunctionIds>_xldudf_CS_ADX</we:customFunctionIds>
        <we:customFunctionIds>_xldudf_CS_APO</we:customFunctionIds>
        <we:customFunctionIds>_xldudf_CS_AROON</we:customFunctionIds>
        <we:customFunctionIds>_xldudf_CS_AROONOSC</we:customFunctionIds>
        <we:customFunctionIds>_xldudf_CS_ATR</we:customFunctionIds>
        <we:customFunctionIds>_xldudf_CS_BBANDS</we:customFunctionIds>
        <we:customFunctionIds>_xldudf_CS_BETA</we:customFunctionIds>
        <we:customFunctionIds>_xldudf_CS_CCI</we:customFunctionIds>
        <we:customFunctionIds>_xldudf_CS_CDLINNECK</we:customFunctionIds>
        <we:customFunctionIds>_xldudf_CS_CDLMARUBOZU</we:customFunctionIds>
        <we:customFunctionIds>_xldudf_CS_CORREL</we:customFunctionIds>
        <we:customFunctionIds>_xldudf_CS_DEMA</we:customFunctionIds>
        <we:customFunctionIds>_xldudf_CS_DX</we:customFunctionIds>
        <we:customFunctionIds>_xldudf_CS_EMA</we:customFunctionIds>
        <we:customFunctionIds>_xldudf_CS_LINEARREG</we:customFunctionIds>
        <we:customFunctionIds>_xldudf_CS_LINEARREGANGLE</we:customFunctionIds>
        <we:customFunctionIds>_xldudf_CS_LINEARREGINTERCEPT</we:customFunctionIds>
        <we:customFunctionIds>_xldudf_CS_LINEARREGSLOPE</we:customFunctionIds>
        <we:customFunctionIds>_xldudf_CS_MACD</we:customFunctionIds>
        <we:customFunctionIds>_xldudf_CS_MACDEXT</we:customFunctionIds>
        <we:customFunctionIds>_xldudf_CS_MACDFIX</we:customFunctionIds>
        <we:customFunctionIds>_xldudf_CS_MFI</we:customFunctionIds>
        <we:customFunctionIds>_xldudf_CS_MOM</we:customFunctionIds>
        <we:customFunctionIds>_xldudf_CS_NATR</we:customFunctionIds>
        <we:customFunctionIds>_xldudf_CS_OBV</we:customFunctionIds>
        <we:customFunctionIds>_xldudf_CS_ROC</we:customFunctionIds>
        <we:customFunctionIds>_xldudf_CS_ROCP</we:customFunctionIds>
        <we:customFunctionIds>_xldudf_CS_ROCR</we:customFunctionIds>
        <we:customFunctionIds>_xldudf_CS_RSI</we:customFunctionIds>
        <we:customFunctionIds>_xldudf_CS_SAREXT</we:customFunctionIds>
        <we:customFunctionIds>_xldudf_CS_SMA</we:customFunctionIds>
        <we:customFunctionIds>_xldudf_CS_STDDEV</we:customFunctionIds>
        <we:customFunctionIds>_xldudf_CS_STOCH</we:customFunctionIds>
        <we:customFunctionIds>_xldudf_CS_T3</we:customFunctionIds>
        <we:customFunctionIds>_xldudf_CS_TEMA</we:customFunctionIds>
        <we:customFunctionIds>_xldudf_CS_TRANGE</we:customFunctionIds>
        <we:customFunctionIds>_xldudf_CS_TRIX</we:customFunctionIds>
        <we:customFunctionIds>_xldudf_CS_TSF</we:customFunctionIds>
        <we:customFunctionIds>_xldudf_CS_ULTOSC</we:customFunctionIds>
        <we:customFunctionIds>_xldudf_CS_VARI</we:customFunctionIds>
        <we:customFunctionIds>_xldudf_CS_WCLPRICE</we:customFunctionIds>
        <we:customFunctionIds>_xldudf_CS_WILLR</we:customFunctionIds>
        <we:customFunctionIds>_xldudf_CS_WMA</we:customFunctionIds>
        <we:customFunctionIds>_xldudf_CS_STATUS</we:customFunctionIds>
        <we:customFunctionIds>_xldudf_CS_LOGIN</we:customFunctionIds>
        <we:customFunctionIds>_xldudf_CS_TAMETADATA</we:customFunctionIds>
        <we:customFunctionIds>_xldudf_CS_FLOOR</we:customFunctionIds>
        <we:customFunctionIds>_xldudf_CS_LN</we:customFunctionIds>
        <we:customFunctionIds>_xldudf_CS_EXP</we:customFunctionIds>
        <we:customFunctionIds>_xldudf_CS_FIELDS</we:customFunctionIds>
        <we:customFunctionIds>_xldudf_CS_TRADESA</we:customFunctionIds>
        <we:customFunctionIds>_xldudf_CS_ORDERBOOKSA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024D6-7589-4CB3-B0EB-14FF5287A2DA}">
  <sheetPr codeName="Sheet1">
    <tabColor rgb="FF00B050"/>
  </sheetPr>
  <dimension ref="B1:M44"/>
  <sheetViews>
    <sheetView showGridLines="0" tabSelected="1" workbookViewId="0">
      <pane xSplit="2" topLeftCell="C1" activePane="topRight" state="frozen"/>
      <selection pane="topRight" activeCell="I12" sqref="I12"/>
    </sheetView>
  </sheetViews>
  <sheetFormatPr defaultColWidth="9.140625" defaultRowHeight="30" customHeight="1" x14ac:dyDescent="0.25"/>
  <cols>
    <col min="1" max="1" width="1.28515625" style="148" customWidth="1"/>
    <col min="2" max="2" width="20.85546875" style="148" customWidth="1"/>
    <col min="3" max="3" width="11.7109375" style="148" customWidth="1"/>
    <col min="4" max="5" width="11.7109375" style="149" customWidth="1"/>
    <col min="6" max="12" width="11.7109375" style="148" customWidth="1"/>
    <col min="13" max="21" width="11.28515625" style="148" customWidth="1"/>
    <col min="22" max="16384" width="9.140625" style="148"/>
  </cols>
  <sheetData>
    <row r="1" spans="2:12" ht="7.5" customHeight="1" x14ac:dyDescent="0.25">
      <c r="B1" s="146"/>
      <c r="C1" s="146"/>
      <c r="D1" s="147"/>
      <c r="E1" s="147"/>
    </row>
    <row r="2" spans="2:12" ht="30" customHeight="1" x14ac:dyDescent="0.25">
      <c r="B2" s="228" t="s">
        <v>414</v>
      </c>
      <c r="C2" s="146"/>
      <c r="D2" s="147"/>
      <c r="E2" s="147"/>
    </row>
    <row r="3" spans="2:12" ht="43.5" customHeight="1" x14ac:dyDescent="0.25">
      <c r="B3" s="146" t="s">
        <v>43</v>
      </c>
      <c r="C3" s="147" t="s">
        <v>44</v>
      </c>
      <c r="D3" s="147" t="s">
        <v>413</v>
      </c>
      <c r="E3" s="147" t="s">
        <v>1</v>
      </c>
      <c r="F3" s="147" t="s">
        <v>4</v>
      </c>
      <c r="G3" s="147" t="s">
        <v>5</v>
      </c>
      <c r="H3" s="147" t="s">
        <v>33</v>
      </c>
      <c r="I3" s="147" t="s">
        <v>37</v>
      </c>
      <c r="J3" s="147" t="s">
        <v>38</v>
      </c>
      <c r="K3" s="147" t="s">
        <v>39</v>
      </c>
      <c r="L3" s="147" t="s">
        <v>738</v>
      </c>
    </row>
    <row r="4" spans="2:12" ht="30" customHeight="1" x14ac:dyDescent="0.25">
      <c r="B4" s="146" t="s">
        <v>441</v>
      </c>
      <c r="C4" s="147" t="s">
        <v>440</v>
      </c>
      <c r="D4" s="147" t="s">
        <v>728</v>
      </c>
      <c r="E4" s="231">
        <f>ROUND(SUMIFS(tbTransactions[Qty],tbTransactions[Symbol],tbCryptoBalances[[#This Row],[Symbol]]),8)</f>
        <v>20004.780311049999</v>
      </c>
      <c r="F4" s="170">
        <v>5.9550000000000002E-3</v>
      </c>
      <c r="G4" s="151">
        <f>tbCryptoBalances[[#This Row],[Qty]]*tbCryptoBalances[[#This Row],[Curr. Price]]*tbCryptoBalances[[#This Row],[X Rate]]</f>
        <v>119.12846675230274</v>
      </c>
      <c r="H4" s="164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6.5803308937391447E-2</v>
      </c>
      <c r="I4" s="151">
        <f>tbCryptoBalances[[#This Row],[Average Cost]]*tbCryptoBalances[[#This Row],[Qty]]*tbCryptoBalances[[#This Row],[X Rate]]</f>
        <v>1316.3807390326688</v>
      </c>
      <c r="J4" s="151">
        <f>tbCryptoBalances[[#This Row],[Current Value]]-tbCryptoBalances[[#This Row],[Approx Book Value]]</f>
        <v>-1197.252272280366</v>
      </c>
      <c r="K4" s="166">
        <f>IF(tbCryptoBalances[[#This Row],[Approx Book Value]]&gt;0,tbCryptoBalances[[#This Row],[G/L $]]/tbCryptoBalances[[#This Row],[Approx Book Value]],1)</f>
        <v>-0.90950303113684017</v>
      </c>
      <c r="L4" s="149">
        <v>1</v>
      </c>
    </row>
    <row r="5" spans="2:12" ht="30" hidden="1" customHeight="1" x14ac:dyDescent="0.25">
      <c r="B5" s="146" t="s">
        <v>484</v>
      </c>
      <c r="C5" s="147" t="s">
        <v>17</v>
      </c>
      <c r="D5" s="147" t="s">
        <v>728</v>
      </c>
      <c r="E5" s="149">
        <f>ROUND(SUMIFS(tbTransactions[Qty],tbTransactions[Symbol],tbCryptoBalances[[#This Row],[Symbol]]),8)</f>
        <v>0</v>
      </c>
      <c r="F5" s="150">
        <f>_xlfn.XLOOKUP(tbCryptoBalances[[#This Row],[Symbol]],qryMyQuotes[Symbol],qryMyQuotes[Price])</f>
        <v>0.48784690000000003</v>
      </c>
      <c r="G5" s="151">
        <f>tbCryptoBalances[[#This Row],[Qty]]*tbCryptoBalances[[#This Row],[Curr. Price]]*tbCryptoBalances[[#This Row],[X Rate]]</f>
        <v>0</v>
      </c>
      <c r="H5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5" s="151">
        <f>tbCryptoBalances[[#This Row],[Average Cost]]*tbCryptoBalances[[#This Row],[Qty]]*tbCryptoBalances[[#This Row],[X Rate]]</f>
        <v>0</v>
      </c>
      <c r="J5" s="151">
        <f>tbCryptoBalances[[#This Row],[Current Value]]-tbCryptoBalances[[#This Row],[Approx Book Value]]</f>
        <v>0</v>
      </c>
      <c r="K5" s="166">
        <f>IF(tbCryptoBalances[[#This Row],[Approx Book Value]]&gt;0,tbCryptoBalances[[#This Row],[G/L $]]/tbCryptoBalances[[#This Row],[Approx Book Value]],1)</f>
        <v>1</v>
      </c>
      <c r="L5" s="149">
        <v>1</v>
      </c>
    </row>
    <row r="6" spans="2:12" ht="30" hidden="1" customHeight="1" x14ac:dyDescent="0.25">
      <c r="B6" s="146" t="s">
        <v>205</v>
      </c>
      <c r="C6" s="147" t="s">
        <v>47</v>
      </c>
      <c r="D6" s="147" t="s">
        <v>428</v>
      </c>
      <c r="E6" s="149">
        <f>ROUND(SUMIFS(tbTransactions[Qty],tbTransactions[Symbol],tbCryptoBalances[[#This Row],[Symbol]]),8)</f>
        <v>0</v>
      </c>
      <c r="F6" s="150">
        <v>7.78</v>
      </c>
      <c r="G6" s="151">
        <f>tbCryptoBalances[[#This Row],[Qty]]*tbCryptoBalances[[#This Row],[Curr. Price]]*tbCryptoBalances[[#This Row],[X Rate]]</f>
        <v>0</v>
      </c>
      <c r="H6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6" s="151">
        <f>tbCryptoBalances[[#This Row],[Average Cost]]*tbCryptoBalances[[#This Row],[Qty]]*tbCryptoBalances[[#This Row],[X Rate]]</f>
        <v>0</v>
      </c>
      <c r="J6" s="151">
        <f>tbCryptoBalances[[#This Row],[Current Value]]-tbCryptoBalances[[#This Row],[Approx Book Value]]</f>
        <v>0</v>
      </c>
      <c r="K6" s="166">
        <f>IF(tbCryptoBalances[[#This Row],[Approx Book Value]]&gt;0,tbCryptoBalances[[#This Row],[G/L $]]/tbCryptoBalances[[#This Row],[Approx Book Value]],1)</f>
        <v>1</v>
      </c>
      <c r="L6" s="149"/>
    </row>
    <row r="7" spans="2:12" ht="30" customHeight="1" x14ac:dyDescent="0.25">
      <c r="B7" s="146" t="s">
        <v>726</v>
      </c>
      <c r="C7" s="147" t="s">
        <v>732</v>
      </c>
      <c r="D7" s="147" t="s">
        <v>428</v>
      </c>
      <c r="E7" s="254">
        <f>ROUND(SUMIFS(tbTransactions[Qty],tbTransactions[Symbol],tbCryptoBalances[[#This Row],[Symbol]]),8)</f>
        <v>4170</v>
      </c>
      <c r="F7" s="150">
        <f>_xlfn.XLOOKUP(tbCryptoBalances[[#This Row],[Symbol]],qryMyQuotes[Symbol],qryMyQuotes[Price])</f>
        <v>5.5</v>
      </c>
      <c r="G7" s="151">
        <f>tbCryptoBalances[[#This Row],[Qty]]*tbCryptoBalances[[#This Row],[Curr. Price]]*tbCryptoBalances[[#This Row],[X Rate]]</f>
        <v>22935</v>
      </c>
      <c r="H7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11.444056141877924</v>
      </c>
      <c r="I7" s="151">
        <f>tbCryptoBalances[[#This Row],[Average Cost]]*tbCryptoBalances[[#This Row],[Qty]]*tbCryptoBalances[[#This Row],[X Rate]]</f>
        <v>47721.714111630943</v>
      </c>
      <c r="J7" s="151">
        <f>tbCryptoBalances[[#This Row],[Current Value]]-tbCryptoBalances[[#This Row],[Approx Book Value]]</f>
        <v>-24786.714111630943</v>
      </c>
      <c r="K7" s="166">
        <f>IF(tbCryptoBalances[[#This Row],[Approx Book Value]]&gt;0,tbCryptoBalances[[#This Row],[G/L $]]/tbCryptoBalances[[#This Row],[Approx Book Value]],1)</f>
        <v>-0.51940116932199254</v>
      </c>
      <c r="L7" s="149">
        <v>1</v>
      </c>
    </row>
    <row r="8" spans="2:12" ht="30" customHeight="1" x14ac:dyDescent="0.25">
      <c r="B8" s="146" t="s">
        <v>486</v>
      </c>
      <c r="C8" s="147" t="s">
        <v>18</v>
      </c>
      <c r="D8" s="147" t="s">
        <v>728</v>
      </c>
      <c r="E8" s="230">
        <f>ROUND(SUMIFS(tbTransactions[Qty],tbTransactions[Symbol],tbCryptoBalances[[#This Row],[Symbol]]),8)</f>
        <v>85.809835000000007</v>
      </c>
      <c r="F8" s="170">
        <v>18.11</v>
      </c>
      <c r="G8" s="151">
        <f>tbCryptoBalances[[#This Row],[Qty]]*tbCryptoBalances[[#This Row],[Curr. Price]]*tbCryptoBalances[[#This Row],[X Rate]]</f>
        <v>1554.01611185</v>
      </c>
      <c r="H8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18.495318206930072</v>
      </c>
      <c r="I8" s="151">
        <f>tbCryptoBalances[[#This Row],[Average Cost]]*tbCryptoBalances[[#This Row],[Qty]]*tbCryptoBalances[[#This Row],[X Rate]]</f>
        <v>1587.0802036091654</v>
      </c>
      <c r="J8" s="151">
        <f>tbCryptoBalances[[#This Row],[Current Value]]-tbCryptoBalances[[#This Row],[Approx Book Value]]</f>
        <v>-33.064091759165422</v>
      </c>
      <c r="K8" s="166">
        <f>IF(tbCryptoBalances[[#This Row],[Approx Book Value]]&gt;0,tbCryptoBalances[[#This Row],[G/L $]]/tbCryptoBalances[[#This Row],[Approx Book Value]],1)</f>
        <v>-2.0833283462281652E-2</v>
      </c>
      <c r="L8" s="149">
        <v>1</v>
      </c>
    </row>
    <row r="9" spans="2:12" ht="30" customHeight="1" x14ac:dyDescent="0.25">
      <c r="B9" s="146" t="s">
        <v>489</v>
      </c>
      <c r="C9" s="147" t="s">
        <v>22</v>
      </c>
      <c r="D9" s="147" t="s">
        <v>728</v>
      </c>
      <c r="E9" s="217">
        <f>ROUND(SUMIFS(tbTransactions[Qty],tbTransactions[Symbol],tbCryptoBalances[[#This Row],[Symbol]]),8)</f>
        <v>23.61309095</v>
      </c>
      <c r="F9" s="150">
        <f>_xlfn.XLOOKUP(tbCryptoBalances[[#This Row],[Symbol]],qryMyQuotes[Symbol],qryMyQuotes[Price])</f>
        <v>2495.1792</v>
      </c>
      <c r="G9" s="151">
        <f>tbCryptoBalances[[#This Row],[Qty]]*tbCryptoBalances[[#This Row],[Curr. Price]]*tbCryptoBalances[[#This Row],[X Rate]]</f>
        <v>58918.893386148244</v>
      </c>
      <c r="H9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3685.3818641228372</v>
      </c>
      <c r="I9" s="151">
        <f>tbCryptoBalances[[#This Row],[Average Cost]]*tbCryptoBalances[[#This Row],[Qty]]*tbCryptoBalances[[#This Row],[X Rate]]</f>
        <v>87023.257143013092</v>
      </c>
      <c r="J9" s="151">
        <f>tbCryptoBalances[[#This Row],[Current Value]]-tbCryptoBalances[[#This Row],[Approx Book Value]]</f>
        <v>-28104.363756864848</v>
      </c>
      <c r="K9" s="166">
        <f>IF(tbCryptoBalances[[#This Row],[Approx Book Value]]&gt;0,tbCryptoBalances[[#This Row],[G/L $]]/tbCryptoBalances[[#This Row],[Approx Book Value]],1)</f>
        <v>-0.32295233113003846</v>
      </c>
      <c r="L9" s="149">
        <v>1</v>
      </c>
    </row>
    <row r="10" spans="2:12" ht="30" customHeight="1" x14ac:dyDescent="0.25">
      <c r="B10" s="146" t="s">
        <v>763</v>
      </c>
      <c r="C10" s="147" t="s">
        <v>762</v>
      </c>
      <c r="D10" s="147" t="s">
        <v>428</v>
      </c>
      <c r="E10" s="149">
        <f>ROUND(SUMIFS(tbTransactions[Qty],tbTransactions[Symbol],tbCryptoBalances[[#This Row],[Symbol]]),8)</f>
        <v>1346</v>
      </c>
      <c r="F10" s="150">
        <f>_xlfn.XLOOKUP(tbCryptoBalances[[#This Row],[Symbol]],qryMyQuotes[Symbol],qryMyQuotes[Price])</f>
        <v>8.69</v>
      </c>
      <c r="G10" s="151">
        <f>tbCryptoBalances[[#This Row],[Qty]]*tbCryptoBalances[[#This Row],[Curr. Price]]*tbCryptoBalances[[#This Row],[X Rate]]</f>
        <v>11696.74</v>
      </c>
      <c r="H10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17.339274060061477</v>
      </c>
      <c r="I10" s="151">
        <f>tbCryptoBalances[[#This Row],[Average Cost]]*tbCryptoBalances[[#This Row],[Qty]]*tbCryptoBalances[[#This Row],[X Rate]]</f>
        <v>23338.66288484275</v>
      </c>
      <c r="J10" s="151">
        <f>tbCryptoBalances[[#This Row],[Current Value]]-tbCryptoBalances[[#This Row],[Approx Book Value]]</f>
        <v>-11641.92288484275</v>
      </c>
      <c r="K10" s="166">
        <f>IF(tbCryptoBalances[[#This Row],[Approx Book Value]]&gt;0,tbCryptoBalances[[#This Row],[G/L $]]/tbCryptoBalances[[#This Row],[Approx Book Value]],1)</f>
        <v>-0.49882561577268314</v>
      </c>
      <c r="L10" s="149">
        <v>1</v>
      </c>
    </row>
    <row r="11" spans="2:12" ht="30" hidden="1" customHeight="1" x14ac:dyDescent="0.25">
      <c r="B11" s="146" t="s">
        <v>747</v>
      </c>
      <c r="C11" s="147" t="s">
        <v>746</v>
      </c>
      <c r="D11" s="147" t="s">
        <v>728</v>
      </c>
      <c r="E11" s="149">
        <f>ROUND(SUMIFS(tbTransactions[Qty],tbTransactions[Symbol],tbCryptoBalances[[#This Row],[Symbol]]),8)</f>
        <v>-6.4548000000000003E-4</v>
      </c>
      <c r="F11" s="150">
        <v>58.65</v>
      </c>
      <c r="G11" s="151">
        <f>tbCryptoBalances[[#This Row],[Qty]]*tbCryptoBalances[[#This Row],[Curr. Price]]*tbCryptoBalances[[#This Row],[X Rate]]</f>
        <v>-3.7857401999999998E-2</v>
      </c>
      <c r="H11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11" s="151">
        <f>tbCryptoBalances[[#This Row],[Average Cost]]*tbCryptoBalances[[#This Row],[Qty]]*tbCryptoBalances[[#This Row],[X Rate]]</f>
        <v>0</v>
      </c>
      <c r="J11" s="151">
        <f>tbCryptoBalances[[#This Row],[Current Value]]-tbCryptoBalances[[#This Row],[Approx Book Value]]</f>
        <v>-3.7857401999999998E-2</v>
      </c>
      <c r="K11" s="166">
        <f>IF(tbCryptoBalances[[#This Row],[Approx Book Value]]&gt;0,tbCryptoBalances[[#This Row],[G/L $]]/tbCryptoBalances[[#This Row],[Approx Book Value]],1)</f>
        <v>1</v>
      </c>
      <c r="L11" s="149">
        <v>1</v>
      </c>
    </row>
    <row r="12" spans="2:12" ht="30" customHeight="1" x14ac:dyDescent="0.25">
      <c r="B12" s="146" t="s">
        <v>364</v>
      </c>
      <c r="C12" s="147" t="s">
        <v>41</v>
      </c>
      <c r="D12" s="147" t="s">
        <v>428</v>
      </c>
      <c r="E12" s="254">
        <f>ROUND(SUMIFS(tbTransactions[Qty],tbTransactions[Symbol],tbCryptoBalances[[#This Row],[Symbol]]),8)</f>
        <v>3248</v>
      </c>
      <c r="F12" s="150">
        <f>_xlfn.XLOOKUP(tbCryptoBalances[[#This Row],[Symbol]],qryMyQuotes[Symbol],qryMyQuotes[Price])</f>
        <v>16.600000000000001</v>
      </c>
      <c r="G12" s="151">
        <f>tbCryptoBalances[[#This Row],[Qty]]*tbCryptoBalances[[#This Row],[Curr. Price]]*tbCryptoBalances[[#This Row],[X Rate]]</f>
        <v>71709.344000000012</v>
      </c>
      <c r="H12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44.211151191079573</v>
      </c>
      <c r="I12" s="151">
        <f>tbCryptoBalances[[#This Row],[Average Cost]]*tbCryptoBalances[[#This Row],[Qty]]*tbCryptoBalances[[#This Row],[X Rate]]</f>
        <v>190985.09936127317</v>
      </c>
      <c r="J12" s="151">
        <f>tbCryptoBalances[[#This Row],[Current Value]]-tbCryptoBalances[[#This Row],[Approx Book Value]]</f>
        <v>-119275.75536127316</v>
      </c>
      <c r="K12" s="166">
        <f>IF(tbCryptoBalances[[#This Row],[Approx Book Value]]&gt;0,tbCryptoBalances[[#This Row],[G/L $]]/tbCryptoBalances[[#This Row],[Approx Book Value]],1)</f>
        <v>-0.62452911646079545</v>
      </c>
      <c r="L12" s="149">
        <v>1.33</v>
      </c>
    </row>
    <row r="13" spans="2:12" ht="30" customHeight="1" x14ac:dyDescent="0.25">
      <c r="B13" s="146" t="s">
        <v>487</v>
      </c>
      <c r="C13" s="147" t="s">
        <v>20</v>
      </c>
      <c r="D13" s="147" t="s">
        <v>728</v>
      </c>
      <c r="E13" s="230">
        <f>ROUND(SUMIFS(tbTransactions[Qty],tbTransactions[Symbol],tbCryptoBalances[[#This Row],[Symbol]]),8)</f>
        <v>103.39976891000001</v>
      </c>
      <c r="F13" s="170">
        <v>9.1999999999999993</v>
      </c>
      <c r="G13" s="151">
        <f>tbCryptoBalances[[#This Row],[Qty]]*tbCryptoBalances[[#This Row],[Curr. Price]]*tbCryptoBalances[[#This Row],[X Rate]]</f>
        <v>951.27787397199995</v>
      </c>
      <c r="H13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19.129733275495521</v>
      </c>
      <c r="I13" s="151">
        <f>tbCryptoBalances[[#This Row],[Average Cost]]*tbCryptoBalances[[#This Row],[Qty]]*tbCryptoBalances[[#This Row],[X Rate]]</f>
        <v>1978.0099999961744</v>
      </c>
      <c r="J13" s="151">
        <f>tbCryptoBalances[[#This Row],[Current Value]]-tbCryptoBalances[[#This Row],[Approx Book Value]]</f>
        <v>-1026.7321260241745</v>
      </c>
      <c r="K13" s="166">
        <f>IF(tbCryptoBalances[[#This Row],[Approx Book Value]]&gt;0,tbCryptoBalances[[#This Row],[G/L $]]/tbCryptoBalances[[#This Row],[Approx Book Value]],1)</f>
        <v>-0.51907327365693812</v>
      </c>
      <c r="L13" s="149">
        <v>1</v>
      </c>
    </row>
    <row r="14" spans="2:12" ht="30" hidden="1" customHeight="1" x14ac:dyDescent="0.25">
      <c r="B14" s="146" t="s">
        <v>491</v>
      </c>
      <c r="C14" s="147" t="s">
        <v>423</v>
      </c>
      <c r="D14" s="147" t="s">
        <v>728</v>
      </c>
      <c r="E14" s="149">
        <f>ROUND(SUMIFS(tbTransactions[Qty],tbTransactions[Symbol],tbCryptoBalances[[#This Row],[Symbol]]),8)</f>
        <v>51.951572290000001</v>
      </c>
      <c r="F14" s="150">
        <f>_xlfn.XLOOKUP(tbCryptoBalances[[#This Row],[Symbol]],qryMyQuotes[Symbol],qryMyQuotes[Price])</f>
        <v>1.6941177999999999</v>
      </c>
      <c r="G14" s="151">
        <f>tbCryptoBalances[[#This Row],[Qty]]*tbCryptoBalances[[#This Row],[Curr. Price]]*tbCryptoBalances[[#This Row],[X Rate]]</f>
        <v>88.012083354475763</v>
      </c>
      <c r="H14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2.1183845034140418</v>
      </c>
      <c r="I14" s="151">
        <f>tbCryptoBalances[[#This Row],[Average Cost]]*tbCryptoBalances[[#This Row],[Qty]]*tbCryptoBalances[[#This Row],[X Rate]]</f>
        <v>110.05340566713035</v>
      </c>
      <c r="J14" s="151">
        <f>tbCryptoBalances[[#This Row],[Current Value]]-tbCryptoBalances[[#This Row],[Approx Book Value]]</f>
        <v>-22.041322312654586</v>
      </c>
      <c r="K14" s="166">
        <f>IF(tbCryptoBalances[[#This Row],[Approx Book Value]]&gt;0,tbCryptoBalances[[#This Row],[G/L $]]/tbCryptoBalances[[#This Row],[Approx Book Value]],1)</f>
        <v>-0.20027842099972076</v>
      </c>
      <c r="L14" s="149">
        <v>1</v>
      </c>
    </row>
    <row r="15" spans="2:12" ht="30" hidden="1" customHeight="1" x14ac:dyDescent="0.25">
      <c r="B15" s="146" t="s">
        <v>703</v>
      </c>
      <c r="C15" s="147" t="s">
        <v>686</v>
      </c>
      <c r="D15" s="147" t="s">
        <v>428</v>
      </c>
      <c r="E15" s="149">
        <f>ROUND(SUMIFS(tbTransactions[Qty],tbTransactions[Symbol],tbCryptoBalances[[#This Row],[Symbol]]),8)</f>
        <v>0</v>
      </c>
      <c r="F15" s="150">
        <f>_xlfn.XLOOKUP(tbCryptoBalances[[#This Row],[Symbol]],qryMyQuotes[Symbol],qryMyQuotes[Price])</f>
        <v>16.649999999999999</v>
      </c>
      <c r="G15" s="151">
        <f>tbCryptoBalances[[#This Row],[Qty]]*tbCryptoBalances[[#This Row],[Curr. Price]]*tbCryptoBalances[[#This Row],[X Rate]]</f>
        <v>0</v>
      </c>
      <c r="H15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15" s="151">
        <f>tbCryptoBalances[[#This Row],[Average Cost]]*tbCryptoBalances[[#This Row],[Qty]]*tbCryptoBalances[[#This Row],[X Rate]]</f>
        <v>0</v>
      </c>
      <c r="J15" s="151">
        <f>tbCryptoBalances[[#This Row],[Current Value]]-tbCryptoBalances[[#This Row],[Approx Book Value]]</f>
        <v>0</v>
      </c>
      <c r="K15" s="166">
        <f>IF(tbCryptoBalances[[#This Row],[Approx Book Value]]&gt;0,tbCryptoBalances[[#This Row],[G/L $]]/tbCryptoBalances[[#This Row],[Approx Book Value]],1)</f>
        <v>1</v>
      </c>
      <c r="L15" s="149">
        <v>1.24</v>
      </c>
    </row>
    <row r="16" spans="2:12" ht="30" hidden="1" customHeight="1" x14ac:dyDescent="0.25">
      <c r="B16" s="146" t="s">
        <v>554</v>
      </c>
      <c r="C16" s="147" t="s">
        <v>552</v>
      </c>
      <c r="D16" s="147" t="s">
        <v>728</v>
      </c>
      <c r="E16" s="149">
        <f>ROUND(SUMIFS(tbTransactions[Qty],tbTransactions[Symbol],tbCryptoBalances[[#This Row],[Symbol]]),8)</f>
        <v>0</v>
      </c>
      <c r="F16" s="150">
        <v>0.91</v>
      </c>
      <c r="G16" s="151">
        <f>tbCryptoBalances[[#This Row],[Qty]]*tbCryptoBalances[[#This Row],[Curr. Price]]*tbCryptoBalances[[#This Row],[X Rate]]</f>
        <v>0</v>
      </c>
      <c r="H16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16" s="151">
        <f>tbCryptoBalances[[#This Row],[Average Cost]]*tbCryptoBalances[[#This Row],[Qty]]*tbCryptoBalances[[#This Row],[X Rate]]</f>
        <v>0</v>
      </c>
      <c r="J16" s="151">
        <f>tbCryptoBalances[[#This Row],[Current Value]]-tbCryptoBalances[[#This Row],[Approx Book Value]]</f>
        <v>0</v>
      </c>
      <c r="K16" s="166">
        <f>IF(tbCryptoBalances[[#This Row],[Approx Book Value]]&gt;0,tbCryptoBalances[[#This Row],[G/L $]]/tbCryptoBalances[[#This Row],[Approx Book Value]],1)</f>
        <v>1</v>
      </c>
      <c r="L16" s="149"/>
    </row>
    <row r="17" spans="2:13" ht="30" hidden="1" customHeight="1" x14ac:dyDescent="0.25">
      <c r="B17" s="146" t="s">
        <v>602</v>
      </c>
      <c r="C17" s="147" t="s">
        <v>602</v>
      </c>
      <c r="D17" s="147" t="s">
        <v>728</v>
      </c>
      <c r="E17" s="149">
        <f>ROUND(SUMIFS(tbTransactions[Qty],tbTransactions[Symbol],tbCryptoBalances[[#This Row],[Symbol]]),8)</f>
        <v>0.29076099999999999</v>
      </c>
      <c r="F17" s="150">
        <f>_xlfn.XLOOKUP(tbCryptoBalances[[#This Row],[Symbol]],qryMyQuotes[Symbol],qryMyQuotes[Price])</f>
        <v>1.3770882</v>
      </c>
      <c r="G17" s="151">
        <f>tbCryptoBalances[[#This Row],[Qty]]*tbCryptoBalances[[#This Row],[Curr. Price]]*tbCryptoBalances[[#This Row],[X Rate]]</f>
        <v>0.40040354212019996</v>
      </c>
      <c r="H17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1.2489574704766564</v>
      </c>
      <c r="I17" s="151">
        <f>tbCryptoBalances[[#This Row],[Average Cost]]*tbCryptoBalances[[#This Row],[Qty]]*tbCryptoBalances[[#This Row],[X Rate]]</f>
        <v>0.36314812307326311</v>
      </c>
      <c r="J17" s="151">
        <f>tbCryptoBalances[[#This Row],[Current Value]]-tbCryptoBalances[[#This Row],[Approx Book Value]]</f>
        <v>3.7255419046936855E-2</v>
      </c>
      <c r="K17" s="166">
        <f>IF(tbCryptoBalances[[#This Row],[Approx Book Value]]&gt;0,tbCryptoBalances[[#This Row],[G/L $]]/tbCryptoBalances[[#This Row],[Approx Book Value]],1)</f>
        <v>0.10259014622366858</v>
      </c>
      <c r="L17" s="149">
        <v>1</v>
      </c>
    </row>
    <row r="18" spans="2:13" ht="30" hidden="1" customHeight="1" x14ac:dyDescent="0.25">
      <c r="B18" s="146" t="s">
        <v>571</v>
      </c>
      <c r="C18" s="147" t="s">
        <v>8</v>
      </c>
      <c r="D18" s="147" t="s">
        <v>728</v>
      </c>
      <c r="E18" s="149">
        <f>ROUND(SUMIFS(tbTransactions[Qty],tbTransactions[Symbol],tbCryptoBalances[[#This Row],[Symbol]]),8)</f>
        <v>0</v>
      </c>
      <c r="F18" s="150">
        <v>2.46</v>
      </c>
      <c r="G18" s="151">
        <f>tbCryptoBalances[[#This Row],[Qty]]*tbCryptoBalances[[#This Row],[Curr. Price]]*tbCryptoBalances[[#This Row],[X Rate]]</f>
        <v>0</v>
      </c>
      <c r="H18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18" s="151">
        <f>tbCryptoBalances[[#This Row],[Average Cost]]*tbCryptoBalances[[#This Row],[Qty]]*tbCryptoBalances[[#This Row],[X Rate]]</f>
        <v>0</v>
      </c>
      <c r="J18" s="151">
        <f>tbCryptoBalances[[#This Row],[Current Value]]-tbCryptoBalances[[#This Row],[Approx Book Value]]</f>
        <v>0</v>
      </c>
      <c r="K18" s="166">
        <f>IF(tbCryptoBalances[[#This Row],[Approx Book Value]]&gt;0,tbCryptoBalances[[#This Row],[G/L $]]/tbCryptoBalances[[#This Row],[Approx Book Value]],1)</f>
        <v>1</v>
      </c>
      <c r="L18" s="149"/>
    </row>
    <row r="19" spans="2:13" ht="30" hidden="1" customHeight="1" x14ac:dyDescent="0.25">
      <c r="B19" s="146" t="s">
        <v>483</v>
      </c>
      <c r="C19" s="147" t="s">
        <v>478</v>
      </c>
      <c r="D19" s="147" t="s">
        <v>728</v>
      </c>
      <c r="E19" s="149">
        <f>ROUND(SUMIFS(tbTransactions[Qty],tbTransactions[Symbol],tbCryptoBalances[[#This Row],[Symbol]]),8)</f>
        <v>2.7950848100000001</v>
      </c>
      <c r="F19" s="150">
        <v>10.53</v>
      </c>
      <c r="G19" s="151">
        <f>tbCryptoBalances[[#This Row],[Qty]]*tbCryptoBalances[[#This Row],[Curr. Price]]*tbCryptoBalances[[#This Row],[X Rate]]</f>
        <v>0</v>
      </c>
      <c r="H19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19" s="151">
        <f>tbCryptoBalances[[#This Row],[Average Cost]]*tbCryptoBalances[[#This Row],[Qty]]*tbCryptoBalances[[#This Row],[X Rate]]</f>
        <v>0</v>
      </c>
      <c r="J19" s="151">
        <f>tbCryptoBalances[[#This Row],[Current Value]]-tbCryptoBalances[[#This Row],[Approx Book Value]]</f>
        <v>0</v>
      </c>
      <c r="K19" s="166">
        <f>IF(tbCryptoBalances[[#This Row],[Approx Book Value]]&gt;0,tbCryptoBalances[[#This Row],[G/L $]]/tbCryptoBalances[[#This Row],[Approx Book Value]],1)</f>
        <v>1</v>
      </c>
      <c r="L19" s="149"/>
    </row>
    <row r="20" spans="2:13" ht="30" hidden="1" customHeight="1" x14ac:dyDescent="0.25">
      <c r="B20" s="146" t="s">
        <v>485</v>
      </c>
      <c r="C20" s="147" t="s">
        <v>424</v>
      </c>
      <c r="D20" s="147" t="s">
        <v>728</v>
      </c>
      <c r="E20" s="149">
        <f>ROUND(SUMIFS(tbTransactions[Qty],tbTransactions[Symbol],tbCryptoBalances[[#This Row],[Symbol]]),8)</f>
        <v>2.1600000000000001E-2</v>
      </c>
      <c r="F20" s="150">
        <v>561.29</v>
      </c>
      <c r="G20" s="151">
        <f>tbCryptoBalances[[#This Row],[Qty]]*tbCryptoBalances[[#This Row],[Curr. Price]]*tbCryptoBalances[[#This Row],[X Rate]]</f>
        <v>0</v>
      </c>
      <c r="H20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0" s="151">
        <f>tbCryptoBalances[[#This Row],[Average Cost]]*tbCryptoBalances[[#This Row],[Qty]]*tbCryptoBalances[[#This Row],[X Rate]]</f>
        <v>0</v>
      </c>
      <c r="J20" s="151">
        <f>tbCryptoBalances[[#This Row],[Current Value]]-tbCryptoBalances[[#This Row],[Approx Book Value]]</f>
        <v>0</v>
      </c>
      <c r="K20" s="166">
        <f>IF(tbCryptoBalances[[#This Row],[Approx Book Value]]&gt;0,tbCryptoBalances[[#This Row],[G/L $]]/tbCryptoBalances[[#This Row],[Approx Book Value]],1)</f>
        <v>1</v>
      </c>
      <c r="L20" s="149"/>
    </row>
    <row r="21" spans="2:13" ht="30" hidden="1" customHeight="1" x14ac:dyDescent="0.25">
      <c r="B21" s="146" t="s">
        <v>488</v>
      </c>
      <c r="C21" s="147" t="s">
        <v>25</v>
      </c>
      <c r="D21" s="147" t="s">
        <v>728</v>
      </c>
      <c r="E21" s="149">
        <f>ROUND(SUMIFS(tbTransactions[Qty],tbTransactions[Symbol],tbCryptoBalances[[#This Row],[Symbol]]),8)</f>
        <v>22.7827372</v>
      </c>
      <c r="F21" s="150">
        <v>0.41699999999999998</v>
      </c>
      <c r="G21" s="151">
        <f>tbCryptoBalances[[#This Row],[Qty]]*tbCryptoBalances[[#This Row],[Curr. Price]]*tbCryptoBalances[[#This Row],[X Rate]]</f>
        <v>0</v>
      </c>
      <c r="H21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0.77740981859467062</v>
      </c>
      <c r="I21" s="151">
        <f>tbCryptoBalances[[#This Row],[Average Cost]]*tbCryptoBalances[[#This Row],[Qty]]*tbCryptoBalances[[#This Row],[X Rate]]</f>
        <v>0</v>
      </c>
      <c r="J21" s="151">
        <f>tbCryptoBalances[[#This Row],[Current Value]]-tbCryptoBalances[[#This Row],[Approx Book Value]]</f>
        <v>0</v>
      </c>
      <c r="K21" s="166">
        <f>IF(tbCryptoBalances[[#This Row],[Approx Book Value]]&gt;0,tbCryptoBalances[[#This Row],[G/L $]]/tbCryptoBalances[[#This Row],[Approx Book Value]],1)</f>
        <v>1</v>
      </c>
      <c r="L21" s="149"/>
    </row>
    <row r="22" spans="2:13" ht="30" hidden="1" customHeight="1" x14ac:dyDescent="0.25">
      <c r="B22" s="146" t="s">
        <v>482</v>
      </c>
      <c r="C22" s="147" t="s">
        <v>425</v>
      </c>
      <c r="D22" s="147" t="s">
        <v>728</v>
      </c>
      <c r="E22" s="149">
        <f>ROUND(SUMIFS(tbTransactions[Qty],tbTransactions[Symbol],tbCryptoBalances[[#This Row],[Symbol]]),8)</f>
        <v>5.27462593</v>
      </c>
      <c r="F22" s="150">
        <v>1.08</v>
      </c>
      <c r="G22" s="151">
        <f>tbCryptoBalances[[#This Row],[Qty]]*tbCryptoBalances[[#This Row],[Curr. Price]]*tbCryptoBalances[[#This Row],[X Rate]]</f>
        <v>0</v>
      </c>
      <c r="H22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2" s="151">
        <f>tbCryptoBalances[[#This Row],[Average Cost]]*tbCryptoBalances[[#This Row],[Qty]]*tbCryptoBalances[[#This Row],[X Rate]]</f>
        <v>0</v>
      </c>
      <c r="J22" s="151">
        <f>tbCryptoBalances[[#This Row],[Current Value]]-tbCryptoBalances[[#This Row],[Approx Book Value]]</f>
        <v>0</v>
      </c>
      <c r="K22" s="166">
        <f>IF(tbCryptoBalances[[#This Row],[Approx Book Value]]&gt;0,tbCryptoBalances[[#This Row],[G/L $]]/tbCryptoBalances[[#This Row],[Approx Book Value]],1)</f>
        <v>1</v>
      </c>
      <c r="L22" s="149"/>
    </row>
    <row r="23" spans="2:13" ht="30" hidden="1" customHeight="1" x14ac:dyDescent="0.25">
      <c r="B23" s="146" t="s">
        <v>480</v>
      </c>
      <c r="C23" s="147" t="s">
        <v>479</v>
      </c>
      <c r="D23" s="147" t="s">
        <v>728</v>
      </c>
      <c r="E23" s="149">
        <f>ROUND(SUMIFS(tbTransactions[Qty],tbTransactions[Symbol],tbCryptoBalances[[#This Row],[Symbol]]),8)</f>
        <v>9.5057039999999995E-2</v>
      </c>
      <c r="F23" s="150">
        <v>39.22</v>
      </c>
      <c r="G23" s="151">
        <f>tbCryptoBalances[[#This Row],[Qty]]*tbCryptoBalances[[#This Row],[Curr. Price]]*tbCryptoBalances[[#This Row],[X Rate]]</f>
        <v>0</v>
      </c>
      <c r="H23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3" s="151">
        <f>tbCryptoBalances[[#This Row],[Average Cost]]*tbCryptoBalances[[#This Row],[Qty]]*tbCryptoBalances[[#This Row],[X Rate]]</f>
        <v>0</v>
      </c>
      <c r="J23" s="151">
        <f>tbCryptoBalances[[#This Row],[Current Value]]-tbCryptoBalances[[#This Row],[Approx Book Value]]</f>
        <v>0</v>
      </c>
      <c r="K23" s="166">
        <f>IF(tbCryptoBalances[[#This Row],[Approx Book Value]]&gt;0,tbCryptoBalances[[#This Row],[G/L $]]/tbCryptoBalances[[#This Row],[Approx Book Value]],1)</f>
        <v>1</v>
      </c>
      <c r="L23" s="149"/>
    </row>
    <row r="24" spans="2:13" ht="30" hidden="1" customHeight="1" x14ac:dyDescent="0.25">
      <c r="B24" s="146" t="s">
        <v>481</v>
      </c>
      <c r="C24" s="147" t="s">
        <v>426</v>
      </c>
      <c r="D24" s="147" t="s">
        <v>728</v>
      </c>
      <c r="E24" s="149">
        <f>ROUND(SUMIFS(tbTransactions[Qty],tbTransactions[Symbol],tbCryptoBalances[[#This Row],[Symbol]]),8)</f>
        <v>0.1275</v>
      </c>
      <c r="F24" s="150">
        <v>23.46</v>
      </c>
      <c r="G24" s="151">
        <f>tbCryptoBalances[[#This Row],[Qty]]*tbCryptoBalances[[#This Row],[Curr. Price]]*tbCryptoBalances[[#This Row],[X Rate]]</f>
        <v>0</v>
      </c>
      <c r="H24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4" s="151">
        <f>tbCryptoBalances[[#This Row],[Average Cost]]*tbCryptoBalances[[#This Row],[Qty]]*tbCryptoBalances[[#This Row],[X Rate]]</f>
        <v>0</v>
      </c>
      <c r="J24" s="151">
        <f>tbCryptoBalances[[#This Row],[Current Value]]-tbCryptoBalances[[#This Row],[Approx Book Value]]</f>
        <v>0</v>
      </c>
      <c r="K24" s="166">
        <f>IF(tbCryptoBalances[[#This Row],[Approx Book Value]]&gt;0,tbCryptoBalances[[#This Row],[G/L $]]/tbCryptoBalances[[#This Row],[Approx Book Value]],1)</f>
        <v>1</v>
      </c>
      <c r="L24" s="149"/>
    </row>
    <row r="25" spans="2:13" ht="30" hidden="1" customHeight="1" x14ac:dyDescent="0.25">
      <c r="B25" s="146" t="s">
        <v>574</v>
      </c>
      <c r="C25" s="147" t="s">
        <v>573</v>
      </c>
      <c r="D25" s="147" t="s">
        <v>728</v>
      </c>
      <c r="E25" s="149">
        <f>ROUND(SUMIFS(tbTransactions[Qty],tbTransactions[Symbol],tbCryptoBalances[[#This Row],[Symbol]]),8)</f>
        <v>0</v>
      </c>
      <c r="F25" s="164">
        <v>3.6291999999999998E-2</v>
      </c>
      <c r="G25" s="151">
        <f>tbCryptoBalances[[#This Row],[Qty]]*tbCryptoBalances[[#This Row],[Curr. Price]]*tbCryptoBalances[[#This Row],[X Rate]]</f>
        <v>0</v>
      </c>
      <c r="H25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5" s="151">
        <f>tbCryptoBalances[[#This Row],[Average Cost]]*tbCryptoBalances[[#This Row],[Qty]]*tbCryptoBalances[[#This Row],[X Rate]]</f>
        <v>0</v>
      </c>
      <c r="J25" s="151">
        <f>tbCryptoBalances[[#This Row],[Current Value]]-tbCryptoBalances[[#This Row],[Approx Book Value]]</f>
        <v>0</v>
      </c>
      <c r="K25" s="166">
        <f>IF(tbCryptoBalances[[#This Row],[Approx Book Value]]&gt;0,tbCryptoBalances[[#This Row],[G/L $]]/tbCryptoBalances[[#This Row],[Approx Book Value]],1)</f>
        <v>1</v>
      </c>
      <c r="L25" s="149"/>
    </row>
    <row r="26" spans="2:13" ht="30" hidden="1" customHeight="1" x14ac:dyDescent="0.25">
      <c r="B26" s="146" t="s">
        <v>497</v>
      </c>
      <c r="C26" s="147" t="s">
        <v>496</v>
      </c>
      <c r="D26" s="147" t="s">
        <v>728</v>
      </c>
      <c r="E26" s="149">
        <f>ROUND(SUMIFS(tbTransactions[Qty],tbTransactions[Symbol],tbCryptoBalances[[#This Row],[Symbol]]),8)</f>
        <v>0</v>
      </c>
      <c r="F26" s="150">
        <v>1.28</v>
      </c>
      <c r="G26" s="151">
        <f>tbCryptoBalances[[#This Row],[Qty]]*tbCryptoBalances[[#This Row],[Curr. Price]]*tbCryptoBalances[[#This Row],[X Rate]]</f>
        <v>0</v>
      </c>
      <c r="H26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6" s="151">
        <f>tbCryptoBalances[[#This Row],[Average Cost]]*tbCryptoBalances[[#This Row],[Qty]]*tbCryptoBalances[[#This Row],[X Rate]]</f>
        <v>0</v>
      </c>
      <c r="J26" s="151">
        <f>tbCryptoBalances[[#This Row],[Current Value]]-tbCryptoBalances[[#This Row],[Approx Book Value]]</f>
        <v>0</v>
      </c>
      <c r="K26" s="166">
        <f>IF(tbCryptoBalances[[#This Row],[Approx Book Value]]&gt;0,tbCryptoBalances[[#This Row],[G/L $]]/tbCryptoBalances[[#This Row],[Approx Book Value]],1)</f>
        <v>1</v>
      </c>
      <c r="L26" s="149"/>
    </row>
    <row r="27" spans="2:13" ht="30" hidden="1" customHeight="1" x14ac:dyDescent="0.25">
      <c r="B27" s="146" t="s">
        <v>490</v>
      </c>
      <c r="C27" s="147" t="s">
        <v>24</v>
      </c>
      <c r="D27" s="147" t="s">
        <v>728</v>
      </c>
      <c r="E27" s="149">
        <f>ROUND(SUMIFS(tbTransactions[Qty],tbTransactions[Symbol],tbCryptoBalances[[#This Row],[Symbol]]),8)</f>
        <v>0</v>
      </c>
      <c r="F27" s="150">
        <v>28.26</v>
      </c>
      <c r="G27" s="151">
        <f>tbCryptoBalances[[#This Row],[Qty]]*tbCryptoBalances[[#This Row],[Curr. Price]]*tbCryptoBalances[[#This Row],[X Rate]]</f>
        <v>0</v>
      </c>
      <c r="H27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7" s="151">
        <f>tbCryptoBalances[[#This Row],[Average Cost]]*tbCryptoBalances[[#This Row],[Qty]]*tbCryptoBalances[[#This Row],[X Rate]]</f>
        <v>0</v>
      </c>
      <c r="J27" s="151">
        <f>tbCryptoBalances[[#This Row],[Current Value]]-tbCryptoBalances[[#This Row],[Approx Book Value]]</f>
        <v>0</v>
      </c>
      <c r="K27" s="166">
        <f>IF(tbCryptoBalances[[#This Row],[Approx Book Value]]&gt;0,tbCryptoBalances[[#This Row],[G/L $]]/tbCryptoBalances[[#This Row],[Approx Book Value]],1)</f>
        <v>1</v>
      </c>
      <c r="L27" s="149"/>
    </row>
    <row r="28" spans="2:13" ht="30" hidden="1" customHeight="1" x14ac:dyDescent="0.25">
      <c r="B28" s="146" t="s">
        <v>468</v>
      </c>
      <c r="C28" s="147" t="s">
        <v>467</v>
      </c>
      <c r="D28" s="147" t="s">
        <v>728</v>
      </c>
      <c r="E28" s="149">
        <f>ROUND(SUMIFS(tbTransactions[Qty],tbTransactions[Symbol],tbCryptoBalances[[#This Row],[Symbol]]),8)</f>
        <v>0</v>
      </c>
      <c r="F28" s="150">
        <v>22.8</v>
      </c>
      <c r="G28" s="151">
        <f>tbCryptoBalances[[#This Row],[Qty]]*tbCryptoBalances[[#This Row],[Curr. Price]]*tbCryptoBalances[[#This Row],[X Rate]]</f>
        <v>0</v>
      </c>
      <c r="H28" s="150">
        <f>IF(tbCryptoBalances[[#This Row],[Qty]]&gt;0,SUMIFS(tbTransactions[Total],tbTransactions[Symbol],tbCryptoBalances[[#This Row],[Symbol]],tbTransactions[Type],"Credit")/SUMIFS(tbTransactions[Qty],tbTransactions[Symbol],tbCryptoBalances[[#This Row],[Symbol]],tbTransactions[Type],"Credit"),0)</f>
        <v>0</v>
      </c>
      <c r="I28" s="151">
        <f>tbCryptoBalances[[#This Row],[Average Cost]]*tbCryptoBalances[[#This Row],[Qty]]*tbCryptoBalances[[#This Row],[X Rate]]</f>
        <v>0</v>
      </c>
      <c r="J28" s="151">
        <f>tbCryptoBalances[[#This Row],[Current Value]]-tbCryptoBalances[[#This Row],[Approx Book Value]]</f>
        <v>0</v>
      </c>
      <c r="K28" s="166">
        <f>IF(tbCryptoBalances[[#This Row],[Approx Book Value]]&gt;0,tbCryptoBalances[[#This Row],[G/L $]]/tbCryptoBalances[[#This Row],[Approx Book Value]],1)</f>
        <v>1</v>
      </c>
      <c r="L28" s="149"/>
    </row>
    <row r="29" spans="2:13" ht="30" customHeight="1" x14ac:dyDescent="0.25">
      <c r="B29" s="148" t="s">
        <v>2</v>
      </c>
      <c r="D29" s="148"/>
      <c r="F29" s="149"/>
      <c r="G29" s="151">
        <f>SUBTOTAL(109,tbCryptoBalances[Current Value])</f>
        <v>167884.39983872257</v>
      </c>
      <c r="I29" s="151">
        <f>SUBTOTAL(109,tbCryptoBalances[Approx Book Value])</f>
        <v>353950.20444339793</v>
      </c>
      <c r="J29" s="151">
        <f>tbCryptoBalances[[#Totals],[Current Value]]-tbCryptoBalances[[#Totals],[Approx Book Value]]</f>
        <v>-186065.80460467536</v>
      </c>
      <c r="K29" s="167">
        <f>tbCryptoBalances[[#Totals],[G/L $]]/tbCryptoBalances[[#Totals],[Approx Book Value]]</f>
        <v>-0.52568356302342567</v>
      </c>
      <c r="L29" s="149"/>
    </row>
    <row r="30" spans="2:13" ht="30" customHeight="1" x14ac:dyDescent="0.25">
      <c r="B30" s="163"/>
      <c r="C30" s="163"/>
      <c r="E30" s="164"/>
    </row>
    <row r="31" spans="2:13" ht="30" customHeight="1" x14ac:dyDescent="0.25">
      <c r="B31" s="228" t="s">
        <v>758</v>
      </c>
      <c r="C31" s="146"/>
      <c r="D31" s="147"/>
      <c r="E31" s="147"/>
    </row>
    <row r="32" spans="2:13" ht="30" customHeight="1" x14ac:dyDescent="0.25">
      <c r="B32" s="148" t="s">
        <v>43</v>
      </c>
      <c r="C32" s="149" t="s">
        <v>44</v>
      </c>
      <c r="D32" s="147" t="s">
        <v>724</v>
      </c>
      <c r="E32" s="147" t="s">
        <v>715</v>
      </c>
      <c r="F32" s="147" t="s">
        <v>714</v>
      </c>
      <c r="G32" s="146" t="s">
        <v>759</v>
      </c>
      <c r="H32" s="146" t="s">
        <v>586</v>
      </c>
      <c r="I32" s="146" t="s">
        <v>594</v>
      </c>
      <c r="J32" s="146" t="s">
        <v>542</v>
      </c>
      <c r="K32" s="148" t="s">
        <v>507</v>
      </c>
      <c r="L32" s="148" t="s">
        <v>569</v>
      </c>
      <c r="M32" s="148" t="s">
        <v>2</v>
      </c>
    </row>
    <row r="33" spans="2:13" ht="30" customHeight="1" x14ac:dyDescent="0.25">
      <c r="B33" s="148" t="s">
        <v>441</v>
      </c>
      <c r="C33" s="149" t="s">
        <v>440</v>
      </c>
      <c r="D33" s="168">
        <f>SUMIFS(tbTransactions[Qty],tbTransactions[Symbol],Table18[[#This Row],[Symbol]],tbTransactions[Account],"CIBC RESP")</f>
        <v>0</v>
      </c>
      <c r="E33" s="168">
        <f>SUMIFS(tbTransactions[Qty],tbTransactions[Symbol],Table18[[#This Row],[Symbol]],tbTransactions[Account],"Questrade TFSA")</f>
        <v>0</v>
      </c>
      <c r="F33" s="168">
        <f>SUMIFS(tbTransactions[Qty],tbTransactions[Symbol],Table18[[#This Row],[Symbol]],tbTransactions[Account],"Questrade RRSP")</f>
        <v>0</v>
      </c>
      <c r="G33" s="168">
        <f>SUMIFS(tbTransactions[Qty],tbTransactions[Symbol],Table18[[#This Row],[Symbol]],tbTransactions[Account],"Legacy Metamask")</f>
        <v>1.0749692000008508</v>
      </c>
      <c r="H33" s="168">
        <f>SUMIFS(tbTransactions[Qty],tbTransactions[Symbol],Table18[[#This Row],[Symbol]],tbTransactions[Account],"ETH Metamask")</f>
        <v>0</v>
      </c>
      <c r="I33" s="168">
        <f>SUMIFS(tbTransactions[Qty],tbTransactions[Symbol],Table18[[#This Row],[Symbol]],tbTransactions[Account],"MATIC Metamask")</f>
        <v>0</v>
      </c>
      <c r="J33" s="168">
        <f>SUMIFS(tbTransactions[Qty],tbTransactions[Symbol],Table18[[#This Row],[Symbol]],tbTransactions[Account],"ETH2 Network")</f>
        <v>0</v>
      </c>
      <c r="K33" s="168">
        <f>SUMIFS(tbTransactions[Qty],tbTransactions[Symbol],Table18[[#This Row],[Symbol]],tbTransactions[Account],"Daedalus")</f>
        <v>0</v>
      </c>
      <c r="L33" s="168">
        <f>SUMIFS(tbTransactions[Qty],tbTransactions[Symbol],Table18[[#This Row],[Symbol]],tbTransactions[Account],"Flexa Lightning")</f>
        <v>18028</v>
      </c>
      <c r="M33" s="168">
        <f>SUM(Table18[[#This Row],[CIBC RESP]:[Daedalus]])</f>
        <v>1.0749692000008508</v>
      </c>
    </row>
    <row r="34" spans="2:13" ht="30" customHeight="1" x14ac:dyDescent="0.25">
      <c r="B34" s="148" t="s">
        <v>484</v>
      </c>
      <c r="C34" s="149" t="s">
        <v>17</v>
      </c>
      <c r="D34" s="168">
        <f>SUMIFS(tbTransactions[Qty],tbTransactions[Symbol],Table18[[#This Row],[Symbol]],tbTransactions[Account],"CIBC RESP")</f>
        <v>0</v>
      </c>
      <c r="E34" s="168">
        <f>SUMIFS(tbTransactions[Qty],tbTransactions[Symbol],Table18[[#This Row],[Symbol]],tbTransactions[Account],"Questrade TFSA")</f>
        <v>0</v>
      </c>
      <c r="F34" s="168">
        <f>SUMIFS(tbTransactions[Qty],tbTransactions[Symbol],Table18[[#This Row],[Symbol]],tbTransactions[Account],"Questrade RRSP")</f>
        <v>0</v>
      </c>
      <c r="G34" s="168">
        <f>SUMIFS(tbTransactions[Qty],tbTransactions[Symbol],Table18[[#This Row],[Symbol]],tbTransactions[Account],"Legacy Metamask")</f>
        <v>0</v>
      </c>
      <c r="H34" s="168">
        <f>SUMIFS(tbTransactions[Qty],tbTransactions[Symbol],Table18[[#This Row],[Symbol]],tbTransactions[Account],"ETH Metamask")</f>
        <v>0</v>
      </c>
      <c r="I34" s="168">
        <f>SUMIFS(tbTransactions[Qty],tbTransactions[Symbol],Table18[[#This Row],[Symbol]],tbTransactions[Account],"MATIC Metamask")</f>
        <v>0</v>
      </c>
      <c r="J34" s="168">
        <f>SUMIFS(tbTransactions[Qty],tbTransactions[Symbol],Table18[[#This Row],[Symbol]],tbTransactions[Account],"ETH2 Network")</f>
        <v>0</v>
      </c>
      <c r="K34" s="168">
        <f>SUMIFS(tbTransactions[Qty],tbTransactions[Symbol],Table18[[#This Row],[Symbol]],tbTransactions[Account],"Daedalus")</f>
        <v>-2.3458910000005755</v>
      </c>
      <c r="L34" s="168">
        <f>SUMIFS(tbTransactions[Qty],tbTransactions[Symbol],Table18[[#This Row],[Symbol]],tbTransactions[Account],"Flexa Lightning")</f>
        <v>0</v>
      </c>
      <c r="M34" s="168">
        <f>SUM(Table18[[#This Row],[CIBC RESP]:[Daedalus]])</f>
        <v>-2.3458910000005755</v>
      </c>
    </row>
    <row r="35" spans="2:13" ht="30" customHeight="1" x14ac:dyDescent="0.25">
      <c r="B35" s="148" t="s">
        <v>726</v>
      </c>
      <c r="C35" s="149" t="s">
        <v>732</v>
      </c>
      <c r="D35" s="168">
        <f>SUMIFS(tbTransactions[Qty],tbTransactions[Symbol],Table18[[#This Row],[Symbol]],tbTransactions[Account],"CIBC RESP")</f>
        <v>4170</v>
      </c>
      <c r="E35" s="168">
        <f>SUMIFS(tbTransactions[Qty],tbTransactions[Symbol],Table18[[#This Row],[Symbol]],tbTransactions[Account],"Questrade TFSA")</f>
        <v>0</v>
      </c>
      <c r="F35" s="168">
        <f>SUMIFS(tbTransactions[Qty],tbTransactions[Symbol],Table18[[#This Row],[Symbol]],tbTransactions[Account],"Questrade RRSP")</f>
        <v>0</v>
      </c>
      <c r="G35" s="168">
        <f>SUMIFS(tbTransactions[Qty],tbTransactions[Symbol],Table18[[#This Row],[Symbol]],tbTransactions[Account],"Legacy Metamask")</f>
        <v>0</v>
      </c>
      <c r="H35" s="168">
        <f>SUMIFS(tbTransactions[Qty],tbTransactions[Symbol],Table18[[#This Row],[Symbol]],tbTransactions[Account],"ETH Metamask")</f>
        <v>0</v>
      </c>
      <c r="I35" s="168">
        <f>SUMIFS(tbTransactions[Qty],tbTransactions[Symbol],Table18[[#This Row],[Symbol]],tbTransactions[Account],"MATIC Metamask")</f>
        <v>0</v>
      </c>
      <c r="J35" s="168">
        <f>SUMIFS(tbTransactions[Qty],tbTransactions[Symbol],Table18[[#This Row],[Symbol]],tbTransactions[Account],"ETH2 Network")</f>
        <v>0</v>
      </c>
      <c r="K35" s="168">
        <f>SUMIFS(tbTransactions[Qty],tbTransactions[Symbol],Table18[[#This Row],[Symbol]],tbTransactions[Account],"Daedalus")</f>
        <v>0</v>
      </c>
      <c r="L35" s="168">
        <f>SUMIFS(tbTransactions[Qty],tbTransactions[Symbol],Table18[[#This Row],[Symbol]],tbTransactions[Account],"Flexa Lightning")</f>
        <v>0</v>
      </c>
      <c r="M35" s="168">
        <f>SUM(Table18[[#This Row],[CIBC RESP]:[Daedalus]])</f>
        <v>4170</v>
      </c>
    </row>
    <row r="36" spans="2:13" ht="30" customHeight="1" x14ac:dyDescent="0.25">
      <c r="B36" s="148" t="s">
        <v>486</v>
      </c>
      <c r="C36" s="149" t="s">
        <v>18</v>
      </c>
      <c r="D36" s="168">
        <f>SUMIFS(tbTransactions[Qty],tbTransactions[Symbol],Table18[[#This Row],[Symbol]],tbTransactions[Account],"CIBC RESP")</f>
        <v>0</v>
      </c>
      <c r="E36" s="168">
        <f>SUMIFS(tbTransactions[Qty],tbTransactions[Symbol],Table18[[#This Row],[Symbol]],tbTransactions[Account],"Questrade TFSA")</f>
        <v>0</v>
      </c>
      <c r="F36" s="168">
        <f>SUMIFS(tbTransactions[Qty],tbTransactions[Symbol],Table18[[#This Row],[Symbol]],tbTransactions[Account],"Questrade RRSP")</f>
        <v>0</v>
      </c>
      <c r="G36" s="168">
        <f>SUMIFS(tbTransactions[Qty],tbTransactions[Symbol],Table18[[#This Row],[Symbol]],tbTransactions[Account],"Legacy Metamask")</f>
        <v>0</v>
      </c>
      <c r="H36" s="168">
        <f>SUMIFS(tbTransactions[Qty],tbTransactions[Symbol],Table18[[#This Row],[Symbol]],tbTransactions[Account],"ETH Metamask")</f>
        <v>0</v>
      </c>
      <c r="I36" s="168">
        <f>SUMIFS(tbTransactions[Qty],tbTransactions[Symbol],Table18[[#This Row],[Symbol]],tbTransactions[Account],"MATIC Metamask")</f>
        <v>0</v>
      </c>
      <c r="J36" s="168">
        <f>SUMIFS(tbTransactions[Qty],tbTransactions[Symbol],Table18[[#This Row],[Symbol]],tbTransactions[Account],"ETH2 Network")</f>
        <v>0</v>
      </c>
      <c r="K36" s="168">
        <f>SUMIFS(tbTransactions[Qty],tbTransactions[Symbol],Table18[[#This Row],[Symbol]],tbTransactions[Account],"Daedalus")</f>
        <v>0</v>
      </c>
      <c r="L36" s="168">
        <f>SUMIFS(tbTransactions[Qty],tbTransactions[Symbol],Table18[[#This Row],[Symbol]],tbTransactions[Account],"Flexa Lightning")</f>
        <v>0</v>
      </c>
      <c r="M36" s="168">
        <f>SUM(Table18[[#This Row],[CIBC RESP]:[Daedalus]])</f>
        <v>0</v>
      </c>
    </row>
    <row r="37" spans="2:13" ht="30" customHeight="1" x14ac:dyDescent="0.25">
      <c r="B37" s="148" t="s">
        <v>489</v>
      </c>
      <c r="C37" s="149" t="s">
        <v>22</v>
      </c>
      <c r="D37" s="168">
        <f>SUMIFS(tbTransactions[Qty],tbTransactions[Symbol],Table18[[#This Row],[Symbol]],tbTransactions[Account],"CIBC RESP")</f>
        <v>0</v>
      </c>
      <c r="E37" s="168">
        <f>SUMIFS(tbTransactions[Qty],tbTransactions[Symbol],Table18[[#This Row],[Symbol]],tbTransactions[Account],"Questrade TFSA")</f>
        <v>0</v>
      </c>
      <c r="F37" s="168">
        <f>SUMIFS(tbTransactions[Qty],tbTransactions[Symbol],Table18[[#This Row],[Symbol]],tbTransactions[Account],"Questrade RRSP")</f>
        <v>0</v>
      </c>
      <c r="G37" s="169">
        <f>SUMIFS(tbTransactions[Qty],tbTransactions[Symbol],Table18[[#This Row],[Symbol]],tbTransactions[Account],"Legacy Metamask")</f>
        <v>-1.1567432216149436</v>
      </c>
      <c r="H37" s="169">
        <f>SUMIFS(tbTransactions[Qty],tbTransactions[Symbol],Table18[[#This Row],[Symbol]],tbTransactions[Account],"ETH Metamask")</f>
        <v>-3.625380379220712</v>
      </c>
      <c r="I37" s="169">
        <f>SUMIFS(tbTransactions[Qty],tbTransactions[Symbol],Table18[[#This Row],[Symbol]],tbTransactions[Account],"MATIC Metamask")</f>
        <v>3.406822249962409</v>
      </c>
      <c r="J37" s="169">
        <f>SUMIFS(tbTransactions[Qty],tbTransactions[Symbol],Table18[[#This Row],[Symbol]],tbTransactions[Account],"ETH2 Network")</f>
        <v>23.539894524000001</v>
      </c>
      <c r="K37" s="168">
        <f>SUMIFS(tbTransactions[Qty],tbTransactions[Symbol],Table18[[#This Row],[Symbol]],tbTransactions[Account],"Daedalus")</f>
        <v>0</v>
      </c>
      <c r="L37" s="168">
        <f>SUMIFS(tbTransactions[Qty],tbTransactions[Symbol],Table18[[#This Row],[Symbol]],tbTransactions[Account],"Flexa Lightning")</f>
        <v>0</v>
      </c>
      <c r="M37" s="169">
        <f>SUM(Table18[[#This Row],[CIBC RESP]:[Daedalus]])</f>
        <v>22.164593173126754</v>
      </c>
    </row>
    <row r="38" spans="2:13" ht="30" customHeight="1" x14ac:dyDescent="0.25">
      <c r="B38" s="146" t="s">
        <v>763</v>
      </c>
      <c r="C38" s="147" t="s">
        <v>762</v>
      </c>
      <c r="D38" s="168">
        <f>SUMIFS(tbTransactions[Qty],tbTransactions[Symbol],Table18[[#This Row],[Symbol]],tbTransactions[Account],"CIBC RESP")</f>
        <v>517</v>
      </c>
      <c r="E38" s="168">
        <f>SUMIFS(tbTransactions[Qty],tbTransactions[Symbol],Table18[[#This Row],[Symbol]],tbTransactions[Account],"Questrade TFSA")</f>
        <v>2883</v>
      </c>
      <c r="F38" s="168">
        <f>SUMIFS(tbTransactions[Qty],tbTransactions[Symbol],Table18[[#This Row],[Symbol]],tbTransactions[Account],"Questrade RRSP")</f>
        <v>829</v>
      </c>
      <c r="G38" s="169">
        <f>SUMIFS(tbTransactions[Qty],tbTransactions[Symbol],Table18[[#This Row],[Symbol]],tbTransactions[Account],"Legacy Metamask")</f>
        <v>0</v>
      </c>
      <c r="H38" s="169">
        <f>SUMIFS(tbTransactions[Qty],tbTransactions[Symbol],Table18[[#This Row],[Symbol]],tbTransactions[Account],"ETH Metamask")</f>
        <v>0</v>
      </c>
      <c r="I38" s="169">
        <f>SUMIFS(tbTransactions[Qty],tbTransactions[Symbol],Table18[[#This Row],[Symbol]],tbTransactions[Account],"MATIC Metamask")</f>
        <v>0</v>
      </c>
      <c r="J38" s="169">
        <f>SUMIFS(tbTransactions[Qty],tbTransactions[Symbol],Table18[[#This Row],[Symbol]],tbTransactions[Account],"ETH2 Network")</f>
        <v>0</v>
      </c>
      <c r="K38" s="168">
        <f>SUMIFS(tbTransactions[Qty],tbTransactions[Symbol],Table18[[#This Row],[Symbol]],tbTransactions[Account],"Daedalus")</f>
        <v>0</v>
      </c>
      <c r="L38" s="168">
        <f>SUMIFS(tbTransactions[Qty],tbTransactions[Symbol],Table18[[#This Row],[Symbol]],tbTransactions[Account],"Flexa Lightning")</f>
        <v>0</v>
      </c>
      <c r="M38" s="169">
        <f>SUM(Table18[[#This Row],[CIBC RESP]:[Daedalus]])</f>
        <v>4229</v>
      </c>
    </row>
    <row r="39" spans="2:13" ht="30" customHeight="1" x14ac:dyDescent="0.25">
      <c r="B39" s="148" t="s">
        <v>747</v>
      </c>
      <c r="C39" s="149" t="s">
        <v>746</v>
      </c>
      <c r="D39" s="168">
        <f>SUMIFS(tbTransactions[Qty],tbTransactions[Symbol],Table18[[#This Row],[Symbol]],tbTransactions[Account],"CIBC RESP")</f>
        <v>0</v>
      </c>
      <c r="E39" s="168">
        <f>SUMIFS(tbTransactions[Qty],tbTransactions[Symbol],Table18[[#This Row],[Symbol]],tbTransactions[Account],"Questrade TFSA")</f>
        <v>0</v>
      </c>
      <c r="F39" s="168">
        <f>SUMIFS(tbTransactions[Qty],tbTransactions[Symbol],Table18[[#This Row],[Symbol]],tbTransactions[Account],"Questrade RRSP")</f>
        <v>0</v>
      </c>
      <c r="G39" s="168">
        <f>SUMIFS(tbTransactions[Qty],tbTransactions[Symbol],Table18[[#This Row],[Symbol]],tbTransactions[Account],"Legacy Metamask")</f>
        <v>4.0631670117363683E-7</v>
      </c>
      <c r="H39" s="168">
        <f>SUMIFS(tbTransactions[Qty],tbTransactions[Symbol],Table18[[#This Row],[Symbol]],tbTransactions[Account],"ETH Metamask")</f>
        <v>-6.4588602490545099E-4</v>
      </c>
      <c r="I39" s="168">
        <f>SUMIFS(tbTransactions[Qty],tbTransactions[Symbol],Table18[[#This Row],[Symbol]],tbTransactions[Account],"MATIC Metamask")</f>
        <v>0</v>
      </c>
      <c r="J39" s="168">
        <f>SUMIFS(tbTransactions[Qty],tbTransactions[Symbol],Table18[[#This Row],[Symbol]],tbTransactions[Account],"ETH2 Network")</f>
        <v>0</v>
      </c>
      <c r="K39" s="168">
        <f>SUMIFS(tbTransactions[Qty],tbTransactions[Symbol],Table18[[#This Row],[Symbol]],tbTransactions[Account],"Daedalus")</f>
        <v>0</v>
      </c>
      <c r="L39" s="168">
        <f>SUMIFS(tbTransactions[Qty],tbTransactions[Symbol],Table18[[#This Row],[Symbol]],tbTransactions[Account],"Flexa Lightning")</f>
        <v>0</v>
      </c>
      <c r="M39" s="168">
        <f>SUM(Table18[[#This Row],[CIBC RESP]:[Daedalus]])</f>
        <v>-6.4547970820427736E-4</v>
      </c>
    </row>
    <row r="40" spans="2:13" ht="30" customHeight="1" x14ac:dyDescent="0.25">
      <c r="B40" s="148" t="s">
        <v>364</v>
      </c>
      <c r="C40" s="149" t="s">
        <v>41</v>
      </c>
      <c r="D40" s="168">
        <f>SUMIFS(tbTransactions[Qty],tbTransactions[Symbol],Table18[[#This Row],[Symbol]],tbTransactions[Account],"CIBC RESP")</f>
        <v>0</v>
      </c>
      <c r="E40" s="168">
        <f>SUMIFS(tbTransactions[Qty],tbTransactions[Symbol],Table18[[#This Row],[Symbol]],tbTransactions[Account],"Questrade TFSA")</f>
        <v>0</v>
      </c>
      <c r="F40" s="168">
        <f>SUMIFS(tbTransactions[Qty],tbTransactions[Symbol],Table18[[#This Row],[Symbol]],tbTransactions[Account],"Questrade RRSP")</f>
        <v>3248</v>
      </c>
      <c r="G40" s="168">
        <f>SUMIFS(tbTransactions[Qty],tbTransactions[Symbol],Table18[[#This Row],[Symbol]],tbTransactions[Account],"Legacy Metamask")</f>
        <v>0</v>
      </c>
      <c r="H40" s="168">
        <f>SUMIFS(tbTransactions[Qty],tbTransactions[Symbol],Table18[[#This Row],[Symbol]],tbTransactions[Account],"ETH Metamask")</f>
        <v>0</v>
      </c>
      <c r="I40" s="168">
        <f>SUMIFS(tbTransactions[Qty],tbTransactions[Symbol],Table18[[#This Row],[Symbol]],tbTransactions[Account],"MATIC Metamask")</f>
        <v>0</v>
      </c>
      <c r="J40" s="168">
        <f>SUMIFS(tbTransactions[Qty],tbTransactions[Symbol],Table18[[#This Row],[Symbol]],tbTransactions[Account],"ETH2 Network")</f>
        <v>0</v>
      </c>
      <c r="K40" s="168">
        <f>SUMIFS(tbTransactions[Qty],tbTransactions[Symbol],Table18[[#This Row],[Symbol]],tbTransactions[Account],"Daedalus")</f>
        <v>0</v>
      </c>
      <c r="L40" s="168">
        <f>SUMIFS(tbTransactions[Qty],tbTransactions[Symbol],Table18[[#This Row],[Symbol]],tbTransactions[Account],"Flexa Lightning")</f>
        <v>0</v>
      </c>
      <c r="M40" s="168">
        <f>SUM(Table18[[#This Row],[CIBC RESP]:[Daedalus]])</f>
        <v>3248</v>
      </c>
    </row>
    <row r="41" spans="2:13" ht="30" customHeight="1" x14ac:dyDescent="0.25">
      <c r="B41" s="148" t="s">
        <v>487</v>
      </c>
      <c r="C41" s="149" t="s">
        <v>20</v>
      </c>
      <c r="D41" s="168">
        <f>SUMIFS(tbTransactions[Qty],tbTransactions[Symbol],Table18[[#This Row],[Symbol]],tbTransactions[Account],"CIBC RESP")</f>
        <v>0</v>
      </c>
      <c r="E41" s="168">
        <f>SUMIFS(tbTransactions[Qty],tbTransactions[Symbol],Table18[[#This Row],[Symbol]],tbTransactions[Account],"Questrade TFSA")</f>
        <v>0</v>
      </c>
      <c r="F41" s="168">
        <f>SUMIFS(tbTransactions[Qty],tbTransactions[Symbol],Table18[[#This Row],[Symbol]],tbTransactions[Account],"Questrade RRSP")</f>
        <v>0</v>
      </c>
      <c r="G41" s="168">
        <f>SUMIFS(tbTransactions[Qty],tbTransactions[Symbol],Table18[[#This Row],[Symbol]],tbTransactions[Account],"Legacy Metamask")</f>
        <v>0</v>
      </c>
      <c r="H41" s="168">
        <f>SUMIFS(tbTransactions[Qty],tbTransactions[Symbol],Table18[[#This Row],[Symbol]],tbTransactions[Account],"ETH Metamask")</f>
        <v>0</v>
      </c>
      <c r="I41" s="168">
        <f>SUMIFS(tbTransactions[Qty],tbTransactions[Symbol],Table18[[#This Row],[Symbol]],tbTransactions[Account],"MATIC Metamask")</f>
        <v>0</v>
      </c>
      <c r="J41" s="168">
        <f>SUMIFS(tbTransactions[Qty],tbTransactions[Symbol],Table18[[#This Row],[Symbol]],tbTransactions[Account],"ETH2 Network")</f>
        <v>0</v>
      </c>
      <c r="K41" s="168">
        <f>SUMIFS(tbTransactions[Qty],tbTransactions[Symbol],Table18[[#This Row],[Symbol]],tbTransactions[Account],"Daedalus")</f>
        <v>0</v>
      </c>
      <c r="L41" s="168">
        <f>SUMIFS(tbTransactions[Qty],tbTransactions[Symbol],Table18[[#This Row],[Symbol]],tbTransactions[Account],"Flexa Lightning")</f>
        <v>0</v>
      </c>
      <c r="M41" s="168">
        <f>SUM(Table18[[#This Row],[CIBC RESP]:[Daedalus]])</f>
        <v>0</v>
      </c>
    </row>
    <row r="42" spans="2:13" ht="30" customHeight="1" x14ac:dyDescent="0.25">
      <c r="B42" s="148" t="s">
        <v>491</v>
      </c>
      <c r="C42" s="149" t="s">
        <v>423</v>
      </c>
      <c r="D42" s="168">
        <f>SUMIFS(tbTransactions[Qty],tbTransactions[Symbol],Table18[[#This Row],[Symbol]],tbTransactions[Account],"CIBC RESP")</f>
        <v>0</v>
      </c>
      <c r="E42" s="168">
        <f>SUMIFS(tbTransactions[Qty],tbTransactions[Symbol],Table18[[#This Row],[Symbol]],tbTransactions[Account],"Questrade TFSA")</f>
        <v>0</v>
      </c>
      <c r="F42" s="168">
        <f>SUMIFS(tbTransactions[Qty],tbTransactions[Symbol],Table18[[#This Row],[Symbol]],tbTransactions[Account],"Questrade RRSP")</f>
        <v>0</v>
      </c>
      <c r="G42" s="168">
        <f>SUMIFS(tbTransactions[Qty],tbTransactions[Symbol],Table18[[#This Row],[Symbol]],tbTransactions[Account],"Legacy Metamask")</f>
        <v>-198.39794903653001</v>
      </c>
      <c r="H42" s="168">
        <f>SUMIFS(tbTransactions[Qty],tbTransactions[Symbol],Table18[[#This Row],[Symbol]],tbTransactions[Account],"ETH Metamask")</f>
        <v>0</v>
      </c>
      <c r="I42" s="168">
        <f>SUMIFS(tbTransactions[Qty],tbTransactions[Symbol],Table18[[#This Row],[Symbol]],tbTransactions[Account],"MATIC Metamask")</f>
        <v>51.855673285586043</v>
      </c>
      <c r="J42" s="168">
        <f>SUMIFS(tbTransactions[Qty],tbTransactions[Symbol],Table18[[#This Row],[Symbol]],tbTransactions[Account],"ETH2 Network")</f>
        <v>0</v>
      </c>
      <c r="K42" s="168">
        <f>SUMIFS(tbTransactions[Qty],tbTransactions[Symbol],Table18[[#This Row],[Symbol]],tbTransactions[Account],"Daedalus")</f>
        <v>0</v>
      </c>
      <c r="L42" s="168">
        <f>SUMIFS(tbTransactions[Qty],tbTransactions[Symbol],Table18[[#This Row],[Symbol]],tbTransactions[Account],"Flexa Lightning")</f>
        <v>0</v>
      </c>
      <c r="M42" s="168">
        <f>SUM(Table18[[#This Row],[CIBC RESP]:[Daedalus]])</f>
        <v>-146.54227575094396</v>
      </c>
    </row>
    <row r="43" spans="2:13" ht="30" customHeight="1" x14ac:dyDescent="0.25">
      <c r="B43" s="148" t="s">
        <v>703</v>
      </c>
      <c r="C43" s="149" t="s">
        <v>686</v>
      </c>
      <c r="D43" s="168">
        <f>SUMIFS(tbTransactions[Qty],tbTransactions[Symbol],Table18[[#This Row],[Symbol]],tbTransactions[Account],"CIBC RESP")</f>
        <v>0</v>
      </c>
      <c r="E43" s="168">
        <f>SUMIFS(tbTransactions[Qty],tbTransactions[Symbol],Table18[[#This Row],[Symbol]],tbTransactions[Account],"Questrade TFSA")</f>
        <v>0</v>
      </c>
      <c r="F43" s="168">
        <f>SUMIFS(tbTransactions[Qty],tbTransactions[Symbol],Table18[[#This Row],[Symbol]],tbTransactions[Account],"Questrade RRSP")</f>
        <v>0</v>
      </c>
      <c r="G43" s="168">
        <f>SUMIFS(tbTransactions[Qty],tbTransactions[Symbol],Table18[[#This Row],[Symbol]],tbTransactions[Account],"Legacy Metamask")</f>
        <v>0</v>
      </c>
      <c r="H43" s="168">
        <f>SUMIFS(tbTransactions[Qty],tbTransactions[Symbol],Table18[[#This Row],[Symbol]],tbTransactions[Account],"ETH Metamask")</f>
        <v>0</v>
      </c>
      <c r="I43" s="168">
        <f>SUMIFS(tbTransactions[Qty],tbTransactions[Symbol],Table18[[#This Row],[Symbol]],tbTransactions[Account],"MATIC Metamask")</f>
        <v>0</v>
      </c>
      <c r="J43" s="168">
        <f>SUMIFS(tbTransactions[Qty],tbTransactions[Symbol],Table18[[#This Row],[Symbol]],tbTransactions[Account],"ETH2 Network")</f>
        <v>0</v>
      </c>
      <c r="K43" s="168">
        <f>SUMIFS(tbTransactions[Qty],tbTransactions[Symbol],Table18[[#This Row],[Symbol]],tbTransactions[Account],"Daedalus")</f>
        <v>0</v>
      </c>
      <c r="L43" s="168">
        <f>SUMIFS(tbTransactions[Qty],tbTransactions[Symbol],Table18[[#This Row],[Symbol]],tbTransactions[Account],"Flexa Lightning")</f>
        <v>0</v>
      </c>
      <c r="M43" s="168">
        <f>SUM(Table18[[#This Row],[CIBC RESP]:[Daedalus]])</f>
        <v>0</v>
      </c>
    </row>
    <row r="44" spans="2:13" ht="30" customHeight="1" x14ac:dyDescent="0.25">
      <c r="B44" s="148" t="s">
        <v>602</v>
      </c>
      <c r="C44" s="149" t="s">
        <v>602</v>
      </c>
      <c r="D44" s="168">
        <f>SUMIFS(tbTransactions[Qty],tbTransactions[Symbol],Table18[[#This Row],[Symbol]],tbTransactions[Account],"CIBC RESP")</f>
        <v>0</v>
      </c>
      <c r="E44" s="168">
        <f>SUMIFS(tbTransactions[Qty],tbTransactions[Symbol],Table18[[#This Row],[Symbol]],tbTransactions[Account],"Questrade TFSA")</f>
        <v>0</v>
      </c>
      <c r="F44" s="168">
        <f>SUMIFS(tbTransactions[Qty],tbTransactions[Symbol],Table18[[#This Row],[Symbol]],tbTransactions[Account],"Questrade RRSP")</f>
        <v>0</v>
      </c>
      <c r="G44" s="168">
        <f>SUMIFS(tbTransactions[Qty],tbTransactions[Symbol],Table18[[#This Row],[Symbol]],tbTransactions[Account],"Legacy Metamask")</f>
        <v>0</v>
      </c>
      <c r="H44" s="168">
        <f>SUMIFS(tbTransactions[Qty],tbTransactions[Symbol],Table18[[#This Row],[Symbol]],tbTransactions[Account],"ETH Metamask")</f>
        <v>0</v>
      </c>
      <c r="I44" s="168">
        <f>SUMIFS(tbTransactions[Qty],tbTransactions[Symbol],Table18[[#This Row],[Symbol]],tbTransactions[Account],"MATIC Metamask")</f>
        <v>0.29076099999656435</v>
      </c>
      <c r="J44" s="168">
        <f>SUMIFS(tbTransactions[Qty],tbTransactions[Symbol],Table18[[#This Row],[Symbol]],tbTransactions[Account],"ETH2 Network")</f>
        <v>0</v>
      </c>
      <c r="K44" s="168">
        <f>SUMIFS(tbTransactions[Qty],tbTransactions[Symbol],Table18[[#This Row],[Symbol]],tbTransactions[Account],"Daedalus")</f>
        <v>0</v>
      </c>
      <c r="L44" s="168">
        <f>SUMIFS(tbTransactions[Qty],tbTransactions[Symbol],Table18[[#This Row],[Symbol]],tbTransactions[Account],"Flexa Lightning")</f>
        <v>0</v>
      </c>
      <c r="M44" s="168">
        <f>SUM(Table18[[#This Row],[CIBC RESP]:[Daedalus]])</f>
        <v>0.29076099999656435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7030-07F5-43F2-9047-8E71CE827203}">
  <sheetPr codeName="Sheet2"/>
  <dimension ref="A1:G12"/>
  <sheetViews>
    <sheetView workbookViewId="0">
      <selection activeCell="A8" sqref="A8"/>
    </sheetView>
  </sheetViews>
  <sheetFormatPr defaultRowHeight="15" x14ac:dyDescent="0.25"/>
  <cols>
    <col min="1" max="1" width="11.85546875" bestFit="1" customWidth="1"/>
    <col min="2" max="2" width="18" bestFit="1" customWidth="1"/>
    <col min="3" max="3" width="11.140625" bestFit="1" customWidth="1"/>
    <col min="4" max="4" width="10" bestFit="1" customWidth="1"/>
    <col min="5" max="5" width="16.42578125" bestFit="1" customWidth="1"/>
    <col min="6" max="6" width="12.85546875" bestFit="1" customWidth="1"/>
    <col min="7" max="7" width="11.140625" bestFit="1" customWidth="1"/>
  </cols>
  <sheetData>
    <row r="1" spans="1:7" x14ac:dyDescent="0.25">
      <c r="A1" t="s">
        <v>44</v>
      </c>
      <c r="B1" t="s">
        <v>404</v>
      </c>
      <c r="C1" t="s">
        <v>0</v>
      </c>
      <c r="D1" t="s">
        <v>405</v>
      </c>
      <c r="E1" t="s">
        <v>406</v>
      </c>
      <c r="F1" t="s">
        <v>407</v>
      </c>
      <c r="G1" t="s">
        <v>560</v>
      </c>
    </row>
    <row r="2" spans="1:7" x14ac:dyDescent="0.25">
      <c r="A2" t="s">
        <v>17</v>
      </c>
      <c r="B2" t="s">
        <v>410</v>
      </c>
      <c r="C2" t="s">
        <v>411</v>
      </c>
      <c r="D2">
        <v>0.48784690000000003</v>
      </c>
      <c r="E2">
        <v>0.48244029999999999</v>
      </c>
      <c r="F2">
        <v>1.1206775221721733E-2</v>
      </c>
    </row>
    <row r="3" spans="1:7" x14ac:dyDescent="0.25">
      <c r="A3" t="s">
        <v>817</v>
      </c>
      <c r="B3" t="s">
        <v>461</v>
      </c>
      <c r="C3" t="s">
        <v>461</v>
      </c>
      <c r="D3">
        <v>-1</v>
      </c>
      <c r="E3">
        <v>-1</v>
      </c>
      <c r="F3">
        <v>-1</v>
      </c>
    </row>
    <row r="4" spans="1:7" x14ac:dyDescent="0.25">
      <c r="A4" t="s">
        <v>818</v>
      </c>
      <c r="B4" t="s">
        <v>461</v>
      </c>
      <c r="C4" t="s">
        <v>461</v>
      </c>
      <c r="D4">
        <v>-1</v>
      </c>
      <c r="E4">
        <v>-1</v>
      </c>
      <c r="F4">
        <v>-1</v>
      </c>
    </row>
    <row r="5" spans="1:7" x14ac:dyDescent="0.25">
      <c r="A5" t="s">
        <v>686</v>
      </c>
      <c r="B5" t="s">
        <v>412</v>
      </c>
      <c r="C5" t="s">
        <v>408</v>
      </c>
      <c r="D5">
        <v>16.649999999999999</v>
      </c>
      <c r="E5">
        <v>15.41</v>
      </c>
      <c r="F5">
        <v>8.0467229072031146E-2</v>
      </c>
    </row>
    <row r="6" spans="1:7" x14ac:dyDescent="0.25">
      <c r="A6" t="s">
        <v>732</v>
      </c>
      <c r="B6" t="s">
        <v>412</v>
      </c>
      <c r="C6" t="s">
        <v>411</v>
      </c>
      <c r="D6">
        <v>5.5</v>
      </c>
      <c r="E6">
        <v>5.1100000000000003</v>
      </c>
      <c r="F6">
        <v>7.6320939334637961E-2</v>
      </c>
    </row>
    <row r="7" spans="1:7" x14ac:dyDescent="0.25">
      <c r="A7" t="s">
        <v>819</v>
      </c>
      <c r="B7" t="s">
        <v>461</v>
      </c>
      <c r="C7" t="s">
        <v>461</v>
      </c>
      <c r="D7">
        <v>-1</v>
      </c>
      <c r="E7">
        <v>-1</v>
      </c>
      <c r="F7">
        <v>-1</v>
      </c>
    </row>
    <row r="8" spans="1:7" x14ac:dyDescent="0.25">
      <c r="A8" t="s">
        <v>22</v>
      </c>
      <c r="B8" t="s">
        <v>410</v>
      </c>
      <c r="C8" t="s">
        <v>411</v>
      </c>
      <c r="D8">
        <v>2495.1792</v>
      </c>
      <c r="E8">
        <v>2470.0626999999999</v>
      </c>
      <c r="F8">
        <v>1.0168365361737578E-2</v>
      </c>
    </row>
    <row r="9" spans="1:7" x14ac:dyDescent="0.25">
      <c r="A9" t="s">
        <v>762</v>
      </c>
      <c r="B9" t="s">
        <v>412</v>
      </c>
      <c r="C9" t="s">
        <v>411</v>
      </c>
      <c r="D9">
        <v>8.69</v>
      </c>
      <c r="E9">
        <v>8.34</v>
      </c>
      <c r="F9">
        <v>4.1966426858513192E-2</v>
      </c>
    </row>
    <row r="10" spans="1:7" x14ac:dyDescent="0.25">
      <c r="A10" t="s">
        <v>41</v>
      </c>
      <c r="B10" t="s">
        <v>409</v>
      </c>
      <c r="C10" t="s">
        <v>408</v>
      </c>
      <c r="D10">
        <v>16.600000000000001</v>
      </c>
      <c r="E10">
        <v>16.760000000000002</v>
      </c>
      <c r="F10">
        <v>-9.5465393794749408E-3</v>
      </c>
    </row>
    <row r="11" spans="1:7" x14ac:dyDescent="0.25">
      <c r="A11" t="s">
        <v>423</v>
      </c>
      <c r="B11" t="s">
        <v>410</v>
      </c>
      <c r="C11" t="s">
        <v>411</v>
      </c>
      <c r="D11">
        <v>1.6941177999999999</v>
      </c>
      <c r="E11">
        <v>1.6876632</v>
      </c>
      <c r="F11">
        <v>3.8245782689342281E-3</v>
      </c>
    </row>
    <row r="12" spans="1:7" x14ac:dyDescent="0.25">
      <c r="A12" t="s">
        <v>602</v>
      </c>
      <c r="B12" t="s">
        <v>410</v>
      </c>
      <c r="C12" t="s">
        <v>411</v>
      </c>
      <c r="D12">
        <v>1.3770882</v>
      </c>
      <c r="E12">
        <v>1.3769182</v>
      </c>
      <c r="F12">
        <v>1.2346412444835139E-4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7E5D3-D64B-4C6C-BBD3-4C6514E54E1E}">
  <sheetPr codeName="Sheet3">
    <tabColor theme="5"/>
  </sheetPr>
  <dimension ref="C1:P1385"/>
  <sheetViews>
    <sheetView showGridLines="0" topLeftCell="A1278" zoomScaleNormal="100" workbookViewId="0">
      <selection activeCell="E1295" sqref="E1295"/>
    </sheetView>
  </sheetViews>
  <sheetFormatPr defaultColWidth="9.140625" defaultRowHeight="30" customHeight="1" x14ac:dyDescent="0.25"/>
  <cols>
    <col min="1" max="2" width="1.28515625" style="148" customWidth="1"/>
    <col min="3" max="3" width="9.28515625" style="149" customWidth="1"/>
    <col min="4" max="4" width="11.28515625" style="148" customWidth="1"/>
    <col min="5" max="5" width="13.7109375" style="171" customWidth="1"/>
    <col min="6" max="6" width="10.7109375" style="171" customWidth="1"/>
    <col min="7" max="7" width="10.7109375" style="172" customWidth="1"/>
    <col min="8" max="8" width="11.42578125" style="171" customWidth="1"/>
    <col min="9" max="9" width="22.7109375" style="148" customWidth="1"/>
    <col min="10" max="10" width="7.7109375" style="149" customWidth="1"/>
    <col min="11" max="12" width="15.5703125" style="148" customWidth="1"/>
    <col min="13" max="13" width="18" style="148" customWidth="1"/>
    <col min="14" max="14" width="10.28515625" style="148" customWidth="1"/>
    <col min="15" max="15" width="9.140625" style="148"/>
    <col min="16" max="16" width="10" style="148" bestFit="1" customWidth="1"/>
    <col min="17" max="16384" width="9.140625" style="148"/>
  </cols>
  <sheetData>
    <row r="1" spans="3:13" ht="7.5" customHeight="1" x14ac:dyDescent="0.25"/>
    <row r="2" spans="3:13" ht="30" customHeight="1" x14ac:dyDescent="0.25">
      <c r="C2" s="149" t="s">
        <v>10</v>
      </c>
      <c r="D2" s="148" t="s">
        <v>3</v>
      </c>
      <c r="E2" s="172" t="s">
        <v>1</v>
      </c>
      <c r="F2" s="173" t="s">
        <v>11</v>
      </c>
      <c r="G2" s="174" t="s">
        <v>34</v>
      </c>
      <c r="H2" s="172" t="s">
        <v>2</v>
      </c>
      <c r="I2" s="148" t="s">
        <v>42</v>
      </c>
      <c r="J2" s="149" t="s">
        <v>44</v>
      </c>
      <c r="K2" s="148" t="s">
        <v>30</v>
      </c>
      <c r="L2" s="148" t="s">
        <v>498</v>
      </c>
      <c r="M2" s="148" t="s">
        <v>13</v>
      </c>
    </row>
    <row r="3" spans="3:13" ht="30" customHeight="1" x14ac:dyDescent="0.25">
      <c r="C3" s="175">
        <v>1</v>
      </c>
      <c r="D3" s="163">
        <v>44274</v>
      </c>
      <c r="E3" s="171">
        <v>51</v>
      </c>
      <c r="F3" s="171">
        <v>195.73</v>
      </c>
      <c r="G3" s="172">
        <v>1</v>
      </c>
      <c r="H3" s="171">
        <f>tbTransactions[[#This Row],[Qty]]*tbTransactions[[#This Row],[Unit Cost]]*tbTransactions[[#This Row],[Exchange Rate]]</f>
        <v>9982.23</v>
      </c>
      <c r="I3" s="148" t="s">
        <v>714</v>
      </c>
      <c r="J3" s="176" t="s">
        <v>41</v>
      </c>
      <c r="K3" s="163" t="str">
        <f>IF(tbTransactions[[#This Row],[Sub-Type]]="Transfer","Neutral",IF(tbTransactions[[#This Row],[Qty]]&lt;0,"Debit",IF(tbTransactions[[#This Row],[Qty]]&gt;0,"Credit","Neutral")))</f>
        <v>Credit</v>
      </c>
      <c r="L3" s="163" t="s">
        <v>519</v>
      </c>
      <c r="M3" s="171" t="s">
        <v>429</v>
      </c>
    </row>
    <row r="4" spans="3:13" ht="30" customHeight="1" x14ac:dyDescent="0.25">
      <c r="C4" s="175">
        <v>2</v>
      </c>
      <c r="D4" s="163">
        <v>44274</v>
      </c>
      <c r="E4" s="171">
        <v>-9982.23</v>
      </c>
      <c r="F4" s="171">
        <v>1</v>
      </c>
      <c r="G4" s="172">
        <v>1</v>
      </c>
      <c r="H4" s="171">
        <f>tbTransactions[[#This Row],[Qty]]*tbTransactions[[#This Row],[Unit Cost]]*tbTransactions[[#This Row],[Exchange Rate]]</f>
        <v>-9982.23</v>
      </c>
      <c r="I4" s="148" t="s">
        <v>714</v>
      </c>
      <c r="J4" s="176" t="s">
        <v>411</v>
      </c>
      <c r="K4" s="163" t="str">
        <f>IF(tbTransactions[[#This Row],[Sub-Type]]="Transfer","Neutral",IF(tbTransactions[[#This Row],[Qty]]&lt;0,"Debit",IF(tbTransactions[[#This Row],[Qty]]&gt;0,"Credit","Neutral")))</f>
        <v>Debit</v>
      </c>
      <c r="L4" s="163" t="s">
        <v>522</v>
      </c>
      <c r="M4" s="171" t="s">
        <v>429</v>
      </c>
    </row>
    <row r="5" spans="3:13" ht="30" customHeight="1" x14ac:dyDescent="0.25">
      <c r="C5" s="175">
        <v>3</v>
      </c>
      <c r="D5" s="163">
        <v>44277</v>
      </c>
      <c r="E5" s="171">
        <v>52</v>
      </c>
      <c r="F5" s="171">
        <v>188.71</v>
      </c>
      <c r="G5" s="172">
        <v>1</v>
      </c>
      <c r="H5" s="171">
        <f>tbTransactions[[#This Row],[Qty]]*tbTransactions[[#This Row],[Unit Cost]]*tbTransactions[[#This Row],[Exchange Rate]]</f>
        <v>9812.92</v>
      </c>
      <c r="I5" s="148" t="s">
        <v>714</v>
      </c>
      <c r="J5" s="176" t="s">
        <v>41</v>
      </c>
      <c r="K5" s="163" t="str">
        <f>IF(tbTransactions[[#This Row],[Sub-Type]]="Transfer","Neutral",IF(tbTransactions[[#This Row],[Qty]]&lt;0,"Debit",IF(tbTransactions[[#This Row],[Qty]]&gt;0,"Credit","Neutral")))</f>
        <v>Credit</v>
      </c>
      <c r="L5" s="163" t="s">
        <v>519</v>
      </c>
      <c r="M5" s="171" t="s">
        <v>429</v>
      </c>
    </row>
    <row r="6" spans="3:13" ht="30" customHeight="1" x14ac:dyDescent="0.25">
      <c r="C6" s="175">
        <v>4</v>
      </c>
      <c r="D6" s="163">
        <v>44277</v>
      </c>
      <c r="E6" s="171">
        <v>-9812.92</v>
      </c>
      <c r="F6" s="171">
        <v>1</v>
      </c>
      <c r="G6" s="172">
        <v>1</v>
      </c>
      <c r="H6" s="171">
        <f>tbTransactions[[#This Row],[Qty]]*tbTransactions[[#This Row],[Unit Cost]]*tbTransactions[[#This Row],[Exchange Rate]]</f>
        <v>-9812.92</v>
      </c>
      <c r="I6" s="148" t="s">
        <v>714</v>
      </c>
      <c r="J6" s="176" t="s">
        <v>411</v>
      </c>
      <c r="K6" s="163" t="str">
        <f>IF(tbTransactions[[#This Row],[Sub-Type]]="Transfer","Neutral",IF(tbTransactions[[#This Row],[Qty]]&lt;0,"Debit",IF(tbTransactions[[#This Row],[Qty]]&gt;0,"Credit","Neutral")))</f>
        <v>Debit</v>
      </c>
      <c r="L6" s="163" t="s">
        <v>522</v>
      </c>
      <c r="M6" s="171" t="s">
        <v>429</v>
      </c>
    </row>
    <row r="7" spans="3:13" ht="30" customHeight="1" x14ac:dyDescent="0.25">
      <c r="C7" s="175">
        <v>5</v>
      </c>
      <c r="D7" s="163">
        <v>44279</v>
      </c>
      <c r="E7" s="171">
        <v>510</v>
      </c>
      <c r="F7" s="171">
        <v>156.30000000000001</v>
      </c>
      <c r="G7" s="172">
        <v>1</v>
      </c>
      <c r="H7" s="171">
        <f>tbTransactions[[#This Row],[Qty]]*tbTransactions[[#This Row],[Unit Cost]]*tbTransactions[[#This Row],[Exchange Rate]]</f>
        <v>79713</v>
      </c>
      <c r="I7" s="148" t="s">
        <v>714</v>
      </c>
      <c r="J7" s="176" t="s">
        <v>41</v>
      </c>
      <c r="K7" s="163" t="str">
        <f>IF(tbTransactions[[#This Row],[Sub-Type]]="Transfer","Neutral",IF(tbTransactions[[#This Row],[Qty]]&lt;0,"Debit",IF(tbTransactions[[#This Row],[Qty]]&gt;0,"Credit","Neutral")))</f>
        <v>Credit</v>
      </c>
      <c r="L7" s="163" t="s">
        <v>519</v>
      </c>
      <c r="M7" s="171" t="s">
        <v>429</v>
      </c>
    </row>
    <row r="8" spans="3:13" ht="30" customHeight="1" x14ac:dyDescent="0.25">
      <c r="C8" s="175">
        <v>6</v>
      </c>
      <c r="D8" s="163">
        <v>44279</v>
      </c>
      <c r="E8" s="171">
        <v>-79713</v>
      </c>
      <c r="F8" s="171">
        <v>1</v>
      </c>
      <c r="G8" s="172">
        <v>1</v>
      </c>
      <c r="H8" s="171">
        <f>tbTransactions[[#This Row],[Qty]]*tbTransactions[[#This Row],[Unit Cost]]*tbTransactions[[#This Row],[Exchange Rate]]</f>
        <v>-79713</v>
      </c>
      <c r="I8" s="148" t="s">
        <v>714</v>
      </c>
      <c r="J8" s="176" t="s">
        <v>411</v>
      </c>
      <c r="K8" s="163" t="str">
        <f>IF(tbTransactions[[#This Row],[Sub-Type]]="Transfer","Neutral",IF(tbTransactions[[#This Row],[Qty]]&lt;0,"Debit",IF(tbTransactions[[#This Row],[Qty]]&gt;0,"Credit","Neutral")))</f>
        <v>Debit</v>
      </c>
      <c r="L8" s="163" t="s">
        <v>522</v>
      </c>
      <c r="M8" s="171" t="s">
        <v>429</v>
      </c>
    </row>
    <row r="9" spans="3:13" ht="30" customHeight="1" x14ac:dyDescent="0.25">
      <c r="C9" s="175">
        <v>7</v>
      </c>
      <c r="D9" s="163">
        <v>44295</v>
      </c>
      <c r="E9" s="171">
        <v>118</v>
      </c>
      <c r="F9" s="171">
        <v>160</v>
      </c>
      <c r="G9" s="172">
        <v>1</v>
      </c>
      <c r="H9" s="171">
        <f>tbTransactions[[#This Row],[Qty]]*tbTransactions[[#This Row],[Unit Cost]]*tbTransactions[[#This Row],[Exchange Rate]]</f>
        <v>18880</v>
      </c>
      <c r="I9" s="148" t="s">
        <v>714</v>
      </c>
      <c r="J9" s="176" t="s">
        <v>41</v>
      </c>
      <c r="K9" s="163" t="str">
        <f>IF(tbTransactions[[#This Row],[Sub-Type]]="Transfer","Neutral",IF(tbTransactions[[#This Row],[Qty]]&lt;0,"Debit",IF(tbTransactions[[#This Row],[Qty]]&gt;0,"Credit","Neutral")))</f>
        <v>Credit</v>
      </c>
      <c r="L9" s="163" t="s">
        <v>519</v>
      </c>
      <c r="M9" s="171" t="s">
        <v>429</v>
      </c>
    </row>
    <row r="10" spans="3:13" ht="30" customHeight="1" x14ac:dyDescent="0.25">
      <c r="C10" s="175">
        <v>8</v>
      </c>
      <c r="D10" s="163">
        <v>44295</v>
      </c>
      <c r="E10" s="171">
        <v>-18880</v>
      </c>
      <c r="F10" s="171">
        <v>1</v>
      </c>
      <c r="G10" s="172">
        <v>1</v>
      </c>
      <c r="H10" s="171">
        <f>tbTransactions[[#This Row],[Qty]]*tbTransactions[[#This Row],[Unit Cost]]*tbTransactions[[#This Row],[Exchange Rate]]</f>
        <v>-18880</v>
      </c>
      <c r="I10" s="148" t="s">
        <v>714</v>
      </c>
      <c r="J10" s="176" t="s">
        <v>411</v>
      </c>
      <c r="K10" s="163" t="str">
        <f>IF(tbTransactions[[#This Row],[Sub-Type]]="Transfer","Neutral",IF(tbTransactions[[#This Row],[Qty]]&lt;0,"Debit",IF(tbTransactions[[#This Row],[Qty]]&gt;0,"Credit","Neutral")))</f>
        <v>Debit</v>
      </c>
      <c r="L10" s="163" t="s">
        <v>522</v>
      </c>
      <c r="M10" s="171" t="s">
        <v>429</v>
      </c>
    </row>
    <row r="11" spans="3:13" ht="30" customHeight="1" x14ac:dyDescent="0.25">
      <c r="C11" s="175">
        <v>9</v>
      </c>
      <c r="D11" s="163">
        <v>44305</v>
      </c>
      <c r="E11" s="171">
        <v>-500</v>
      </c>
      <c r="F11" s="171">
        <v>1</v>
      </c>
      <c r="G11" s="172">
        <v>1</v>
      </c>
      <c r="H11" s="171">
        <f>tbTransactions[[#This Row],[Qty]]*tbTransactions[[#This Row],[Unit Cost]]*tbTransactions[[#This Row],[Exchange Rate]]</f>
        <v>-500</v>
      </c>
      <c r="I11" s="177" t="s">
        <v>499</v>
      </c>
      <c r="J11" s="176" t="s">
        <v>411</v>
      </c>
      <c r="K11" s="163" t="str">
        <f>IF(tbTransactions[[#This Row],[Sub-Type]]="Transfer","Neutral",IF(tbTransactions[[#This Row],[Qty]]&lt;0,"Debit",IF(tbTransactions[[#This Row],[Qty]]&gt;0,"Credit","Neutral")))</f>
        <v>Debit</v>
      </c>
      <c r="L11" s="163" t="s">
        <v>502</v>
      </c>
      <c r="M11" s="171"/>
    </row>
    <row r="12" spans="3:13" ht="30" customHeight="1" x14ac:dyDescent="0.25">
      <c r="C12" s="175">
        <v>10</v>
      </c>
      <c r="D12" s="163">
        <v>44305</v>
      </c>
      <c r="E12" s="171">
        <v>500</v>
      </c>
      <c r="F12" s="171">
        <v>1</v>
      </c>
      <c r="G12" s="172">
        <v>1</v>
      </c>
      <c r="H12" s="171">
        <f>tbTransactions[[#This Row],[Qty]]*tbTransactions[[#This Row],[Unit Cost]]*tbTransactions[[#This Row],[Exchange Rate]]</f>
        <v>500</v>
      </c>
      <c r="I12" s="148" t="s">
        <v>509</v>
      </c>
      <c r="J12" s="176" t="s">
        <v>411</v>
      </c>
      <c r="K12" s="163" t="str">
        <f>IF(tbTransactions[[#This Row],[Sub-Type]]="Transfer","Neutral",IF(tbTransactions[[#This Row],[Qty]]&lt;0,"Debit",IF(tbTransactions[[#This Row],[Qty]]&gt;0,"Credit","Neutral")))</f>
        <v>Credit</v>
      </c>
      <c r="L12" s="163" t="s">
        <v>500</v>
      </c>
      <c r="M12" s="171"/>
    </row>
    <row r="13" spans="3:13" ht="30" customHeight="1" x14ac:dyDescent="0.25">
      <c r="C13" s="175">
        <v>11</v>
      </c>
      <c r="D13" s="163">
        <v>44306</v>
      </c>
      <c r="E13" s="171">
        <v>-400</v>
      </c>
      <c r="F13" s="171">
        <v>1</v>
      </c>
      <c r="G13" s="172">
        <v>1</v>
      </c>
      <c r="H13" s="171">
        <f>tbTransactions[[#This Row],[Qty]]*tbTransactions[[#This Row],[Unit Cost]]*tbTransactions[[#This Row],[Exchange Rate]]</f>
        <v>-400</v>
      </c>
      <c r="I13" s="148" t="s">
        <v>499</v>
      </c>
      <c r="J13" s="176" t="s">
        <v>411</v>
      </c>
      <c r="K13" s="163" t="str">
        <f>IF(tbTransactions[[#This Row],[Sub-Type]]="Transfer","Neutral",IF(tbTransactions[[#This Row],[Qty]]&lt;0,"Debit",IF(tbTransactions[[#This Row],[Qty]]&gt;0,"Credit","Neutral")))</f>
        <v>Debit</v>
      </c>
      <c r="L13" s="163" t="s">
        <v>502</v>
      </c>
      <c r="M13" s="171"/>
    </row>
    <row r="14" spans="3:13" ht="30" customHeight="1" x14ac:dyDescent="0.25">
      <c r="C14" s="175">
        <v>12</v>
      </c>
      <c r="D14" s="163">
        <v>44306</v>
      </c>
      <c r="E14" s="171">
        <v>400</v>
      </c>
      <c r="F14" s="171">
        <v>1</v>
      </c>
      <c r="G14" s="172">
        <v>1</v>
      </c>
      <c r="H14" s="171">
        <f>tbTransactions[[#This Row],[Qty]]*tbTransactions[[#This Row],[Unit Cost]]*tbTransactions[[#This Row],[Exchange Rate]]</f>
        <v>400</v>
      </c>
      <c r="I14" s="148" t="s">
        <v>504</v>
      </c>
      <c r="J14" s="176" t="s">
        <v>411</v>
      </c>
      <c r="K14" s="163" t="str">
        <f>IF(tbTransactions[[#This Row],[Sub-Type]]="Transfer","Neutral",IF(tbTransactions[[#This Row],[Qty]]&lt;0,"Debit",IF(tbTransactions[[#This Row],[Qty]]&gt;0,"Credit","Neutral")))</f>
        <v>Credit</v>
      </c>
      <c r="L14" s="163" t="s">
        <v>500</v>
      </c>
      <c r="M14" s="171"/>
    </row>
    <row r="15" spans="3:13" ht="30" customHeight="1" x14ac:dyDescent="0.25">
      <c r="C15" s="175">
        <v>13</v>
      </c>
      <c r="D15" s="163">
        <v>44306</v>
      </c>
      <c r="E15" s="171">
        <v>-400</v>
      </c>
      <c r="F15" s="171">
        <v>1.4999999999999999E-2</v>
      </c>
      <c r="G15" s="172">
        <v>1</v>
      </c>
      <c r="H15" s="171">
        <f>tbTransactions[[#This Row],[Qty]]*tbTransactions[[#This Row],[Unit Cost]]*tbTransactions[[#This Row],[Exchange Rate]]</f>
        <v>-6</v>
      </c>
      <c r="I15" s="148" t="s">
        <v>504</v>
      </c>
      <c r="J15" s="176" t="s">
        <v>411</v>
      </c>
      <c r="K15" s="163" t="str">
        <f>IF(tbTransactions[[#This Row],[Sub-Type]]="Transfer","Neutral",IF(tbTransactions[[#This Row],[Qty]]&lt;0,"Debit",IF(tbTransactions[[#This Row],[Qty]]&gt;0,"Credit","Neutral")))</f>
        <v>Debit</v>
      </c>
      <c r="L15" s="148" t="s">
        <v>12</v>
      </c>
    </row>
    <row r="16" spans="3:13" ht="30" customHeight="1" x14ac:dyDescent="0.25">
      <c r="C16" s="175">
        <v>14</v>
      </c>
      <c r="D16" s="163">
        <v>44306</v>
      </c>
      <c r="E16" s="171">
        <v>-42.5</v>
      </c>
      <c r="F16" s="171">
        <v>1</v>
      </c>
      <c r="G16" s="172">
        <v>1</v>
      </c>
      <c r="H16" s="171">
        <f>tbTransactions[[#This Row],[Qty]]*tbTransactions[[#This Row],[Unit Cost]]*tbTransactions[[#This Row],[Exchange Rate]]</f>
        <v>-42.5</v>
      </c>
      <c r="I16" s="148" t="s">
        <v>504</v>
      </c>
      <c r="J16" s="176" t="s">
        <v>411</v>
      </c>
      <c r="K16" s="163" t="str">
        <f>IF(tbTransactions[[#This Row],[Sub-Type]]="Transfer","Neutral",IF(tbTransactions[[#This Row],[Qty]]&lt;0,"Debit",IF(tbTransactions[[#This Row],[Qty]]&gt;0,"Credit","Neutral")))</f>
        <v>Debit</v>
      </c>
      <c r="L16" s="163" t="s">
        <v>501</v>
      </c>
      <c r="M16" s="171"/>
    </row>
    <row r="17" spans="3:13" ht="30" customHeight="1" x14ac:dyDescent="0.25">
      <c r="C17" s="175">
        <v>15</v>
      </c>
      <c r="D17" s="163">
        <v>44306</v>
      </c>
      <c r="E17" s="171">
        <v>5</v>
      </c>
      <c r="F17" s="171">
        <v>8.5</v>
      </c>
      <c r="G17" s="172">
        <v>1</v>
      </c>
      <c r="H17" s="171">
        <f>tbTransactions[[#This Row],[Qty]]*tbTransactions[[#This Row],[Unit Cost]]*tbTransactions[[#This Row],[Exchange Rate]]</f>
        <v>42.5</v>
      </c>
      <c r="I17" s="148" t="s">
        <v>504</v>
      </c>
      <c r="J17" s="176" t="s">
        <v>21</v>
      </c>
      <c r="K17" s="163" t="str">
        <f>IF(tbTransactions[[#This Row],[Sub-Type]]="Transfer","Neutral",IF(tbTransactions[[#This Row],[Qty]]&lt;0,"Debit",IF(tbTransactions[[#This Row],[Qty]]&gt;0,"Credit","Neutral")))</f>
        <v>Credit</v>
      </c>
      <c r="L17" s="163" t="s">
        <v>505</v>
      </c>
      <c r="M17" s="171" t="s">
        <v>450</v>
      </c>
    </row>
    <row r="18" spans="3:13" ht="30" customHeight="1" x14ac:dyDescent="0.25">
      <c r="C18" s="175">
        <v>16</v>
      </c>
      <c r="D18" s="163">
        <v>44306</v>
      </c>
      <c r="E18" s="171">
        <v>-1.4</v>
      </c>
      <c r="F18" s="171">
        <v>8.5</v>
      </c>
      <c r="G18" s="172">
        <v>1</v>
      </c>
      <c r="H18" s="171">
        <f>tbTransactions[[#This Row],[Qty]]*tbTransactions[[#This Row],[Unit Cost]]*tbTransactions[[#This Row],[Exchange Rate]]</f>
        <v>-11.899999999999999</v>
      </c>
      <c r="I18" s="148" t="s">
        <v>504</v>
      </c>
      <c r="J18" s="176" t="s">
        <v>411</v>
      </c>
      <c r="K18" s="163" t="str">
        <f>IF(tbTransactions[[#This Row],[Sub-Type]]="Transfer","Neutral",IF(tbTransactions[[#This Row],[Qty]]&lt;0,"Debit",IF(tbTransactions[[#This Row],[Qty]]&gt;0,"Credit","Neutral")))</f>
        <v>Debit</v>
      </c>
      <c r="L18" s="163" t="s">
        <v>501</v>
      </c>
      <c r="M18" s="171"/>
    </row>
    <row r="19" spans="3:13" ht="30" customHeight="1" x14ac:dyDescent="0.25">
      <c r="C19" s="175">
        <v>17</v>
      </c>
      <c r="D19" s="163">
        <v>44306</v>
      </c>
      <c r="E19" s="171">
        <v>1.4</v>
      </c>
      <c r="F19" s="171">
        <v>8.5</v>
      </c>
      <c r="G19" s="172">
        <v>1</v>
      </c>
      <c r="H19" s="171">
        <f>tbTransactions[[#This Row],[Qty]]*tbTransactions[[#This Row],[Unit Cost]]*tbTransactions[[#This Row],[Exchange Rate]]</f>
        <v>11.899999999999999</v>
      </c>
      <c r="I19" s="148" t="s">
        <v>504</v>
      </c>
      <c r="J19" s="176" t="s">
        <v>21</v>
      </c>
      <c r="K19" s="163" t="str">
        <f>IF(tbTransactions[[#This Row],[Sub-Type]]="Transfer","Neutral",IF(tbTransactions[[#This Row],[Qty]]&lt;0,"Debit",IF(tbTransactions[[#This Row],[Qty]]&gt;0,"Credit","Neutral")))</f>
        <v>Credit</v>
      </c>
      <c r="L19" s="163" t="s">
        <v>505</v>
      </c>
      <c r="M19" s="171" t="s">
        <v>450</v>
      </c>
    </row>
    <row r="20" spans="3:13" ht="30" customHeight="1" x14ac:dyDescent="0.25">
      <c r="C20" s="175">
        <v>18</v>
      </c>
      <c r="D20" s="163">
        <v>44306</v>
      </c>
      <c r="E20" s="171">
        <v>-5.5</v>
      </c>
      <c r="F20" s="171">
        <v>8.5</v>
      </c>
      <c r="G20" s="172">
        <v>1</v>
      </c>
      <c r="H20" s="171">
        <f>tbTransactions[[#This Row],[Qty]]*tbTransactions[[#This Row],[Unit Cost]]*tbTransactions[[#This Row],[Exchange Rate]]</f>
        <v>-46.75</v>
      </c>
      <c r="I20" s="148" t="s">
        <v>504</v>
      </c>
      <c r="J20" s="176" t="s">
        <v>411</v>
      </c>
      <c r="K20" s="163" t="str">
        <f>IF(tbTransactions[[#This Row],[Sub-Type]]="Transfer","Neutral",IF(tbTransactions[[#This Row],[Qty]]&lt;0,"Debit",IF(tbTransactions[[#This Row],[Qty]]&gt;0,"Credit","Neutral")))</f>
        <v>Debit</v>
      </c>
      <c r="L20" s="163" t="s">
        <v>501</v>
      </c>
      <c r="M20" s="171"/>
    </row>
    <row r="21" spans="3:13" ht="30" customHeight="1" x14ac:dyDescent="0.25">
      <c r="C21" s="175">
        <v>19</v>
      </c>
      <c r="D21" s="163">
        <v>44306</v>
      </c>
      <c r="E21" s="171">
        <v>5.5</v>
      </c>
      <c r="F21" s="171">
        <v>8.5</v>
      </c>
      <c r="G21" s="172">
        <v>1</v>
      </c>
      <c r="H21" s="171">
        <f>tbTransactions[[#This Row],[Qty]]*tbTransactions[[#This Row],[Unit Cost]]*tbTransactions[[#This Row],[Exchange Rate]]</f>
        <v>46.75</v>
      </c>
      <c r="I21" s="148" t="s">
        <v>504</v>
      </c>
      <c r="J21" s="176" t="s">
        <v>21</v>
      </c>
      <c r="K21" s="163" t="str">
        <f>IF(tbTransactions[[#This Row],[Sub-Type]]="Transfer","Neutral",IF(tbTransactions[[#This Row],[Qty]]&lt;0,"Debit",IF(tbTransactions[[#This Row],[Qty]]&gt;0,"Credit","Neutral")))</f>
        <v>Credit</v>
      </c>
      <c r="L21" s="163" t="s">
        <v>505</v>
      </c>
      <c r="M21" s="171" t="s">
        <v>450</v>
      </c>
    </row>
    <row r="22" spans="3:13" ht="30" customHeight="1" x14ac:dyDescent="0.25">
      <c r="C22" s="175">
        <v>20</v>
      </c>
      <c r="D22" s="163">
        <v>44306</v>
      </c>
      <c r="E22" s="171">
        <v>-6.7</v>
      </c>
      <c r="F22" s="171">
        <v>8.5</v>
      </c>
      <c r="G22" s="172">
        <v>1</v>
      </c>
      <c r="H22" s="171">
        <f>tbTransactions[[#This Row],[Qty]]*tbTransactions[[#This Row],[Unit Cost]]*tbTransactions[[#This Row],[Exchange Rate]]</f>
        <v>-56.95</v>
      </c>
      <c r="I22" s="148" t="s">
        <v>504</v>
      </c>
      <c r="J22" s="176" t="s">
        <v>411</v>
      </c>
      <c r="K22" s="163" t="str">
        <f>IF(tbTransactions[[#This Row],[Sub-Type]]="Transfer","Neutral",IF(tbTransactions[[#This Row],[Qty]]&lt;0,"Debit",IF(tbTransactions[[#This Row],[Qty]]&gt;0,"Credit","Neutral")))</f>
        <v>Debit</v>
      </c>
      <c r="L22" s="163" t="s">
        <v>501</v>
      </c>
      <c r="M22" s="171"/>
    </row>
    <row r="23" spans="3:13" ht="30" customHeight="1" x14ac:dyDescent="0.25">
      <c r="C23" s="175">
        <v>21</v>
      </c>
      <c r="D23" s="163">
        <v>44306</v>
      </c>
      <c r="E23" s="171">
        <v>6.7</v>
      </c>
      <c r="F23" s="171">
        <v>8.5</v>
      </c>
      <c r="G23" s="172">
        <v>1</v>
      </c>
      <c r="H23" s="171">
        <f>tbTransactions[[#This Row],[Qty]]*tbTransactions[[#This Row],[Unit Cost]]*tbTransactions[[#This Row],[Exchange Rate]]</f>
        <v>56.95</v>
      </c>
      <c r="I23" s="148" t="s">
        <v>504</v>
      </c>
      <c r="J23" s="176" t="s">
        <v>21</v>
      </c>
      <c r="K23" s="163" t="str">
        <f>IF(tbTransactions[[#This Row],[Sub-Type]]="Transfer","Neutral",IF(tbTransactions[[#This Row],[Qty]]&lt;0,"Debit",IF(tbTransactions[[#This Row],[Qty]]&gt;0,"Credit","Neutral")))</f>
        <v>Credit</v>
      </c>
      <c r="L23" s="163" t="s">
        <v>505</v>
      </c>
      <c r="M23" s="171" t="s">
        <v>450</v>
      </c>
    </row>
    <row r="24" spans="3:13" ht="30" customHeight="1" x14ac:dyDescent="0.25">
      <c r="C24" s="175">
        <v>22</v>
      </c>
      <c r="D24" s="163">
        <v>44307</v>
      </c>
      <c r="E24" s="171">
        <v>-27.4</v>
      </c>
      <c r="F24" s="171">
        <v>8.5</v>
      </c>
      <c r="G24" s="172">
        <v>1</v>
      </c>
      <c r="H24" s="171">
        <f>tbTransactions[[#This Row],[Qty]]*tbTransactions[[#This Row],[Unit Cost]]*tbTransactions[[#This Row],[Exchange Rate]]</f>
        <v>-232.89999999999998</v>
      </c>
      <c r="I24" s="148" t="s">
        <v>504</v>
      </c>
      <c r="J24" s="176" t="s">
        <v>411</v>
      </c>
      <c r="K24" s="163" t="str">
        <f>IF(tbTransactions[[#This Row],[Sub-Type]]="Transfer","Neutral",IF(tbTransactions[[#This Row],[Qty]]&lt;0,"Debit",IF(tbTransactions[[#This Row],[Qty]]&gt;0,"Credit","Neutral")))</f>
        <v>Debit</v>
      </c>
      <c r="L24" s="163" t="s">
        <v>501</v>
      </c>
      <c r="M24" s="171"/>
    </row>
    <row r="25" spans="3:13" ht="30" customHeight="1" x14ac:dyDescent="0.25">
      <c r="C25" s="175">
        <v>23</v>
      </c>
      <c r="D25" s="163">
        <v>44307</v>
      </c>
      <c r="E25" s="171">
        <v>27.4</v>
      </c>
      <c r="F25" s="171">
        <v>8.5</v>
      </c>
      <c r="G25" s="172">
        <v>1</v>
      </c>
      <c r="H25" s="171">
        <f>tbTransactions[[#This Row],[Qty]]*tbTransactions[[#This Row],[Unit Cost]]*tbTransactions[[#This Row],[Exchange Rate]]</f>
        <v>232.89999999999998</v>
      </c>
      <c r="I25" s="148" t="s">
        <v>504</v>
      </c>
      <c r="J25" s="176" t="s">
        <v>21</v>
      </c>
      <c r="K25" s="163" t="str">
        <f>IF(tbTransactions[[#This Row],[Sub-Type]]="Transfer","Neutral",IF(tbTransactions[[#This Row],[Qty]]&lt;0,"Debit",IF(tbTransactions[[#This Row],[Qty]]&gt;0,"Credit","Neutral")))</f>
        <v>Credit</v>
      </c>
      <c r="L25" s="163" t="s">
        <v>505</v>
      </c>
      <c r="M25" s="171" t="s">
        <v>450</v>
      </c>
    </row>
    <row r="26" spans="3:13" ht="30" customHeight="1" x14ac:dyDescent="0.25">
      <c r="C26" s="175">
        <v>24</v>
      </c>
      <c r="D26" s="163">
        <v>44318</v>
      </c>
      <c r="E26" s="171">
        <v>-100</v>
      </c>
      <c r="F26" s="171">
        <v>1</v>
      </c>
      <c r="G26" s="172">
        <v>1</v>
      </c>
      <c r="H26" s="171">
        <f>tbTransactions[[#This Row],[Qty]]*tbTransactions[[#This Row],[Unit Cost]]*tbTransactions[[#This Row],[Exchange Rate]]</f>
        <v>-100</v>
      </c>
      <c r="I26" s="148" t="s">
        <v>499</v>
      </c>
      <c r="J26" s="176" t="s">
        <v>411</v>
      </c>
      <c r="K26" s="163" t="str">
        <f>IF(tbTransactions[[#This Row],[Sub-Type]]="Transfer","Neutral",IF(tbTransactions[[#This Row],[Qty]]&lt;0,"Debit",IF(tbTransactions[[#This Row],[Qty]]&gt;0,"Credit","Neutral")))</f>
        <v>Debit</v>
      </c>
      <c r="L26" s="163" t="s">
        <v>502</v>
      </c>
      <c r="M26" s="171"/>
    </row>
    <row r="27" spans="3:13" ht="30" customHeight="1" x14ac:dyDescent="0.25">
      <c r="C27" s="175">
        <v>25</v>
      </c>
      <c r="D27" s="163">
        <v>44318</v>
      </c>
      <c r="E27" s="171">
        <v>100</v>
      </c>
      <c r="F27" s="171">
        <v>1</v>
      </c>
      <c r="G27" s="172">
        <v>1</v>
      </c>
      <c r="H27" s="171">
        <f>tbTransactions[[#This Row],[Qty]]*tbTransactions[[#This Row],[Unit Cost]]*tbTransactions[[#This Row],[Exchange Rate]]</f>
        <v>100</v>
      </c>
      <c r="I27" s="148" t="s">
        <v>504</v>
      </c>
      <c r="J27" s="176" t="s">
        <v>411</v>
      </c>
      <c r="K27" s="163" t="str">
        <f>IF(tbTransactions[[#This Row],[Sub-Type]]="Transfer","Neutral",IF(tbTransactions[[#This Row],[Qty]]&lt;0,"Debit",IF(tbTransactions[[#This Row],[Qty]]&gt;0,"Credit","Neutral")))</f>
        <v>Credit</v>
      </c>
      <c r="L27" s="163" t="s">
        <v>500</v>
      </c>
      <c r="M27" s="171"/>
    </row>
    <row r="28" spans="3:13" ht="30" customHeight="1" x14ac:dyDescent="0.25">
      <c r="C28" s="175">
        <v>26</v>
      </c>
      <c r="D28" s="163">
        <v>44318</v>
      </c>
      <c r="E28" s="171">
        <v>-100</v>
      </c>
      <c r="F28" s="171">
        <v>1.4999999999999999E-2</v>
      </c>
      <c r="G28" s="172">
        <v>1</v>
      </c>
      <c r="H28" s="171">
        <f>tbTransactions[[#This Row],[Qty]]*tbTransactions[[#This Row],[Unit Cost]]*tbTransactions[[#This Row],[Exchange Rate]]</f>
        <v>-1.5</v>
      </c>
      <c r="I28" s="148" t="s">
        <v>504</v>
      </c>
      <c r="J28" s="176" t="s">
        <v>411</v>
      </c>
      <c r="K28" s="163" t="str">
        <f>IF(tbTransactions[[#This Row],[Sub-Type]]="Transfer","Neutral",IF(tbTransactions[[#This Row],[Qty]]&lt;0,"Debit",IF(tbTransactions[[#This Row],[Qty]]&gt;0,"Credit","Neutral")))</f>
        <v>Debit</v>
      </c>
      <c r="L28" s="148" t="s">
        <v>12</v>
      </c>
    </row>
    <row r="29" spans="3:13" ht="30" customHeight="1" x14ac:dyDescent="0.25">
      <c r="C29" s="175">
        <v>27</v>
      </c>
      <c r="D29" s="163">
        <v>44318</v>
      </c>
      <c r="E29" s="171">
        <v>-50.527660349999998</v>
      </c>
      <c r="F29" s="171">
        <v>1.976</v>
      </c>
      <c r="G29" s="172">
        <v>1</v>
      </c>
      <c r="H29" s="171">
        <f>tbTransactions[[#This Row],[Qty]]*tbTransactions[[#This Row],[Unit Cost]]*tbTransactions[[#This Row],[Exchange Rate]]</f>
        <v>-99.842656851599997</v>
      </c>
      <c r="I29" s="148" t="s">
        <v>504</v>
      </c>
      <c r="J29" s="176" t="s">
        <v>411</v>
      </c>
      <c r="K29" s="163" t="str">
        <f>IF(tbTransactions[[#This Row],[Sub-Type]]="Transfer","Neutral",IF(tbTransactions[[#This Row],[Qty]]&lt;0,"Debit",IF(tbTransactions[[#This Row],[Qty]]&gt;0,"Credit","Neutral")))</f>
        <v>Debit</v>
      </c>
      <c r="L29" s="163" t="s">
        <v>501</v>
      </c>
      <c r="M29" s="171"/>
    </row>
    <row r="30" spans="3:13" ht="30" customHeight="1" x14ac:dyDescent="0.25">
      <c r="C30" s="175">
        <v>28</v>
      </c>
      <c r="D30" s="163">
        <v>44318</v>
      </c>
      <c r="E30" s="171">
        <v>50.527660349999998</v>
      </c>
      <c r="F30" s="171">
        <v>1.976</v>
      </c>
      <c r="G30" s="172">
        <v>1</v>
      </c>
      <c r="H30" s="171">
        <f>tbTransactions[[#This Row],[Qty]]*tbTransactions[[#This Row],[Unit Cost]]*tbTransactions[[#This Row],[Exchange Rate]]</f>
        <v>99.842656851599997</v>
      </c>
      <c r="I30" s="148" t="s">
        <v>504</v>
      </c>
      <c r="J30" s="176" t="s">
        <v>28</v>
      </c>
      <c r="K30" s="163" t="str">
        <f>IF(tbTransactions[[#This Row],[Sub-Type]]="Transfer","Neutral",IF(tbTransactions[[#This Row],[Qty]]&lt;0,"Debit",IF(tbTransactions[[#This Row],[Qty]]&gt;0,"Credit","Neutral")))</f>
        <v>Credit</v>
      </c>
      <c r="L30" s="163" t="s">
        <v>505</v>
      </c>
      <c r="M30" s="171" t="s">
        <v>451</v>
      </c>
    </row>
    <row r="31" spans="3:13" ht="30" customHeight="1" x14ac:dyDescent="0.25">
      <c r="C31" s="175">
        <v>29</v>
      </c>
      <c r="D31" s="163">
        <v>44318</v>
      </c>
      <c r="E31" s="171">
        <v>-5.4</v>
      </c>
      <c r="F31" s="171">
        <v>8.18</v>
      </c>
      <c r="G31" s="172">
        <v>1</v>
      </c>
      <c r="H31" s="171">
        <f>tbTransactions[[#This Row],[Qty]]*tbTransactions[[#This Row],[Unit Cost]]*tbTransactions[[#This Row],[Exchange Rate]]</f>
        <v>-44.172000000000004</v>
      </c>
      <c r="I31" s="148" t="s">
        <v>504</v>
      </c>
      <c r="J31" s="176" t="s">
        <v>411</v>
      </c>
      <c r="K31" s="163" t="str">
        <f>IF(tbTransactions[[#This Row],[Sub-Type]]="Transfer","Neutral",IF(tbTransactions[[#This Row],[Qty]]&lt;0,"Debit",IF(tbTransactions[[#This Row],[Qty]]&gt;0,"Credit","Neutral")))</f>
        <v>Debit</v>
      </c>
      <c r="L31" s="163" t="s">
        <v>501</v>
      </c>
      <c r="M31" s="171"/>
    </row>
    <row r="32" spans="3:13" ht="30" customHeight="1" x14ac:dyDescent="0.25">
      <c r="C32" s="175">
        <v>30</v>
      </c>
      <c r="D32" s="163">
        <v>44318</v>
      </c>
      <c r="E32" s="171">
        <v>5.4</v>
      </c>
      <c r="F32" s="171">
        <v>8.18</v>
      </c>
      <c r="G32" s="172">
        <v>1</v>
      </c>
      <c r="H32" s="171">
        <f>tbTransactions[[#This Row],[Qty]]*tbTransactions[[#This Row],[Unit Cost]]*tbTransactions[[#This Row],[Exchange Rate]]</f>
        <v>44.172000000000004</v>
      </c>
      <c r="I32" s="148" t="s">
        <v>504</v>
      </c>
      <c r="J32" s="176" t="s">
        <v>21</v>
      </c>
      <c r="K32" s="163" t="str">
        <f>IF(tbTransactions[[#This Row],[Sub-Type]]="Transfer","Neutral",IF(tbTransactions[[#This Row],[Qty]]&lt;0,"Debit",IF(tbTransactions[[#This Row],[Qty]]&gt;0,"Credit","Neutral")))</f>
        <v>Credit</v>
      </c>
      <c r="L32" s="163" t="s">
        <v>505</v>
      </c>
      <c r="M32" s="171" t="s">
        <v>450</v>
      </c>
    </row>
    <row r="33" spans="3:13" ht="30" customHeight="1" x14ac:dyDescent="0.25">
      <c r="C33" s="175">
        <v>31</v>
      </c>
      <c r="D33" s="163">
        <v>44318</v>
      </c>
      <c r="E33" s="171">
        <v>-6.7193206600000002</v>
      </c>
      <c r="F33" s="171">
        <v>8.3030000000000008</v>
      </c>
      <c r="G33" s="172">
        <v>1</v>
      </c>
      <c r="H33" s="171">
        <f>tbTransactions[[#This Row],[Qty]]*tbTransactions[[#This Row],[Unit Cost]]*tbTransactions[[#This Row],[Exchange Rate]]</f>
        <v>-55.79051943998001</v>
      </c>
      <c r="I33" s="148" t="s">
        <v>504</v>
      </c>
      <c r="J33" s="176" t="s">
        <v>411</v>
      </c>
      <c r="K33" s="163" t="str">
        <f>IF(tbTransactions[[#This Row],[Sub-Type]]="Transfer","Neutral",IF(tbTransactions[[#This Row],[Qty]]&lt;0,"Debit",IF(tbTransactions[[#This Row],[Qty]]&gt;0,"Credit","Neutral")))</f>
        <v>Debit</v>
      </c>
      <c r="L33" s="163" t="s">
        <v>501</v>
      </c>
      <c r="M33" s="171"/>
    </row>
    <row r="34" spans="3:13" ht="30" customHeight="1" x14ac:dyDescent="0.25">
      <c r="C34" s="175">
        <v>32</v>
      </c>
      <c r="D34" s="163">
        <v>44318</v>
      </c>
      <c r="E34" s="171">
        <v>6.7193206600000002</v>
      </c>
      <c r="F34" s="171">
        <v>8.3030000000000008</v>
      </c>
      <c r="G34" s="172">
        <v>1</v>
      </c>
      <c r="H34" s="171">
        <f>tbTransactions[[#This Row],[Qty]]*tbTransactions[[#This Row],[Unit Cost]]*tbTransactions[[#This Row],[Exchange Rate]]</f>
        <v>55.79051943998001</v>
      </c>
      <c r="I34" s="148" t="s">
        <v>504</v>
      </c>
      <c r="J34" s="176" t="s">
        <v>21</v>
      </c>
      <c r="K34" s="163" t="str">
        <f>IF(tbTransactions[[#This Row],[Sub-Type]]="Transfer","Neutral",IF(tbTransactions[[#This Row],[Qty]]&lt;0,"Debit",IF(tbTransactions[[#This Row],[Qty]]&gt;0,"Credit","Neutral")))</f>
        <v>Credit</v>
      </c>
      <c r="L34" s="163" t="s">
        <v>505</v>
      </c>
      <c r="M34" s="171" t="s">
        <v>450</v>
      </c>
    </row>
    <row r="35" spans="3:13" ht="30" customHeight="1" x14ac:dyDescent="0.25">
      <c r="C35" s="175">
        <v>33</v>
      </c>
      <c r="D35" s="163">
        <v>44318</v>
      </c>
      <c r="E35" s="171">
        <v>-140.12801694999999</v>
      </c>
      <c r="F35" s="171">
        <v>0.69899999999999995</v>
      </c>
      <c r="G35" s="172">
        <v>1</v>
      </c>
      <c r="H35" s="171">
        <f>tbTransactions[[#This Row],[Qty]]*tbTransactions[[#This Row],[Unit Cost]]*tbTransactions[[#This Row],[Exchange Rate]]</f>
        <v>-97.949483848049979</v>
      </c>
      <c r="I35" s="148" t="s">
        <v>504</v>
      </c>
      <c r="J35" s="176" t="s">
        <v>411</v>
      </c>
      <c r="K35" s="163" t="str">
        <f>IF(tbTransactions[[#This Row],[Sub-Type]]="Transfer","Neutral",IF(tbTransactions[[#This Row],[Qty]]&lt;0,"Debit",IF(tbTransactions[[#This Row],[Qty]]&gt;0,"Credit","Neutral")))</f>
        <v>Debit</v>
      </c>
      <c r="L35" s="163" t="s">
        <v>501</v>
      </c>
      <c r="M35" s="171"/>
    </row>
    <row r="36" spans="3:13" ht="30" customHeight="1" x14ac:dyDescent="0.25">
      <c r="C36" s="175">
        <v>34</v>
      </c>
      <c r="D36" s="163">
        <v>44318</v>
      </c>
      <c r="E36" s="171">
        <v>140.12801694999999</v>
      </c>
      <c r="F36" s="171">
        <v>0.69899999999999995</v>
      </c>
      <c r="G36" s="172">
        <v>1</v>
      </c>
      <c r="H36" s="171">
        <f>tbTransactions[[#This Row],[Qty]]*tbTransactions[[#This Row],[Unit Cost]]*tbTransactions[[#This Row],[Exchange Rate]]</f>
        <v>97.949483848049979</v>
      </c>
      <c r="I36" s="148" t="s">
        <v>504</v>
      </c>
      <c r="J36" s="176" t="s">
        <v>25</v>
      </c>
      <c r="K36" s="163" t="str">
        <f>IF(tbTransactions[[#This Row],[Sub-Type]]="Transfer","Neutral",IF(tbTransactions[[#This Row],[Qty]]&lt;0,"Debit",IF(tbTransactions[[#This Row],[Qty]]&gt;0,"Credit","Neutral")))</f>
        <v>Credit</v>
      </c>
      <c r="L36" s="163" t="s">
        <v>505</v>
      </c>
      <c r="M36" s="171" t="s">
        <v>452</v>
      </c>
    </row>
    <row r="37" spans="3:13" ht="30" customHeight="1" x14ac:dyDescent="0.25">
      <c r="C37" s="175">
        <v>35</v>
      </c>
      <c r="D37" s="163">
        <v>44318</v>
      </c>
      <c r="E37" s="171">
        <v>-143.46335751999999</v>
      </c>
      <c r="F37" s="171">
        <v>0.69699999999999995</v>
      </c>
      <c r="G37" s="172">
        <v>1</v>
      </c>
      <c r="H37" s="171">
        <f>tbTransactions[[#This Row],[Qty]]*tbTransactions[[#This Row],[Unit Cost]]*tbTransactions[[#This Row],[Exchange Rate]]</f>
        <v>-99.993960191439982</v>
      </c>
      <c r="I37" s="148" t="s">
        <v>504</v>
      </c>
      <c r="J37" s="176" t="s">
        <v>411</v>
      </c>
      <c r="K37" s="163" t="str">
        <f>IF(tbTransactions[[#This Row],[Sub-Type]]="Transfer","Neutral",IF(tbTransactions[[#This Row],[Qty]]&lt;0,"Debit",IF(tbTransactions[[#This Row],[Qty]]&gt;0,"Credit","Neutral")))</f>
        <v>Debit</v>
      </c>
      <c r="L37" s="163" t="s">
        <v>501</v>
      </c>
      <c r="M37" s="171"/>
    </row>
    <row r="38" spans="3:13" ht="30" customHeight="1" x14ac:dyDescent="0.25">
      <c r="C38" s="175">
        <v>36</v>
      </c>
      <c r="D38" s="163">
        <v>44318</v>
      </c>
      <c r="E38" s="171">
        <v>143.46335751999999</v>
      </c>
      <c r="F38" s="171">
        <v>0.69699999999999995</v>
      </c>
      <c r="G38" s="172">
        <v>1</v>
      </c>
      <c r="H38" s="171">
        <f>tbTransactions[[#This Row],[Qty]]*tbTransactions[[#This Row],[Unit Cost]]*tbTransactions[[#This Row],[Exchange Rate]]</f>
        <v>99.993960191439982</v>
      </c>
      <c r="I38" s="148" t="s">
        <v>504</v>
      </c>
      <c r="J38" s="176" t="s">
        <v>25</v>
      </c>
      <c r="K38" s="163" t="str">
        <f>IF(tbTransactions[[#This Row],[Sub-Type]]="Transfer","Neutral",IF(tbTransactions[[#This Row],[Qty]]&lt;0,"Debit",IF(tbTransactions[[#This Row],[Qty]]&gt;0,"Credit","Neutral")))</f>
        <v>Credit</v>
      </c>
      <c r="L38" s="163" t="s">
        <v>505</v>
      </c>
      <c r="M38" s="171" t="s">
        <v>452</v>
      </c>
    </row>
    <row r="39" spans="3:13" ht="30" customHeight="1" x14ac:dyDescent="0.25">
      <c r="C39" s="175">
        <v>37</v>
      </c>
      <c r="D39" s="163">
        <v>44319</v>
      </c>
      <c r="E39" s="171">
        <v>-100</v>
      </c>
      <c r="F39" s="171">
        <v>1</v>
      </c>
      <c r="G39" s="172">
        <v>1</v>
      </c>
      <c r="H39" s="171">
        <f>tbTransactions[[#This Row],[Qty]]*tbTransactions[[#This Row],[Unit Cost]]*tbTransactions[[#This Row],[Exchange Rate]]</f>
        <v>-100</v>
      </c>
      <c r="I39" s="148" t="s">
        <v>499</v>
      </c>
      <c r="J39" s="176" t="s">
        <v>411</v>
      </c>
      <c r="K39" s="163" t="str">
        <f>IF(tbTransactions[[#This Row],[Sub-Type]]="Transfer","Neutral",IF(tbTransactions[[#This Row],[Qty]]&lt;0,"Debit",IF(tbTransactions[[#This Row],[Qty]]&gt;0,"Credit","Neutral")))</f>
        <v>Debit</v>
      </c>
      <c r="L39" s="163" t="s">
        <v>502</v>
      </c>
      <c r="M39" s="171"/>
    </row>
    <row r="40" spans="3:13" ht="30" customHeight="1" x14ac:dyDescent="0.25">
      <c r="C40" s="175">
        <v>38</v>
      </c>
      <c r="D40" s="163">
        <v>44319</v>
      </c>
      <c r="E40" s="171">
        <v>100</v>
      </c>
      <c r="F40" s="171">
        <v>1</v>
      </c>
      <c r="G40" s="172">
        <v>1</v>
      </c>
      <c r="H40" s="171">
        <f>tbTransactions[[#This Row],[Qty]]*tbTransactions[[#This Row],[Unit Cost]]*tbTransactions[[#This Row],[Exchange Rate]]</f>
        <v>100</v>
      </c>
      <c r="I40" s="148" t="s">
        <v>504</v>
      </c>
      <c r="J40" s="176" t="s">
        <v>411</v>
      </c>
      <c r="K40" s="163" t="str">
        <f>IF(tbTransactions[[#This Row],[Sub-Type]]="Transfer","Neutral",IF(tbTransactions[[#This Row],[Qty]]&lt;0,"Debit",IF(tbTransactions[[#This Row],[Qty]]&gt;0,"Credit","Neutral")))</f>
        <v>Credit</v>
      </c>
      <c r="L40" s="163" t="s">
        <v>500</v>
      </c>
      <c r="M40" s="171"/>
    </row>
    <row r="41" spans="3:13" ht="30" customHeight="1" x14ac:dyDescent="0.25">
      <c r="C41" s="175">
        <v>39</v>
      </c>
      <c r="D41" s="163">
        <v>44319</v>
      </c>
      <c r="E41" s="171">
        <v>-100</v>
      </c>
      <c r="F41" s="171">
        <v>1.4999999999999999E-2</v>
      </c>
      <c r="G41" s="172">
        <v>1</v>
      </c>
      <c r="H41" s="171">
        <f>tbTransactions[[#This Row],[Qty]]*tbTransactions[[#This Row],[Unit Cost]]*tbTransactions[[#This Row],[Exchange Rate]]</f>
        <v>-1.5</v>
      </c>
      <c r="I41" s="148" t="s">
        <v>504</v>
      </c>
      <c r="J41" s="176" t="s">
        <v>411</v>
      </c>
      <c r="K41" s="163" t="str">
        <f>IF(tbTransactions[[#This Row],[Sub-Type]]="Transfer","Neutral",IF(tbTransactions[[#This Row],[Qty]]&lt;0,"Debit",IF(tbTransactions[[#This Row],[Qty]]&gt;0,"Credit","Neutral")))</f>
        <v>Debit</v>
      </c>
      <c r="L41" s="163" t="s">
        <v>12</v>
      </c>
      <c r="M41" s="171"/>
    </row>
    <row r="42" spans="3:13" ht="30" customHeight="1" x14ac:dyDescent="0.25">
      <c r="C42" s="175">
        <v>40</v>
      </c>
      <c r="D42" s="163">
        <v>44319</v>
      </c>
      <c r="E42" s="171">
        <v>-100</v>
      </c>
      <c r="F42" s="171">
        <v>1</v>
      </c>
      <c r="G42" s="172">
        <v>1</v>
      </c>
      <c r="H42" s="171">
        <f>tbTransactions[[#This Row],[Qty]]*tbTransactions[[#This Row],[Unit Cost]]*tbTransactions[[#This Row],[Exchange Rate]]</f>
        <v>-100</v>
      </c>
      <c r="I42" s="148" t="s">
        <v>499</v>
      </c>
      <c r="J42" s="176" t="s">
        <v>411</v>
      </c>
      <c r="K42" s="163" t="str">
        <f>IF(tbTransactions[[#This Row],[Sub-Type]]="Transfer","Neutral",IF(tbTransactions[[#This Row],[Qty]]&lt;0,"Debit",IF(tbTransactions[[#This Row],[Qty]]&gt;0,"Credit","Neutral")))</f>
        <v>Debit</v>
      </c>
      <c r="L42" s="163" t="s">
        <v>502</v>
      </c>
      <c r="M42" s="171"/>
    </row>
    <row r="43" spans="3:13" ht="30" customHeight="1" x14ac:dyDescent="0.25">
      <c r="C43" s="175">
        <v>41</v>
      </c>
      <c r="D43" s="163">
        <v>44319</v>
      </c>
      <c r="E43" s="171">
        <v>100</v>
      </c>
      <c r="F43" s="171">
        <v>1</v>
      </c>
      <c r="G43" s="172">
        <v>1</v>
      </c>
      <c r="H43" s="171">
        <f>tbTransactions[[#This Row],[Qty]]*tbTransactions[[#This Row],[Unit Cost]]*tbTransactions[[#This Row],[Exchange Rate]]</f>
        <v>100</v>
      </c>
      <c r="I43" s="148" t="s">
        <v>504</v>
      </c>
      <c r="J43" s="176" t="s">
        <v>411</v>
      </c>
      <c r="K43" s="163" t="str">
        <f>IF(tbTransactions[[#This Row],[Sub-Type]]="Transfer","Neutral",IF(tbTransactions[[#This Row],[Qty]]&lt;0,"Debit",IF(tbTransactions[[#This Row],[Qty]]&gt;0,"Credit","Neutral")))</f>
        <v>Credit</v>
      </c>
      <c r="L43" s="163" t="s">
        <v>500</v>
      </c>
      <c r="M43" s="171"/>
    </row>
    <row r="44" spans="3:13" ht="30" customHeight="1" x14ac:dyDescent="0.25">
      <c r="C44" s="175">
        <v>42</v>
      </c>
      <c r="D44" s="163">
        <v>44319</v>
      </c>
      <c r="E44" s="171">
        <v>-100</v>
      </c>
      <c r="F44" s="171">
        <v>1.4999999999999999E-2</v>
      </c>
      <c r="G44" s="172">
        <v>1</v>
      </c>
      <c r="H44" s="171">
        <f>tbTransactions[[#This Row],[Qty]]*tbTransactions[[#This Row],[Unit Cost]]*tbTransactions[[#This Row],[Exchange Rate]]</f>
        <v>-1.5</v>
      </c>
      <c r="I44" s="148" t="s">
        <v>504</v>
      </c>
      <c r="J44" s="176" t="s">
        <v>411</v>
      </c>
      <c r="K44" s="163" t="str">
        <f>IF(tbTransactions[[#This Row],[Sub-Type]]="Transfer","Neutral",IF(tbTransactions[[#This Row],[Qty]]&lt;0,"Debit",IF(tbTransactions[[#This Row],[Qty]]&gt;0,"Credit","Neutral")))</f>
        <v>Debit</v>
      </c>
      <c r="L44" s="163" t="s">
        <v>12</v>
      </c>
      <c r="M44" s="171"/>
    </row>
    <row r="45" spans="3:13" ht="30" customHeight="1" x14ac:dyDescent="0.25">
      <c r="C45" s="175">
        <v>43</v>
      </c>
      <c r="D45" s="163">
        <v>44319</v>
      </c>
      <c r="E45" s="171">
        <v>-100</v>
      </c>
      <c r="F45" s="171">
        <v>1</v>
      </c>
      <c r="G45" s="172">
        <v>1</v>
      </c>
      <c r="H45" s="171">
        <f>tbTransactions[[#This Row],[Qty]]*tbTransactions[[#This Row],[Unit Cost]]*tbTransactions[[#This Row],[Exchange Rate]]</f>
        <v>-100</v>
      </c>
      <c r="I45" s="148" t="s">
        <v>499</v>
      </c>
      <c r="J45" s="176" t="s">
        <v>411</v>
      </c>
      <c r="K45" s="163" t="str">
        <f>IF(tbTransactions[[#This Row],[Sub-Type]]="Transfer","Neutral",IF(tbTransactions[[#This Row],[Qty]]&lt;0,"Debit",IF(tbTransactions[[#This Row],[Qty]]&gt;0,"Credit","Neutral")))</f>
        <v>Debit</v>
      </c>
      <c r="L45" s="163" t="s">
        <v>502</v>
      </c>
      <c r="M45" s="171"/>
    </row>
    <row r="46" spans="3:13" ht="30" customHeight="1" x14ac:dyDescent="0.25">
      <c r="C46" s="175">
        <v>44</v>
      </c>
      <c r="D46" s="163">
        <v>44319</v>
      </c>
      <c r="E46" s="171">
        <v>100</v>
      </c>
      <c r="F46" s="171">
        <v>1</v>
      </c>
      <c r="G46" s="172">
        <v>1</v>
      </c>
      <c r="H46" s="171">
        <f>tbTransactions[[#This Row],[Qty]]*tbTransactions[[#This Row],[Unit Cost]]*tbTransactions[[#This Row],[Exchange Rate]]</f>
        <v>100</v>
      </c>
      <c r="I46" s="148" t="s">
        <v>504</v>
      </c>
      <c r="J46" s="176" t="s">
        <v>411</v>
      </c>
      <c r="K46" s="163" t="str">
        <f>IF(tbTransactions[[#This Row],[Sub-Type]]="Transfer","Neutral",IF(tbTransactions[[#This Row],[Qty]]&lt;0,"Debit",IF(tbTransactions[[#This Row],[Qty]]&gt;0,"Credit","Neutral")))</f>
        <v>Credit</v>
      </c>
      <c r="L46" s="163" t="s">
        <v>500</v>
      </c>
      <c r="M46" s="171"/>
    </row>
    <row r="47" spans="3:13" ht="30" customHeight="1" x14ac:dyDescent="0.25">
      <c r="C47" s="175">
        <v>45</v>
      </c>
      <c r="D47" s="163">
        <v>44319</v>
      </c>
      <c r="E47" s="171">
        <v>-100</v>
      </c>
      <c r="F47" s="171">
        <v>1.4999999999999999E-2</v>
      </c>
      <c r="G47" s="172">
        <v>1</v>
      </c>
      <c r="H47" s="171">
        <f>tbTransactions[[#This Row],[Qty]]*tbTransactions[[#This Row],[Unit Cost]]*tbTransactions[[#This Row],[Exchange Rate]]</f>
        <v>-1.5</v>
      </c>
      <c r="I47" s="148" t="s">
        <v>504</v>
      </c>
      <c r="J47" s="176" t="s">
        <v>411</v>
      </c>
      <c r="K47" s="163" t="str">
        <f>IF(tbTransactions[[#This Row],[Sub-Type]]="Transfer","Neutral",IF(tbTransactions[[#This Row],[Qty]]&lt;0,"Debit",IF(tbTransactions[[#This Row],[Qty]]&gt;0,"Credit","Neutral")))</f>
        <v>Debit</v>
      </c>
      <c r="L47" s="163" t="s">
        <v>12</v>
      </c>
      <c r="M47" s="171"/>
    </row>
    <row r="48" spans="3:13" ht="30" customHeight="1" x14ac:dyDescent="0.25">
      <c r="C48" s="175">
        <v>46</v>
      </c>
      <c r="D48" s="163">
        <v>44321</v>
      </c>
      <c r="E48" s="171">
        <v>-3000</v>
      </c>
      <c r="F48" s="171">
        <v>1</v>
      </c>
      <c r="G48" s="172">
        <v>1</v>
      </c>
      <c r="H48" s="171">
        <f>tbTransactions[[#This Row],[Qty]]*tbTransactions[[#This Row],[Unit Cost]]*tbTransactions[[#This Row],[Exchange Rate]]</f>
        <v>-3000</v>
      </c>
      <c r="I48" s="148" t="s">
        <v>499</v>
      </c>
      <c r="J48" s="176" t="s">
        <v>411</v>
      </c>
      <c r="K48" s="163" t="str">
        <f>IF(tbTransactions[[#This Row],[Sub-Type]]="Transfer","Neutral",IF(tbTransactions[[#This Row],[Qty]]&lt;0,"Debit",IF(tbTransactions[[#This Row],[Qty]]&gt;0,"Credit","Neutral")))</f>
        <v>Debit</v>
      </c>
      <c r="L48" s="163" t="s">
        <v>502</v>
      </c>
      <c r="M48" s="171"/>
    </row>
    <row r="49" spans="3:13" ht="30" customHeight="1" x14ac:dyDescent="0.25">
      <c r="C49" s="175">
        <v>47</v>
      </c>
      <c r="D49" s="163">
        <v>44321</v>
      </c>
      <c r="E49" s="171">
        <v>3000</v>
      </c>
      <c r="F49" s="171">
        <v>1</v>
      </c>
      <c r="G49" s="172">
        <v>1</v>
      </c>
      <c r="H49" s="171">
        <f>tbTransactions[[#This Row],[Qty]]*tbTransactions[[#This Row],[Unit Cost]]*tbTransactions[[#This Row],[Exchange Rate]]</f>
        <v>3000</v>
      </c>
      <c r="I49" s="148" t="s">
        <v>504</v>
      </c>
      <c r="J49" s="176" t="s">
        <v>411</v>
      </c>
      <c r="K49" s="163" t="str">
        <f>IF(tbTransactions[[#This Row],[Sub-Type]]="Transfer","Neutral",IF(tbTransactions[[#This Row],[Qty]]&lt;0,"Debit",IF(tbTransactions[[#This Row],[Qty]]&gt;0,"Credit","Neutral")))</f>
        <v>Credit</v>
      </c>
      <c r="L49" s="163" t="s">
        <v>500</v>
      </c>
      <c r="M49" s="171"/>
    </row>
    <row r="50" spans="3:13" ht="30" customHeight="1" x14ac:dyDescent="0.25">
      <c r="C50" s="175">
        <v>48</v>
      </c>
      <c r="D50" s="163">
        <v>44321</v>
      </c>
      <c r="E50" s="171">
        <v>-3000</v>
      </c>
      <c r="F50" s="171">
        <v>1.4999999999999999E-2</v>
      </c>
      <c r="G50" s="172">
        <v>1</v>
      </c>
      <c r="H50" s="171">
        <f>tbTransactions[[#This Row],[Qty]]*tbTransactions[[#This Row],[Unit Cost]]*tbTransactions[[#This Row],[Exchange Rate]]</f>
        <v>-45</v>
      </c>
      <c r="I50" s="148" t="s">
        <v>504</v>
      </c>
      <c r="J50" s="176" t="s">
        <v>411</v>
      </c>
      <c r="K50" s="163" t="str">
        <f>IF(tbTransactions[[#This Row],[Sub-Type]]="Transfer","Neutral",IF(tbTransactions[[#This Row],[Qty]]&lt;0,"Debit",IF(tbTransactions[[#This Row],[Qty]]&gt;0,"Credit","Neutral")))</f>
        <v>Debit</v>
      </c>
      <c r="L50" s="163" t="s">
        <v>12</v>
      </c>
      <c r="M50" s="171"/>
    </row>
    <row r="51" spans="3:13" ht="30" customHeight="1" x14ac:dyDescent="0.25">
      <c r="C51" s="175">
        <v>49</v>
      </c>
      <c r="D51" s="163">
        <v>44321</v>
      </c>
      <c r="E51" s="171">
        <v>-0.68482502999999995</v>
      </c>
      <c r="F51" s="171">
        <v>4380.6809999999996</v>
      </c>
      <c r="G51" s="172">
        <v>1</v>
      </c>
      <c r="H51" s="171">
        <f>tbTransactions[[#This Row],[Qty]]*tbTransactions[[#This Row],[Unit Cost]]*tbTransactions[[#This Row],[Exchange Rate]]</f>
        <v>-2999.9999972454293</v>
      </c>
      <c r="I51" s="148" t="s">
        <v>504</v>
      </c>
      <c r="J51" s="176" t="s">
        <v>411</v>
      </c>
      <c r="K51" s="163" t="str">
        <f>IF(tbTransactions[[#This Row],[Sub-Type]]="Transfer","Neutral",IF(tbTransactions[[#This Row],[Qty]]&lt;0,"Debit",IF(tbTransactions[[#This Row],[Qty]]&gt;0,"Credit","Neutral")))</f>
        <v>Debit</v>
      </c>
      <c r="L51" s="163" t="s">
        <v>501</v>
      </c>
      <c r="M51" s="171"/>
    </row>
    <row r="52" spans="3:13" ht="30" customHeight="1" x14ac:dyDescent="0.25">
      <c r="C52" s="175">
        <v>50</v>
      </c>
      <c r="D52" s="163">
        <v>44321</v>
      </c>
      <c r="E52" s="171">
        <v>0.68482502999999995</v>
      </c>
      <c r="F52" s="171">
        <v>4380.6809999999996</v>
      </c>
      <c r="G52" s="172">
        <v>1</v>
      </c>
      <c r="H52" s="171">
        <f>tbTransactions[[#This Row],[Qty]]*tbTransactions[[#This Row],[Unit Cost]]*tbTransactions[[#This Row],[Exchange Rate]]</f>
        <v>2999.9999972454293</v>
      </c>
      <c r="I52" s="148" t="s">
        <v>504</v>
      </c>
      <c r="J52" s="176" t="s">
        <v>22</v>
      </c>
      <c r="K52" s="163" t="str">
        <f>IF(tbTransactions[[#This Row],[Sub-Type]]="Transfer","Neutral",IF(tbTransactions[[#This Row],[Qty]]&lt;0,"Debit",IF(tbTransactions[[#This Row],[Qty]]&gt;0,"Credit","Neutral")))</f>
        <v>Credit</v>
      </c>
      <c r="L52" s="163" t="s">
        <v>505</v>
      </c>
      <c r="M52" s="171" t="s">
        <v>439</v>
      </c>
    </row>
    <row r="53" spans="3:13" ht="30" customHeight="1" x14ac:dyDescent="0.25">
      <c r="C53" s="175">
        <v>51</v>
      </c>
      <c r="D53" s="163">
        <v>44322</v>
      </c>
      <c r="E53" s="171">
        <v>-50.527660349999998</v>
      </c>
      <c r="F53" s="171">
        <v>1.9970000000000001</v>
      </c>
      <c r="G53" s="172">
        <v>1</v>
      </c>
      <c r="H53" s="171">
        <f>tbTransactions[[#This Row],[Qty]]*tbTransactions[[#This Row],[Unit Cost]]*tbTransactions[[#This Row],[Exchange Rate]]</f>
        <v>-100.90373771895</v>
      </c>
      <c r="I53" s="148" t="s">
        <v>504</v>
      </c>
      <c r="J53" s="176" t="s">
        <v>28</v>
      </c>
      <c r="K53" s="163" t="str">
        <f>IF(tbTransactions[[#This Row],[Sub-Type]]="Transfer","Neutral",IF(tbTransactions[[#This Row],[Qty]]&lt;0,"Debit",IF(tbTransactions[[#This Row],[Qty]]&gt;0,"Credit","Neutral")))</f>
        <v>Debit</v>
      </c>
      <c r="L53" s="163" t="s">
        <v>506</v>
      </c>
      <c r="M53" s="171" t="s">
        <v>453</v>
      </c>
    </row>
    <row r="54" spans="3:13" ht="30" customHeight="1" x14ac:dyDescent="0.25">
      <c r="C54" s="175">
        <v>52</v>
      </c>
      <c r="D54" s="163">
        <v>44322</v>
      </c>
      <c r="E54" s="171">
        <v>50.527660349999998</v>
      </c>
      <c r="F54" s="171">
        <v>1.9970000000000001</v>
      </c>
      <c r="G54" s="172">
        <v>1</v>
      </c>
      <c r="H54" s="171">
        <f>tbTransactions[[#This Row],[Qty]]*tbTransactions[[#This Row],[Unit Cost]]*tbTransactions[[#This Row],[Exchange Rate]]</f>
        <v>100.90373771895</v>
      </c>
      <c r="I54" s="148" t="s">
        <v>504</v>
      </c>
      <c r="J54" s="176" t="s">
        <v>411</v>
      </c>
      <c r="K54" s="163" t="str">
        <f>IF(tbTransactions[[#This Row],[Sub-Type]]="Transfer","Neutral",IF(tbTransactions[[#This Row],[Qty]]&lt;0,"Debit",IF(tbTransactions[[#This Row],[Qty]]&gt;0,"Credit","Neutral")))</f>
        <v>Credit</v>
      </c>
      <c r="L54" s="163" t="s">
        <v>500</v>
      </c>
      <c r="M54" s="171"/>
    </row>
    <row r="55" spans="3:13" ht="30" customHeight="1" x14ac:dyDescent="0.25">
      <c r="C55" s="175">
        <v>53</v>
      </c>
      <c r="D55" s="163">
        <v>44322</v>
      </c>
      <c r="E55" s="171">
        <v>-49</v>
      </c>
      <c r="F55" s="171">
        <v>2.016</v>
      </c>
      <c r="G55" s="172">
        <v>1</v>
      </c>
      <c r="H55" s="171">
        <f>tbTransactions[[#This Row],[Qty]]*tbTransactions[[#This Row],[Unit Cost]]*tbTransactions[[#This Row],[Exchange Rate]]</f>
        <v>-98.784000000000006</v>
      </c>
      <c r="I55" s="148" t="s">
        <v>504</v>
      </c>
      <c r="J55" s="176" t="s">
        <v>411</v>
      </c>
      <c r="K55" s="163" t="str">
        <f>IF(tbTransactions[[#This Row],[Sub-Type]]="Transfer","Neutral",IF(tbTransactions[[#This Row],[Qty]]&lt;0,"Debit",IF(tbTransactions[[#This Row],[Qty]]&gt;0,"Credit","Neutral")))</f>
        <v>Debit</v>
      </c>
      <c r="L55" s="163" t="s">
        <v>501</v>
      </c>
      <c r="M55" s="171"/>
    </row>
    <row r="56" spans="3:13" ht="30" customHeight="1" x14ac:dyDescent="0.25">
      <c r="C56" s="175">
        <v>54</v>
      </c>
      <c r="D56" s="163">
        <v>44322</v>
      </c>
      <c r="E56" s="171">
        <v>49</v>
      </c>
      <c r="F56" s="171">
        <v>2.016</v>
      </c>
      <c r="G56" s="172">
        <v>1</v>
      </c>
      <c r="H56" s="171">
        <f>tbTransactions[[#This Row],[Qty]]*tbTransactions[[#This Row],[Unit Cost]]*tbTransactions[[#This Row],[Exchange Rate]]</f>
        <v>98.784000000000006</v>
      </c>
      <c r="I56" s="148" t="s">
        <v>504</v>
      </c>
      <c r="J56" s="176" t="s">
        <v>17</v>
      </c>
      <c r="K56" s="163" t="str">
        <f>IF(tbTransactions[[#This Row],[Sub-Type]]="Transfer","Neutral",IF(tbTransactions[[#This Row],[Qty]]&lt;0,"Debit",IF(tbTransactions[[#This Row],[Qty]]&gt;0,"Credit","Neutral")))</f>
        <v>Credit</v>
      </c>
      <c r="L56" s="163" t="s">
        <v>505</v>
      </c>
      <c r="M56" s="171" t="s">
        <v>454</v>
      </c>
    </row>
    <row r="57" spans="3:13" ht="30" customHeight="1" x14ac:dyDescent="0.25">
      <c r="C57" s="175">
        <v>55</v>
      </c>
      <c r="D57" s="163">
        <v>44323</v>
      </c>
      <c r="E57" s="171">
        <v>-3000</v>
      </c>
      <c r="F57" s="171">
        <v>1</v>
      </c>
      <c r="G57" s="172">
        <v>1</v>
      </c>
      <c r="H57" s="171">
        <f>tbTransactions[[#This Row],[Qty]]*tbTransactions[[#This Row],[Unit Cost]]*tbTransactions[[#This Row],[Exchange Rate]]</f>
        <v>-3000</v>
      </c>
      <c r="I57" s="148" t="s">
        <v>499</v>
      </c>
      <c r="J57" s="176" t="s">
        <v>411</v>
      </c>
      <c r="K57" s="163" t="str">
        <f>IF(tbTransactions[[#This Row],[Sub-Type]]="Transfer","Neutral",IF(tbTransactions[[#This Row],[Qty]]&lt;0,"Debit",IF(tbTransactions[[#This Row],[Qty]]&gt;0,"Credit","Neutral")))</f>
        <v>Debit</v>
      </c>
      <c r="L57" s="163" t="s">
        <v>502</v>
      </c>
      <c r="M57" s="171"/>
    </row>
    <row r="58" spans="3:13" ht="30" customHeight="1" x14ac:dyDescent="0.25">
      <c r="C58" s="175">
        <v>56</v>
      </c>
      <c r="D58" s="163">
        <v>44323</v>
      </c>
      <c r="E58" s="171">
        <v>3000</v>
      </c>
      <c r="F58" s="171">
        <v>1</v>
      </c>
      <c r="G58" s="172">
        <v>1</v>
      </c>
      <c r="H58" s="171">
        <f>tbTransactions[[#This Row],[Qty]]*tbTransactions[[#This Row],[Unit Cost]]*tbTransactions[[#This Row],[Exchange Rate]]</f>
        <v>3000</v>
      </c>
      <c r="I58" s="148" t="s">
        <v>504</v>
      </c>
      <c r="J58" s="176" t="s">
        <v>411</v>
      </c>
      <c r="K58" s="163" t="str">
        <f>IF(tbTransactions[[#This Row],[Sub-Type]]="Transfer","Neutral",IF(tbTransactions[[#This Row],[Qty]]&lt;0,"Debit",IF(tbTransactions[[#This Row],[Qty]]&gt;0,"Credit","Neutral")))</f>
        <v>Credit</v>
      </c>
      <c r="L58" s="163" t="s">
        <v>500</v>
      </c>
      <c r="M58" s="171"/>
    </row>
    <row r="59" spans="3:13" ht="30" customHeight="1" x14ac:dyDescent="0.25">
      <c r="C59" s="175">
        <v>57</v>
      </c>
      <c r="D59" s="163">
        <v>44323</v>
      </c>
      <c r="E59" s="171">
        <v>-3000</v>
      </c>
      <c r="F59" s="171">
        <v>1.4999999999999999E-2</v>
      </c>
      <c r="G59" s="172">
        <v>1</v>
      </c>
      <c r="H59" s="171">
        <f>tbTransactions[[#This Row],[Qty]]*tbTransactions[[#This Row],[Unit Cost]]*tbTransactions[[#This Row],[Exchange Rate]]</f>
        <v>-45</v>
      </c>
      <c r="I59" s="148" t="s">
        <v>504</v>
      </c>
      <c r="J59" s="176" t="s">
        <v>411</v>
      </c>
      <c r="K59" s="163" t="str">
        <f>IF(tbTransactions[[#This Row],[Sub-Type]]="Transfer","Neutral",IF(tbTransactions[[#This Row],[Qty]]&lt;0,"Debit",IF(tbTransactions[[#This Row],[Qty]]&gt;0,"Credit","Neutral")))</f>
        <v>Debit</v>
      </c>
      <c r="L59" s="163" t="s">
        <v>12</v>
      </c>
      <c r="M59" s="171"/>
    </row>
    <row r="60" spans="3:13" ht="30" customHeight="1" x14ac:dyDescent="0.25">
      <c r="C60" s="175">
        <v>58</v>
      </c>
      <c r="D60" s="163">
        <v>44323</v>
      </c>
      <c r="E60" s="171">
        <v>-475</v>
      </c>
      <c r="F60" s="171">
        <v>2.101</v>
      </c>
      <c r="G60" s="172">
        <v>1</v>
      </c>
      <c r="H60" s="171">
        <f>tbTransactions[[#This Row],[Qty]]*tbTransactions[[#This Row],[Unit Cost]]*tbTransactions[[#This Row],[Exchange Rate]]</f>
        <v>-997.97500000000002</v>
      </c>
      <c r="I60" s="148" t="s">
        <v>504</v>
      </c>
      <c r="J60" s="176" t="s">
        <v>411</v>
      </c>
      <c r="K60" s="163" t="str">
        <f>IF(tbTransactions[[#This Row],[Sub-Type]]="Transfer","Neutral",IF(tbTransactions[[#This Row],[Qty]]&lt;0,"Debit",IF(tbTransactions[[#This Row],[Qty]]&gt;0,"Credit","Neutral")))</f>
        <v>Debit</v>
      </c>
      <c r="L60" s="163" t="s">
        <v>501</v>
      </c>
      <c r="M60" s="171"/>
    </row>
    <row r="61" spans="3:13" ht="30" customHeight="1" x14ac:dyDescent="0.25">
      <c r="C61" s="175">
        <v>59</v>
      </c>
      <c r="D61" s="163">
        <v>44323</v>
      </c>
      <c r="E61" s="171">
        <v>475</v>
      </c>
      <c r="F61" s="171">
        <v>2.101</v>
      </c>
      <c r="G61" s="172">
        <v>1</v>
      </c>
      <c r="H61" s="171">
        <f>tbTransactions[[#This Row],[Qty]]*tbTransactions[[#This Row],[Unit Cost]]*tbTransactions[[#This Row],[Exchange Rate]]</f>
        <v>997.97500000000002</v>
      </c>
      <c r="I61" s="148" t="s">
        <v>504</v>
      </c>
      <c r="J61" s="176" t="s">
        <v>17</v>
      </c>
      <c r="K61" s="163" t="str">
        <f>IF(tbTransactions[[#This Row],[Sub-Type]]="Transfer","Neutral",IF(tbTransactions[[#This Row],[Qty]]&lt;0,"Debit",IF(tbTransactions[[#This Row],[Qty]]&gt;0,"Credit","Neutral")))</f>
        <v>Credit</v>
      </c>
      <c r="L61" s="163" t="s">
        <v>505</v>
      </c>
      <c r="M61" s="171" t="s">
        <v>454</v>
      </c>
    </row>
    <row r="62" spans="3:13" ht="30" customHeight="1" x14ac:dyDescent="0.25">
      <c r="C62" s="175">
        <v>60</v>
      </c>
      <c r="D62" s="163">
        <v>44323</v>
      </c>
      <c r="E62" s="171">
        <v>-1234.56790123</v>
      </c>
      <c r="F62" s="171">
        <v>0.81</v>
      </c>
      <c r="G62" s="172">
        <v>1</v>
      </c>
      <c r="H62" s="171">
        <f>tbTransactions[[#This Row],[Qty]]*tbTransactions[[#This Row],[Unit Cost]]*tbTransactions[[#This Row],[Exchange Rate]]</f>
        <v>-999.99999999630006</v>
      </c>
      <c r="I62" s="148" t="s">
        <v>504</v>
      </c>
      <c r="J62" s="176" t="s">
        <v>411</v>
      </c>
      <c r="K62" s="163" t="str">
        <f>IF(tbTransactions[[#This Row],[Sub-Type]]="Transfer","Neutral",IF(tbTransactions[[#This Row],[Qty]]&lt;0,"Debit",IF(tbTransactions[[#This Row],[Qty]]&gt;0,"Credit","Neutral")))</f>
        <v>Debit</v>
      </c>
      <c r="L62" s="163" t="s">
        <v>501</v>
      </c>
      <c r="M62" s="171"/>
    </row>
    <row r="63" spans="3:13" ht="30" customHeight="1" x14ac:dyDescent="0.25">
      <c r="C63" s="175">
        <v>61</v>
      </c>
      <c r="D63" s="163">
        <v>44323</v>
      </c>
      <c r="E63" s="171">
        <v>1234.56790123</v>
      </c>
      <c r="F63" s="171">
        <v>0.81</v>
      </c>
      <c r="G63" s="172">
        <v>1</v>
      </c>
      <c r="H63" s="171">
        <f>tbTransactions[[#This Row],[Qty]]*tbTransactions[[#This Row],[Unit Cost]]*tbTransactions[[#This Row],[Exchange Rate]]</f>
        <v>999.99999999630006</v>
      </c>
      <c r="I63" s="148" t="s">
        <v>504</v>
      </c>
      <c r="J63" s="176" t="s">
        <v>25</v>
      </c>
      <c r="K63" s="163" t="str">
        <f>IF(tbTransactions[[#This Row],[Sub-Type]]="Transfer","Neutral",IF(tbTransactions[[#This Row],[Qty]]&lt;0,"Debit",IF(tbTransactions[[#This Row],[Qty]]&gt;0,"Credit","Neutral")))</f>
        <v>Credit</v>
      </c>
      <c r="L63" s="163" t="s">
        <v>505</v>
      </c>
      <c r="M63" s="171" t="s">
        <v>452</v>
      </c>
    </row>
    <row r="64" spans="3:13" ht="30" customHeight="1" x14ac:dyDescent="0.25">
      <c r="C64" s="175">
        <v>62</v>
      </c>
      <c r="D64" s="163">
        <v>44323</v>
      </c>
      <c r="E64" s="171">
        <v>-75.705505279999997</v>
      </c>
      <c r="F64" s="171">
        <v>13.209</v>
      </c>
      <c r="G64" s="172">
        <v>1</v>
      </c>
      <c r="H64" s="171">
        <f>tbTransactions[[#This Row],[Qty]]*tbTransactions[[#This Row],[Unit Cost]]*tbTransactions[[#This Row],[Exchange Rate]]</f>
        <v>-999.99401924351992</v>
      </c>
      <c r="I64" s="148" t="s">
        <v>504</v>
      </c>
      <c r="J64" s="176" t="s">
        <v>411</v>
      </c>
      <c r="K64" s="163" t="str">
        <f>IF(tbTransactions[[#This Row],[Sub-Type]]="Transfer","Neutral",IF(tbTransactions[[#This Row],[Qty]]&lt;0,"Debit",IF(tbTransactions[[#This Row],[Qty]]&gt;0,"Credit","Neutral")))</f>
        <v>Debit</v>
      </c>
      <c r="L64" s="163" t="s">
        <v>501</v>
      </c>
      <c r="M64" s="171"/>
    </row>
    <row r="65" spans="3:13" ht="30" customHeight="1" x14ac:dyDescent="0.25">
      <c r="C65" s="175">
        <v>63</v>
      </c>
      <c r="D65" s="163">
        <v>44323</v>
      </c>
      <c r="E65" s="171">
        <v>75.705505279999997</v>
      </c>
      <c r="F65" s="171">
        <v>13.209</v>
      </c>
      <c r="G65" s="172">
        <v>1</v>
      </c>
      <c r="H65" s="171">
        <f>tbTransactions[[#This Row],[Qty]]*tbTransactions[[#This Row],[Unit Cost]]*tbTransactions[[#This Row],[Exchange Rate]]</f>
        <v>999.99401924351992</v>
      </c>
      <c r="I65" s="148" t="s">
        <v>504</v>
      </c>
      <c r="J65" s="176" t="s">
        <v>21</v>
      </c>
      <c r="K65" s="163" t="str">
        <f>IF(tbTransactions[[#This Row],[Sub-Type]]="Transfer","Neutral",IF(tbTransactions[[#This Row],[Qty]]&lt;0,"Debit",IF(tbTransactions[[#This Row],[Qty]]&gt;0,"Credit","Neutral")))</f>
        <v>Credit</v>
      </c>
      <c r="L65" s="163" t="s">
        <v>505</v>
      </c>
      <c r="M65" s="171" t="s">
        <v>450</v>
      </c>
    </row>
    <row r="66" spans="3:13" ht="30" customHeight="1" x14ac:dyDescent="0.25">
      <c r="C66" s="175">
        <v>64</v>
      </c>
      <c r="D66" s="163">
        <v>44324</v>
      </c>
      <c r="E66" s="171">
        <v>-2000</v>
      </c>
      <c r="F66" s="171">
        <v>1</v>
      </c>
      <c r="G66" s="172">
        <v>1</v>
      </c>
      <c r="H66" s="171">
        <f>tbTransactions[[#This Row],[Qty]]*tbTransactions[[#This Row],[Unit Cost]]*tbTransactions[[#This Row],[Exchange Rate]]</f>
        <v>-2000</v>
      </c>
      <c r="I66" s="148" t="s">
        <v>499</v>
      </c>
      <c r="J66" s="176" t="s">
        <v>411</v>
      </c>
      <c r="K66" s="163" t="str">
        <f>IF(tbTransactions[[#This Row],[Sub-Type]]="Transfer","Neutral",IF(tbTransactions[[#This Row],[Qty]]&lt;0,"Debit",IF(tbTransactions[[#This Row],[Qty]]&gt;0,"Credit","Neutral")))</f>
        <v>Debit</v>
      </c>
      <c r="L66" s="163" t="s">
        <v>502</v>
      </c>
      <c r="M66" s="171"/>
    </row>
    <row r="67" spans="3:13" ht="30" customHeight="1" x14ac:dyDescent="0.25">
      <c r="C67" s="175">
        <v>65</v>
      </c>
      <c r="D67" s="163">
        <v>44324</v>
      </c>
      <c r="E67" s="171">
        <v>2000</v>
      </c>
      <c r="F67" s="171">
        <v>1</v>
      </c>
      <c r="G67" s="172">
        <v>1</v>
      </c>
      <c r="H67" s="171">
        <f>tbTransactions[[#This Row],[Qty]]*tbTransactions[[#This Row],[Unit Cost]]*tbTransactions[[#This Row],[Exchange Rate]]</f>
        <v>2000</v>
      </c>
      <c r="I67" s="148" t="s">
        <v>504</v>
      </c>
      <c r="J67" s="176" t="s">
        <v>411</v>
      </c>
      <c r="K67" s="163" t="str">
        <f>IF(tbTransactions[[#This Row],[Sub-Type]]="Transfer","Neutral",IF(tbTransactions[[#This Row],[Qty]]&lt;0,"Debit",IF(tbTransactions[[#This Row],[Qty]]&gt;0,"Credit","Neutral")))</f>
        <v>Credit</v>
      </c>
      <c r="L67" s="163" t="s">
        <v>500</v>
      </c>
      <c r="M67" s="171"/>
    </row>
    <row r="68" spans="3:13" ht="30" customHeight="1" x14ac:dyDescent="0.25">
      <c r="C68" s="175">
        <v>66</v>
      </c>
      <c r="D68" s="163">
        <v>44324</v>
      </c>
      <c r="E68" s="171">
        <v>-2000</v>
      </c>
      <c r="F68" s="171">
        <v>1.4999999999999999E-2</v>
      </c>
      <c r="G68" s="172">
        <v>1</v>
      </c>
      <c r="H68" s="171">
        <f>tbTransactions[[#This Row],[Qty]]*tbTransactions[[#This Row],[Unit Cost]]*tbTransactions[[#This Row],[Exchange Rate]]</f>
        <v>-30</v>
      </c>
      <c r="I68" s="148" t="s">
        <v>504</v>
      </c>
      <c r="J68" s="176" t="s">
        <v>411</v>
      </c>
      <c r="K68" s="163" t="str">
        <f>IF(tbTransactions[[#This Row],[Sub-Type]]="Transfer","Neutral",IF(tbTransactions[[#This Row],[Qty]]&lt;0,"Debit",IF(tbTransactions[[#This Row],[Qty]]&gt;0,"Credit","Neutral")))</f>
        <v>Debit</v>
      </c>
      <c r="L68" s="163" t="s">
        <v>12</v>
      </c>
      <c r="M68" s="171"/>
    </row>
    <row r="69" spans="3:13" ht="30" customHeight="1" x14ac:dyDescent="0.25">
      <c r="C69" s="175">
        <v>67</v>
      </c>
      <c r="D69" s="163">
        <v>44324</v>
      </c>
      <c r="E69" s="171">
        <v>-0.41699999999999998</v>
      </c>
      <c r="F69" s="171">
        <v>4670</v>
      </c>
      <c r="G69" s="172">
        <v>1</v>
      </c>
      <c r="H69" s="171">
        <f>tbTransactions[[#This Row],[Qty]]*tbTransactions[[#This Row],[Unit Cost]]*tbTransactions[[#This Row],[Exchange Rate]]</f>
        <v>-1947.3899999999999</v>
      </c>
      <c r="I69" s="148" t="s">
        <v>504</v>
      </c>
      <c r="J69" s="176" t="s">
        <v>411</v>
      </c>
      <c r="K69" s="163" t="str">
        <f>IF(tbTransactions[[#This Row],[Sub-Type]]="Transfer","Neutral",IF(tbTransactions[[#This Row],[Qty]]&lt;0,"Debit",IF(tbTransactions[[#This Row],[Qty]]&gt;0,"Credit","Neutral")))</f>
        <v>Debit</v>
      </c>
      <c r="L69" s="163" t="s">
        <v>501</v>
      </c>
      <c r="M69" s="171"/>
    </row>
    <row r="70" spans="3:13" ht="30" customHeight="1" x14ac:dyDescent="0.25">
      <c r="C70" s="175">
        <v>68</v>
      </c>
      <c r="D70" s="163">
        <v>44324</v>
      </c>
      <c r="E70" s="171">
        <v>0.41699999999999998</v>
      </c>
      <c r="F70" s="171">
        <v>4670</v>
      </c>
      <c r="G70" s="172">
        <v>1</v>
      </c>
      <c r="H70" s="171">
        <f>tbTransactions[[#This Row],[Qty]]*tbTransactions[[#This Row],[Unit Cost]]*tbTransactions[[#This Row],[Exchange Rate]]</f>
        <v>1947.3899999999999</v>
      </c>
      <c r="I70" s="148" t="s">
        <v>504</v>
      </c>
      <c r="J70" s="176" t="s">
        <v>22</v>
      </c>
      <c r="K70" s="163" t="str">
        <f>IF(tbTransactions[[#This Row],[Sub-Type]]="Transfer","Neutral",IF(tbTransactions[[#This Row],[Qty]]&lt;0,"Debit",IF(tbTransactions[[#This Row],[Qty]]&gt;0,"Credit","Neutral")))</f>
        <v>Credit</v>
      </c>
      <c r="L70" s="163" t="s">
        <v>505</v>
      </c>
      <c r="M70" s="171" t="s">
        <v>439</v>
      </c>
    </row>
    <row r="71" spans="3:13" ht="30" customHeight="1" x14ac:dyDescent="0.25">
      <c r="C71" s="175">
        <v>69</v>
      </c>
      <c r="D71" s="163">
        <v>44326</v>
      </c>
      <c r="E71" s="171">
        <v>-2000</v>
      </c>
      <c r="F71" s="171">
        <v>1</v>
      </c>
      <c r="G71" s="172">
        <v>1</v>
      </c>
      <c r="H71" s="171">
        <f>tbTransactions[[#This Row],[Qty]]*tbTransactions[[#This Row],[Unit Cost]]*tbTransactions[[#This Row],[Exchange Rate]]</f>
        <v>-2000</v>
      </c>
      <c r="I71" s="148" t="s">
        <v>499</v>
      </c>
      <c r="J71" s="176" t="s">
        <v>411</v>
      </c>
      <c r="K71" s="163" t="str">
        <f>IF(tbTransactions[[#This Row],[Sub-Type]]="Transfer","Neutral",IF(tbTransactions[[#This Row],[Qty]]&lt;0,"Debit",IF(tbTransactions[[#This Row],[Qty]]&gt;0,"Credit","Neutral")))</f>
        <v>Debit</v>
      </c>
      <c r="L71" s="163" t="s">
        <v>502</v>
      </c>
      <c r="M71" s="171"/>
    </row>
    <row r="72" spans="3:13" ht="30" customHeight="1" x14ac:dyDescent="0.25">
      <c r="C72" s="175">
        <v>70</v>
      </c>
      <c r="D72" s="163">
        <v>44326</v>
      </c>
      <c r="E72" s="171">
        <v>2000</v>
      </c>
      <c r="F72" s="171">
        <v>1</v>
      </c>
      <c r="G72" s="172">
        <v>1</v>
      </c>
      <c r="H72" s="171">
        <f>tbTransactions[[#This Row],[Qty]]*tbTransactions[[#This Row],[Unit Cost]]*tbTransactions[[#This Row],[Exchange Rate]]</f>
        <v>2000</v>
      </c>
      <c r="I72" s="148" t="s">
        <v>504</v>
      </c>
      <c r="J72" s="176" t="s">
        <v>411</v>
      </c>
      <c r="K72" s="163" t="str">
        <f>IF(tbTransactions[[#This Row],[Sub-Type]]="Transfer","Neutral",IF(tbTransactions[[#This Row],[Qty]]&lt;0,"Debit",IF(tbTransactions[[#This Row],[Qty]]&gt;0,"Credit","Neutral")))</f>
        <v>Credit</v>
      </c>
      <c r="L72" s="163" t="s">
        <v>500</v>
      </c>
      <c r="M72" s="171"/>
    </row>
    <row r="73" spans="3:13" ht="30" customHeight="1" x14ac:dyDescent="0.25">
      <c r="C73" s="175">
        <v>71</v>
      </c>
      <c r="D73" s="163">
        <v>44326</v>
      </c>
      <c r="E73" s="171">
        <v>-2000</v>
      </c>
      <c r="F73" s="171">
        <v>1.4999999999999999E-2</v>
      </c>
      <c r="G73" s="172">
        <v>1</v>
      </c>
      <c r="H73" s="171">
        <f>tbTransactions[[#This Row],[Qty]]*tbTransactions[[#This Row],[Unit Cost]]*tbTransactions[[#This Row],[Exchange Rate]]</f>
        <v>-30</v>
      </c>
      <c r="I73" s="148" t="s">
        <v>504</v>
      </c>
      <c r="J73" s="176" t="s">
        <v>411</v>
      </c>
      <c r="K73" s="163" t="str">
        <f>IF(tbTransactions[[#This Row],[Sub-Type]]="Transfer","Neutral",IF(tbTransactions[[#This Row],[Qty]]&lt;0,"Debit",IF(tbTransactions[[#This Row],[Qty]]&gt;0,"Credit","Neutral")))</f>
        <v>Debit</v>
      </c>
      <c r="L73" s="163" t="s">
        <v>12</v>
      </c>
      <c r="M73" s="171"/>
    </row>
    <row r="74" spans="3:13" ht="30" customHeight="1" x14ac:dyDescent="0.25">
      <c r="C74" s="175">
        <v>72</v>
      </c>
      <c r="D74" s="163">
        <v>44326</v>
      </c>
      <c r="E74" s="171">
        <v>-10.3</v>
      </c>
      <c r="F74" s="171">
        <v>2.09</v>
      </c>
      <c r="G74" s="172">
        <v>1</v>
      </c>
      <c r="H74" s="171">
        <f>tbTransactions[[#This Row],[Qty]]*tbTransactions[[#This Row],[Unit Cost]]*tbTransactions[[#This Row],[Exchange Rate]]</f>
        <v>-21.527000000000001</v>
      </c>
      <c r="I74" s="148" t="s">
        <v>504</v>
      </c>
      <c r="J74" s="176" t="s">
        <v>411</v>
      </c>
      <c r="K74" s="163" t="str">
        <f>IF(tbTransactions[[#This Row],[Sub-Type]]="Transfer","Neutral",IF(tbTransactions[[#This Row],[Qty]]&lt;0,"Debit",IF(tbTransactions[[#This Row],[Qty]]&gt;0,"Credit","Neutral")))</f>
        <v>Debit</v>
      </c>
      <c r="L74" s="163" t="s">
        <v>501</v>
      </c>
      <c r="M74" s="171"/>
    </row>
    <row r="75" spans="3:13" ht="30" customHeight="1" x14ac:dyDescent="0.25">
      <c r="C75" s="175">
        <v>73</v>
      </c>
      <c r="D75" s="163">
        <v>44326</v>
      </c>
      <c r="E75" s="171">
        <v>10.3</v>
      </c>
      <c r="F75" s="171">
        <v>2.09</v>
      </c>
      <c r="G75" s="172">
        <v>1</v>
      </c>
      <c r="H75" s="171">
        <f>tbTransactions[[#This Row],[Qty]]*tbTransactions[[#This Row],[Unit Cost]]*tbTransactions[[#This Row],[Exchange Rate]]</f>
        <v>21.527000000000001</v>
      </c>
      <c r="I75" s="148" t="s">
        <v>504</v>
      </c>
      <c r="J75" s="176" t="s">
        <v>17</v>
      </c>
      <c r="K75" s="163" t="str">
        <f>IF(tbTransactions[[#This Row],[Sub-Type]]="Transfer","Neutral",IF(tbTransactions[[#This Row],[Qty]]&lt;0,"Debit",IF(tbTransactions[[#This Row],[Qty]]&gt;0,"Credit","Neutral")))</f>
        <v>Credit</v>
      </c>
      <c r="L75" s="163" t="s">
        <v>505</v>
      </c>
      <c r="M75" s="171" t="s">
        <v>454</v>
      </c>
    </row>
    <row r="76" spans="3:13" ht="30" customHeight="1" x14ac:dyDescent="0.25">
      <c r="C76" s="175">
        <v>74</v>
      </c>
      <c r="D76" s="163">
        <v>44326</v>
      </c>
      <c r="E76" s="171">
        <v>-800</v>
      </c>
      <c r="F76" s="171">
        <v>2.09</v>
      </c>
      <c r="G76" s="172">
        <v>1</v>
      </c>
      <c r="H76" s="171">
        <f>tbTransactions[[#This Row],[Qty]]*tbTransactions[[#This Row],[Unit Cost]]*tbTransactions[[#This Row],[Exchange Rate]]</f>
        <v>-1672</v>
      </c>
      <c r="I76" s="148" t="s">
        <v>504</v>
      </c>
      <c r="J76" s="176" t="s">
        <v>411</v>
      </c>
      <c r="K76" s="163" t="str">
        <f>IF(tbTransactions[[#This Row],[Sub-Type]]="Transfer","Neutral",IF(tbTransactions[[#This Row],[Qty]]&lt;0,"Debit",IF(tbTransactions[[#This Row],[Qty]]&gt;0,"Credit","Neutral")))</f>
        <v>Debit</v>
      </c>
      <c r="L76" s="163" t="s">
        <v>501</v>
      </c>
      <c r="M76" s="171"/>
    </row>
    <row r="77" spans="3:13" ht="30" customHeight="1" x14ac:dyDescent="0.25">
      <c r="C77" s="175">
        <v>75</v>
      </c>
      <c r="D77" s="163">
        <v>44326</v>
      </c>
      <c r="E77" s="171">
        <v>800</v>
      </c>
      <c r="F77" s="171">
        <v>2.09</v>
      </c>
      <c r="G77" s="172">
        <v>1</v>
      </c>
      <c r="H77" s="171">
        <f>tbTransactions[[#This Row],[Qty]]*tbTransactions[[#This Row],[Unit Cost]]*tbTransactions[[#This Row],[Exchange Rate]]</f>
        <v>1672</v>
      </c>
      <c r="I77" s="148" t="s">
        <v>504</v>
      </c>
      <c r="J77" s="176" t="s">
        <v>17</v>
      </c>
      <c r="K77" s="163" t="str">
        <f>IF(tbTransactions[[#This Row],[Sub-Type]]="Transfer","Neutral",IF(tbTransactions[[#This Row],[Qty]]&lt;0,"Debit",IF(tbTransactions[[#This Row],[Qty]]&gt;0,"Credit","Neutral")))</f>
        <v>Credit</v>
      </c>
      <c r="L77" s="163" t="s">
        <v>505</v>
      </c>
      <c r="M77" s="171" t="s">
        <v>454</v>
      </c>
    </row>
    <row r="78" spans="3:13" ht="30" customHeight="1" x14ac:dyDescent="0.25">
      <c r="C78" s="175">
        <v>76</v>
      </c>
      <c r="D78" s="163">
        <v>44326</v>
      </c>
      <c r="E78" s="171">
        <v>-146.69999999999999</v>
      </c>
      <c r="F78" s="171">
        <v>2.09</v>
      </c>
      <c r="G78" s="172">
        <v>1</v>
      </c>
      <c r="H78" s="171">
        <f>tbTransactions[[#This Row],[Qty]]*tbTransactions[[#This Row],[Unit Cost]]*tbTransactions[[#This Row],[Exchange Rate]]</f>
        <v>-306.60299999999995</v>
      </c>
      <c r="I78" s="148" t="s">
        <v>504</v>
      </c>
      <c r="J78" s="176" t="s">
        <v>411</v>
      </c>
      <c r="K78" s="163" t="str">
        <f>IF(tbTransactions[[#This Row],[Sub-Type]]="Transfer","Neutral",IF(tbTransactions[[#This Row],[Qty]]&lt;0,"Debit",IF(tbTransactions[[#This Row],[Qty]]&gt;0,"Credit","Neutral")))</f>
        <v>Debit</v>
      </c>
      <c r="L78" s="163" t="s">
        <v>501</v>
      </c>
      <c r="M78" s="171"/>
    </row>
    <row r="79" spans="3:13" ht="30" customHeight="1" x14ac:dyDescent="0.25">
      <c r="C79" s="175">
        <v>77</v>
      </c>
      <c r="D79" s="163">
        <v>44326</v>
      </c>
      <c r="E79" s="171">
        <v>146.69999999999999</v>
      </c>
      <c r="F79" s="171">
        <v>2.09</v>
      </c>
      <c r="G79" s="172">
        <v>1</v>
      </c>
      <c r="H79" s="171">
        <f>tbTransactions[[#This Row],[Qty]]*tbTransactions[[#This Row],[Unit Cost]]*tbTransactions[[#This Row],[Exchange Rate]]</f>
        <v>306.60299999999995</v>
      </c>
      <c r="I79" s="148" t="s">
        <v>504</v>
      </c>
      <c r="J79" s="176" t="s">
        <v>17</v>
      </c>
      <c r="K79" s="163" t="str">
        <f>IF(tbTransactions[[#This Row],[Sub-Type]]="Transfer","Neutral",IF(tbTransactions[[#This Row],[Qty]]&lt;0,"Debit",IF(tbTransactions[[#This Row],[Qty]]&gt;0,"Credit","Neutral")))</f>
        <v>Credit</v>
      </c>
      <c r="L79" s="163" t="s">
        <v>505</v>
      </c>
      <c r="M79" s="171" t="s">
        <v>454</v>
      </c>
    </row>
    <row r="80" spans="3:13" ht="30" customHeight="1" x14ac:dyDescent="0.25">
      <c r="C80" s="175">
        <v>78</v>
      </c>
      <c r="D80" s="163">
        <v>44327</v>
      </c>
      <c r="E80" s="171">
        <v>-5</v>
      </c>
      <c r="F80" s="171">
        <v>1</v>
      </c>
      <c r="G80" s="172">
        <v>1</v>
      </c>
      <c r="H80" s="171">
        <f>tbTransactions[[#This Row],[Qty]]*tbTransactions[[#This Row],[Unit Cost]]*tbTransactions[[#This Row],[Exchange Rate]]</f>
        <v>-5</v>
      </c>
      <c r="I80" s="148" t="s">
        <v>504</v>
      </c>
      <c r="J80" s="176" t="s">
        <v>17</v>
      </c>
      <c r="K80" s="163" t="str">
        <f>IF(tbTransactions[[#This Row],[Sub-Type]]="Transfer","Neutral",IF(tbTransactions[[#This Row],[Qty]]&lt;0,"Debit",IF(tbTransactions[[#This Row],[Qty]]&gt;0,"Credit","Neutral")))</f>
        <v>Neutral</v>
      </c>
      <c r="L80" s="163" t="s">
        <v>32</v>
      </c>
      <c r="M80" s="171" t="s">
        <v>35</v>
      </c>
    </row>
    <row r="81" spans="3:13" ht="30" customHeight="1" x14ac:dyDescent="0.25">
      <c r="C81" s="175">
        <v>79</v>
      </c>
      <c r="D81" s="163">
        <v>44327</v>
      </c>
      <c r="E81" s="171">
        <v>5</v>
      </c>
      <c r="F81" s="171">
        <v>1</v>
      </c>
      <c r="G81" s="172">
        <v>1</v>
      </c>
      <c r="H81" s="171">
        <f>tbTransactions[[#This Row],[Qty]]*tbTransactions[[#This Row],[Unit Cost]]*tbTransactions[[#This Row],[Exchange Rate]]</f>
        <v>5</v>
      </c>
      <c r="I81" s="148" t="s">
        <v>507</v>
      </c>
      <c r="J81" s="176" t="s">
        <v>17</v>
      </c>
      <c r="K81" s="163" t="str">
        <f>IF(tbTransactions[[#This Row],[Sub-Type]]="Transfer","Neutral",IF(tbTransactions[[#This Row],[Qty]]&lt;0,"Debit",IF(tbTransactions[[#This Row],[Qty]]&gt;0,"Credit","Neutral")))</f>
        <v>Neutral</v>
      </c>
      <c r="L81" s="163" t="s">
        <v>32</v>
      </c>
      <c r="M81" s="171" t="s">
        <v>35</v>
      </c>
    </row>
    <row r="82" spans="3:13" ht="30" customHeight="1" x14ac:dyDescent="0.25">
      <c r="C82" s="175">
        <v>80</v>
      </c>
      <c r="D82" s="163">
        <v>44327</v>
      </c>
      <c r="E82" s="171">
        <v>-1475.2628629999999</v>
      </c>
      <c r="F82" s="171">
        <v>1</v>
      </c>
      <c r="G82" s="172">
        <v>1</v>
      </c>
      <c r="H82" s="171">
        <f>tbTransactions[[#This Row],[Qty]]*tbTransactions[[#This Row],[Unit Cost]]*tbTransactions[[#This Row],[Exchange Rate]]</f>
        <v>-1475.2628629999999</v>
      </c>
      <c r="I82" s="148" t="s">
        <v>504</v>
      </c>
      <c r="J82" s="176" t="s">
        <v>17</v>
      </c>
      <c r="K82" s="163" t="str">
        <f>IF(tbTransactions[[#This Row],[Sub-Type]]="Transfer","Neutral",IF(tbTransactions[[#This Row],[Qty]]&lt;0,"Debit",IF(tbTransactions[[#This Row],[Qty]]&gt;0,"Credit","Neutral")))</f>
        <v>Neutral</v>
      </c>
      <c r="L82" s="163" t="s">
        <v>32</v>
      </c>
      <c r="M82" s="171" t="s">
        <v>35</v>
      </c>
    </row>
    <row r="83" spans="3:13" ht="30" customHeight="1" x14ac:dyDescent="0.25">
      <c r="C83" s="175">
        <v>81</v>
      </c>
      <c r="D83" s="163">
        <v>44327</v>
      </c>
      <c r="E83" s="171">
        <v>1475.2628629999999</v>
      </c>
      <c r="F83" s="171">
        <v>1</v>
      </c>
      <c r="G83" s="172">
        <v>1</v>
      </c>
      <c r="H83" s="171">
        <f>tbTransactions[[#This Row],[Qty]]*tbTransactions[[#This Row],[Unit Cost]]*tbTransactions[[#This Row],[Exchange Rate]]</f>
        <v>1475.2628629999999</v>
      </c>
      <c r="I83" s="148" t="s">
        <v>507</v>
      </c>
      <c r="J83" s="176" t="s">
        <v>17</v>
      </c>
      <c r="K83" s="163" t="str">
        <f>IF(tbTransactions[[#This Row],[Sub-Type]]="Transfer","Neutral",IF(tbTransactions[[#This Row],[Qty]]&lt;0,"Debit",IF(tbTransactions[[#This Row],[Qty]]&gt;0,"Credit","Neutral")))</f>
        <v>Neutral</v>
      </c>
      <c r="L83" s="163" t="s">
        <v>32</v>
      </c>
      <c r="M83" s="171" t="s">
        <v>35</v>
      </c>
    </row>
    <row r="84" spans="3:13" ht="30" customHeight="1" x14ac:dyDescent="0.25">
      <c r="C84" s="175">
        <v>82</v>
      </c>
      <c r="D84" s="163">
        <v>44327</v>
      </c>
      <c r="E84" s="171">
        <v>-5.7371370000000752</v>
      </c>
      <c r="F84" s="171">
        <v>1</v>
      </c>
      <c r="G84" s="172">
        <v>1</v>
      </c>
      <c r="H84" s="171">
        <f>tbTransactions[[#This Row],[Qty]]*tbTransactions[[#This Row],[Unit Cost]]*tbTransactions[[#This Row],[Exchange Rate]]</f>
        <v>-5.7371370000000752</v>
      </c>
      <c r="I84" s="148" t="s">
        <v>507</v>
      </c>
      <c r="J84" s="176" t="s">
        <v>17</v>
      </c>
      <c r="K84" s="163" t="str">
        <f>IF(tbTransactions[[#This Row],[Sub-Type]]="Transfer","Neutral",IF(tbTransactions[[#This Row],[Qty]]&lt;0,"Debit",IF(tbTransactions[[#This Row],[Qty]]&gt;0,"Credit","Neutral")))</f>
        <v>Debit</v>
      </c>
      <c r="L84" s="163" t="s">
        <v>12</v>
      </c>
      <c r="M84" s="171"/>
    </row>
    <row r="85" spans="3:13" ht="30" customHeight="1" x14ac:dyDescent="0.25">
      <c r="C85" s="175">
        <v>83</v>
      </c>
      <c r="D85" s="163">
        <v>44329</v>
      </c>
      <c r="E85" s="171">
        <v>-3000</v>
      </c>
      <c r="F85" s="171">
        <v>1</v>
      </c>
      <c r="G85" s="172">
        <v>1</v>
      </c>
      <c r="H85" s="171">
        <f>tbTransactions[[#This Row],[Qty]]*tbTransactions[[#This Row],[Unit Cost]]*tbTransactions[[#This Row],[Exchange Rate]]</f>
        <v>-3000</v>
      </c>
      <c r="I85" s="148" t="s">
        <v>499</v>
      </c>
      <c r="J85" s="176" t="s">
        <v>411</v>
      </c>
      <c r="K85" s="163" t="str">
        <f>IF(tbTransactions[[#This Row],[Sub-Type]]="Transfer","Neutral",IF(tbTransactions[[#This Row],[Qty]]&lt;0,"Debit",IF(tbTransactions[[#This Row],[Qty]]&gt;0,"Credit","Neutral")))</f>
        <v>Debit</v>
      </c>
      <c r="L85" s="163" t="s">
        <v>502</v>
      </c>
      <c r="M85" s="171"/>
    </row>
    <row r="86" spans="3:13" ht="30" customHeight="1" x14ac:dyDescent="0.25">
      <c r="C86" s="175">
        <v>84</v>
      </c>
      <c r="D86" s="163">
        <v>44329</v>
      </c>
      <c r="E86" s="171">
        <v>3000</v>
      </c>
      <c r="F86" s="171">
        <v>1</v>
      </c>
      <c r="G86" s="172">
        <v>1</v>
      </c>
      <c r="H86" s="171">
        <f>tbTransactions[[#This Row],[Qty]]*tbTransactions[[#This Row],[Unit Cost]]*tbTransactions[[#This Row],[Exchange Rate]]</f>
        <v>3000</v>
      </c>
      <c r="I86" s="148" t="s">
        <v>508</v>
      </c>
      <c r="J86" s="176" t="s">
        <v>411</v>
      </c>
      <c r="K86" s="163" t="str">
        <f>IF(tbTransactions[[#This Row],[Sub-Type]]="Transfer","Neutral",IF(tbTransactions[[#This Row],[Qty]]&lt;0,"Debit",IF(tbTransactions[[#This Row],[Qty]]&gt;0,"Credit","Neutral")))</f>
        <v>Credit</v>
      </c>
      <c r="L86" s="163" t="s">
        <v>500</v>
      </c>
      <c r="M86" s="171"/>
    </row>
    <row r="87" spans="3:13" ht="30" customHeight="1" x14ac:dyDescent="0.25">
      <c r="C87" s="175">
        <v>85</v>
      </c>
      <c r="D87" s="163">
        <v>44329</v>
      </c>
      <c r="E87" s="171">
        <v>-44.33</v>
      </c>
      <c r="F87" s="171">
        <v>1</v>
      </c>
      <c r="G87" s="172">
        <v>1</v>
      </c>
      <c r="H87" s="171">
        <f>tbTransactions[[#This Row],[Qty]]*tbTransactions[[#This Row],[Unit Cost]]*tbTransactions[[#This Row],[Exchange Rate]]</f>
        <v>-44.33</v>
      </c>
      <c r="I87" s="148" t="s">
        <v>508</v>
      </c>
      <c r="J87" s="176" t="s">
        <v>411</v>
      </c>
      <c r="K87" s="163" t="str">
        <f>IF(tbTransactions[[#This Row],[Sub-Type]]="Transfer","Neutral",IF(tbTransactions[[#This Row],[Qty]]&lt;0,"Debit",IF(tbTransactions[[#This Row],[Qty]]&gt;0,"Credit","Neutral")))</f>
        <v>Debit</v>
      </c>
      <c r="L87" s="163" t="s">
        <v>12</v>
      </c>
      <c r="M87" s="171"/>
    </row>
    <row r="88" spans="3:13" ht="30" customHeight="1" x14ac:dyDescent="0.25">
      <c r="C88" s="175">
        <v>86</v>
      </c>
      <c r="D88" s="163">
        <v>44329</v>
      </c>
      <c r="E88" s="171">
        <v>-0.64323611999999997</v>
      </c>
      <c r="F88" s="171">
        <v>4591.1000000000004</v>
      </c>
      <c r="G88" s="172">
        <v>1</v>
      </c>
      <c r="H88" s="171">
        <f>tbTransactions[[#This Row],[Qty]]*tbTransactions[[#This Row],[Unit Cost]]*tbTransactions[[#This Row],[Exchange Rate]]</f>
        <v>-2953.1613505320001</v>
      </c>
      <c r="I88" s="148" t="s">
        <v>508</v>
      </c>
      <c r="J88" s="176" t="s">
        <v>411</v>
      </c>
      <c r="K88" s="163" t="str">
        <f>IF(tbTransactions[[#This Row],[Sub-Type]]="Transfer","Neutral",IF(tbTransactions[[#This Row],[Qty]]&lt;0,"Debit",IF(tbTransactions[[#This Row],[Qty]]&gt;0,"Credit","Neutral")))</f>
        <v>Debit</v>
      </c>
      <c r="L88" s="163" t="s">
        <v>501</v>
      </c>
      <c r="M88" s="171"/>
    </row>
    <row r="89" spans="3:13" ht="30" customHeight="1" x14ac:dyDescent="0.25">
      <c r="C89" s="175">
        <v>87</v>
      </c>
      <c r="D89" s="163">
        <v>44329</v>
      </c>
      <c r="E89" s="171">
        <v>0.64323611999999997</v>
      </c>
      <c r="F89" s="171">
        <v>4591.1000000000004</v>
      </c>
      <c r="G89" s="172">
        <v>1</v>
      </c>
      <c r="H89" s="171">
        <f>tbTransactions[[#This Row],[Qty]]*tbTransactions[[#This Row],[Unit Cost]]*tbTransactions[[#This Row],[Exchange Rate]]</f>
        <v>2953.1613505320001</v>
      </c>
      <c r="I89" s="148" t="s">
        <v>508</v>
      </c>
      <c r="J89" s="176" t="s">
        <v>22</v>
      </c>
      <c r="K89" s="163" t="str">
        <f>IF(tbTransactions[[#This Row],[Sub-Type]]="Transfer","Neutral",IF(tbTransactions[[#This Row],[Qty]]&lt;0,"Debit",IF(tbTransactions[[#This Row],[Qty]]&gt;0,"Credit","Neutral")))</f>
        <v>Credit</v>
      </c>
      <c r="L89" s="163" t="s">
        <v>505</v>
      </c>
      <c r="M89" s="171" t="s">
        <v>439</v>
      </c>
    </row>
    <row r="90" spans="3:13" ht="30" customHeight="1" x14ac:dyDescent="0.25">
      <c r="C90" s="175">
        <v>88</v>
      </c>
      <c r="D90" s="163">
        <v>44331</v>
      </c>
      <c r="E90" s="171">
        <v>-3000</v>
      </c>
      <c r="F90" s="171">
        <v>1</v>
      </c>
      <c r="G90" s="172">
        <v>1</v>
      </c>
      <c r="H90" s="171">
        <f>tbTransactions[[#This Row],[Qty]]*tbTransactions[[#This Row],[Unit Cost]]*tbTransactions[[#This Row],[Exchange Rate]]</f>
        <v>-3000</v>
      </c>
      <c r="I90" s="148" t="s">
        <v>499</v>
      </c>
      <c r="J90" s="176" t="s">
        <v>411</v>
      </c>
      <c r="K90" s="163" t="str">
        <f>IF(tbTransactions[[#This Row],[Sub-Type]]="Transfer","Neutral",IF(tbTransactions[[#This Row],[Qty]]&lt;0,"Debit",IF(tbTransactions[[#This Row],[Qty]]&gt;0,"Credit","Neutral")))</f>
        <v>Debit</v>
      </c>
      <c r="L90" s="163" t="s">
        <v>502</v>
      </c>
      <c r="M90" s="171"/>
    </row>
    <row r="91" spans="3:13" ht="30" customHeight="1" x14ac:dyDescent="0.25">
      <c r="C91" s="175">
        <v>89</v>
      </c>
      <c r="D91" s="163">
        <v>44331</v>
      </c>
      <c r="E91" s="171">
        <v>3000</v>
      </c>
      <c r="F91" s="171">
        <v>1</v>
      </c>
      <c r="G91" s="172">
        <v>1</v>
      </c>
      <c r="H91" s="171">
        <f>tbTransactions[[#This Row],[Qty]]*tbTransactions[[#This Row],[Unit Cost]]*tbTransactions[[#This Row],[Exchange Rate]]</f>
        <v>3000</v>
      </c>
      <c r="I91" s="148" t="s">
        <v>509</v>
      </c>
      <c r="J91" s="176" t="s">
        <v>411</v>
      </c>
      <c r="K91" s="163" t="str">
        <f>IF(tbTransactions[[#This Row],[Sub-Type]]="Transfer","Neutral",IF(tbTransactions[[#This Row],[Qty]]&lt;0,"Debit",IF(tbTransactions[[#This Row],[Qty]]&gt;0,"Credit","Neutral")))</f>
        <v>Credit</v>
      </c>
      <c r="L91" s="163" t="s">
        <v>500</v>
      </c>
      <c r="M91" s="171"/>
    </row>
    <row r="92" spans="3:13" ht="30" customHeight="1" x14ac:dyDescent="0.25">
      <c r="C92" s="175">
        <v>90</v>
      </c>
      <c r="D92" s="163">
        <v>44331</v>
      </c>
      <c r="E92" s="171">
        <v>-2984.9999732032002</v>
      </c>
      <c r="F92" s="171">
        <v>1</v>
      </c>
      <c r="G92" s="172">
        <v>1</v>
      </c>
      <c r="H92" s="171">
        <f>tbTransactions[[#This Row],[Qty]]*tbTransactions[[#This Row],[Unit Cost]]*tbTransactions[[#This Row],[Exchange Rate]]</f>
        <v>-2984.9999732032002</v>
      </c>
      <c r="I92" s="148" t="s">
        <v>509</v>
      </c>
      <c r="J92" s="176" t="s">
        <v>411</v>
      </c>
      <c r="K92" s="163" t="str">
        <f>IF(tbTransactions[[#This Row],[Sub-Type]]="Transfer","Neutral",IF(tbTransactions[[#This Row],[Qty]]&lt;0,"Debit",IF(tbTransactions[[#This Row],[Qty]]&gt;0,"Credit","Neutral")))</f>
        <v>Debit</v>
      </c>
      <c r="L92" s="163" t="s">
        <v>501</v>
      </c>
      <c r="M92" s="171"/>
    </row>
    <row r="93" spans="3:13" ht="30" customHeight="1" x14ac:dyDescent="0.25">
      <c r="C93" s="175">
        <v>91</v>
      </c>
      <c r="D93" s="163">
        <v>44331</v>
      </c>
      <c r="E93" s="171">
        <v>0.62596463000000002</v>
      </c>
      <c r="F93" s="171">
        <v>4768.6400000000003</v>
      </c>
      <c r="G93" s="172">
        <v>1</v>
      </c>
      <c r="H93" s="171">
        <f>tbTransactions[[#This Row],[Qty]]*tbTransactions[[#This Row],[Unit Cost]]*tbTransactions[[#This Row],[Exchange Rate]]</f>
        <v>2984.9999732032002</v>
      </c>
      <c r="I93" s="148" t="s">
        <v>509</v>
      </c>
      <c r="J93" s="176" t="s">
        <v>22</v>
      </c>
      <c r="K93" s="163" t="str">
        <f>IF(tbTransactions[[#This Row],[Sub-Type]]="Transfer","Neutral",IF(tbTransactions[[#This Row],[Qty]]&lt;0,"Debit",IF(tbTransactions[[#This Row],[Qty]]&gt;0,"Credit","Neutral")))</f>
        <v>Credit</v>
      </c>
      <c r="L93" s="163" t="s">
        <v>505</v>
      </c>
      <c r="M93" s="171" t="s">
        <v>439</v>
      </c>
    </row>
    <row r="94" spans="3:13" ht="30" customHeight="1" x14ac:dyDescent="0.25">
      <c r="C94" s="175">
        <v>92</v>
      </c>
      <c r="D94" s="163">
        <v>44331</v>
      </c>
      <c r="E94" s="171">
        <v>-14.924999866016002</v>
      </c>
      <c r="F94" s="171">
        <v>1</v>
      </c>
      <c r="G94" s="172">
        <v>1</v>
      </c>
      <c r="H94" s="171">
        <f>tbTransactions[[#This Row],[Qty]]*tbTransactions[[#This Row],[Unit Cost]]*tbTransactions[[#This Row],[Exchange Rate]]</f>
        <v>-14.924999866016002</v>
      </c>
      <c r="I94" s="148" t="s">
        <v>509</v>
      </c>
      <c r="J94" s="176" t="s">
        <v>411</v>
      </c>
      <c r="K94" s="163" t="str">
        <f>IF(tbTransactions[[#This Row],[Sub-Type]]="Transfer","Neutral",IF(tbTransactions[[#This Row],[Qty]]&lt;0,"Debit",IF(tbTransactions[[#This Row],[Qty]]&gt;0,"Credit","Neutral")))</f>
        <v>Debit</v>
      </c>
      <c r="L94" s="163" t="s">
        <v>12</v>
      </c>
      <c r="M94" s="171"/>
    </row>
    <row r="95" spans="3:13" ht="30" customHeight="1" x14ac:dyDescent="0.25">
      <c r="C95" s="175">
        <v>93</v>
      </c>
      <c r="D95" s="163">
        <v>44331</v>
      </c>
      <c r="E95" s="171">
        <v>10</v>
      </c>
      <c r="F95" s="171">
        <v>1</v>
      </c>
      <c r="G95" s="172">
        <v>1</v>
      </c>
      <c r="H95" s="171">
        <f>tbTransactions[[#This Row],[Qty]]*tbTransactions[[#This Row],[Unit Cost]]*tbTransactions[[#This Row],[Exchange Rate]]</f>
        <v>10</v>
      </c>
      <c r="I95" s="148" t="s">
        <v>509</v>
      </c>
      <c r="J95" s="176" t="s">
        <v>411</v>
      </c>
      <c r="K95" s="163" t="str">
        <f>IF(tbTransactions[[#This Row],[Sub-Type]]="Transfer","Neutral",IF(tbTransactions[[#This Row],[Qty]]&lt;0,"Debit",IF(tbTransactions[[#This Row],[Qty]]&gt;0,"Credit","Neutral")))</f>
        <v>Credit</v>
      </c>
      <c r="L95" s="163" t="s">
        <v>516</v>
      </c>
      <c r="M95" s="171" t="s">
        <v>443</v>
      </c>
    </row>
    <row r="96" spans="3:13" ht="30" customHeight="1" x14ac:dyDescent="0.25">
      <c r="C96" s="175">
        <v>94</v>
      </c>
      <c r="D96" s="163">
        <v>44331</v>
      </c>
      <c r="E96" s="171">
        <v>-9.9599932701999982</v>
      </c>
      <c r="F96" s="171">
        <v>1</v>
      </c>
      <c r="G96" s="172">
        <v>1</v>
      </c>
      <c r="H96" s="171">
        <f>tbTransactions[[#This Row],[Qty]]*tbTransactions[[#This Row],[Unit Cost]]*tbTransactions[[#This Row],[Exchange Rate]]</f>
        <v>-9.9599932701999982</v>
      </c>
      <c r="I96" s="148" t="s">
        <v>509</v>
      </c>
      <c r="J96" s="176" t="s">
        <v>411</v>
      </c>
      <c r="K96" s="163" t="str">
        <f>IF(tbTransactions[[#This Row],[Sub-Type]]="Transfer","Neutral",IF(tbTransactions[[#This Row],[Qty]]&lt;0,"Debit",IF(tbTransactions[[#This Row],[Qty]]&gt;0,"Credit","Neutral")))</f>
        <v>Debit</v>
      </c>
      <c r="L96" s="163" t="s">
        <v>501</v>
      </c>
      <c r="M96" s="171"/>
    </row>
    <row r="97" spans="3:13" ht="30" customHeight="1" x14ac:dyDescent="0.25">
      <c r="C97" s="175">
        <v>95</v>
      </c>
      <c r="D97" s="163">
        <v>44331</v>
      </c>
      <c r="E97" s="171">
        <v>2.0842299999999999E-3</v>
      </c>
      <c r="F97" s="171">
        <v>4778.74</v>
      </c>
      <c r="G97" s="172">
        <v>1</v>
      </c>
      <c r="H97" s="171">
        <f>tbTransactions[[#This Row],[Qty]]*tbTransactions[[#This Row],[Unit Cost]]*tbTransactions[[#This Row],[Exchange Rate]]</f>
        <v>9.9599932701999982</v>
      </c>
      <c r="I97" s="148" t="s">
        <v>509</v>
      </c>
      <c r="J97" s="176" t="s">
        <v>22</v>
      </c>
      <c r="K97" s="163" t="str">
        <f>IF(tbTransactions[[#This Row],[Sub-Type]]="Transfer","Neutral",IF(tbTransactions[[#This Row],[Qty]]&lt;0,"Debit",IF(tbTransactions[[#This Row],[Qty]]&gt;0,"Credit","Neutral")))</f>
        <v>Credit</v>
      </c>
      <c r="L97" s="163" t="s">
        <v>505</v>
      </c>
      <c r="M97" s="171" t="s">
        <v>439</v>
      </c>
    </row>
    <row r="98" spans="3:13" ht="30" customHeight="1" x14ac:dyDescent="0.25">
      <c r="C98" s="175">
        <v>96</v>
      </c>
      <c r="D98" s="163">
        <v>44331</v>
      </c>
      <c r="E98" s="171">
        <v>-4.9799966350999994E-2</v>
      </c>
      <c r="F98" s="171">
        <v>5.0000000000000001E-3</v>
      </c>
      <c r="G98" s="172">
        <v>1</v>
      </c>
      <c r="H98" s="171">
        <f>tbTransactions[[#This Row],[Qty]]*tbTransactions[[#This Row],[Unit Cost]]*tbTransactions[[#This Row],[Exchange Rate]]</f>
        <v>-2.4899983175499996E-4</v>
      </c>
      <c r="I98" s="148" t="s">
        <v>509</v>
      </c>
      <c r="J98" s="176" t="s">
        <v>411</v>
      </c>
      <c r="K98" s="163" t="str">
        <f>IF(tbTransactions[[#This Row],[Sub-Type]]="Transfer","Neutral",IF(tbTransactions[[#This Row],[Qty]]&lt;0,"Debit",IF(tbTransactions[[#This Row],[Qty]]&gt;0,"Credit","Neutral")))</f>
        <v>Debit</v>
      </c>
      <c r="L98" s="163" t="s">
        <v>12</v>
      </c>
      <c r="M98" s="171"/>
    </row>
    <row r="99" spans="3:13" ht="30" customHeight="1" x14ac:dyDescent="0.25">
      <c r="C99" s="175">
        <v>97</v>
      </c>
      <c r="D99" s="163">
        <v>44331</v>
      </c>
      <c r="E99" s="171">
        <v>-1.0996213699999999</v>
      </c>
      <c r="F99" s="171">
        <v>1</v>
      </c>
      <c r="G99" s="172">
        <v>1</v>
      </c>
      <c r="H99" s="171">
        <f>tbTransactions[[#This Row],[Qty]]*tbTransactions[[#This Row],[Unit Cost]]*tbTransactions[[#This Row],[Exchange Rate]]</f>
        <v>-1.0996213699999999</v>
      </c>
      <c r="I99" s="148" t="s">
        <v>504</v>
      </c>
      <c r="J99" s="176" t="s">
        <v>22</v>
      </c>
      <c r="K99" s="163" t="str">
        <f>IF(tbTransactions[[#This Row],[Sub-Type]]="Transfer","Neutral",IF(tbTransactions[[#This Row],[Qty]]&lt;0,"Debit",IF(tbTransactions[[#This Row],[Qty]]&gt;0,"Credit","Neutral")))</f>
        <v>Neutral</v>
      </c>
      <c r="L99" s="163" t="s">
        <v>32</v>
      </c>
      <c r="M99" s="171" t="s">
        <v>418</v>
      </c>
    </row>
    <row r="100" spans="3:13" ht="30" customHeight="1" x14ac:dyDescent="0.25">
      <c r="C100" s="175">
        <v>98</v>
      </c>
      <c r="D100" s="163">
        <v>44331</v>
      </c>
      <c r="E100" s="171">
        <v>-0.01</v>
      </c>
      <c r="F100" s="171">
        <v>1</v>
      </c>
      <c r="G100" s="172">
        <v>1</v>
      </c>
      <c r="H100" s="171">
        <f>tbTransactions[[#This Row],[Qty]]*tbTransactions[[#This Row],[Unit Cost]]*tbTransactions[[#This Row],[Exchange Rate]]</f>
        <v>-0.01</v>
      </c>
      <c r="I100" s="148" t="s">
        <v>504</v>
      </c>
      <c r="J100" s="176" t="s">
        <v>22</v>
      </c>
      <c r="K100" s="163" t="str">
        <f>IF(tbTransactions[[#This Row],[Sub-Type]]="Transfer","Neutral",IF(tbTransactions[[#This Row],[Qty]]&lt;0,"Debit",IF(tbTransactions[[#This Row],[Qty]]&gt;0,"Credit","Neutral")))</f>
        <v>Debit</v>
      </c>
      <c r="L100" s="163" t="s">
        <v>12</v>
      </c>
      <c r="M100" s="171" t="s">
        <v>418</v>
      </c>
    </row>
    <row r="101" spans="3:13" ht="30" customHeight="1" x14ac:dyDescent="0.25">
      <c r="C101" s="175">
        <v>99</v>
      </c>
      <c r="D101" s="163">
        <v>44331</v>
      </c>
      <c r="E101" s="171">
        <v>1.0896213699999999</v>
      </c>
      <c r="F101" s="171">
        <v>1</v>
      </c>
      <c r="G101" s="172">
        <v>1</v>
      </c>
      <c r="H101" s="171">
        <f>tbTransactions[[#This Row],[Qty]]*tbTransactions[[#This Row],[Unit Cost]]*tbTransactions[[#This Row],[Exchange Rate]]</f>
        <v>1.0896213699999999</v>
      </c>
      <c r="I101" s="148" t="s">
        <v>431</v>
      </c>
      <c r="J101" s="176" t="s">
        <v>22</v>
      </c>
      <c r="K101" s="163" t="str">
        <f>IF(tbTransactions[[#This Row],[Sub-Type]]="Transfer","Neutral",IF(tbTransactions[[#This Row],[Qty]]&lt;0,"Debit",IF(tbTransactions[[#This Row],[Qty]]&gt;0,"Credit","Neutral")))</f>
        <v>Neutral</v>
      </c>
      <c r="L101" s="163" t="s">
        <v>32</v>
      </c>
      <c r="M101" s="171" t="s">
        <v>418</v>
      </c>
    </row>
    <row r="102" spans="3:13" ht="30" customHeight="1" x14ac:dyDescent="0.25">
      <c r="C102" s="175">
        <v>100</v>
      </c>
      <c r="D102" s="163">
        <v>44331</v>
      </c>
      <c r="E102" s="171">
        <v>-1515.12292714</v>
      </c>
      <c r="F102" s="171">
        <v>1</v>
      </c>
      <c r="G102" s="172">
        <v>1</v>
      </c>
      <c r="H102" s="171">
        <f>tbTransactions[[#This Row],[Qty]]*tbTransactions[[#This Row],[Unit Cost]]*tbTransactions[[#This Row],[Exchange Rate]]</f>
        <v>-1515.12292714</v>
      </c>
      <c r="I102" s="148" t="s">
        <v>504</v>
      </c>
      <c r="J102" s="176" t="s">
        <v>25</v>
      </c>
      <c r="K102" s="163" t="str">
        <f>IF(tbTransactions[[#This Row],[Sub-Type]]="Transfer","Neutral",IF(tbTransactions[[#This Row],[Qty]]&lt;0,"Debit",IF(tbTransactions[[#This Row],[Qty]]&gt;0,"Credit","Neutral")))</f>
        <v>Neutral</v>
      </c>
      <c r="L102" s="163" t="s">
        <v>32</v>
      </c>
      <c r="M102" s="171" t="s">
        <v>417</v>
      </c>
    </row>
    <row r="103" spans="3:13" ht="30" customHeight="1" x14ac:dyDescent="0.25">
      <c r="C103" s="175">
        <v>101</v>
      </c>
      <c r="D103" s="163">
        <v>44331</v>
      </c>
      <c r="E103" s="171">
        <v>3.0000000000000001E-5</v>
      </c>
      <c r="F103" s="171">
        <v>1</v>
      </c>
      <c r="G103" s="172">
        <v>1</v>
      </c>
      <c r="H103" s="171">
        <f>tbTransactions[[#This Row],[Qty]]*tbTransactions[[#This Row],[Unit Cost]]*tbTransactions[[#This Row],[Exchange Rate]]</f>
        <v>3.0000000000000001E-5</v>
      </c>
      <c r="I103" s="148" t="s">
        <v>504</v>
      </c>
      <c r="J103" s="176" t="s">
        <v>25</v>
      </c>
      <c r="K103" s="163" t="str">
        <f>IF(tbTransactions[[#This Row],[Sub-Type]]="Transfer","Neutral",IF(tbTransactions[[#This Row],[Qty]]&lt;0,"Debit",IF(tbTransactions[[#This Row],[Qty]]&gt;0,"Credit","Neutral")))</f>
        <v>Credit</v>
      </c>
      <c r="L103" s="163" t="s">
        <v>12</v>
      </c>
      <c r="M103" s="171" t="s">
        <v>417</v>
      </c>
    </row>
    <row r="104" spans="3:13" ht="30" customHeight="1" x14ac:dyDescent="0.25">
      <c r="C104" s="175">
        <v>102</v>
      </c>
      <c r="D104" s="163">
        <v>44331</v>
      </c>
      <c r="E104" s="171">
        <v>1515.12292714</v>
      </c>
      <c r="F104" s="171">
        <v>1</v>
      </c>
      <c r="G104" s="172">
        <v>1</v>
      </c>
      <c r="H104" s="171">
        <f>tbTransactions[[#This Row],[Qty]]*tbTransactions[[#This Row],[Unit Cost]]*tbTransactions[[#This Row],[Exchange Rate]]</f>
        <v>1515.12292714</v>
      </c>
      <c r="I104" s="148" t="s">
        <v>431</v>
      </c>
      <c r="J104" s="176" t="s">
        <v>25</v>
      </c>
      <c r="K104" s="163" t="str">
        <f>IF(tbTransactions[[#This Row],[Sub-Type]]="Transfer","Neutral",IF(tbTransactions[[#This Row],[Qty]]&lt;0,"Debit",IF(tbTransactions[[#This Row],[Qty]]&gt;0,"Credit","Neutral")))</f>
        <v>Neutral</v>
      </c>
      <c r="L104" s="163" t="s">
        <v>32</v>
      </c>
      <c r="M104" s="171" t="s">
        <v>417</v>
      </c>
    </row>
    <row r="105" spans="3:13" ht="30" customHeight="1" x14ac:dyDescent="0.25">
      <c r="C105" s="175">
        <v>103</v>
      </c>
      <c r="D105" s="163">
        <v>44331</v>
      </c>
      <c r="E105" s="171">
        <v>-0.06</v>
      </c>
      <c r="F105" s="171">
        <v>3750</v>
      </c>
      <c r="G105" s="172">
        <v>1</v>
      </c>
      <c r="H105" s="171">
        <f>tbTransactions[[#This Row],[Qty]]*tbTransactions[[#This Row],[Unit Cost]]*tbTransactions[[#This Row],[Exchange Rate]]</f>
        <v>-225</v>
      </c>
      <c r="I105" s="148" t="s">
        <v>431</v>
      </c>
      <c r="J105" s="176" t="s">
        <v>22</v>
      </c>
      <c r="K105" s="163" t="str">
        <f>IF(tbTransactions[[#This Row],[Sub-Type]]="Transfer","Neutral",IF(tbTransactions[[#This Row],[Qty]]&lt;0,"Debit",IF(tbTransactions[[#This Row],[Qty]]&gt;0,"Credit","Neutral")))</f>
        <v>Debit</v>
      </c>
      <c r="L105" s="163" t="s">
        <v>603</v>
      </c>
      <c r="M105" s="171" t="s">
        <v>607</v>
      </c>
    </row>
    <row r="106" spans="3:13" ht="30" customHeight="1" x14ac:dyDescent="0.25">
      <c r="C106" s="175">
        <v>104</v>
      </c>
      <c r="D106" s="163">
        <v>44331</v>
      </c>
      <c r="E106" s="171">
        <v>20.4985</v>
      </c>
      <c r="F106" s="171">
        <f t="shared" ref="F106:F111" si="0">209.59/20.7124</f>
        <v>10.119059114346962</v>
      </c>
      <c r="G106" s="172">
        <v>1.2109000000000001</v>
      </c>
      <c r="H106" s="171">
        <f>tbTransactions[[#This Row],[Qty]]*tbTransactions[[#This Row],[Unit Cost]]*tbTransactions[[#This Row],[Exchange Rate]]</f>
        <v>251.17157821901375</v>
      </c>
      <c r="I106" s="148" t="s">
        <v>431</v>
      </c>
      <c r="J106" s="176" t="s">
        <v>21</v>
      </c>
      <c r="K106" s="163" t="str">
        <f>IF(tbTransactions[[#This Row],[Sub-Type]]="Transfer","Neutral",IF(tbTransactions[[#This Row],[Qty]]&lt;0,"Debit",IF(tbTransactions[[#This Row],[Qty]]&gt;0,"Credit","Neutral")))</f>
        <v>Credit</v>
      </c>
      <c r="L106" s="163" t="s">
        <v>603</v>
      </c>
      <c r="M106" s="171" t="s">
        <v>607</v>
      </c>
    </row>
    <row r="107" spans="3:13" ht="30" customHeight="1" x14ac:dyDescent="0.25">
      <c r="C107" s="175">
        <v>105</v>
      </c>
      <c r="D107" s="163">
        <v>44331</v>
      </c>
      <c r="E107" s="171">
        <v>4.6639524200000002</v>
      </c>
      <c r="F107" s="171">
        <f t="shared" si="0"/>
        <v>10.119059114346962</v>
      </c>
      <c r="G107" s="172">
        <v>1</v>
      </c>
      <c r="H107" s="171">
        <f>tbTransactions[[#This Row],[Qty]]*tbTransactions[[#This Row],[Unit Cost]]*tbTransactions[[#This Row],[Exchange Rate]]</f>
        <v>47.194810244481573</v>
      </c>
      <c r="I107" s="148" t="s">
        <v>504</v>
      </c>
      <c r="J107" s="176" t="s">
        <v>21</v>
      </c>
      <c r="K107" s="163" t="str">
        <f>IF(tbTransactions[[#This Row],[Sub-Type]]="Transfer","Neutral",IF(tbTransactions[[#This Row],[Qty]]&lt;0,"Debit",IF(tbTransactions[[#This Row],[Qty]]&gt;0,"Credit","Neutral")))</f>
        <v>Credit</v>
      </c>
      <c r="L107" s="163" t="s">
        <v>29</v>
      </c>
      <c r="M107" s="171"/>
    </row>
    <row r="108" spans="3:13" ht="30" customHeight="1" x14ac:dyDescent="0.25">
      <c r="C108" s="175">
        <v>106</v>
      </c>
      <c r="D108" s="163">
        <v>44331</v>
      </c>
      <c r="E108" s="171">
        <v>-9.3465900000000001E-3</v>
      </c>
      <c r="F108" s="171">
        <f t="shared" si="0"/>
        <v>10.119059114346962</v>
      </c>
      <c r="G108" s="172">
        <v>1</v>
      </c>
      <c r="H108" s="171">
        <f>tbTransactions[[#This Row],[Qty]]*tbTransactions[[#This Row],[Unit Cost]]*tbTransactions[[#This Row],[Exchange Rate]]</f>
        <v>-9.4578696727564179E-2</v>
      </c>
      <c r="I108" s="148" t="s">
        <v>504</v>
      </c>
      <c r="J108" s="176" t="s">
        <v>21</v>
      </c>
      <c r="K108" s="163" t="str">
        <f>IF(tbTransactions[[#This Row],[Sub-Type]]="Transfer","Neutral",IF(tbTransactions[[#This Row],[Qty]]&lt;0,"Debit",IF(tbTransactions[[#This Row],[Qty]]&gt;0,"Credit","Neutral")))</f>
        <v>Debit</v>
      </c>
      <c r="L108" s="163" t="s">
        <v>12</v>
      </c>
      <c r="M108" s="171" t="s">
        <v>521</v>
      </c>
    </row>
    <row r="109" spans="3:13" ht="30" customHeight="1" x14ac:dyDescent="0.25">
      <c r="C109" s="175">
        <v>107</v>
      </c>
      <c r="D109" s="163">
        <v>44331</v>
      </c>
      <c r="E109" s="171">
        <v>-138.22112870000001</v>
      </c>
      <c r="F109" s="171">
        <f t="shared" si="0"/>
        <v>10.119059114346962</v>
      </c>
      <c r="G109" s="172">
        <v>1</v>
      </c>
      <c r="H109" s="171">
        <f>tbTransactions[[#This Row],[Qty]]*tbTransactions[[#This Row],[Unit Cost]]*tbTransactions[[#This Row],[Exchange Rate]]</f>
        <v>-1398.6677721670596</v>
      </c>
      <c r="I109" s="148" t="s">
        <v>504</v>
      </c>
      <c r="J109" s="176" t="s">
        <v>21</v>
      </c>
      <c r="K109" s="163" t="str">
        <f>IF(tbTransactions[[#This Row],[Sub-Type]]="Transfer","Neutral",IF(tbTransactions[[#This Row],[Qty]]&lt;0,"Debit",IF(tbTransactions[[#This Row],[Qty]]&gt;0,"Credit","Neutral")))</f>
        <v>Neutral</v>
      </c>
      <c r="L109" s="163" t="s">
        <v>32</v>
      </c>
      <c r="M109" s="171" t="s">
        <v>521</v>
      </c>
    </row>
    <row r="110" spans="3:13" ht="30" customHeight="1" x14ac:dyDescent="0.25">
      <c r="C110" s="175">
        <v>108</v>
      </c>
      <c r="D110" s="163">
        <v>44331</v>
      </c>
      <c r="E110" s="171">
        <v>-5.0000000000000001E-4</v>
      </c>
      <c r="F110" s="171">
        <f t="shared" si="0"/>
        <v>10.119059114346962</v>
      </c>
      <c r="G110" s="172">
        <v>1</v>
      </c>
      <c r="H110" s="171">
        <f>tbTransactions[[#This Row],[Qty]]*tbTransactions[[#This Row],[Unit Cost]]*tbTransactions[[#This Row],[Exchange Rate]]</f>
        <v>-5.0595295571734811E-3</v>
      </c>
      <c r="I110" s="148" t="s">
        <v>504</v>
      </c>
      <c r="J110" s="176" t="s">
        <v>21</v>
      </c>
      <c r="K110" s="163" t="str">
        <f>IF(tbTransactions[[#This Row],[Sub-Type]]="Transfer","Neutral",IF(tbTransactions[[#This Row],[Qty]]&lt;0,"Debit",IF(tbTransactions[[#This Row],[Qty]]&gt;0,"Credit","Neutral")))</f>
        <v>Debit</v>
      </c>
      <c r="L110" s="163" t="s">
        <v>12</v>
      </c>
      <c r="M110" s="171" t="s">
        <v>521</v>
      </c>
    </row>
    <row r="111" spans="3:13" ht="30" customHeight="1" x14ac:dyDescent="0.25">
      <c r="C111" s="175">
        <v>109</v>
      </c>
      <c r="D111" s="163">
        <v>44331</v>
      </c>
      <c r="E111" s="171">
        <v>138.22062869999999</v>
      </c>
      <c r="F111" s="171">
        <f t="shared" si="0"/>
        <v>10.119059114346962</v>
      </c>
      <c r="G111" s="172">
        <v>1</v>
      </c>
      <c r="H111" s="171">
        <f>tbTransactions[[#This Row],[Qty]]*tbTransactions[[#This Row],[Unit Cost]]*tbTransactions[[#This Row],[Exchange Rate]]</f>
        <v>1398.6627126375022</v>
      </c>
      <c r="I111" s="148" t="s">
        <v>431</v>
      </c>
      <c r="J111" s="176" t="s">
        <v>21</v>
      </c>
      <c r="K111" s="163" t="str">
        <f>IF(tbTransactions[[#This Row],[Sub-Type]]="Transfer","Neutral",IF(tbTransactions[[#This Row],[Qty]]&lt;0,"Debit",IF(tbTransactions[[#This Row],[Qty]]&gt;0,"Credit","Neutral")))</f>
        <v>Neutral</v>
      </c>
      <c r="L111" s="163" t="s">
        <v>32</v>
      </c>
      <c r="M111" s="171" t="s">
        <v>521</v>
      </c>
    </row>
    <row r="112" spans="3:13" ht="30" customHeight="1" x14ac:dyDescent="0.25">
      <c r="C112" s="175">
        <v>110</v>
      </c>
      <c r="D112" s="163">
        <v>44331</v>
      </c>
      <c r="E112" s="171">
        <v>-1518.1593057</v>
      </c>
      <c r="F112" s="171">
        <v>0.67624099999999998</v>
      </c>
      <c r="G112" s="172">
        <v>1</v>
      </c>
      <c r="H112" s="171">
        <f>tbTransactions[[#This Row],[Qty]]*tbTransactions[[#This Row],[Unit Cost]]*tbTransactions[[#This Row],[Exchange Rate]]</f>
        <v>-1026.6415670458737</v>
      </c>
      <c r="I112" s="148" t="s">
        <v>431</v>
      </c>
      <c r="J112" s="176" t="s">
        <v>25</v>
      </c>
      <c r="K112" s="163" t="str">
        <f>IF(tbTransactions[[#This Row],[Sub-Type]]="Transfer","Neutral",IF(tbTransactions[[#This Row],[Qty]]&lt;0,"Debit",IF(tbTransactions[[#This Row],[Qty]]&gt;0,"Credit","Neutral")))</f>
        <v>Debit</v>
      </c>
      <c r="L112" s="163" t="s">
        <v>603</v>
      </c>
      <c r="M112" s="171" t="s">
        <v>608</v>
      </c>
    </row>
    <row r="113" spans="3:13" ht="30" customHeight="1" x14ac:dyDescent="0.25">
      <c r="C113" s="175">
        <v>111</v>
      </c>
      <c r="D113" s="163">
        <v>44331</v>
      </c>
      <c r="E113" s="171">
        <v>96.978999999999999</v>
      </c>
      <c r="F113" s="171">
        <f>1040.52/96.979</f>
        <v>10.72933315460048</v>
      </c>
      <c r="G113" s="172">
        <v>1.2109000000000001</v>
      </c>
      <c r="H113" s="171">
        <f>tbTransactions[[#This Row],[Qty]]*tbTransactions[[#This Row],[Unit Cost]]*tbTransactions[[#This Row],[Exchange Rate]]</f>
        <v>1259.9656680000001</v>
      </c>
      <c r="I113" s="148" t="s">
        <v>431</v>
      </c>
      <c r="J113" s="176" t="s">
        <v>21</v>
      </c>
      <c r="K113" s="163" t="str">
        <f>IF(tbTransactions[[#This Row],[Sub-Type]]="Transfer","Neutral",IF(tbTransactions[[#This Row],[Qty]]&lt;0,"Debit",IF(tbTransactions[[#This Row],[Qty]]&gt;0,"Credit","Neutral")))</f>
        <v>Credit</v>
      </c>
      <c r="L113" s="163" t="s">
        <v>603</v>
      </c>
      <c r="M113" s="171" t="s">
        <v>608</v>
      </c>
    </row>
    <row r="114" spans="3:13" ht="30" customHeight="1" x14ac:dyDescent="0.25">
      <c r="C114" s="175">
        <v>112</v>
      </c>
      <c r="D114" s="163">
        <v>44331</v>
      </c>
      <c r="E114" s="171">
        <v>-0.24666627999999999</v>
      </c>
      <c r="F114" s="171">
        <v>3750</v>
      </c>
      <c r="G114" s="172">
        <v>1</v>
      </c>
      <c r="H114" s="171">
        <f>tbTransactions[[#This Row],[Qty]]*tbTransactions[[#This Row],[Unit Cost]]*tbTransactions[[#This Row],[Exchange Rate]]</f>
        <v>-924.99854999999991</v>
      </c>
      <c r="I114" s="148" t="s">
        <v>431</v>
      </c>
      <c r="J114" s="176" t="s">
        <v>22</v>
      </c>
      <c r="K114" s="163" t="str">
        <f>IF(tbTransactions[[#This Row],[Sub-Type]]="Transfer","Neutral",IF(tbTransactions[[#This Row],[Qty]]&lt;0,"Debit",IF(tbTransactions[[#This Row],[Qty]]&gt;0,"Credit","Neutral")))</f>
        <v>Debit</v>
      </c>
      <c r="L114" s="163" t="s">
        <v>603</v>
      </c>
      <c r="M114" s="171" t="s">
        <v>609</v>
      </c>
    </row>
    <row r="115" spans="3:13" ht="30" customHeight="1" x14ac:dyDescent="0.25">
      <c r="C115" s="175">
        <v>113</v>
      </c>
      <c r="D115" s="163">
        <v>44331</v>
      </c>
      <c r="E115" s="171">
        <v>35.725245000000001</v>
      </c>
      <c r="F115" s="171">
        <f>913.73/35.725245</f>
        <v>25.576591567111716</v>
      </c>
      <c r="G115" s="172">
        <v>1.2109000000000001</v>
      </c>
      <c r="H115" s="171">
        <f>tbTransactions[[#This Row],[Qty]]*tbTransactions[[#This Row],[Unit Cost]]*tbTransactions[[#This Row],[Exchange Rate]]</f>
        <v>1106.435657</v>
      </c>
      <c r="I115" s="148" t="s">
        <v>431</v>
      </c>
      <c r="J115" s="176" t="s">
        <v>18</v>
      </c>
      <c r="K115" s="163" t="str">
        <f>IF(tbTransactions[[#This Row],[Sub-Type]]="Transfer","Neutral",IF(tbTransactions[[#This Row],[Qty]]&lt;0,"Debit",IF(tbTransactions[[#This Row],[Qty]]&gt;0,"Credit","Neutral")))</f>
        <v>Credit</v>
      </c>
      <c r="L115" s="163" t="s">
        <v>603</v>
      </c>
      <c r="M115" s="171" t="s">
        <v>609</v>
      </c>
    </row>
    <row r="116" spans="3:13" ht="30" customHeight="1" x14ac:dyDescent="0.25">
      <c r="C116" s="175">
        <v>114</v>
      </c>
      <c r="D116" s="163">
        <v>44333</v>
      </c>
      <c r="E116" s="171">
        <v>-0.64194965000000004</v>
      </c>
      <c r="F116" s="171">
        <v>1</v>
      </c>
      <c r="G116" s="172">
        <v>1</v>
      </c>
      <c r="H116" s="171">
        <f>tbTransactions[[#This Row],[Qty]]*tbTransactions[[#This Row],[Unit Cost]]*tbTransactions[[#This Row],[Exchange Rate]]</f>
        <v>-0.64194965000000004</v>
      </c>
      <c r="I116" s="148" t="s">
        <v>508</v>
      </c>
      <c r="J116" s="176" t="s">
        <v>22</v>
      </c>
      <c r="K116" s="163" t="str">
        <f>IF(tbTransactions[[#This Row],[Sub-Type]]="Transfer","Neutral",IF(tbTransactions[[#This Row],[Qty]]&lt;0,"Debit",IF(tbTransactions[[#This Row],[Qty]]&gt;0,"Credit","Neutral")))</f>
        <v>Neutral</v>
      </c>
      <c r="L116" s="163" t="s">
        <v>32</v>
      </c>
      <c r="M116" s="171" t="s">
        <v>418</v>
      </c>
    </row>
    <row r="117" spans="3:13" ht="30" customHeight="1" x14ac:dyDescent="0.25">
      <c r="C117" s="175">
        <v>115</v>
      </c>
      <c r="D117" s="163">
        <v>44333</v>
      </c>
      <c r="E117" s="171">
        <v>0.63194965000000003</v>
      </c>
      <c r="F117" s="171">
        <v>1</v>
      </c>
      <c r="G117" s="172">
        <v>1</v>
      </c>
      <c r="H117" s="171">
        <f>tbTransactions[[#This Row],[Qty]]*tbTransactions[[#This Row],[Unit Cost]]*tbTransactions[[#This Row],[Exchange Rate]]</f>
        <v>0.63194965000000003</v>
      </c>
      <c r="I117" s="148" t="s">
        <v>431</v>
      </c>
      <c r="J117" s="176" t="s">
        <v>22</v>
      </c>
      <c r="K117" s="163" t="str">
        <f>IF(tbTransactions[[#This Row],[Sub-Type]]="Transfer","Neutral",IF(tbTransactions[[#This Row],[Qty]]&lt;0,"Debit",IF(tbTransactions[[#This Row],[Qty]]&gt;0,"Credit","Neutral")))</f>
        <v>Neutral</v>
      </c>
      <c r="L117" s="163" t="s">
        <v>32</v>
      </c>
      <c r="M117" s="171" t="s">
        <v>418</v>
      </c>
    </row>
    <row r="118" spans="3:13" ht="30" customHeight="1" x14ac:dyDescent="0.25">
      <c r="C118" s="175">
        <v>116</v>
      </c>
      <c r="D118" s="163">
        <v>44333</v>
      </c>
      <c r="E118" s="171">
        <v>-0.01</v>
      </c>
      <c r="F118" s="171">
        <v>1</v>
      </c>
      <c r="G118" s="172">
        <v>1</v>
      </c>
      <c r="H118" s="171">
        <f>tbTransactions[[#This Row],[Qty]]*tbTransactions[[#This Row],[Unit Cost]]*tbTransactions[[#This Row],[Exchange Rate]]</f>
        <v>-0.01</v>
      </c>
      <c r="I118" s="148" t="s">
        <v>508</v>
      </c>
      <c r="J118" s="176" t="s">
        <v>22</v>
      </c>
      <c r="K118" s="163" t="str">
        <f>IF(tbTransactions[[#This Row],[Sub-Type]]="Transfer","Neutral",IF(tbTransactions[[#This Row],[Qty]]&lt;0,"Debit",IF(tbTransactions[[#This Row],[Qty]]&gt;0,"Credit","Neutral")))</f>
        <v>Debit</v>
      </c>
      <c r="L118" s="163" t="s">
        <v>12</v>
      </c>
      <c r="M118" s="171" t="s">
        <v>418</v>
      </c>
    </row>
    <row r="119" spans="3:13" ht="30" customHeight="1" x14ac:dyDescent="0.25">
      <c r="C119" s="175">
        <v>117</v>
      </c>
      <c r="D119" s="163">
        <v>44333</v>
      </c>
      <c r="E119" s="171">
        <v>-0.62304886000000004</v>
      </c>
      <c r="F119" s="171">
        <v>1</v>
      </c>
      <c r="G119" s="172">
        <v>1</v>
      </c>
      <c r="H119" s="171">
        <f>tbTransactions[[#This Row],[Qty]]*tbTransactions[[#This Row],[Unit Cost]]*tbTransactions[[#This Row],[Exchange Rate]]</f>
        <v>-0.62304886000000004</v>
      </c>
      <c r="I119" s="148" t="s">
        <v>509</v>
      </c>
      <c r="J119" s="176" t="s">
        <v>22</v>
      </c>
      <c r="K119" s="163" t="str">
        <f>IF(tbTransactions[[#This Row],[Sub-Type]]="Transfer","Neutral",IF(tbTransactions[[#This Row],[Qty]]&lt;0,"Debit",IF(tbTransactions[[#This Row],[Qty]]&gt;0,"Credit","Neutral")))</f>
        <v>Neutral</v>
      </c>
      <c r="L119" s="163" t="s">
        <v>32</v>
      </c>
      <c r="M119" s="171" t="s">
        <v>418</v>
      </c>
    </row>
    <row r="120" spans="3:13" ht="30" customHeight="1" x14ac:dyDescent="0.25">
      <c r="C120" s="175">
        <v>118</v>
      </c>
      <c r="D120" s="163">
        <v>44333</v>
      </c>
      <c r="E120" s="171">
        <v>0.62304886000000004</v>
      </c>
      <c r="F120" s="171">
        <v>1</v>
      </c>
      <c r="G120" s="172">
        <v>1</v>
      </c>
      <c r="H120" s="171">
        <f>tbTransactions[[#This Row],[Qty]]*tbTransactions[[#This Row],[Unit Cost]]*tbTransactions[[#This Row],[Exchange Rate]]</f>
        <v>0.62304886000000004</v>
      </c>
      <c r="I120" s="148" t="s">
        <v>431</v>
      </c>
      <c r="J120" s="176" t="s">
        <v>22</v>
      </c>
      <c r="K120" s="163" t="str">
        <f>IF(tbTransactions[[#This Row],[Sub-Type]]="Transfer","Neutral",IF(tbTransactions[[#This Row],[Qty]]&lt;0,"Debit",IF(tbTransactions[[#This Row],[Qty]]&gt;0,"Credit","Neutral")))</f>
        <v>Neutral</v>
      </c>
      <c r="L120" s="163" t="s">
        <v>32</v>
      </c>
      <c r="M120" s="171" t="s">
        <v>418</v>
      </c>
    </row>
    <row r="121" spans="3:13" ht="30" customHeight="1" x14ac:dyDescent="0.25">
      <c r="C121" s="175">
        <v>119</v>
      </c>
      <c r="D121" s="163">
        <v>44333</v>
      </c>
      <c r="E121" s="171">
        <v>5.0000000000000001E-3</v>
      </c>
      <c r="F121" s="171">
        <v>1</v>
      </c>
      <c r="G121" s="172">
        <v>1</v>
      </c>
      <c r="H121" s="171">
        <f>tbTransactions[[#This Row],[Qty]]*tbTransactions[[#This Row],[Unit Cost]]*tbTransactions[[#This Row],[Exchange Rate]]</f>
        <v>5.0000000000000001E-3</v>
      </c>
      <c r="I121" s="148" t="s">
        <v>509</v>
      </c>
      <c r="J121" s="176" t="s">
        <v>22</v>
      </c>
      <c r="K121" s="163" t="str">
        <f>IF(tbTransactions[[#This Row],[Sub-Type]]="Transfer","Neutral",IF(tbTransactions[[#This Row],[Qty]]&lt;0,"Debit",IF(tbTransactions[[#This Row],[Qty]]&gt;0,"Credit","Neutral")))</f>
        <v>Credit</v>
      </c>
      <c r="L121" s="163" t="s">
        <v>12</v>
      </c>
      <c r="M121" s="163" t="s">
        <v>32</v>
      </c>
    </row>
    <row r="122" spans="3:13" ht="30" customHeight="1" x14ac:dyDescent="0.25">
      <c r="C122" s="175">
        <v>120</v>
      </c>
      <c r="D122" s="163">
        <v>44333</v>
      </c>
      <c r="E122" s="171">
        <v>8.4256499999999512E-3</v>
      </c>
      <c r="F122" s="171">
        <v>1</v>
      </c>
      <c r="G122" s="172">
        <v>1</v>
      </c>
      <c r="H122" s="171">
        <f>tbTransactions[[#This Row],[Qty]]*tbTransactions[[#This Row],[Unit Cost]]*tbTransactions[[#This Row],[Exchange Rate]]</f>
        <v>8.4256499999999512E-3</v>
      </c>
      <c r="I122" s="148" t="s">
        <v>431</v>
      </c>
      <c r="J122" s="176" t="s">
        <v>22</v>
      </c>
      <c r="K122" s="163" t="str">
        <f>IF(tbTransactions[[#This Row],[Sub-Type]]="Transfer","Neutral",IF(tbTransactions[[#This Row],[Qty]]&lt;0,"Debit",IF(tbTransactions[[#This Row],[Qty]]&gt;0,"Credit","Neutral")))</f>
        <v>Credit</v>
      </c>
      <c r="L122" s="171" t="s">
        <v>29</v>
      </c>
      <c r="M122" s="171"/>
    </row>
    <row r="123" spans="3:13" ht="30" customHeight="1" x14ac:dyDescent="0.25">
      <c r="C123" s="175">
        <v>121</v>
      </c>
      <c r="D123" s="163">
        <v>44333</v>
      </c>
      <c r="E123" s="171">
        <v>-0.25783176999999569</v>
      </c>
      <c r="F123" s="171">
        <f>209.59/20.7124</f>
        <v>10.119059114346962</v>
      </c>
      <c r="G123" s="172">
        <v>1</v>
      </c>
      <c r="H123" s="171">
        <f>tbTransactions[[#This Row],[Qty]]*tbTransactions[[#This Row],[Unit Cost]]*tbTransactions[[#This Row],[Exchange Rate]]</f>
        <v>-2.6090149221866659</v>
      </c>
      <c r="I123" s="148" t="s">
        <v>431</v>
      </c>
      <c r="J123" s="176" t="s">
        <v>21</v>
      </c>
      <c r="K123" s="163" t="str">
        <f>IF(tbTransactions[[#This Row],[Sub-Type]]="Transfer","Neutral",IF(tbTransactions[[#This Row],[Qty]]&lt;0,"Debit",IF(tbTransactions[[#This Row],[Qty]]&gt;0,"Credit","Neutral")))</f>
        <v>Debit</v>
      </c>
      <c r="L123" s="171" t="s">
        <v>29</v>
      </c>
      <c r="M123" s="171"/>
    </row>
    <row r="124" spans="3:13" ht="30" customHeight="1" x14ac:dyDescent="0.25">
      <c r="C124" s="175">
        <v>122</v>
      </c>
      <c r="D124" s="163">
        <v>44333</v>
      </c>
      <c r="E124" s="171">
        <v>-5.0749999999979423E-3</v>
      </c>
      <c r="F124" s="171">
        <v>1</v>
      </c>
      <c r="G124" s="172">
        <v>1</v>
      </c>
      <c r="H124" s="171">
        <f>tbTransactions[[#This Row],[Qty]]*tbTransactions[[#This Row],[Unit Cost]]*tbTransactions[[#This Row],[Exchange Rate]]</f>
        <v>-5.0749999999979423E-3</v>
      </c>
      <c r="I124" s="148" t="s">
        <v>431</v>
      </c>
      <c r="J124" s="176" t="s">
        <v>18</v>
      </c>
      <c r="K124" s="163" t="str">
        <f>IF(tbTransactions[[#This Row],[Sub-Type]]="Transfer","Neutral",IF(tbTransactions[[#This Row],[Qty]]&lt;0,"Debit",IF(tbTransactions[[#This Row],[Qty]]&gt;0,"Credit","Neutral")))</f>
        <v>Debit</v>
      </c>
      <c r="L124" s="171" t="s">
        <v>29</v>
      </c>
      <c r="M124" s="171"/>
    </row>
    <row r="125" spans="3:13" ht="30" customHeight="1" x14ac:dyDescent="0.25">
      <c r="C125" s="175">
        <v>123</v>
      </c>
      <c r="D125" s="163">
        <v>44335</v>
      </c>
      <c r="E125" s="171">
        <v>-3000</v>
      </c>
      <c r="F125" s="171">
        <v>1</v>
      </c>
      <c r="G125" s="172">
        <v>1</v>
      </c>
      <c r="H125" s="171">
        <f>tbTransactions[[#This Row],[Qty]]*tbTransactions[[#This Row],[Unit Cost]]*tbTransactions[[#This Row],[Exchange Rate]]</f>
        <v>-3000</v>
      </c>
      <c r="I125" s="148" t="s">
        <v>499</v>
      </c>
      <c r="J125" s="176" t="s">
        <v>411</v>
      </c>
      <c r="K125" s="163" t="str">
        <f>IF(tbTransactions[[#This Row],[Sub-Type]]="Transfer","Neutral",IF(tbTransactions[[#This Row],[Qty]]&lt;0,"Debit",IF(tbTransactions[[#This Row],[Qty]]&gt;0,"Credit","Neutral")))</f>
        <v>Debit</v>
      </c>
      <c r="L125" s="163" t="s">
        <v>502</v>
      </c>
      <c r="M125" s="171"/>
    </row>
    <row r="126" spans="3:13" ht="30" customHeight="1" x14ac:dyDescent="0.25">
      <c r="C126" s="175">
        <v>124</v>
      </c>
      <c r="D126" s="163">
        <v>44335</v>
      </c>
      <c r="E126" s="171">
        <v>3000</v>
      </c>
      <c r="F126" s="171">
        <v>1</v>
      </c>
      <c r="G126" s="172">
        <v>1</v>
      </c>
      <c r="H126" s="171">
        <f>tbTransactions[[#This Row],[Qty]]*tbTransactions[[#This Row],[Unit Cost]]*tbTransactions[[#This Row],[Exchange Rate]]</f>
        <v>3000</v>
      </c>
      <c r="I126" s="148" t="s">
        <v>509</v>
      </c>
      <c r="J126" s="176" t="s">
        <v>411</v>
      </c>
      <c r="K126" s="163" t="str">
        <f>IF(tbTransactions[[#This Row],[Sub-Type]]="Transfer","Neutral",IF(tbTransactions[[#This Row],[Qty]]&lt;0,"Debit",IF(tbTransactions[[#This Row],[Qty]]&gt;0,"Credit","Neutral")))</f>
        <v>Credit</v>
      </c>
      <c r="L126" s="163" t="s">
        <v>500</v>
      </c>
      <c r="M126" s="171"/>
    </row>
    <row r="127" spans="3:13" ht="30" customHeight="1" x14ac:dyDescent="0.25">
      <c r="C127" s="175">
        <v>125</v>
      </c>
      <c r="D127" s="163">
        <v>44335</v>
      </c>
      <c r="E127" s="171">
        <v>-14.99</v>
      </c>
      <c r="F127" s="171">
        <v>1</v>
      </c>
      <c r="G127" s="172">
        <v>1</v>
      </c>
      <c r="H127" s="171">
        <f>tbTransactions[[#This Row],[Qty]]*tbTransactions[[#This Row],[Unit Cost]]*tbTransactions[[#This Row],[Exchange Rate]]</f>
        <v>-14.99</v>
      </c>
      <c r="I127" s="148" t="s">
        <v>509</v>
      </c>
      <c r="J127" s="176" t="s">
        <v>411</v>
      </c>
      <c r="K127" s="163" t="str">
        <f>IF(tbTransactions[[#This Row],[Sub-Type]]="Transfer","Neutral",IF(tbTransactions[[#This Row],[Qty]]&lt;0,"Debit",IF(tbTransactions[[#This Row],[Qty]]&gt;0,"Credit","Neutral")))</f>
        <v>Debit</v>
      </c>
      <c r="L127" s="163" t="s">
        <v>12</v>
      </c>
      <c r="M127" s="171"/>
    </row>
    <row r="128" spans="3:13" ht="30" customHeight="1" x14ac:dyDescent="0.25">
      <c r="C128" s="175">
        <v>126</v>
      </c>
      <c r="D128" s="163">
        <v>44335</v>
      </c>
      <c r="E128" s="171">
        <v>0.93780631000000003</v>
      </c>
      <c r="F128" s="171">
        <v>3182.9600293476378</v>
      </c>
      <c r="G128" s="172">
        <v>1</v>
      </c>
      <c r="H128" s="171">
        <f>tbTransactions[[#This Row],[Qty]]*tbTransactions[[#This Row],[Unit Cost]]*tbTransactions[[#This Row],[Exchange Rate]]</f>
        <v>2985</v>
      </c>
      <c r="I128" s="148" t="s">
        <v>509</v>
      </c>
      <c r="J128" s="176" t="s">
        <v>22</v>
      </c>
      <c r="K128" s="163" t="str">
        <f>IF(tbTransactions[[#This Row],[Sub-Type]]="Transfer","Neutral",IF(tbTransactions[[#This Row],[Qty]]&lt;0,"Debit",IF(tbTransactions[[#This Row],[Qty]]&gt;0,"Credit","Neutral")))</f>
        <v>Credit</v>
      </c>
      <c r="L128" s="163" t="s">
        <v>505</v>
      </c>
      <c r="M128" s="171" t="s">
        <v>439</v>
      </c>
    </row>
    <row r="129" spans="3:13" ht="30" customHeight="1" x14ac:dyDescent="0.25">
      <c r="C129" s="175">
        <v>127</v>
      </c>
      <c r="D129" s="163">
        <v>44335</v>
      </c>
      <c r="E129" s="171">
        <v>-2985</v>
      </c>
      <c r="F129" s="171">
        <v>1</v>
      </c>
      <c r="G129" s="172">
        <v>1</v>
      </c>
      <c r="H129" s="171">
        <f>tbTransactions[[#This Row],[Qty]]*tbTransactions[[#This Row],[Unit Cost]]*tbTransactions[[#This Row],[Exchange Rate]]</f>
        <v>-2985</v>
      </c>
      <c r="I129" s="148" t="s">
        <v>509</v>
      </c>
      <c r="J129" s="176" t="s">
        <v>411</v>
      </c>
      <c r="K129" s="163" t="str">
        <f>IF(tbTransactions[[#This Row],[Sub-Type]]="Transfer","Neutral",IF(tbTransactions[[#This Row],[Qty]]&lt;0,"Debit",IF(tbTransactions[[#This Row],[Qty]]&gt;0,"Credit","Neutral")))</f>
        <v>Debit</v>
      </c>
      <c r="L129" s="163" t="s">
        <v>501</v>
      </c>
      <c r="M129" s="171"/>
    </row>
    <row r="130" spans="3:13" ht="30" customHeight="1" x14ac:dyDescent="0.25">
      <c r="C130" s="175">
        <v>128</v>
      </c>
      <c r="D130" s="163">
        <v>44337</v>
      </c>
      <c r="E130" s="171">
        <v>-3000</v>
      </c>
      <c r="F130" s="171">
        <v>1</v>
      </c>
      <c r="G130" s="172">
        <v>1</v>
      </c>
      <c r="H130" s="171">
        <f>tbTransactions[[#This Row],[Qty]]*tbTransactions[[#This Row],[Unit Cost]]*tbTransactions[[#This Row],[Exchange Rate]]</f>
        <v>-3000</v>
      </c>
      <c r="I130" s="148" t="s">
        <v>499</v>
      </c>
      <c r="J130" s="176" t="s">
        <v>411</v>
      </c>
      <c r="K130" s="163" t="str">
        <f>IF(tbTransactions[[#This Row],[Sub-Type]]="Transfer","Neutral",IF(tbTransactions[[#This Row],[Qty]]&lt;0,"Debit",IF(tbTransactions[[#This Row],[Qty]]&gt;0,"Credit","Neutral")))</f>
        <v>Debit</v>
      </c>
      <c r="L130" s="163" t="s">
        <v>502</v>
      </c>
      <c r="M130" s="171"/>
    </row>
    <row r="131" spans="3:13" ht="30" customHeight="1" x14ac:dyDescent="0.25">
      <c r="C131" s="175">
        <v>129</v>
      </c>
      <c r="D131" s="163">
        <v>44337</v>
      </c>
      <c r="E131" s="171">
        <v>3000</v>
      </c>
      <c r="F131" s="171">
        <v>1</v>
      </c>
      <c r="G131" s="172">
        <v>1</v>
      </c>
      <c r="H131" s="171">
        <f>tbTransactions[[#This Row],[Qty]]*tbTransactions[[#This Row],[Unit Cost]]*tbTransactions[[#This Row],[Exchange Rate]]</f>
        <v>3000</v>
      </c>
      <c r="I131" s="148" t="s">
        <v>509</v>
      </c>
      <c r="J131" s="176" t="s">
        <v>411</v>
      </c>
      <c r="K131" s="163" t="str">
        <f>IF(tbTransactions[[#This Row],[Sub-Type]]="Transfer","Neutral",IF(tbTransactions[[#This Row],[Qty]]&lt;0,"Debit",IF(tbTransactions[[#This Row],[Qty]]&gt;0,"Credit","Neutral")))</f>
        <v>Credit</v>
      </c>
      <c r="L131" s="163" t="s">
        <v>500</v>
      </c>
      <c r="M131" s="171"/>
    </row>
    <row r="132" spans="3:13" ht="30" customHeight="1" x14ac:dyDescent="0.25">
      <c r="C132" s="175">
        <v>130</v>
      </c>
      <c r="D132" s="163">
        <v>44337</v>
      </c>
      <c r="E132" s="171">
        <v>-14.99</v>
      </c>
      <c r="F132" s="171">
        <v>1</v>
      </c>
      <c r="G132" s="172">
        <v>1</v>
      </c>
      <c r="H132" s="171">
        <f>tbTransactions[[#This Row],[Qty]]*tbTransactions[[#This Row],[Unit Cost]]*tbTransactions[[#This Row],[Exchange Rate]]</f>
        <v>-14.99</v>
      </c>
      <c r="I132" s="148" t="s">
        <v>509</v>
      </c>
      <c r="J132" s="176" t="s">
        <v>411</v>
      </c>
      <c r="K132" s="163" t="str">
        <f>IF(tbTransactions[[#This Row],[Sub-Type]]="Transfer","Neutral",IF(tbTransactions[[#This Row],[Qty]]&lt;0,"Debit",IF(tbTransactions[[#This Row],[Qty]]&gt;0,"Credit","Neutral")))</f>
        <v>Debit</v>
      </c>
      <c r="L132" s="163" t="s">
        <v>12</v>
      </c>
      <c r="M132" s="171"/>
    </row>
    <row r="133" spans="3:13" ht="30" customHeight="1" x14ac:dyDescent="0.25">
      <c r="C133" s="175">
        <v>131</v>
      </c>
      <c r="D133" s="163">
        <v>44337</v>
      </c>
      <c r="E133" s="171">
        <v>1.016866</v>
      </c>
      <c r="F133" s="171">
        <v>2935.4900252343964</v>
      </c>
      <c r="G133" s="172">
        <v>1</v>
      </c>
      <c r="H133" s="171">
        <f>tbTransactions[[#This Row],[Qty]]*tbTransactions[[#This Row],[Unit Cost]]*tbTransactions[[#This Row],[Exchange Rate]]</f>
        <v>2985</v>
      </c>
      <c r="I133" s="148" t="s">
        <v>509</v>
      </c>
      <c r="J133" s="176" t="s">
        <v>22</v>
      </c>
      <c r="K133" s="163" t="str">
        <f>IF(tbTransactions[[#This Row],[Sub-Type]]="Transfer","Neutral",IF(tbTransactions[[#This Row],[Qty]]&lt;0,"Debit",IF(tbTransactions[[#This Row],[Qty]]&gt;0,"Credit","Neutral")))</f>
        <v>Credit</v>
      </c>
      <c r="L133" s="163" t="s">
        <v>505</v>
      </c>
      <c r="M133" s="171" t="s">
        <v>439</v>
      </c>
    </row>
    <row r="134" spans="3:13" ht="30" customHeight="1" x14ac:dyDescent="0.25">
      <c r="C134" s="175">
        <v>132</v>
      </c>
      <c r="D134" s="163">
        <v>44337</v>
      </c>
      <c r="E134" s="171">
        <v>-2985</v>
      </c>
      <c r="F134" s="171">
        <v>1</v>
      </c>
      <c r="G134" s="172">
        <v>1</v>
      </c>
      <c r="H134" s="171">
        <f>tbTransactions[[#This Row],[Qty]]*tbTransactions[[#This Row],[Unit Cost]]*tbTransactions[[#This Row],[Exchange Rate]]</f>
        <v>-2985</v>
      </c>
      <c r="I134" s="148" t="s">
        <v>509</v>
      </c>
      <c r="J134" s="176" t="s">
        <v>411</v>
      </c>
      <c r="K134" s="163" t="str">
        <f>IF(tbTransactions[[#This Row],[Sub-Type]]="Transfer","Neutral",IF(tbTransactions[[#This Row],[Qty]]&lt;0,"Debit",IF(tbTransactions[[#This Row],[Qty]]&gt;0,"Credit","Neutral")))</f>
        <v>Debit</v>
      </c>
      <c r="L134" s="163" t="s">
        <v>501</v>
      </c>
      <c r="M134" s="171"/>
    </row>
    <row r="135" spans="3:13" ht="30" customHeight="1" x14ac:dyDescent="0.25">
      <c r="C135" s="175">
        <v>133</v>
      </c>
      <c r="D135" s="163">
        <v>44339</v>
      </c>
      <c r="E135" s="171">
        <v>-1.2139050300000001</v>
      </c>
      <c r="F135" s="171">
        <v>2200</v>
      </c>
      <c r="G135" s="172">
        <v>1</v>
      </c>
      <c r="H135" s="171">
        <f>tbTransactions[[#This Row],[Qty]]*tbTransactions[[#This Row],[Unit Cost]]*tbTransactions[[#This Row],[Exchange Rate]]</f>
        <v>-2670.591066</v>
      </c>
      <c r="I135" s="148" t="s">
        <v>431</v>
      </c>
      <c r="J135" s="176" t="s">
        <v>22</v>
      </c>
      <c r="K135" s="163" t="str">
        <f>IF(tbTransactions[[#This Row],[Sub-Type]]="Transfer","Neutral",IF(tbTransactions[[#This Row],[Qty]]&lt;0,"Debit",IF(tbTransactions[[#This Row],[Qty]]&gt;0,"Credit","Neutral")))</f>
        <v>Debit</v>
      </c>
      <c r="L135" s="163" t="s">
        <v>603</v>
      </c>
      <c r="M135" s="171" t="s">
        <v>610</v>
      </c>
    </row>
    <row r="136" spans="3:13" ht="30" customHeight="1" x14ac:dyDescent="0.25">
      <c r="C136" s="175">
        <v>134</v>
      </c>
      <c r="D136" s="163">
        <v>44339</v>
      </c>
      <c r="E136" s="171">
        <v>1900</v>
      </c>
      <c r="F136" s="171">
        <v>1.5672253836842105</v>
      </c>
      <c r="G136" s="172">
        <v>1.2060999999999999</v>
      </c>
      <c r="H136" s="171">
        <f>tbTransactions[[#This Row],[Qty]]*tbTransactions[[#This Row],[Unit Cost]]*tbTransactions[[#This Row],[Exchange Rate]]</f>
        <v>3591.4380169968995</v>
      </c>
      <c r="I136" s="148" t="s">
        <v>431</v>
      </c>
      <c r="J136" s="176" t="s">
        <v>17</v>
      </c>
      <c r="K136" s="163" t="str">
        <f>IF(tbTransactions[[#This Row],[Sub-Type]]="Transfer","Neutral",IF(tbTransactions[[#This Row],[Qty]]&lt;0,"Debit",IF(tbTransactions[[#This Row],[Qty]]&gt;0,"Credit","Neutral")))</f>
        <v>Credit</v>
      </c>
      <c r="L136" s="163" t="s">
        <v>603</v>
      </c>
      <c r="M136" s="171" t="s">
        <v>610</v>
      </c>
    </row>
    <row r="137" spans="3:13" ht="30" customHeight="1" x14ac:dyDescent="0.25">
      <c r="C137" s="175">
        <v>135</v>
      </c>
      <c r="D137" s="163">
        <v>44339</v>
      </c>
      <c r="E137" s="171">
        <v>-3000</v>
      </c>
      <c r="F137" s="171">
        <v>1</v>
      </c>
      <c r="G137" s="172">
        <v>1</v>
      </c>
      <c r="H137" s="171">
        <f>tbTransactions[[#This Row],[Qty]]*tbTransactions[[#This Row],[Unit Cost]]*tbTransactions[[#This Row],[Exchange Rate]]</f>
        <v>-3000</v>
      </c>
      <c r="I137" s="148" t="s">
        <v>499</v>
      </c>
      <c r="J137" s="176" t="s">
        <v>411</v>
      </c>
      <c r="K137" s="163" t="str">
        <f>IF(tbTransactions[[#This Row],[Sub-Type]]="Transfer","Neutral",IF(tbTransactions[[#This Row],[Qty]]&lt;0,"Debit",IF(tbTransactions[[#This Row],[Qty]]&gt;0,"Credit","Neutral")))</f>
        <v>Debit</v>
      </c>
      <c r="L137" s="163" t="s">
        <v>502</v>
      </c>
      <c r="M137" s="171"/>
    </row>
    <row r="138" spans="3:13" ht="30" customHeight="1" x14ac:dyDescent="0.25">
      <c r="C138" s="175">
        <v>136</v>
      </c>
      <c r="D138" s="163">
        <v>44339</v>
      </c>
      <c r="E138" s="171">
        <v>3000</v>
      </c>
      <c r="F138" s="171">
        <v>1</v>
      </c>
      <c r="G138" s="172">
        <v>1</v>
      </c>
      <c r="H138" s="171">
        <f>tbTransactions[[#This Row],[Qty]]*tbTransactions[[#This Row],[Unit Cost]]*tbTransactions[[#This Row],[Exchange Rate]]</f>
        <v>3000</v>
      </c>
      <c r="I138" s="148" t="s">
        <v>509</v>
      </c>
      <c r="J138" s="176" t="s">
        <v>411</v>
      </c>
      <c r="K138" s="163" t="str">
        <f>IF(tbTransactions[[#This Row],[Sub-Type]]="Transfer","Neutral",IF(tbTransactions[[#This Row],[Qty]]&lt;0,"Debit",IF(tbTransactions[[#This Row],[Qty]]&gt;0,"Credit","Neutral")))</f>
        <v>Credit</v>
      </c>
      <c r="L138" s="163" t="s">
        <v>500</v>
      </c>
      <c r="M138" s="171"/>
    </row>
    <row r="139" spans="3:13" ht="30" customHeight="1" x14ac:dyDescent="0.25">
      <c r="C139" s="175">
        <v>137</v>
      </c>
      <c r="D139" s="163">
        <v>44339</v>
      </c>
      <c r="E139" s="171">
        <v>-14.99</v>
      </c>
      <c r="F139" s="171">
        <v>1</v>
      </c>
      <c r="G139" s="172">
        <v>1</v>
      </c>
      <c r="H139" s="171">
        <f>tbTransactions[[#This Row],[Qty]]*tbTransactions[[#This Row],[Unit Cost]]*tbTransactions[[#This Row],[Exchange Rate]]</f>
        <v>-14.99</v>
      </c>
      <c r="I139" s="148" t="s">
        <v>509</v>
      </c>
      <c r="J139" s="176" t="s">
        <v>411</v>
      </c>
      <c r="K139" s="163" t="str">
        <f>IF(tbTransactions[[#This Row],[Sub-Type]]="Transfer","Neutral",IF(tbTransactions[[#This Row],[Qty]]&lt;0,"Debit",IF(tbTransactions[[#This Row],[Qty]]&gt;0,"Credit","Neutral")))</f>
        <v>Debit</v>
      </c>
      <c r="L139" s="163" t="s">
        <v>12</v>
      </c>
      <c r="M139" s="171"/>
    </row>
    <row r="140" spans="3:13" ht="30" customHeight="1" x14ac:dyDescent="0.25">
      <c r="C140" s="175">
        <v>138</v>
      </c>
      <c r="D140" s="163">
        <v>44339</v>
      </c>
      <c r="E140" s="171">
        <v>1.15311513</v>
      </c>
      <c r="F140" s="171">
        <v>2588.64</v>
      </c>
      <c r="G140" s="172">
        <v>1</v>
      </c>
      <c r="H140" s="171">
        <f>tbTransactions[[#This Row],[Qty]]*tbTransactions[[#This Row],[Unit Cost]]*tbTransactions[[#This Row],[Exchange Rate]]</f>
        <v>2984.9999501231996</v>
      </c>
      <c r="I140" s="148" t="s">
        <v>509</v>
      </c>
      <c r="J140" s="176" t="s">
        <v>22</v>
      </c>
      <c r="K140" s="163" t="str">
        <f>IF(tbTransactions[[#This Row],[Sub-Type]]="Transfer","Neutral",IF(tbTransactions[[#This Row],[Qty]]&lt;0,"Debit",IF(tbTransactions[[#This Row],[Qty]]&gt;0,"Credit","Neutral")))</f>
        <v>Credit</v>
      </c>
      <c r="L140" s="163" t="s">
        <v>505</v>
      </c>
      <c r="M140" s="171" t="s">
        <v>439</v>
      </c>
    </row>
    <row r="141" spans="3:13" ht="30" customHeight="1" x14ac:dyDescent="0.25">
      <c r="C141" s="175">
        <v>139</v>
      </c>
      <c r="D141" s="163">
        <v>44339</v>
      </c>
      <c r="E141" s="171">
        <v>-2985</v>
      </c>
      <c r="F141" s="171">
        <v>1</v>
      </c>
      <c r="G141" s="172">
        <v>1</v>
      </c>
      <c r="H141" s="171">
        <f>tbTransactions[[#This Row],[Qty]]*tbTransactions[[#This Row],[Unit Cost]]*tbTransactions[[#This Row],[Exchange Rate]]</f>
        <v>-2985</v>
      </c>
      <c r="I141" s="148" t="s">
        <v>509</v>
      </c>
      <c r="J141" s="176" t="s">
        <v>411</v>
      </c>
      <c r="K141" s="163" t="str">
        <f>IF(tbTransactions[[#This Row],[Sub-Type]]="Transfer","Neutral",IF(tbTransactions[[#This Row],[Qty]]&lt;0,"Debit",IF(tbTransactions[[#This Row],[Qty]]&gt;0,"Credit","Neutral")))</f>
        <v>Debit</v>
      </c>
      <c r="L141" s="163" t="s">
        <v>501</v>
      </c>
      <c r="M141" s="171"/>
    </row>
    <row r="142" spans="3:13" ht="30" customHeight="1" x14ac:dyDescent="0.25">
      <c r="C142" s="175">
        <v>140</v>
      </c>
      <c r="D142" s="163">
        <v>44339</v>
      </c>
      <c r="E142" s="171">
        <v>-1900</v>
      </c>
      <c r="F142" s="171">
        <v>1</v>
      </c>
      <c r="G142" s="172">
        <v>1</v>
      </c>
      <c r="H142" s="171">
        <f>tbTransactions[[#This Row],[Qty]]*tbTransactions[[#This Row],[Unit Cost]]*tbTransactions[[#This Row],[Exchange Rate]]</f>
        <v>-1900</v>
      </c>
      <c r="I142" s="148" t="s">
        <v>431</v>
      </c>
      <c r="J142" s="176" t="s">
        <v>17</v>
      </c>
      <c r="K142" s="163" t="str">
        <f>IF(tbTransactions[[#This Row],[Sub-Type]]="Transfer","Neutral",IF(tbTransactions[[#This Row],[Qty]]&lt;0,"Debit",IF(tbTransactions[[#This Row],[Qty]]&gt;0,"Credit","Neutral")))</f>
        <v>Neutral</v>
      </c>
      <c r="L142" s="163" t="s">
        <v>32</v>
      </c>
      <c r="M142" s="163" t="s">
        <v>35</v>
      </c>
    </row>
    <row r="143" spans="3:13" ht="30" customHeight="1" x14ac:dyDescent="0.25">
      <c r="C143" s="175">
        <v>141</v>
      </c>
      <c r="D143" s="163">
        <v>44339</v>
      </c>
      <c r="E143" s="171">
        <v>1899.813461</v>
      </c>
      <c r="F143" s="171">
        <v>1</v>
      </c>
      <c r="G143" s="172">
        <v>1</v>
      </c>
      <c r="H143" s="171">
        <f>tbTransactions[[#This Row],[Qty]]*tbTransactions[[#This Row],[Unit Cost]]*tbTransactions[[#This Row],[Exchange Rate]]</f>
        <v>1899.813461</v>
      </c>
      <c r="I143" s="148" t="s">
        <v>507</v>
      </c>
      <c r="J143" s="176" t="s">
        <v>17</v>
      </c>
      <c r="K143" s="163" t="str">
        <f>IF(tbTransactions[[#This Row],[Sub-Type]]="Transfer","Neutral",IF(tbTransactions[[#This Row],[Qty]]&lt;0,"Debit",IF(tbTransactions[[#This Row],[Qty]]&gt;0,"Credit","Neutral")))</f>
        <v>Neutral</v>
      </c>
      <c r="L143" s="163" t="s">
        <v>32</v>
      </c>
      <c r="M143" s="163" t="s">
        <v>35</v>
      </c>
    </row>
    <row r="144" spans="3:13" ht="30" customHeight="1" x14ac:dyDescent="0.25">
      <c r="C144" s="175">
        <v>142</v>
      </c>
      <c r="D144" s="163">
        <v>44339</v>
      </c>
      <c r="E144" s="171">
        <v>-0.18653900000003901</v>
      </c>
      <c r="F144" s="171">
        <v>1</v>
      </c>
      <c r="G144" s="172">
        <v>1</v>
      </c>
      <c r="H144" s="171">
        <f>tbTransactions[[#This Row],[Qty]]*tbTransactions[[#This Row],[Unit Cost]]*tbTransactions[[#This Row],[Exchange Rate]]</f>
        <v>-0.18653900000003901</v>
      </c>
      <c r="I144" s="148" t="s">
        <v>431</v>
      </c>
      <c r="J144" s="176" t="s">
        <v>17</v>
      </c>
      <c r="K144" s="163" t="str">
        <f>IF(tbTransactions[[#This Row],[Sub-Type]]="Transfer","Neutral",IF(tbTransactions[[#This Row],[Qty]]&lt;0,"Debit",IF(tbTransactions[[#This Row],[Qty]]&gt;0,"Credit","Neutral")))</f>
        <v>Debit</v>
      </c>
      <c r="L144" s="163" t="s">
        <v>12</v>
      </c>
      <c r="M144" s="163" t="s">
        <v>35</v>
      </c>
    </row>
    <row r="145" spans="3:13" ht="30" customHeight="1" x14ac:dyDescent="0.25">
      <c r="C145" s="175">
        <v>143</v>
      </c>
      <c r="D145" s="163">
        <v>44339</v>
      </c>
      <c r="E145" s="171">
        <v>-0.81731560000000003</v>
      </c>
      <c r="F145" s="171">
        <v>2200</v>
      </c>
      <c r="G145" s="172">
        <v>1</v>
      </c>
      <c r="H145" s="171">
        <f>tbTransactions[[#This Row],[Qty]]*tbTransactions[[#This Row],[Unit Cost]]*tbTransactions[[#This Row],[Exchange Rate]]</f>
        <v>-1798.0943200000002</v>
      </c>
      <c r="I145" s="148" t="s">
        <v>431</v>
      </c>
      <c r="J145" s="176" t="s">
        <v>22</v>
      </c>
      <c r="K145" s="163" t="str">
        <f>IF(tbTransactions[[#This Row],[Sub-Type]]="Transfer","Neutral",IF(tbTransactions[[#This Row],[Qty]]&lt;0,"Debit",IF(tbTransactions[[#This Row],[Qty]]&gt;0,"Credit","Neutral")))</f>
        <v>Debit</v>
      </c>
      <c r="L145" s="163" t="s">
        <v>31</v>
      </c>
      <c r="M145" s="163" t="s">
        <v>36</v>
      </c>
    </row>
    <row r="146" spans="3:13" ht="30" customHeight="1" x14ac:dyDescent="0.25">
      <c r="C146" s="175">
        <v>144</v>
      </c>
      <c r="D146" s="163">
        <v>44339</v>
      </c>
      <c r="E146" s="171">
        <v>87.258659390000005</v>
      </c>
      <c r="F146" s="171">
        <f>1978.01/87.25865939</f>
        <v>22.668351930085731</v>
      </c>
      <c r="G146" s="172">
        <v>1</v>
      </c>
      <c r="H146" s="171">
        <f>tbTransactions[[#This Row],[Qty]]*tbTransactions[[#This Row],[Unit Cost]]*tbTransactions[[#This Row],[Exchange Rate]]</f>
        <v>1978.01</v>
      </c>
      <c r="I146" s="148" t="s">
        <v>431</v>
      </c>
      <c r="J146" s="176" t="s">
        <v>20</v>
      </c>
      <c r="K146" s="163" t="str">
        <f>IF(tbTransactions[[#This Row],[Sub-Type]]="Transfer","Neutral",IF(tbTransactions[[#This Row],[Qty]]&lt;0,"Debit",IF(tbTransactions[[#This Row],[Qty]]&gt;0,"Credit","Neutral")))</f>
        <v>Credit</v>
      </c>
      <c r="L146" s="163" t="s">
        <v>517</v>
      </c>
      <c r="M146" s="171" t="s">
        <v>455</v>
      </c>
    </row>
    <row r="147" spans="3:13" ht="30" customHeight="1" x14ac:dyDescent="0.25">
      <c r="C147" s="175">
        <v>145</v>
      </c>
      <c r="D147" s="163">
        <v>44339</v>
      </c>
      <c r="E147" s="171">
        <v>-375</v>
      </c>
      <c r="F147" s="171">
        <v>1</v>
      </c>
      <c r="G147" s="172">
        <v>1</v>
      </c>
      <c r="H147" s="171">
        <f>tbTransactions[[#This Row],[Qty]]*tbTransactions[[#This Row],[Unit Cost]]*tbTransactions[[#This Row],[Exchange Rate]]</f>
        <v>-375</v>
      </c>
      <c r="I147" s="148" t="s">
        <v>499</v>
      </c>
      <c r="J147" s="176" t="s">
        <v>411</v>
      </c>
      <c r="K147" s="163" t="str">
        <f>IF(tbTransactions[[#This Row],[Sub-Type]]="Transfer","Neutral",IF(tbTransactions[[#This Row],[Qty]]&lt;0,"Debit",IF(tbTransactions[[#This Row],[Qty]]&gt;0,"Credit","Neutral")))</f>
        <v>Debit</v>
      </c>
      <c r="L147" s="163" t="s">
        <v>502</v>
      </c>
      <c r="M147" s="171"/>
    </row>
    <row r="148" spans="3:13" ht="30" customHeight="1" x14ac:dyDescent="0.25">
      <c r="C148" s="175">
        <v>146</v>
      </c>
      <c r="D148" s="163">
        <v>44339</v>
      </c>
      <c r="E148" s="171">
        <v>0.14247898000000001</v>
      </c>
      <c r="F148" s="171">
        <f>360.61/0.14247898</f>
        <v>2530.9698314797033</v>
      </c>
      <c r="G148" s="172">
        <v>1</v>
      </c>
      <c r="H148" s="171">
        <f>tbTransactions[[#This Row],[Qty]]*tbTransactions[[#This Row],[Unit Cost]]*tbTransactions[[#This Row],[Exchange Rate]]</f>
        <v>360.61</v>
      </c>
      <c r="I148" s="148" t="s">
        <v>422</v>
      </c>
      <c r="J148" s="176" t="s">
        <v>22</v>
      </c>
      <c r="K148" s="163" t="str">
        <f>IF(tbTransactions[[#This Row],[Sub-Type]]="Transfer","Neutral",IF(tbTransactions[[#This Row],[Qty]]&lt;0,"Debit",IF(tbTransactions[[#This Row],[Qty]]&gt;0,"Credit","Neutral")))</f>
        <v>Credit</v>
      </c>
      <c r="L148" s="163" t="s">
        <v>505</v>
      </c>
      <c r="M148" s="171" t="s">
        <v>439</v>
      </c>
    </row>
    <row r="149" spans="3:13" ht="30" customHeight="1" x14ac:dyDescent="0.25">
      <c r="C149" s="175">
        <v>147</v>
      </c>
      <c r="D149" s="163">
        <v>44339</v>
      </c>
      <c r="E149" s="171">
        <v>14.39</v>
      </c>
      <c r="F149" s="171">
        <v>1</v>
      </c>
      <c r="G149" s="172">
        <v>1</v>
      </c>
      <c r="H149" s="171">
        <f>tbTransactions[[#This Row],[Qty]]*tbTransactions[[#This Row],[Unit Cost]]*tbTransactions[[#This Row],[Exchange Rate]]</f>
        <v>14.39</v>
      </c>
      <c r="I149" s="148" t="s">
        <v>422</v>
      </c>
      <c r="J149" s="176" t="s">
        <v>411</v>
      </c>
      <c r="K149" s="163" t="str">
        <f>IF(tbTransactions[[#This Row],[Sub-Type]]="Transfer","Neutral",IF(tbTransactions[[#This Row],[Qty]]&lt;0,"Debit",IF(tbTransactions[[#This Row],[Qty]]&gt;0,"Credit","Neutral")))</f>
        <v>Credit</v>
      </c>
      <c r="L149" s="163" t="s">
        <v>12</v>
      </c>
      <c r="M149" s="171"/>
    </row>
    <row r="150" spans="3:13" ht="30" customHeight="1" x14ac:dyDescent="0.25">
      <c r="C150" s="175">
        <v>148</v>
      </c>
      <c r="D150" s="163">
        <v>44343</v>
      </c>
      <c r="E150" s="171">
        <v>5.76</v>
      </c>
      <c r="F150" s="171">
        <v>1</v>
      </c>
      <c r="G150" s="172">
        <v>1</v>
      </c>
      <c r="H150" s="171">
        <f>tbTransactions[[#This Row],[Qty]]*tbTransactions[[#This Row],[Unit Cost]]*tbTransactions[[#This Row],[Exchange Rate]]</f>
        <v>5.76</v>
      </c>
      <c r="I150" s="148" t="s">
        <v>422</v>
      </c>
      <c r="J150" s="176" t="s">
        <v>411</v>
      </c>
      <c r="K150" s="163" t="str">
        <f>IF(tbTransactions[[#This Row],[Sub-Type]]="Transfer","Neutral",IF(tbTransactions[[#This Row],[Qty]]&lt;0,"Debit",IF(tbTransactions[[#This Row],[Qty]]&gt;0,"Credit","Neutral")))</f>
        <v>Credit</v>
      </c>
      <c r="L150" s="163" t="s">
        <v>12</v>
      </c>
      <c r="M150" s="171"/>
    </row>
    <row r="151" spans="3:13" ht="30" customHeight="1" x14ac:dyDescent="0.25">
      <c r="C151" s="175">
        <v>149</v>
      </c>
      <c r="D151" s="163">
        <v>44343</v>
      </c>
      <c r="E151" s="171">
        <v>-150</v>
      </c>
      <c r="F151" s="171">
        <v>1</v>
      </c>
      <c r="G151" s="172">
        <v>1</v>
      </c>
      <c r="H151" s="171">
        <f>tbTransactions[[#This Row],[Qty]]*tbTransactions[[#This Row],[Unit Cost]]*tbTransactions[[#This Row],[Exchange Rate]]</f>
        <v>-150</v>
      </c>
      <c r="I151" s="148" t="s">
        <v>499</v>
      </c>
      <c r="J151" s="176" t="s">
        <v>411</v>
      </c>
      <c r="K151" s="163" t="str">
        <f>IF(tbTransactions[[#This Row],[Sub-Type]]="Transfer","Neutral",IF(tbTransactions[[#This Row],[Qty]]&lt;0,"Debit",IF(tbTransactions[[#This Row],[Qty]]&gt;0,"Credit","Neutral")))</f>
        <v>Debit</v>
      </c>
      <c r="L151" s="163" t="s">
        <v>502</v>
      </c>
      <c r="M151" s="171"/>
    </row>
    <row r="152" spans="3:13" ht="30" customHeight="1" x14ac:dyDescent="0.25">
      <c r="C152" s="175">
        <v>150</v>
      </c>
      <c r="D152" s="163">
        <v>44343</v>
      </c>
      <c r="E152" s="171">
        <v>54.368400000000001</v>
      </c>
      <c r="F152" s="171">
        <v>2.653</v>
      </c>
      <c r="G152" s="172">
        <v>1</v>
      </c>
      <c r="H152" s="171">
        <f>tbTransactions[[#This Row],[Qty]]*tbTransactions[[#This Row],[Unit Cost]]*tbTransactions[[#This Row],[Exchange Rate]]</f>
        <v>144.23936520000001</v>
      </c>
      <c r="I152" s="148" t="s">
        <v>422</v>
      </c>
      <c r="J152" s="176" t="s">
        <v>423</v>
      </c>
      <c r="K152" s="163" t="str">
        <f>IF(tbTransactions[[#This Row],[Sub-Type]]="Transfer","Neutral",IF(tbTransactions[[#This Row],[Qty]]&lt;0,"Debit",IF(tbTransactions[[#This Row],[Qty]]&gt;0,"Credit","Neutral")))</f>
        <v>Credit</v>
      </c>
      <c r="L152" s="163" t="s">
        <v>505</v>
      </c>
      <c r="M152" s="171" t="s">
        <v>439</v>
      </c>
    </row>
    <row r="153" spans="3:13" ht="30" customHeight="1" x14ac:dyDescent="0.25">
      <c r="C153" s="175">
        <v>151</v>
      </c>
      <c r="D153" s="163">
        <v>44343</v>
      </c>
      <c r="E153" s="171">
        <v>22.7827372</v>
      </c>
      <c r="F153" s="171">
        <v>0</v>
      </c>
      <c r="G153" s="172">
        <v>1</v>
      </c>
      <c r="H153" s="171">
        <f>tbTransactions[[#This Row],[Qty]]*tbTransactions[[#This Row],[Unit Cost]]*tbTransactions[[#This Row],[Exchange Rate]]</f>
        <v>0</v>
      </c>
      <c r="I153" s="148" t="s">
        <v>422</v>
      </c>
      <c r="J153" s="176" t="s">
        <v>25</v>
      </c>
      <c r="K153" s="163" t="str">
        <f>IF(tbTransactions[[#This Row],[Sub-Type]]="Transfer","Neutral",IF(tbTransactions[[#This Row],[Qty]]&lt;0,"Debit",IF(tbTransactions[[#This Row],[Qty]]&gt;0,"Credit","Neutral")))</f>
        <v>Credit</v>
      </c>
      <c r="L153" s="163" t="s">
        <v>505</v>
      </c>
      <c r="M153" s="171" t="s">
        <v>444</v>
      </c>
    </row>
    <row r="154" spans="3:13" ht="30" customHeight="1" x14ac:dyDescent="0.25">
      <c r="C154" s="175">
        <v>152</v>
      </c>
      <c r="D154" s="163">
        <v>44343</v>
      </c>
      <c r="E154" s="171">
        <v>7.1999999999999998E-3</v>
      </c>
      <c r="F154" s="171">
        <v>0</v>
      </c>
      <c r="G154" s="172">
        <v>1</v>
      </c>
      <c r="H154" s="171">
        <f>tbTransactions[[#This Row],[Qty]]*tbTransactions[[#This Row],[Unit Cost]]*tbTransactions[[#This Row],[Exchange Rate]]</f>
        <v>0</v>
      </c>
      <c r="I154" s="148" t="s">
        <v>422</v>
      </c>
      <c r="J154" s="176" t="s">
        <v>424</v>
      </c>
      <c r="K154" s="163" t="str">
        <f>IF(tbTransactions[[#This Row],[Sub-Type]]="Transfer","Neutral",IF(tbTransactions[[#This Row],[Qty]]&lt;0,"Debit",IF(tbTransactions[[#This Row],[Qty]]&gt;0,"Credit","Neutral")))</f>
        <v>Credit</v>
      </c>
      <c r="L154" s="163" t="s">
        <v>516</v>
      </c>
      <c r="M154" s="171" t="s">
        <v>447</v>
      </c>
    </row>
    <row r="155" spans="3:13" ht="30" customHeight="1" x14ac:dyDescent="0.25">
      <c r="C155" s="175">
        <v>153</v>
      </c>
      <c r="D155" s="163">
        <v>44343</v>
      </c>
      <c r="E155" s="171">
        <v>7.1999999999999998E-3</v>
      </c>
      <c r="F155" s="171">
        <v>0</v>
      </c>
      <c r="G155" s="172">
        <v>1</v>
      </c>
      <c r="H155" s="171">
        <f>tbTransactions[[#This Row],[Qty]]*tbTransactions[[#This Row],[Unit Cost]]*tbTransactions[[#This Row],[Exchange Rate]]</f>
        <v>0</v>
      </c>
      <c r="I155" s="148" t="s">
        <v>422</v>
      </c>
      <c r="J155" s="176" t="s">
        <v>424</v>
      </c>
      <c r="K155" s="163" t="str">
        <f>IF(tbTransactions[[#This Row],[Sub-Type]]="Transfer","Neutral",IF(tbTransactions[[#This Row],[Qty]]&lt;0,"Debit",IF(tbTransactions[[#This Row],[Qty]]&gt;0,"Credit","Neutral")))</f>
        <v>Credit</v>
      </c>
      <c r="L155" s="163" t="s">
        <v>516</v>
      </c>
      <c r="M155" s="171" t="s">
        <v>447</v>
      </c>
    </row>
    <row r="156" spans="3:13" ht="30" customHeight="1" x14ac:dyDescent="0.25">
      <c r="C156" s="175">
        <v>154</v>
      </c>
      <c r="D156" s="163">
        <v>44343</v>
      </c>
      <c r="E156" s="171">
        <v>7.1999999999999998E-3</v>
      </c>
      <c r="F156" s="171">
        <v>0</v>
      </c>
      <c r="G156" s="172">
        <v>1</v>
      </c>
      <c r="H156" s="171">
        <f>tbTransactions[[#This Row],[Qty]]*tbTransactions[[#This Row],[Unit Cost]]*tbTransactions[[#This Row],[Exchange Rate]]</f>
        <v>0</v>
      </c>
      <c r="I156" s="148" t="s">
        <v>422</v>
      </c>
      <c r="J156" s="176" t="s">
        <v>424</v>
      </c>
      <c r="K156" s="163" t="str">
        <f>IF(tbTransactions[[#This Row],[Sub-Type]]="Transfer","Neutral",IF(tbTransactions[[#This Row],[Qty]]&lt;0,"Debit",IF(tbTransactions[[#This Row],[Qty]]&gt;0,"Credit","Neutral")))</f>
        <v>Credit</v>
      </c>
      <c r="L156" s="163" t="s">
        <v>516</v>
      </c>
      <c r="M156" s="171" t="s">
        <v>447</v>
      </c>
    </row>
    <row r="157" spans="3:13" ht="30" customHeight="1" x14ac:dyDescent="0.25">
      <c r="C157" s="175">
        <v>155</v>
      </c>
      <c r="D157" s="163">
        <v>44343</v>
      </c>
      <c r="E157" s="171">
        <v>1.3099000000000001</v>
      </c>
      <c r="F157" s="171">
        <v>0</v>
      </c>
      <c r="G157" s="172">
        <v>1</v>
      </c>
      <c r="H157" s="171">
        <f>tbTransactions[[#This Row],[Qty]]*tbTransactions[[#This Row],[Unit Cost]]*tbTransactions[[#This Row],[Exchange Rate]]</f>
        <v>0</v>
      </c>
      <c r="I157" s="148" t="s">
        <v>422</v>
      </c>
      <c r="J157" s="176" t="s">
        <v>425</v>
      </c>
      <c r="K157" s="163" t="str">
        <f>IF(tbTransactions[[#This Row],[Sub-Type]]="Transfer","Neutral",IF(tbTransactions[[#This Row],[Qty]]&lt;0,"Debit",IF(tbTransactions[[#This Row],[Qty]]&gt;0,"Credit","Neutral")))</f>
        <v>Credit</v>
      </c>
      <c r="L157" s="163" t="s">
        <v>516</v>
      </c>
      <c r="M157" s="171" t="s">
        <v>448</v>
      </c>
    </row>
    <row r="158" spans="3:13" ht="30" customHeight="1" x14ac:dyDescent="0.25">
      <c r="C158" s="175">
        <v>156</v>
      </c>
      <c r="D158" s="163">
        <v>44343</v>
      </c>
      <c r="E158" s="171">
        <v>1.3101</v>
      </c>
      <c r="F158" s="171">
        <v>0</v>
      </c>
      <c r="G158" s="172">
        <v>1</v>
      </c>
      <c r="H158" s="171">
        <f>tbTransactions[[#This Row],[Qty]]*tbTransactions[[#This Row],[Unit Cost]]*tbTransactions[[#This Row],[Exchange Rate]]</f>
        <v>0</v>
      </c>
      <c r="I158" s="148" t="s">
        <v>422</v>
      </c>
      <c r="J158" s="176" t="s">
        <v>425</v>
      </c>
      <c r="K158" s="163" t="str">
        <f>IF(tbTransactions[[#This Row],[Sub-Type]]="Transfer","Neutral",IF(tbTransactions[[#This Row],[Qty]]&lt;0,"Debit",IF(tbTransactions[[#This Row],[Qty]]&gt;0,"Credit","Neutral")))</f>
        <v>Credit</v>
      </c>
      <c r="L158" s="163" t="s">
        <v>516</v>
      </c>
      <c r="M158" s="171" t="s">
        <v>448</v>
      </c>
    </row>
    <row r="159" spans="3:13" ht="30" customHeight="1" x14ac:dyDescent="0.25">
      <c r="C159" s="175">
        <v>157</v>
      </c>
      <c r="D159" s="163">
        <v>44343</v>
      </c>
      <c r="E159" s="171">
        <v>1.3153999999999999</v>
      </c>
      <c r="F159" s="171">
        <v>0</v>
      </c>
      <c r="G159" s="172">
        <v>1</v>
      </c>
      <c r="H159" s="171">
        <f>tbTransactions[[#This Row],[Qty]]*tbTransactions[[#This Row],[Unit Cost]]*tbTransactions[[#This Row],[Exchange Rate]]</f>
        <v>0</v>
      </c>
      <c r="I159" s="148" t="s">
        <v>422</v>
      </c>
      <c r="J159" s="176" t="s">
        <v>425</v>
      </c>
      <c r="K159" s="163" t="str">
        <f>IF(tbTransactions[[#This Row],[Sub-Type]]="Transfer","Neutral",IF(tbTransactions[[#This Row],[Qty]]&lt;0,"Debit",IF(tbTransactions[[#This Row],[Qty]]&gt;0,"Credit","Neutral")))</f>
        <v>Credit</v>
      </c>
      <c r="L159" s="163" t="s">
        <v>516</v>
      </c>
      <c r="M159" s="171" t="s">
        <v>448</v>
      </c>
    </row>
    <row r="160" spans="3:13" ht="30" customHeight="1" x14ac:dyDescent="0.25">
      <c r="C160" s="175">
        <v>158</v>
      </c>
      <c r="D160" s="163">
        <v>44343</v>
      </c>
      <c r="E160" s="171">
        <v>4.2500000000000003E-2</v>
      </c>
      <c r="F160" s="171">
        <v>0</v>
      </c>
      <c r="G160" s="172">
        <v>1</v>
      </c>
      <c r="H160" s="171">
        <f>tbTransactions[[#This Row],[Qty]]*tbTransactions[[#This Row],[Unit Cost]]*tbTransactions[[#This Row],[Exchange Rate]]</f>
        <v>0</v>
      </c>
      <c r="I160" s="148" t="s">
        <v>422</v>
      </c>
      <c r="J160" s="176" t="s">
        <v>426</v>
      </c>
      <c r="K160" s="163" t="str">
        <f>IF(tbTransactions[[#This Row],[Sub-Type]]="Transfer","Neutral",IF(tbTransactions[[#This Row],[Qty]]&lt;0,"Debit",IF(tbTransactions[[#This Row],[Qty]]&gt;0,"Credit","Neutral")))</f>
        <v>Credit</v>
      </c>
      <c r="L160" s="163" t="s">
        <v>516</v>
      </c>
      <c r="M160" s="171" t="s">
        <v>449</v>
      </c>
    </row>
    <row r="161" spans="3:13" ht="30" customHeight="1" x14ac:dyDescent="0.25">
      <c r="C161" s="175">
        <v>159</v>
      </c>
      <c r="D161" s="163">
        <v>44343</v>
      </c>
      <c r="E161" s="171">
        <v>4.2500000000000003E-2</v>
      </c>
      <c r="F161" s="171">
        <v>0</v>
      </c>
      <c r="G161" s="172">
        <v>1</v>
      </c>
      <c r="H161" s="171">
        <f>tbTransactions[[#This Row],[Qty]]*tbTransactions[[#This Row],[Unit Cost]]*tbTransactions[[#This Row],[Exchange Rate]]</f>
        <v>0</v>
      </c>
      <c r="I161" s="148" t="s">
        <v>422</v>
      </c>
      <c r="J161" s="176" t="s">
        <v>426</v>
      </c>
      <c r="K161" s="163" t="str">
        <f>IF(tbTransactions[[#This Row],[Sub-Type]]="Transfer","Neutral",IF(tbTransactions[[#This Row],[Qty]]&lt;0,"Debit",IF(tbTransactions[[#This Row],[Qty]]&gt;0,"Credit","Neutral")))</f>
        <v>Credit</v>
      </c>
      <c r="L161" s="163" t="s">
        <v>516</v>
      </c>
      <c r="M161" s="171" t="s">
        <v>449</v>
      </c>
    </row>
    <row r="162" spans="3:13" ht="30" customHeight="1" x14ac:dyDescent="0.25">
      <c r="C162" s="175">
        <v>160</v>
      </c>
      <c r="D162" s="163">
        <v>44343</v>
      </c>
      <c r="E162" s="171">
        <v>4.2500000000000003E-2</v>
      </c>
      <c r="F162" s="171">
        <v>0</v>
      </c>
      <c r="G162" s="172">
        <v>1</v>
      </c>
      <c r="H162" s="171">
        <f>tbTransactions[[#This Row],[Qty]]*tbTransactions[[#This Row],[Unit Cost]]*tbTransactions[[#This Row],[Exchange Rate]]</f>
        <v>0</v>
      </c>
      <c r="I162" s="148" t="s">
        <v>422</v>
      </c>
      <c r="J162" s="176" t="s">
        <v>426</v>
      </c>
      <c r="K162" s="163" t="str">
        <f>IF(tbTransactions[[#This Row],[Sub-Type]]="Transfer","Neutral",IF(tbTransactions[[#This Row],[Qty]]&lt;0,"Debit",IF(tbTransactions[[#This Row],[Qty]]&gt;0,"Credit","Neutral")))</f>
        <v>Credit</v>
      </c>
      <c r="L162" s="163" t="s">
        <v>516</v>
      </c>
      <c r="M162" s="171" t="s">
        <v>449</v>
      </c>
    </row>
    <row r="163" spans="3:13" ht="30" customHeight="1" x14ac:dyDescent="0.25">
      <c r="C163" s="175">
        <v>161</v>
      </c>
      <c r="D163" s="163">
        <v>44344</v>
      </c>
      <c r="E163" s="171">
        <v>-3000</v>
      </c>
      <c r="F163" s="171">
        <v>1</v>
      </c>
      <c r="G163" s="172">
        <v>1</v>
      </c>
      <c r="H163" s="171">
        <f>tbTransactions[[#This Row],[Qty]]*tbTransactions[[#This Row],[Unit Cost]]*tbTransactions[[#This Row],[Exchange Rate]]</f>
        <v>-3000</v>
      </c>
      <c r="I163" s="148" t="s">
        <v>499</v>
      </c>
      <c r="J163" s="176" t="s">
        <v>411</v>
      </c>
      <c r="K163" s="163" t="str">
        <f>IF(tbTransactions[[#This Row],[Sub-Type]]="Transfer","Neutral",IF(tbTransactions[[#This Row],[Qty]]&lt;0,"Debit",IF(tbTransactions[[#This Row],[Qty]]&gt;0,"Credit","Neutral")))</f>
        <v>Debit</v>
      </c>
      <c r="L163" s="163" t="s">
        <v>502</v>
      </c>
      <c r="M163" s="171"/>
    </row>
    <row r="164" spans="3:13" ht="30" customHeight="1" x14ac:dyDescent="0.25">
      <c r="C164" s="175">
        <v>162</v>
      </c>
      <c r="D164" s="163">
        <v>44344</v>
      </c>
      <c r="E164" s="171">
        <v>3000</v>
      </c>
      <c r="F164" s="171">
        <v>1</v>
      </c>
      <c r="G164" s="172">
        <v>1</v>
      </c>
      <c r="H164" s="171">
        <f>tbTransactions[[#This Row],[Qty]]*tbTransactions[[#This Row],[Unit Cost]]*tbTransactions[[#This Row],[Exchange Rate]]</f>
        <v>3000</v>
      </c>
      <c r="I164" s="148" t="s">
        <v>509</v>
      </c>
      <c r="J164" s="176" t="s">
        <v>411</v>
      </c>
      <c r="K164" s="163" t="str">
        <f>IF(tbTransactions[[#This Row],[Sub-Type]]="Transfer","Neutral",IF(tbTransactions[[#This Row],[Qty]]&lt;0,"Debit",IF(tbTransactions[[#This Row],[Qty]]&gt;0,"Credit","Neutral")))</f>
        <v>Credit</v>
      </c>
      <c r="L164" s="163" t="s">
        <v>500</v>
      </c>
      <c r="M164" s="171"/>
    </row>
    <row r="165" spans="3:13" ht="30" customHeight="1" x14ac:dyDescent="0.25">
      <c r="C165" s="175">
        <v>163</v>
      </c>
      <c r="D165" s="163">
        <v>44344</v>
      </c>
      <c r="E165" s="171">
        <v>0.112382</v>
      </c>
      <c r="F165" s="171">
        <v>0</v>
      </c>
      <c r="G165" s="172">
        <v>1</v>
      </c>
      <c r="H165" s="171">
        <f>tbTransactions[[#This Row],[Qty]]*tbTransactions[[#This Row],[Unit Cost]]*tbTransactions[[#This Row],[Exchange Rate]]</f>
        <v>0</v>
      </c>
      <c r="I165" s="148" t="s">
        <v>431</v>
      </c>
      <c r="J165" s="176" t="s">
        <v>18</v>
      </c>
      <c r="K165" s="163" t="str">
        <f>IF(tbTransactions[[#This Row],[Sub-Type]]="Transfer","Neutral",IF(tbTransactions[[#This Row],[Qty]]&lt;0,"Debit",IF(tbTransactions[[#This Row],[Qty]]&gt;0,"Credit","Neutral")))</f>
        <v>Credit</v>
      </c>
      <c r="L165" s="163" t="s">
        <v>518</v>
      </c>
      <c r="M165" s="171" t="s">
        <v>40</v>
      </c>
    </row>
    <row r="166" spans="3:13" ht="30" customHeight="1" x14ac:dyDescent="0.25">
      <c r="C166" s="175">
        <v>164</v>
      </c>
      <c r="D166" s="163">
        <v>44344</v>
      </c>
      <c r="E166" s="171">
        <v>-14.99</v>
      </c>
      <c r="F166" s="171">
        <v>1</v>
      </c>
      <c r="G166" s="172">
        <v>1</v>
      </c>
      <c r="H166" s="171">
        <f>tbTransactions[[#This Row],[Qty]]*tbTransactions[[#This Row],[Unit Cost]]*tbTransactions[[#This Row],[Exchange Rate]]</f>
        <v>-14.99</v>
      </c>
      <c r="I166" s="148" t="s">
        <v>422</v>
      </c>
      <c r="J166" s="176" t="s">
        <v>411</v>
      </c>
      <c r="K166" s="163" t="str">
        <f>IF(tbTransactions[[#This Row],[Sub-Type]]="Transfer","Neutral",IF(tbTransactions[[#This Row],[Qty]]&lt;0,"Debit",IF(tbTransactions[[#This Row],[Qty]]&gt;0,"Credit","Neutral")))</f>
        <v>Debit</v>
      </c>
      <c r="L166" s="163" t="s">
        <v>12</v>
      </c>
      <c r="M166" s="171"/>
    </row>
    <row r="167" spans="3:13" ht="30" customHeight="1" x14ac:dyDescent="0.25">
      <c r="C167" s="175">
        <v>165</v>
      </c>
      <c r="D167" s="163">
        <v>44344</v>
      </c>
      <c r="E167" s="171">
        <v>1.0275421600000001</v>
      </c>
      <c r="F167" s="171">
        <f>(3000-14.99)/tbTransactions[[#This Row],[Qty]]</f>
        <v>2905.000024524541</v>
      </c>
      <c r="G167" s="172">
        <v>1</v>
      </c>
      <c r="H167" s="171">
        <f>tbTransactions[[#This Row],[Qty]]*tbTransactions[[#This Row],[Unit Cost]]*tbTransactions[[#This Row],[Exchange Rate]]</f>
        <v>2985.01</v>
      </c>
      <c r="I167" s="148" t="s">
        <v>509</v>
      </c>
      <c r="J167" s="176" t="s">
        <v>22</v>
      </c>
      <c r="K167" s="163" t="str">
        <f>IF(tbTransactions[[#This Row],[Sub-Type]]="Transfer","Neutral",IF(tbTransactions[[#This Row],[Qty]]&lt;0,"Debit",IF(tbTransactions[[#This Row],[Qty]]&gt;0,"Credit","Neutral")))</f>
        <v>Credit</v>
      </c>
      <c r="L167" s="163" t="s">
        <v>519</v>
      </c>
      <c r="M167" s="171" t="s">
        <v>439</v>
      </c>
    </row>
    <row r="168" spans="3:13" ht="30" customHeight="1" x14ac:dyDescent="0.25">
      <c r="C168" s="175">
        <v>166</v>
      </c>
      <c r="D168" s="163">
        <v>44351</v>
      </c>
      <c r="E168" s="171">
        <v>3.2817980000000002</v>
      </c>
      <c r="F168" s="171">
        <v>0</v>
      </c>
      <c r="G168" s="172">
        <v>1</v>
      </c>
      <c r="H168" s="171">
        <f>tbTransactions[[#This Row],[Qty]]*tbTransactions[[#This Row],[Unit Cost]]*tbTransactions[[#This Row],[Exchange Rate]]</f>
        <v>0</v>
      </c>
      <c r="I168" s="148" t="s">
        <v>507</v>
      </c>
      <c r="J168" s="176" t="s">
        <v>17</v>
      </c>
      <c r="K168" s="163" t="str">
        <f>IF(tbTransactions[[#This Row],[Sub-Type]]="Transfer","Neutral",IF(tbTransactions[[#This Row],[Qty]]&lt;0,"Debit",IF(tbTransactions[[#This Row],[Qty]]&gt;0,"Credit","Neutral")))</f>
        <v>Credit</v>
      </c>
      <c r="L168" s="163" t="s">
        <v>518</v>
      </c>
      <c r="M168" s="171" t="s">
        <v>427</v>
      </c>
    </row>
    <row r="169" spans="3:13" ht="30" customHeight="1" x14ac:dyDescent="0.25">
      <c r="C169" s="175">
        <v>167</v>
      </c>
      <c r="D169" s="163">
        <v>44351</v>
      </c>
      <c r="E169" s="171">
        <v>0.60893923000000005</v>
      </c>
      <c r="F169" s="171">
        <v>0</v>
      </c>
      <c r="G169" s="172">
        <v>1</v>
      </c>
      <c r="H169" s="171">
        <f>tbTransactions[[#This Row],[Qty]]*tbTransactions[[#This Row],[Unit Cost]]*tbTransactions[[#This Row],[Exchange Rate]]</f>
        <v>0</v>
      </c>
      <c r="I169" s="148" t="s">
        <v>422</v>
      </c>
      <c r="J169" s="176" t="s">
        <v>423</v>
      </c>
      <c r="K169" s="163" t="str">
        <f>IF(tbTransactions[[#This Row],[Sub-Type]]="Transfer","Neutral",IF(tbTransactions[[#This Row],[Qty]]&lt;0,"Debit",IF(tbTransactions[[#This Row],[Qty]]&gt;0,"Credit","Neutral")))</f>
        <v>Credit</v>
      </c>
      <c r="L169" s="163" t="s">
        <v>516</v>
      </c>
      <c r="M169" s="171" t="s">
        <v>445</v>
      </c>
    </row>
    <row r="170" spans="3:13" ht="30" customHeight="1" x14ac:dyDescent="0.25">
      <c r="C170" s="175">
        <v>168</v>
      </c>
      <c r="D170" s="163">
        <v>44351</v>
      </c>
      <c r="E170" s="171">
        <v>0.60912469000000002</v>
      </c>
      <c r="F170" s="171">
        <v>0</v>
      </c>
      <c r="G170" s="172">
        <v>1</v>
      </c>
      <c r="H170" s="171">
        <f>tbTransactions[[#This Row],[Qty]]*tbTransactions[[#This Row],[Unit Cost]]*tbTransactions[[#This Row],[Exchange Rate]]</f>
        <v>0</v>
      </c>
      <c r="I170" s="148" t="s">
        <v>422</v>
      </c>
      <c r="J170" s="176" t="s">
        <v>423</v>
      </c>
      <c r="K170" s="163" t="str">
        <f>IF(tbTransactions[[#This Row],[Sub-Type]]="Transfer","Neutral",IF(tbTransactions[[#This Row],[Qty]]&lt;0,"Debit",IF(tbTransactions[[#This Row],[Qty]]&gt;0,"Credit","Neutral")))</f>
        <v>Credit</v>
      </c>
      <c r="L170" s="163" t="s">
        <v>516</v>
      </c>
      <c r="M170" s="171" t="s">
        <v>445</v>
      </c>
    </row>
    <row r="171" spans="3:13" ht="30" customHeight="1" x14ac:dyDescent="0.25">
      <c r="C171" s="175">
        <v>169</v>
      </c>
      <c r="D171" s="163">
        <v>44351</v>
      </c>
      <c r="E171" s="171">
        <v>0.60845755999999995</v>
      </c>
      <c r="F171" s="171">
        <v>0</v>
      </c>
      <c r="G171" s="172">
        <v>1</v>
      </c>
      <c r="H171" s="171">
        <f>tbTransactions[[#This Row],[Qty]]*tbTransactions[[#This Row],[Unit Cost]]*tbTransactions[[#This Row],[Exchange Rate]]</f>
        <v>0</v>
      </c>
      <c r="I171" s="148" t="s">
        <v>422</v>
      </c>
      <c r="J171" s="176" t="s">
        <v>423</v>
      </c>
      <c r="K171" s="163" t="str">
        <f>IF(tbTransactions[[#This Row],[Sub-Type]]="Transfer","Neutral",IF(tbTransactions[[#This Row],[Qty]]&lt;0,"Debit",IF(tbTransactions[[#This Row],[Qty]]&gt;0,"Credit","Neutral")))</f>
        <v>Credit</v>
      </c>
      <c r="L171" s="163" t="s">
        <v>516</v>
      </c>
      <c r="M171" s="171" t="s">
        <v>445</v>
      </c>
    </row>
    <row r="172" spans="3:13" ht="30" customHeight="1" x14ac:dyDescent="0.25">
      <c r="C172" s="175">
        <v>170</v>
      </c>
      <c r="D172" s="163">
        <v>44351</v>
      </c>
      <c r="E172" s="171">
        <v>144.15404275</v>
      </c>
      <c r="F172" s="171">
        <v>2.0012619451839826</v>
      </c>
      <c r="G172" s="172">
        <v>1</v>
      </c>
      <c r="H172" s="171">
        <f>tbTransactions[[#This Row],[Qty]]*tbTransactions[[#This Row],[Unit Cost]]*tbTransactions[[#This Row],[Exchange Rate]]</f>
        <v>288.49</v>
      </c>
      <c r="I172" s="148" t="s">
        <v>422</v>
      </c>
      <c r="J172" s="176" t="s">
        <v>423</v>
      </c>
      <c r="K172" s="163" t="str">
        <f>IF(tbTransactions[[#This Row],[Sub-Type]]="Transfer","Neutral",IF(tbTransactions[[#This Row],[Qty]]&lt;0,"Debit",IF(tbTransactions[[#This Row],[Qty]]&gt;0,"Credit","Neutral")))</f>
        <v>Credit</v>
      </c>
      <c r="L172" s="163" t="s">
        <v>505</v>
      </c>
      <c r="M172" s="171" t="s">
        <v>456</v>
      </c>
    </row>
    <row r="173" spans="3:13" ht="30" customHeight="1" x14ac:dyDescent="0.25">
      <c r="C173" s="175">
        <v>171</v>
      </c>
      <c r="D173" s="163">
        <v>44351</v>
      </c>
      <c r="E173" s="171">
        <v>-288.49</v>
      </c>
      <c r="F173" s="171">
        <v>1</v>
      </c>
      <c r="G173" s="172">
        <v>1</v>
      </c>
      <c r="H173" s="171">
        <f>tbTransactions[[#This Row],[Qty]]*tbTransactions[[#This Row],[Unit Cost]]*tbTransactions[[#This Row],[Exchange Rate]]</f>
        <v>-288.49</v>
      </c>
      <c r="I173" s="148" t="s">
        <v>499</v>
      </c>
      <c r="J173" s="176" t="s">
        <v>411</v>
      </c>
      <c r="K173" s="163" t="str">
        <f>IF(tbTransactions[[#This Row],[Sub-Type]]="Transfer","Neutral",IF(tbTransactions[[#This Row],[Qty]]&lt;0,"Debit",IF(tbTransactions[[#This Row],[Qty]]&gt;0,"Credit","Neutral")))</f>
        <v>Debit</v>
      </c>
      <c r="L173" s="163" t="s">
        <v>502</v>
      </c>
      <c r="M173" s="171"/>
    </row>
    <row r="174" spans="3:13" ht="30" customHeight="1" x14ac:dyDescent="0.25">
      <c r="C174" s="175">
        <v>172</v>
      </c>
      <c r="D174" s="163">
        <v>44351</v>
      </c>
      <c r="E174" s="171">
        <v>-11.509999999999991</v>
      </c>
      <c r="F174" s="171">
        <v>1</v>
      </c>
      <c r="G174" s="172">
        <v>1</v>
      </c>
      <c r="H174" s="171">
        <f>tbTransactions[[#This Row],[Qty]]*tbTransactions[[#This Row],[Unit Cost]]*tbTransactions[[#This Row],[Exchange Rate]]</f>
        <v>-11.509999999999991</v>
      </c>
      <c r="I174" s="148" t="s">
        <v>499</v>
      </c>
      <c r="J174" s="176" t="s">
        <v>411</v>
      </c>
      <c r="K174" s="163" t="str">
        <f>IF(tbTransactions[[#This Row],[Sub-Type]]="Transfer","Neutral",IF(tbTransactions[[#This Row],[Qty]]&lt;0,"Debit",IF(tbTransactions[[#This Row],[Qty]]&gt;0,"Credit","Neutral")))</f>
        <v>Debit</v>
      </c>
      <c r="L174" s="163" t="s">
        <v>12</v>
      </c>
      <c r="M174" s="171"/>
    </row>
    <row r="175" spans="3:13" ht="30" customHeight="1" x14ac:dyDescent="0.25">
      <c r="C175" s="175">
        <v>173</v>
      </c>
      <c r="D175" s="163">
        <v>44352</v>
      </c>
      <c r="E175" s="171">
        <v>50.865945830000001</v>
      </c>
      <c r="F175" s="171">
        <v>33.052958567191553</v>
      </c>
      <c r="G175" s="172">
        <v>1</v>
      </c>
      <c r="H175" s="171">
        <f>tbTransactions[[#This Row],[Qty]]*tbTransactions[[#This Row],[Unit Cost]]*tbTransactions[[#This Row],[Exchange Rate]]</f>
        <v>1681.27</v>
      </c>
      <c r="I175" s="148" t="s">
        <v>431</v>
      </c>
      <c r="J175" s="176" t="s">
        <v>24</v>
      </c>
      <c r="K175" s="163" t="str">
        <f>IF(tbTransactions[[#This Row],[Sub-Type]]="Transfer","Neutral",IF(tbTransactions[[#This Row],[Qty]]&lt;0,"Debit",IF(tbTransactions[[#This Row],[Qty]]&gt;0,"Credit","Neutral")))</f>
        <v>Credit</v>
      </c>
      <c r="L175" s="163" t="s">
        <v>603</v>
      </c>
      <c r="M175" s="171" t="s">
        <v>611</v>
      </c>
    </row>
    <row r="176" spans="3:13" ht="30" customHeight="1" x14ac:dyDescent="0.25">
      <c r="C176" s="175">
        <v>174</v>
      </c>
      <c r="D176" s="163">
        <v>44352</v>
      </c>
      <c r="E176" s="171">
        <v>-255.6953</v>
      </c>
      <c r="F176" s="171">
        <f>1810/tbTransactions[[#This Row],[Qty]]*-1</f>
        <v>7.0787378571291688</v>
      </c>
      <c r="G176" s="172">
        <v>1</v>
      </c>
      <c r="H176" s="171">
        <f>tbTransactions[[#This Row],[Qty]]*tbTransactions[[#This Row],[Unit Cost]]*tbTransactions[[#This Row],[Exchange Rate]]</f>
        <v>-1810</v>
      </c>
      <c r="I176" s="148" t="s">
        <v>431</v>
      </c>
      <c r="J176" s="176" t="s">
        <v>21</v>
      </c>
      <c r="K176" s="163" t="str">
        <f>IF(tbTransactions[[#This Row],[Sub-Type]]="Transfer","Neutral",IF(tbTransactions[[#This Row],[Qty]]&lt;0,"Debit",IF(tbTransactions[[#This Row],[Qty]]&gt;0,"Credit","Neutral")))</f>
        <v>Debit</v>
      </c>
      <c r="L176" s="163" t="s">
        <v>603</v>
      </c>
      <c r="M176" s="171" t="s">
        <v>611</v>
      </c>
    </row>
    <row r="177" spans="3:16" ht="30" customHeight="1" x14ac:dyDescent="0.25">
      <c r="C177" s="175">
        <v>175</v>
      </c>
      <c r="D177" s="163">
        <v>44355</v>
      </c>
      <c r="E177" s="171">
        <v>-3000</v>
      </c>
      <c r="F177" s="171">
        <v>1</v>
      </c>
      <c r="G177" s="172">
        <v>1</v>
      </c>
      <c r="H177" s="171">
        <f>tbTransactions[[#This Row],[Qty]]*tbTransactions[[#This Row],[Unit Cost]]*tbTransactions[[#This Row],[Exchange Rate]]</f>
        <v>-3000</v>
      </c>
      <c r="I177" s="148" t="s">
        <v>499</v>
      </c>
      <c r="J177" s="176" t="s">
        <v>411</v>
      </c>
      <c r="K177" s="163" t="str">
        <f>IF(tbTransactions[[#This Row],[Sub-Type]]="Transfer","Neutral",IF(tbTransactions[[#This Row],[Qty]]&lt;0,"Debit",IF(tbTransactions[[#This Row],[Qty]]&gt;0,"Credit","Neutral")))</f>
        <v>Debit</v>
      </c>
      <c r="L177" s="163" t="s">
        <v>502</v>
      </c>
      <c r="M177" s="171"/>
    </row>
    <row r="178" spans="3:16" ht="30" customHeight="1" x14ac:dyDescent="0.25">
      <c r="C178" s="175">
        <v>176</v>
      </c>
      <c r="D178" s="163">
        <v>44355</v>
      </c>
      <c r="E178" s="171">
        <v>3000</v>
      </c>
      <c r="F178" s="171">
        <v>1</v>
      </c>
      <c r="G178" s="172">
        <v>1</v>
      </c>
      <c r="H178" s="171">
        <v>3000</v>
      </c>
      <c r="I178" s="148" t="s">
        <v>509</v>
      </c>
      <c r="J178" s="176" t="s">
        <v>411</v>
      </c>
      <c r="K178" s="163" t="str">
        <f>IF(tbTransactions[[#This Row],[Sub-Type]]="Transfer","Neutral",IF(tbTransactions[[#This Row],[Qty]]&lt;0,"Debit",IF(tbTransactions[[#This Row],[Qty]]&gt;0,"Credit","Neutral")))</f>
        <v>Credit</v>
      </c>
      <c r="L178" s="163" t="s">
        <v>500</v>
      </c>
      <c r="M178" s="171"/>
    </row>
    <row r="179" spans="3:16" ht="30" customHeight="1" x14ac:dyDescent="0.25">
      <c r="C179" s="175">
        <v>177</v>
      </c>
      <c r="D179" s="163">
        <v>44356</v>
      </c>
      <c r="E179" s="171">
        <v>2.214442</v>
      </c>
      <c r="F179" s="171">
        <v>0</v>
      </c>
      <c r="G179" s="172">
        <v>1</v>
      </c>
      <c r="H179" s="171">
        <f>tbTransactions[[#This Row],[Qty]]*tbTransactions[[#This Row],[Unit Cost]]*tbTransactions[[#This Row],[Exchange Rate]]</f>
        <v>0</v>
      </c>
      <c r="I179" s="148" t="s">
        <v>507</v>
      </c>
      <c r="J179" s="176" t="s">
        <v>17</v>
      </c>
      <c r="K179" s="163" t="str">
        <f>IF(tbTransactions[[#This Row],[Sub-Type]]="Transfer","Neutral",IF(tbTransactions[[#This Row],[Qty]]&lt;0,"Debit",IF(tbTransactions[[#This Row],[Qty]]&gt;0,"Credit","Neutral")))</f>
        <v>Credit</v>
      </c>
      <c r="L179" s="163" t="s">
        <v>518</v>
      </c>
      <c r="M179" s="171" t="s">
        <v>427</v>
      </c>
    </row>
    <row r="180" spans="3:16" ht="30" customHeight="1" x14ac:dyDescent="0.25">
      <c r="C180" s="175">
        <v>178</v>
      </c>
      <c r="D180" s="163">
        <v>44356</v>
      </c>
      <c r="E180" s="171">
        <v>0.11006199999999999</v>
      </c>
      <c r="F180" s="171">
        <v>0</v>
      </c>
      <c r="G180" s="172">
        <v>1</v>
      </c>
      <c r="H180" s="171">
        <f>tbTransactions[[#This Row],[Qty]]*tbTransactions[[#This Row],[Unit Cost]]*tbTransactions[[#This Row],[Exchange Rate]]</f>
        <v>0</v>
      </c>
      <c r="I180" s="148" t="s">
        <v>431</v>
      </c>
      <c r="J180" s="176" t="s">
        <v>18</v>
      </c>
      <c r="K180" s="163" t="str">
        <f>IF(tbTransactions[[#This Row],[Sub-Type]]="Transfer","Neutral",IF(tbTransactions[[#This Row],[Qty]]&lt;0,"Debit",IF(tbTransactions[[#This Row],[Qty]]&gt;0,"Credit","Neutral")))</f>
        <v>Credit</v>
      </c>
      <c r="L180" s="163" t="s">
        <v>518</v>
      </c>
      <c r="M180" s="171" t="s">
        <v>40</v>
      </c>
    </row>
    <row r="181" spans="3:16" ht="30" customHeight="1" x14ac:dyDescent="0.25">
      <c r="C181" s="175">
        <v>179</v>
      </c>
      <c r="D181" s="163">
        <v>44357</v>
      </c>
      <c r="E181" s="171">
        <v>67</v>
      </c>
      <c r="F181" s="171">
        <v>220.5</v>
      </c>
      <c r="G181" s="172">
        <v>1</v>
      </c>
      <c r="H181" s="171">
        <f>tbTransactions[[#This Row],[Qty]]*tbTransactions[[#This Row],[Unit Cost]]*tbTransactions[[#This Row],[Exchange Rate]]</f>
        <v>14773.5</v>
      </c>
      <c r="I181" s="148" t="s">
        <v>714</v>
      </c>
      <c r="J181" s="176" t="s">
        <v>41</v>
      </c>
      <c r="K181" s="163" t="str">
        <f>IF(tbTransactions[[#This Row],[Sub-Type]]="Transfer","Neutral",IF(tbTransactions[[#This Row],[Qty]]&lt;0,"Debit",IF(tbTransactions[[#This Row],[Qty]]&gt;0,"Credit","Neutral")))</f>
        <v>Credit</v>
      </c>
      <c r="L181" s="163" t="s">
        <v>519</v>
      </c>
      <c r="M181" s="171" t="s">
        <v>429</v>
      </c>
    </row>
    <row r="182" spans="3:16" ht="30" customHeight="1" x14ac:dyDescent="0.25">
      <c r="C182" s="175">
        <v>180</v>
      </c>
      <c r="D182" s="163">
        <v>44357</v>
      </c>
      <c r="E182" s="171">
        <v>-14773.5</v>
      </c>
      <c r="F182" s="171">
        <v>1</v>
      </c>
      <c r="G182" s="172">
        <v>1</v>
      </c>
      <c r="H182" s="171">
        <f>tbTransactions[[#This Row],[Qty]]*tbTransactions[[#This Row],[Unit Cost]]*tbTransactions[[#This Row],[Exchange Rate]]</f>
        <v>-14773.5</v>
      </c>
      <c r="I182" s="148" t="s">
        <v>714</v>
      </c>
      <c r="J182" s="176" t="s">
        <v>411</v>
      </c>
      <c r="K182" s="163" t="str">
        <f>IF(tbTransactions[[#This Row],[Sub-Type]]="Transfer","Neutral",IF(tbTransactions[[#This Row],[Qty]]&lt;0,"Debit",IF(tbTransactions[[#This Row],[Qty]]&gt;0,"Credit","Neutral")))</f>
        <v>Debit</v>
      </c>
      <c r="L182" s="163" t="s">
        <v>522</v>
      </c>
      <c r="M182" s="171" t="s">
        <v>429</v>
      </c>
    </row>
    <row r="183" spans="3:16" ht="30" customHeight="1" x14ac:dyDescent="0.25">
      <c r="C183" s="175">
        <v>181</v>
      </c>
      <c r="D183" s="163">
        <v>44357</v>
      </c>
      <c r="E183" s="171">
        <v>12.813408089999999</v>
      </c>
      <c r="F183" s="171">
        <v>28.14</v>
      </c>
      <c r="G183" s="172">
        <v>1</v>
      </c>
      <c r="H183" s="171">
        <f>tbTransactions[[#This Row],[Qty]]*tbTransactions[[#This Row],[Unit Cost]]*tbTransactions[[#This Row],[Exchange Rate]]</f>
        <v>360.56930365260001</v>
      </c>
      <c r="I183" s="148" t="s">
        <v>422</v>
      </c>
      <c r="J183" s="176" t="s">
        <v>24</v>
      </c>
      <c r="K183" s="163" t="str">
        <f>IF(tbTransactions[[#This Row],[Sub-Type]]="Transfer","Neutral",IF(tbTransactions[[#This Row],[Qty]]&lt;0,"Debit",IF(tbTransactions[[#This Row],[Qty]]&gt;0,"Credit","Neutral")))</f>
        <v>Credit</v>
      </c>
      <c r="L183" s="163" t="s">
        <v>505</v>
      </c>
      <c r="M183" s="171" t="s">
        <v>430</v>
      </c>
      <c r="P183" s="171"/>
    </row>
    <row r="184" spans="3:16" ht="30" customHeight="1" x14ac:dyDescent="0.25">
      <c r="C184" s="175">
        <v>182</v>
      </c>
      <c r="D184" s="163">
        <v>44357</v>
      </c>
      <c r="E184" s="171">
        <v>-14.39</v>
      </c>
      <c r="F184" s="171">
        <v>1</v>
      </c>
      <c r="G184" s="172">
        <v>1</v>
      </c>
      <c r="H184" s="171">
        <f>tbTransactions[[#This Row],[Qty]]*tbTransactions[[#This Row],[Unit Cost]]*tbTransactions[[#This Row],[Exchange Rate]]</f>
        <v>-14.39</v>
      </c>
      <c r="I184" s="148" t="s">
        <v>499</v>
      </c>
      <c r="J184" s="176" t="s">
        <v>411</v>
      </c>
      <c r="K184" s="163" t="str">
        <f>IF(tbTransactions[[#This Row],[Sub-Type]]="Transfer","Neutral",IF(tbTransactions[[#This Row],[Qty]]&lt;0,"Debit",IF(tbTransactions[[#This Row],[Qty]]&gt;0,"Credit","Neutral")))</f>
        <v>Debit</v>
      </c>
      <c r="L184" s="163" t="s">
        <v>12</v>
      </c>
      <c r="M184" s="171"/>
    </row>
    <row r="185" spans="3:16" ht="30" customHeight="1" x14ac:dyDescent="0.25">
      <c r="C185" s="175">
        <v>183</v>
      </c>
      <c r="D185" s="163">
        <v>44357</v>
      </c>
      <c r="E185" s="171">
        <v>-360.5693</v>
      </c>
      <c r="F185" s="171">
        <v>1</v>
      </c>
      <c r="G185" s="172">
        <v>1</v>
      </c>
      <c r="H185" s="171">
        <f>tbTransactions[[#This Row],[Qty]]*tbTransactions[[#This Row],[Unit Cost]]*tbTransactions[[#This Row],[Exchange Rate]]</f>
        <v>-360.5693</v>
      </c>
      <c r="I185" s="148" t="s">
        <v>499</v>
      </c>
      <c r="J185" s="176" t="s">
        <v>411</v>
      </c>
      <c r="K185" s="163" t="str">
        <f>IF(tbTransactions[[#This Row],[Sub-Type]]="Transfer","Neutral",IF(tbTransactions[[#This Row],[Qty]]&lt;0,"Debit",IF(tbTransactions[[#This Row],[Qty]]&gt;0,"Credit","Neutral")))</f>
        <v>Debit</v>
      </c>
      <c r="L185" s="163" t="s">
        <v>502</v>
      </c>
      <c r="M185" s="171"/>
    </row>
    <row r="186" spans="3:16" ht="30" customHeight="1" x14ac:dyDescent="0.25">
      <c r="C186" s="175">
        <v>184</v>
      </c>
      <c r="D186" s="163">
        <v>44357</v>
      </c>
      <c r="E186" s="171">
        <v>-3000</v>
      </c>
      <c r="F186" s="171">
        <v>1</v>
      </c>
      <c r="G186" s="172">
        <v>1</v>
      </c>
      <c r="H186" s="171">
        <f>tbTransactions[[#This Row],[Qty]]*tbTransactions[[#This Row],[Unit Cost]]*tbTransactions[[#This Row],[Exchange Rate]]</f>
        <v>-3000</v>
      </c>
      <c r="I186" s="177" t="s">
        <v>499</v>
      </c>
      <c r="J186" s="176" t="s">
        <v>411</v>
      </c>
      <c r="K186" s="163" t="str">
        <f>IF(tbTransactions[[#This Row],[Sub-Type]]="Transfer","Neutral",IF(tbTransactions[[#This Row],[Qty]]&lt;0,"Debit",IF(tbTransactions[[#This Row],[Qty]]&gt;0,"Credit","Neutral")))</f>
        <v>Debit</v>
      </c>
      <c r="L186" s="163" t="s">
        <v>502</v>
      </c>
      <c r="M186" s="171"/>
    </row>
    <row r="187" spans="3:16" ht="30" customHeight="1" x14ac:dyDescent="0.25">
      <c r="C187" s="175">
        <v>185</v>
      </c>
      <c r="D187" s="163">
        <v>44357</v>
      </c>
      <c r="E187" s="171">
        <v>3000</v>
      </c>
      <c r="F187" s="171">
        <v>1</v>
      </c>
      <c r="G187" s="172">
        <v>1</v>
      </c>
      <c r="H187" s="171">
        <f>tbTransactions[[#This Row],[Qty]]*tbTransactions[[#This Row],[Unit Cost]]*tbTransactions[[#This Row],[Exchange Rate]]</f>
        <v>3000</v>
      </c>
      <c r="I187" s="148" t="s">
        <v>509</v>
      </c>
      <c r="J187" s="176" t="s">
        <v>411</v>
      </c>
      <c r="K187" s="163" t="str">
        <f>IF(tbTransactions[[#This Row],[Sub-Type]]="Transfer","Neutral",IF(tbTransactions[[#This Row],[Qty]]&lt;0,"Debit",IF(tbTransactions[[#This Row],[Qty]]&gt;0,"Credit","Neutral")))</f>
        <v>Credit</v>
      </c>
      <c r="L187" s="163" t="s">
        <v>500</v>
      </c>
      <c r="M187" s="171"/>
    </row>
    <row r="188" spans="3:16" ht="30" customHeight="1" x14ac:dyDescent="0.25">
      <c r="C188" s="175">
        <v>186</v>
      </c>
      <c r="D188" s="163">
        <v>44358</v>
      </c>
      <c r="E188" s="171">
        <f>-6000+29.99</f>
        <v>-5970.01</v>
      </c>
      <c r="F188" s="171">
        <v>1</v>
      </c>
      <c r="G188" s="172">
        <v>1</v>
      </c>
      <c r="H188" s="171">
        <f>tbTransactions[[#This Row],[Qty]]*tbTransactions[[#This Row],[Unit Cost]]*tbTransactions[[#This Row],[Exchange Rate]]</f>
        <v>-5970.01</v>
      </c>
      <c r="I188" s="148" t="s">
        <v>509</v>
      </c>
      <c r="J188" s="176" t="s">
        <v>411</v>
      </c>
      <c r="K188" s="163" t="str">
        <f>IF(tbTransactions[[#This Row],[Sub-Type]]="Transfer","Neutral",IF(tbTransactions[[#This Row],[Qty]]&lt;0,"Debit",IF(tbTransactions[[#This Row],[Qty]]&gt;0,"Credit","Neutral")))</f>
        <v>Debit</v>
      </c>
      <c r="L188" s="163" t="s">
        <v>501</v>
      </c>
      <c r="M188" s="171"/>
    </row>
    <row r="189" spans="3:16" ht="30" customHeight="1" x14ac:dyDescent="0.25">
      <c r="C189" s="175">
        <v>187</v>
      </c>
      <c r="D189" s="163">
        <v>44358</v>
      </c>
      <c r="E189" s="171">
        <v>2.0445239700000002</v>
      </c>
      <c r="F189" s="171">
        <v>2920.0000037172467</v>
      </c>
      <c r="G189" s="172">
        <v>1</v>
      </c>
      <c r="H189" s="171">
        <f>tbTransactions[[#This Row],[Qty]]*tbTransactions[[#This Row],[Unit Cost]]*tbTransactions[[#This Row],[Exchange Rate]]</f>
        <v>5970.01</v>
      </c>
      <c r="I189" s="148" t="s">
        <v>509</v>
      </c>
      <c r="J189" s="176" t="s">
        <v>22</v>
      </c>
      <c r="K189" s="163" t="str">
        <f>IF(tbTransactions[[#This Row],[Sub-Type]]="Transfer","Neutral",IF(tbTransactions[[#This Row],[Qty]]&lt;0,"Debit",IF(tbTransactions[[#This Row],[Qty]]&gt;0,"Credit","Neutral")))</f>
        <v>Credit</v>
      </c>
      <c r="L189" s="163" t="s">
        <v>505</v>
      </c>
      <c r="M189" s="171" t="s">
        <v>439</v>
      </c>
    </row>
    <row r="190" spans="3:16" ht="30" customHeight="1" x14ac:dyDescent="0.25">
      <c r="C190" s="175">
        <v>188</v>
      </c>
      <c r="D190" s="163">
        <v>44358</v>
      </c>
      <c r="E190" s="171">
        <v>-29.99</v>
      </c>
      <c r="F190" s="171">
        <v>1</v>
      </c>
      <c r="G190" s="172">
        <v>1</v>
      </c>
      <c r="H190" s="171">
        <f>tbTransactions[[#This Row],[Qty]]*tbTransactions[[#This Row],[Unit Cost]]*tbTransactions[[#This Row],[Exchange Rate]]</f>
        <v>-29.99</v>
      </c>
      <c r="I190" s="148" t="s">
        <v>509</v>
      </c>
      <c r="J190" s="176" t="s">
        <v>411</v>
      </c>
      <c r="K190" s="163" t="str">
        <f>IF(tbTransactions[[#This Row],[Sub-Type]]="Transfer","Neutral",IF(tbTransactions[[#This Row],[Qty]]&lt;0,"Debit",IF(tbTransactions[[#This Row],[Qty]]&gt;0,"Credit","Neutral")))</f>
        <v>Debit</v>
      </c>
      <c r="L190" s="163" t="s">
        <v>12</v>
      </c>
      <c r="M190" s="171"/>
    </row>
    <row r="191" spans="3:16" ht="30" customHeight="1" x14ac:dyDescent="0.25">
      <c r="C191" s="175">
        <v>189</v>
      </c>
      <c r="D191" s="163">
        <v>44358</v>
      </c>
      <c r="E191" s="171">
        <v>-14.99</v>
      </c>
      <c r="F191" s="171">
        <v>1</v>
      </c>
      <c r="G191" s="172">
        <v>1</v>
      </c>
      <c r="H191" s="171">
        <f>tbTransactions[[#This Row],[Qty]]*tbTransactions[[#This Row],[Unit Cost]]*tbTransactions[[#This Row],[Exchange Rate]]</f>
        <v>-14.99</v>
      </c>
      <c r="I191" s="148" t="s">
        <v>509</v>
      </c>
      <c r="J191" s="176" t="s">
        <v>411</v>
      </c>
      <c r="K191" s="163" t="str">
        <f>IF(tbTransactions[[#This Row],[Sub-Type]]="Transfer","Neutral",IF(tbTransactions[[#This Row],[Qty]]&lt;0,"Debit",IF(tbTransactions[[#This Row],[Qty]]&gt;0,"Credit","Neutral")))</f>
        <v>Debit</v>
      </c>
      <c r="L191" s="163" t="s">
        <v>12</v>
      </c>
      <c r="M191" s="171"/>
    </row>
    <row r="192" spans="3:16" ht="30" customHeight="1" x14ac:dyDescent="0.25">
      <c r="C192" s="175">
        <v>190</v>
      </c>
      <c r="D192" s="163">
        <v>44358</v>
      </c>
      <c r="E192" s="171">
        <v>-3000</v>
      </c>
      <c r="F192" s="171">
        <v>1</v>
      </c>
      <c r="G192" s="172">
        <v>1</v>
      </c>
      <c r="H192" s="171">
        <f>tbTransactions[[#This Row],[Qty]]*tbTransactions[[#This Row],[Unit Cost]]*tbTransactions[[#This Row],[Exchange Rate]]</f>
        <v>-3000</v>
      </c>
      <c r="I192" s="148" t="s">
        <v>499</v>
      </c>
      <c r="J192" s="176" t="s">
        <v>411</v>
      </c>
      <c r="K192" s="163" t="str">
        <f>IF(tbTransactions[[#This Row],[Sub-Type]]="Transfer","Neutral",IF(tbTransactions[[#This Row],[Qty]]&lt;0,"Debit",IF(tbTransactions[[#This Row],[Qty]]&gt;0,"Credit","Neutral")))</f>
        <v>Debit</v>
      </c>
      <c r="L192" s="163" t="s">
        <v>502</v>
      </c>
      <c r="M192" s="171"/>
    </row>
    <row r="193" spans="3:13" ht="30" customHeight="1" x14ac:dyDescent="0.25">
      <c r="C193" s="175">
        <v>191</v>
      </c>
      <c r="D193" s="163">
        <v>44358</v>
      </c>
      <c r="E193" s="171">
        <v>1.0222636899999999</v>
      </c>
      <c r="F193" s="171">
        <v>2920</v>
      </c>
      <c r="G193" s="172">
        <v>1</v>
      </c>
      <c r="H193" s="171">
        <f>tbTransactions[[#This Row],[Qty]]*tbTransactions[[#This Row],[Unit Cost]]*tbTransactions[[#This Row],[Exchange Rate]]</f>
        <v>2985.0099747999998</v>
      </c>
      <c r="I193" s="148" t="s">
        <v>509</v>
      </c>
      <c r="J193" s="176" t="s">
        <v>22</v>
      </c>
      <c r="K193" s="163" t="str">
        <f>IF(tbTransactions[[#This Row],[Sub-Type]]="Transfer","Neutral",IF(tbTransactions[[#This Row],[Qty]]&lt;0,"Debit",IF(tbTransactions[[#This Row],[Qty]]&gt;0,"Credit","Neutral")))</f>
        <v>Credit</v>
      </c>
      <c r="L193" s="163" t="s">
        <v>505</v>
      </c>
      <c r="M193" s="171" t="s">
        <v>439</v>
      </c>
    </row>
    <row r="194" spans="3:13" ht="30" customHeight="1" x14ac:dyDescent="0.25">
      <c r="C194" s="175">
        <v>192</v>
      </c>
      <c r="D194" s="163">
        <v>44358</v>
      </c>
      <c r="E194" s="171">
        <v>-5.0000000000000001E-3</v>
      </c>
      <c r="F194" s="171">
        <v>2863.54</v>
      </c>
      <c r="G194" s="172">
        <v>1</v>
      </c>
      <c r="H194" s="171">
        <f>tbTransactions[[#This Row],[Qty]]*tbTransactions[[#This Row],[Unit Cost]]*tbTransactions[[#This Row],[Exchange Rate]]</f>
        <v>-14.3177</v>
      </c>
      <c r="I194" s="148" t="s">
        <v>509</v>
      </c>
      <c r="J194" s="176" t="s">
        <v>22</v>
      </c>
      <c r="K194" s="163" t="str">
        <f>IF(tbTransactions[[#This Row],[Sub-Type]]="Transfer","Neutral",IF(tbTransactions[[#This Row],[Qty]]&lt;0,"Debit",IF(tbTransactions[[#This Row],[Qty]]&gt;0,"Credit","Neutral")))</f>
        <v>Debit</v>
      </c>
      <c r="L194" s="163" t="s">
        <v>12</v>
      </c>
      <c r="M194" s="171"/>
    </row>
    <row r="195" spans="3:13" ht="30" customHeight="1" x14ac:dyDescent="0.25">
      <c r="C195" s="175">
        <v>193</v>
      </c>
      <c r="D195" s="163">
        <v>44358</v>
      </c>
      <c r="E195" s="171">
        <v>-7.1971172699999997</v>
      </c>
      <c r="F195" s="171">
        <v>2863.54</v>
      </c>
      <c r="G195" s="172">
        <v>1</v>
      </c>
      <c r="H195" s="171">
        <f>tbTransactions[[#This Row],[Qty]]*tbTransactions[[#This Row],[Unit Cost]]*tbTransactions[[#This Row],[Exchange Rate]]</f>
        <v>-20609.233187335798</v>
      </c>
      <c r="I195" s="148" t="s">
        <v>509</v>
      </c>
      <c r="J195" s="176" t="s">
        <v>22</v>
      </c>
      <c r="K195" s="163" t="str">
        <f>IF(tbTransactions[[#This Row],[Sub-Type]]="Transfer","Neutral",IF(tbTransactions[[#This Row],[Qty]]&lt;0,"Debit",IF(tbTransactions[[#This Row],[Qty]]&gt;0,"Credit","Neutral")))</f>
        <v>Neutral</v>
      </c>
      <c r="L195" s="163" t="s">
        <v>32</v>
      </c>
      <c r="M195" s="171" t="s">
        <v>432</v>
      </c>
    </row>
    <row r="196" spans="3:13" ht="30" customHeight="1" x14ac:dyDescent="0.25">
      <c r="C196" s="175">
        <v>194</v>
      </c>
      <c r="D196" s="163">
        <v>44358</v>
      </c>
      <c r="E196" s="171">
        <v>7.1971172699999997</v>
      </c>
      <c r="F196" s="171">
        <v>2863.54</v>
      </c>
      <c r="G196" s="172">
        <v>1</v>
      </c>
      <c r="H196" s="171">
        <f>tbTransactions[[#This Row],[Qty]]*tbTransactions[[#This Row],[Unit Cost]]*tbTransactions[[#This Row],[Exchange Rate]]</f>
        <v>20609.233187335798</v>
      </c>
      <c r="I196" s="148" t="s">
        <v>759</v>
      </c>
      <c r="J196" s="176" t="s">
        <v>22</v>
      </c>
      <c r="K196" s="163" t="str">
        <f>IF(tbTransactions[[#This Row],[Sub-Type]]="Transfer","Neutral",IF(tbTransactions[[#This Row],[Qty]]&lt;0,"Debit",IF(tbTransactions[[#This Row],[Qty]]&gt;0,"Credit","Neutral")))</f>
        <v>Neutral</v>
      </c>
      <c r="L196" s="163" t="s">
        <v>32</v>
      </c>
      <c r="M196" s="171" t="s">
        <v>432</v>
      </c>
    </row>
    <row r="197" spans="3:13" ht="30" customHeight="1" x14ac:dyDescent="0.25">
      <c r="C197" s="175">
        <v>195</v>
      </c>
      <c r="D197" s="163">
        <v>44358</v>
      </c>
      <c r="E197" s="171">
        <v>-7</v>
      </c>
      <c r="F197" s="171">
        <v>2840.53</v>
      </c>
      <c r="G197" s="172">
        <v>1</v>
      </c>
      <c r="H197" s="171">
        <f>tbTransactions[[#This Row],[Qty]]*tbTransactions[[#This Row],[Unit Cost]]*tbTransactions[[#This Row],[Exchange Rate]]</f>
        <v>-19883.710000000003</v>
      </c>
      <c r="I197" s="148" t="s">
        <v>759</v>
      </c>
      <c r="J197" s="176" t="s">
        <v>22</v>
      </c>
      <c r="K197" s="163" t="str">
        <f>IF(tbTransactions[[#This Row],[Sub-Type]]="Transfer","Neutral",IF(tbTransactions[[#This Row],[Qty]]&lt;0,"Debit",IF(tbTransactions[[#This Row],[Qty]]&gt;0,"Credit","Neutral")))</f>
        <v>Neutral</v>
      </c>
      <c r="L197" s="163" t="s">
        <v>32</v>
      </c>
      <c r="M197" s="171" t="s">
        <v>435</v>
      </c>
    </row>
    <row r="198" spans="3:13" ht="30" customHeight="1" x14ac:dyDescent="0.25">
      <c r="C198" s="175">
        <v>196</v>
      </c>
      <c r="D198" s="163">
        <v>44358</v>
      </c>
      <c r="E198" s="171">
        <v>1</v>
      </c>
      <c r="F198" s="171">
        <v>19883.71</v>
      </c>
      <c r="G198" s="172">
        <v>1</v>
      </c>
      <c r="H198" s="171">
        <f>tbTransactions[[#This Row],[Qty]]*tbTransactions[[#This Row],[Unit Cost]]*tbTransactions[[#This Row],[Exchange Rate]]</f>
        <v>19883.71</v>
      </c>
      <c r="I198" s="148" t="s">
        <v>434</v>
      </c>
      <c r="J198" s="176" t="s">
        <v>433</v>
      </c>
      <c r="K198" s="163" t="str">
        <f>IF(tbTransactions[[#This Row],[Sub-Type]]="Transfer","Neutral",IF(tbTransactions[[#This Row],[Qty]]&lt;0,"Debit",IF(tbTransactions[[#This Row],[Qty]]&gt;0,"Credit","Neutral")))</f>
        <v>Credit</v>
      </c>
      <c r="L198" s="163" t="s">
        <v>517</v>
      </c>
      <c r="M198" s="171" t="s">
        <v>435</v>
      </c>
    </row>
    <row r="199" spans="3:13" ht="30" customHeight="1" x14ac:dyDescent="0.25">
      <c r="C199" s="175">
        <v>197</v>
      </c>
      <c r="D199" s="163">
        <v>44361</v>
      </c>
      <c r="E199" s="171">
        <v>1.697462</v>
      </c>
      <c r="F199" s="171">
        <v>0</v>
      </c>
      <c r="G199" s="172">
        <v>1</v>
      </c>
      <c r="H199" s="171">
        <f>tbTransactions[[#This Row],[Qty]]*tbTransactions[[#This Row],[Unit Cost]]*tbTransactions[[#This Row],[Exchange Rate]]</f>
        <v>0</v>
      </c>
      <c r="I199" s="148" t="s">
        <v>507</v>
      </c>
      <c r="J199" s="176" t="s">
        <v>17</v>
      </c>
      <c r="K199" s="163" t="str">
        <f>IF(tbTransactions[[#This Row],[Sub-Type]]="Transfer","Neutral",IF(tbTransactions[[#This Row],[Qty]]&lt;0,"Debit",IF(tbTransactions[[#This Row],[Qty]]&gt;0,"Credit","Neutral")))</f>
        <v>Credit</v>
      </c>
      <c r="L199" s="163" t="s">
        <v>518</v>
      </c>
      <c r="M199" s="171" t="s">
        <v>427</v>
      </c>
    </row>
    <row r="200" spans="3:13" ht="30" customHeight="1" x14ac:dyDescent="0.25">
      <c r="C200" s="175">
        <v>198</v>
      </c>
      <c r="D200" s="163">
        <v>44362</v>
      </c>
      <c r="E200" s="171">
        <v>1.5</v>
      </c>
      <c r="F200" s="171">
        <v>1</v>
      </c>
      <c r="G200" s="172">
        <v>1</v>
      </c>
      <c r="H200" s="171">
        <f>tbTransactions[[#This Row],[Qty]]*tbTransactions[[#This Row],[Unit Cost]]*tbTransactions[[#This Row],[Exchange Rate]]</f>
        <v>1.5</v>
      </c>
      <c r="I200" s="148" t="s">
        <v>510</v>
      </c>
      <c r="J200" s="176" t="s">
        <v>20</v>
      </c>
      <c r="K200" s="163" t="str">
        <f>IF(tbTransactions[[#This Row],[Sub-Type]]="Transfer","Neutral",IF(tbTransactions[[#This Row],[Qty]]&lt;0,"Debit",IF(tbTransactions[[#This Row],[Qty]]&gt;0,"Credit","Neutral")))</f>
        <v>Neutral</v>
      </c>
      <c r="L200" s="163" t="s">
        <v>32</v>
      </c>
      <c r="M200" s="171" t="s">
        <v>523</v>
      </c>
    </row>
    <row r="201" spans="3:13" ht="30" customHeight="1" x14ac:dyDescent="0.25">
      <c r="C201" s="175">
        <v>199</v>
      </c>
      <c r="D201" s="163">
        <v>44362</v>
      </c>
      <c r="E201" s="171">
        <v>-1.5</v>
      </c>
      <c r="F201" s="171">
        <v>1</v>
      </c>
      <c r="G201" s="172">
        <v>1</v>
      </c>
      <c r="H201" s="171">
        <f>tbTransactions[[#This Row],[Qty]]*tbTransactions[[#This Row],[Unit Cost]]*tbTransactions[[#This Row],[Exchange Rate]]</f>
        <v>-1.5</v>
      </c>
      <c r="I201" s="148" t="s">
        <v>431</v>
      </c>
      <c r="J201" s="176" t="s">
        <v>20</v>
      </c>
      <c r="K201" s="163" t="str">
        <f>IF(tbTransactions[[#This Row],[Sub-Type]]="Transfer","Neutral",IF(tbTransactions[[#This Row],[Qty]]&lt;0,"Debit",IF(tbTransactions[[#This Row],[Qty]]&gt;0,"Credit","Neutral")))</f>
        <v>Neutral</v>
      </c>
      <c r="L201" s="163" t="s">
        <v>32</v>
      </c>
      <c r="M201" s="171" t="s">
        <v>523</v>
      </c>
    </row>
    <row r="202" spans="3:13" ht="30" customHeight="1" x14ac:dyDescent="0.25">
      <c r="C202" s="175">
        <v>200</v>
      </c>
      <c r="D202" s="163">
        <v>44362</v>
      </c>
      <c r="E202" s="171">
        <v>84.703000000000003</v>
      </c>
      <c r="F202" s="171">
        <v>1</v>
      </c>
      <c r="G202" s="172">
        <v>1</v>
      </c>
      <c r="H202" s="171">
        <f>tbTransactions[[#This Row],[Qty]]*tbTransactions[[#This Row],[Unit Cost]]*tbTransactions[[#This Row],[Exchange Rate]]</f>
        <v>84.703000000000003</v>
      </c>
      <c r="I202" s="148" t="s">
        <v>511</v>
      </c>
      <c r="J202" s="176" t="s">
        <v>20</v>
      </c>
      <c r="K202" s="163" t="str">
        <f>IF(tbTransactions[[#This Row],[Sub-Type]]="Transfer","Neutral",IF(tbTransactions[[#This Row],[Qty]]&lt;0,"Debit",IF(tbTransactions[[#This Row],[Qty]]&gt;0,"Credit","Neutral")))</f>
        <v>Neutral</v>
      </c>
      <c r="L202" s="163" t="s">
        <v>32</v>
      </c>
      <c r="M202" s="171" t="s">
        <v>524</v>
      </c>
    </row>
    <row r="203" spans="3:13" ht="30" customHeight="1" x14ac:dyDescent="0.25">
      <c r="C203" s="175">
        <v>201</v>
      </c>
      <c r="D203" s="163">
        <v>44362</v>
      </c>
      <c r="E203" s="171">
        <v>-84.703000000000003</v>
      </c>
      <c r="F203" s="171">
        <v>1</v>
      </c>
      <c r="G203" s="172">
        <v>1</v>
      </c>
      <c r="H203" s="171">
        <f>tbTransactions[[#This Row],[Qty]]*tbTransactions[[#This Row],[Unit Cost]]*tbTransactions[[#This Row],[Exchange Rate]]</f>
        <v>-84.703000000000003</v>
      </c>
      <c r="I203" s="148" t="s">
        <v>431</v>
      </c>
      <c r="J203" s="176" t="s">
        <v>20</v>
      </c>
      <c r="K203" s="163" t="str">
        <f>IF(tbTransactions[[#This Row],[Sub-Type]]="Transfer","Neutral",IF(tbTransactions[[#This Row],[Qty]]&lt;0,"Debit",IF(tbTransactions[[#This Row],[Qty]]&gt;0,"Credit","Neutral")))</f>
        <v>Neutral</v>
      </c>
      <c r="L203" s="163" t="s">
        <v>32</v>
      </c>
      <c r="M203" s="171" t="s">
        <v>524</v>
      </c>
    </row>
    <row r="204" spans="3:13" ht="30" customHeight="1" x14ac:dyDescent="0.25">
      <c r="C204" s="175">
        <v>202</v>
      </c>
      <c r="D204" s="163">
        <v>44363</v>
      </c>
      <c r="E204" s="171">
        <v>-3000</v>
      </c>
      <c r="F204" s="171">
        <v>1</v>
      </c>
      <c r="G204" s="172">
        <v>1</v>
      </c>
      <c r="H204" s="171">
        <f>tbTransactions[[#This Row],[Qty]]*tbTransactions[[#This Row],[Unit Cost]]*tbTransactions[[#This Row],[Exchange Rate]]</f>
        <v>-3000</v>
      </c>
      <c r="I204" s="177" t="s">
        <v>499</v>
      </c>
      <c r="J204" s="176" t="s">
        <v>411</v>
      </c>
      <c r="K204" s="163" t="str">
        <f>IF(tbTransactions[[#This Row],[Sub-Type]]="Transfer","Neutral",IF(tbTransactions[[#This Row],[Qty]]&lt;0,"Debit",IF(tbTransactions[[#This Row],[Qty]]&gt;0,"Credit","Neutral")))</f>
        <v>Debit</v>
      </c>
      <c r="L204" s="163" t="s">
        <v>502</v>
      </c>
      <c r="M204" s="171"/>
    </row>
    <row r="205" spans="3:13" ht="30" customHeight="1" x14ac:dyDescent="0.25">
      <c r="C205" s="175">
        <v>203</v>
      </c>
      <c r="D205" s="163">
        <v>44363</v>
      </c>
      <c r="E205" s="171">
        <v>3000</v>
      </c>
      <c r="F205" s="171">
        <v>1</v>
      </c>
      <c r="G205" s="172">
        <v>1</v>
      </c>
      <c r="H205" s="171">
        <f>tbTransactions[[#This Row],[Qty]]*tbTransactions[[#This Row],[Unit Cost]]*tbTransactions[[#This Row],[Exchange Rate]]</f>
        <v>3000</v>
      </c>
      <c r="I205" s="148" t="s">
        <v>509</v>
      </c>
      <c r="J205" s="176" t="s">
        <v>411</v>
      </c>
      <c r="K205" s="163" t="str">
        <f>IF(tbTransactions[[#This Row],[Sub-Type]]="Transfer","Neutral",IF(tbTransactions[[#This Row],[Qty]]&lt;0,"Debit",IF(tbTransactions[[#This Row],[Qty]]&gt;0,"Credit","Neutral")))</f>
        <v>Credit</v>
      </c>
      <c r="L205" s="163" t="s">
        <v>500</v>
      </c>
      <c r="M205" s="171"/>
    </row>
    <row r="206" spans="3:13" ht="30" customHeight="1" x14ac:dyDescent="0.25">
      <c r="C206" s="175">
        <v>204</v>
      </c>
      <c r="D206" s="163">
        <v>44365</v>
      </c>
      <c r="E206" s="171">
        <v>-3000</v>
      </c>
      <c r="F206" s="171">
        <v>1</v>
      </c>
      <c r="G206" s="172">
        <v>1</v>
      </c>
      <c r="H206" s="171">
        <f>tbTransactions[[#This Row],[Qty]]*tbTransactions[[#This Row],[Unit Cost]]*tbTransactions[[#This Row],[Exchange Rate]]</f>
        <v>-3000</v>
      </c>
      <c r="I206" s="177" t="s">
        <v>499</v>
      </c>
      <c r="J206" s="176" t="s">
        <v>411</v>
      </c>
      <c r="K206" s="163" t="str">
        <f>IF(tbTransactions[[#This Row],[Sub-Type]]="Transfer","Neutral",IF(tbTransactions[[#This Row],[Qty]]&lt;0,"Debit",IF(tbTransactions[[#This Row],[Qty]]&gt;0,"Credit","Neutral")))</f>
        <v>Debit</v>
      </c>
      <c r="L206" s="163" t="s">
        <v>502</v>
      </c>
      <c r="M206" s="171"/>
    </row>
    <row r="207" spans="3:13" ht="30" customHeight="1" x14ac:dyDescent="0.25">
      <c r="C207" s="175">
        <v>205</v>
      </c>
      <c r="D207" s="163">
        <v>44365</v>
      </c>
      <c r="E207" s="171">
        <v>3000</v>
      </c>
      <c r="F207" s="171">
        <v>1</v>
      </c>
      <c r="G207" s="172">
        <v>1</v>
      </c>
      <c r="H207" s="171">
        <f>tbTransactions[[#This Row],[Qty]]*tbTransactions[[#This Row],[Unit Cost]]*tbTransactions[[#This Row],[Exchange Rate]]</f>
        <v>3000</v>
      </c>
      <c r="I207" s="148" t="s">
        <v>509</v>
      </c>
      <c r="J207" s="176" t="s">
        <v>411</v>
      </c>
      <c r="K207" s="163" t="str">
        <f>IF(tbTransactions[[#This Row],[Sub-Type]]="Transfer","Neutral",IF(tbTransactions[[#This Row],[Qty]]&lt;0,"Debit",IF(tbTransactions[[#This Row],[Qty]]&gt;0,"Credit","Neutral")))</f>
        <v>Credit</v>
      </c>
      <c r="L207" s="163" t="s">
        <v>500</v>
      </c>
      <c r="M207" s="171"/>
    </row>
    <row r="208" spans="3:13" ht="30" customHeight="1" x14ac:dyDescent="0.25">
      <c r="C208" s="175">
        <v>206</v>
      </c>
      <c r="D208" s="163">
        <v>44366</v>
      </c>
      <c r="E208" s="171">
        <v>1.194342</v>
      </c>
      <c r="F208" s="171">
        <v>0</v>
      </c>
      <c r="G208" s="172">
        <v>1</v>
      </c>
      <c r="H208" s="171">
        <f>tbTransactions[[#This Row],[Qty]]*tbTransactions[[#This Row],[Unit Cost]]*tbTransactions[[#This Row],[Exchange Rate]]</f>
        <v>0</v>
      </c>
      <c r="I208" s="148" t="s">
        <v>507</v>
      </c>
      <c r="J208" s="176" t="s">
        <v>17</v>
      </c>
      <c r="K208" s="163" t="str">
        <f>IF(tbTransactions[[#This Row],[Sub-Type]]="Transfer","Neutral",IF(tbTransactions[[#This Row],[Qty]]&lt;0,"Debit",IF(tbTransactions[[#This Row],[Qty]]&gt;0,"Credit","Neutral")))</f>
        <v>Credit</v>
      </c>
      <c r="L208" s="163" t="s">
        <v>518</v>
      </c>
      <c r="M208" s="171" t="s">
        <v>427</v>
      </c>
    </row>
    <row r="209" spans="3:13" ht="30" customHeight="1" x14ac:dyDescent="0.25">
      <c r="C209" s="175">
        <v>207</v>
      </c>
      <c r="D209" s="163">
        <v>44366</v>
      </c>
      <c r="E209" s="171">
        <v>-3000</v>
      </c>
      <c r="F209" s="171">
        <v>1</v>
      </c>
      <c r="G209" s="172">
        <v>1</v>
      </c>
      <c r="H209" s="171">
        <f>tbTransactions[[#This Row],[Qty]]*tbTransactions[[#This Row],[Unit Cost]]*tbTransactions[[#This Row],[Exchange Rate]]</f>
        <v>-3000</v>
      </c>
      <c r="I209" s="177" t="s">
        <v>499</v>
      </c>
      <c r="J209" s="176" t="s">
        <v>411</v>
      </c>
      <c r="K209" s="163" t="str">
        <f>IF(tbTransactions[[#This Row],[Sub-Type]]="Transfer","Neutral",IF(tbTransactions[[#This Row],[Qty]]&lt;0,"Debit",IF(tbTransactions[[#This Row],[Qty]]&gt;0,"Credit","Neutral")))</f>
        <v>Debit</v>
      </c>
      <c r="L209" s="163" t="s">
        <v>502</v>
      </c>
      <c r="M209" s="171"/>
    </row>
    <row r="210" spans="3:13" ht="30" customHeight="1" x14ac:dyDescent="0.25">
      <c r="C210" s="175">
        <v>208</v>
      </c>
      <c r="D210" s="163">
        <v>44366</v>
      </c>
      <c r="E210" s="171">
        <v>3000</v>
      </c>
      <c r="F210" s="171">
        <v>1</v>
      </c>
      <c r="G210" s="172">
        <v>1</v>
      </c>
      <c r="H210" s="171">
        <f>tbTransactions[[#This Row],[Qty]]*tbTransactions[[#This Row],[Unit Cost]]*tbTransactions[[#This Row],[Exchange Rate]]</f>
        <v>3000</v>
      </c>
      <c r="I210" s="148" t="s">
        <v>509</v>
      </c>
      <c r="J210" s="176" t="s">
        <v>411</v>
      </c>
      <c r="K210" s="163" t="str">
        <f>IF(tbTransactions[[#This Row],[Sub-Type]]="Transfer","Neutral",IF(tbTransactions[[#This Row],[Qty]]&lt;0,"Debit",IF(tbTransactions[[#This Row],[Qty]]&gt;0,"Credit","Neutral")))</f>
        <v>Credit</v>
      </c>
      <c r="L210" s="163" t="s">
        <v>500</v>
      </c>
      <c r="M210" s="171"/>
    </row>
    <row r="211" spans="3:13" ht="30" customHeight="1" x14ac:dyDescent="0.25">
      <c r="C211" s="175">
        <v>209</v>
      </c>
      <c r="D211" s="163">
        <v>44367</v>
      </c>
      <c r="E211" s="171">
        <v>3.4244741799999998</v>
      </c>
      <c r="F211" s="171">
        <v>2615</v>
      </c>
      <c r="G211" s="172">
        <v>1</v>
      </c>
      <c r="H211" s="171">
        <f>tbTransactions[[#This Row],[Qty]]*tbTransactions[[#This Row],[Unit Cost]]*tbTransactions[[#This Row],[Exchange Rate]]</f>
        <v>8954.9999807000004</v>
      </c>
      <c r="I211" s="148" t="s">
        <v>509</v>
      </c>
      <c r="J211" s="176" t="s">
        <v>22</v>
      </c>
      <c r="K211" s="163" t="str">
        <f>IF(tbTransactions[[#This Row],[Sub-Type]]="Transfer","Neutral",IF(tbTransactions[[#This Row],[Qty]]&lt;0,"Debit",IF(tbTransactions[[#This Row],[Qty]]&gt;0,"Credit","Neutral")))</f>
        <v>Credit</v>
      </c>
      <c r="L211" s="163" t="s">
        <v>505</v>
      </c>
      <c r="M211" s="171" t="s">
        <v>439</v>
      </c>
    </row>
    <row r="212" spans="3:13" ht="30" customHeight="1" x14ac:dyDescent="0.25">
      <c r="C212" s="175">
        <v>210</v>
      </c>
      <c r="D212" s="163">
        <v>44367</v>
      </c>
      <c r="E212" s="171">
        <v>-8954.9999807000004</v>
      </c>
      <c r="F212" s="171">
        <v>1</v>
      </c>
      <c r="G212" s="172">
        <v>1</v>
      </c>
      <c r="H212" s="171">
        <f>tbTransactions[[#This Row],[Qty]]*tbTransactions[[#This Row],[Unit Cost]]*tbTransactions[[#This Row],[Exchange Rate]]</f>
        <v>-8954.9999807000004</v>
      </c>
      <c r="I212" s="148" t="s">
        <v>509</v>
      </c>
      <c r="J212" s="176" t="s">
        <v>411</v>
      </c>
      <c r="K212" s="163" t="str">
        <f>IF(tbTransactions[[#This Row],[Sub-Type]]="Transfer","Neutral",IF(tbTransactions[[#This Row],[Qty]]&lt;0,"Debit",IF(tbTransactions[[#This Row],[Qty]]&gt;0,"Credit","Neutral")))</f>
        <v>Debit</v>
      </c>
      <c r="L212" s="163" t="s">
        <v>501</v>
      </c>
      <c r="M212" s="171" t="s">
        <v>439</v>
      </c>
    </row>
    <row r="213" spans="3:13" ht="30" customHeight="1" x14ac:dyDescent="0.25">
      <c r="C213" s="175">
        <v>211</v>
      </c>
      <c r="D213" s="163">
        <v>44367</v>
      </c>
      <c r="E213" s="171">
        <v>-44.99</v>
      </c>
      <c r="F213" s="171">
        <v>1</v>
      </c>
      <c r="G213" s="172">
        <v>1</v>
      </c>
      <c r="H213" s="171">
        <f>tbTransactions[[#This Row],[Qty]]*tbTransactions[[#This Row],[Unit Cost]]*tbTransactions[[#This Row],[Exchange Rate]]</f>
        <v>-44.99</v>
      </c>
      <c r="I213" s="148" t="s">
        <v>509</v>
      </c>
      <c r="J213" s="176" t="s">
        <v>411</v>
      </c>
      <c r="K213" s="163" t="str">
        <f>IF(tbTransactions[[#This Row],[Sub-Type]]="Transfer","Neutral",IF(tbTransactions[[#This Row],[Qty]]&lt;0,"Debit",IF(tbTransactions[[#This Row],[Qty]]&gt;0,"Credit","Neutral")))</f>
        <v>Debit</v>
      </c>
      <c r="L213" s="163" t="s">
        <v>12</v>
      </c>
      <c r="M213" s="171"/>
    </row>
    <row r="214" spans="3:13" ht="30" customHeight="1" x14ac:dyDescent="0.25">
      <c r="C214" s="175">
        <v>212</v>
      </c>
      <c r="D214" s="163">
        <v>44367</v>
      </c>
      <c r="E214" s="171">
        <v>-14.39</v>
      </c>
      <c r="F214" s="171">
        <v>1</v>
      </c>
      <c r="G214" s="172">
        <v>1</v>
      </c>
      <c r="H214" s="171">
        <f>tbTransactions[[#This Row],[Qty]]*tbTransactions[[#This Row],[Unit Cost]]*tbTransactions[[#This Row],[Exchange Rate]]</f>
        <v>-14.39</v>
      </c>
      <c r="I214" s="148" t="s">
        <v>499</v>
      </c>
      <c r="J214" s="176" t="s">
        <v>411</v>
      </c>
      <c r="K214" s="163" t="str">
        <f>IF(tbTransactions[[#This Row],[Sub-Type]]="Transfer","Neutral",IF(tbTransactions[[#This Row],[Qty]]&lt;0,"Debit",IF(tbTransactions[[#This Row],[Qty]]&gt;0,"Credit","Neutral")))</f>
        <v>Debit</v>
      </c>
      <c r="L214" s="163" t="s">
        <v>12</v>
      </c>
      <c r="M214" s="171"/>
    </row>
    <row r="215" spans="3:13" ht="30" customHeight="1" x14ac:dyDescent="0.25">
      <c r="C215" s="175">
        <v>213</v>
      </c>
      <c r="D215" s="163">
        <v>44367</v>
      </c>
      <c r="E215" s="171">
        <v>3271.0660650200002</v>
      </c>
      <c r="F215" s="171">
        <v>0.11020000000000001</v>
      </c>
      <c r="G215" s="172">
        <v>1</v>
      </c>
      <c r="H215" s="171">
        <f>tbTransactions[[#This Row],[Qty]]*tbTransactions[[#This Row],[Unit Cost]]*tbTransactions[[#This Row],[Exchange Rate]]</f>
        <v>360.47148036520406</v>
      </c>
      <c r="I215" s="148" t="s">
        <v>422</v>
      </c>
      <c r="J215" s="176" t="s">
        <v>440</v>
      </c>
      <c r="K215" s="163" t="str">
        <f>IF(tbTransactions[[#This Row],[Sub-Type]]="Transfer","Neutral",IF(tbTransactions[[#This Row],[Qty]]&lt;0,"Debit",IF(tbTransactions[[#This Row],[Qty]]&gt;0,"Credit","Neutral")))</f>
        <v>Credit</v>
      </c>
      <c r="L215" s="163" t="s">
        <v>505</v>
      </c>
      <c r="M215" s="171" t="s">
        <v>457</v>
      </c>
    </row>
    <row r="216" spans="3:13" ht="30" customHeight="1" x14ac:dyDescent="0.25">
      <c r="C216" s="175">
        <v>214</v>
      </c>
      <c r="D216" s="163">
        <v>44367</v>
      </c>
      <c r="E216" s="171">
        <v>11.258699999999999</v>
      </c>
      <c r="F216" s="171">
        <v>0</v>
      </c>
      <c r="G216" s="172">
        <v>1</v>
      </c>
      <c r="H216" s="171">
        <f>tbTransactions[[#This Row],[Qty]]*tbTransactions[[#This Row],[Unit Cost]]*tbTransactions[[#This Row],[Exchange Rate]]</f>
        <v>0</v>
      </c>
      <c r="I216" s="148" t="s">
        <v>422</v>
      </c>
      <c r="J216" s="176" t="s">
        <v>440</v>
      </c>
      <c r="K216" s="163" t="str">
        <f>IF(tbTransactions[[#This Row],[Sub-Type]]="Transfer","Neutral",IF(tbTransactions[[#This Row],[Qty]]&lt;0,"Debit",IF(tbTransactions[[#This Row],[Qty]]&gt;0,"Credit","Neutral")))</f>
        <v>Credit</v>
      </c>
      <c r="L216" s="163" t="s">
        <v>516</v>
      </c>
      <c r="M216" s="171" t="s">
        <v>446</v>
      </c>
    </row>
    <row r="217" spans="3:13" ht="30" customHeight="1" x14ac:dyDescent="0.25">
      <c r="C217" s="175">
        <v>215</v>
      </c>
      <c r="D217" s="163">
        <v>44367</v>
      </c>
      <c r="E217" s="171">
        <v>11.243499999999999</v>
      </c>
      <c r="F217" s="171">
        <v>0</v>
      </c>
      <c r="G217" s="172">
        <v>1</v>
      </c>
      <c r="H217" s="171">
        <f>tbTransactions[[#This Row],[Qty]]*tbTransactions[[#This Row],[Unit Cost]]*tbTransactions[[#This Row],[Exchange Rate]]</f>
        <v>0</v>
      </c>
      <c r="I217" s="148" t="s">
        <v>422</v>
      </c>
      <c r="J217" s="176" t="s">
        <v>440</v>
      </c>
      <c r="K217" s="163" t="str">
        <f>IF(tbTransactions[[#This Row],[Sub-Type]]="Transfer","Neutral",IF(tbTransactions[[#This Row],[Qty]]&lt;0,"Debit",IF(tbTransactions[[#This Row],[Qty]]&gt;0,"Credit","Neutral")))</f>
        <v>Credit</v>
      </c>
      <c r="L217" s="163" t="s">
        <v>516</v>
      </c>
      <c r="M217" s="171" t="s">
        <v>446</v>
      </c>
    </row>
    <row r="218" spans="3:13" ht="30" customHeight="1" x14ac:dyDescent="0.25">
      <c r="C218" s="175">
        <v>216</v>
      </c>
      <c r="D218" s="163">
        <v>44367</v>
      </c>
      <c r="E218" s="171">
        <v>11.243499999999999</v>
      </c>
      <c r="F218" s="171">
        <v>0</v>
      </c>
      <c r="G218" s="172">
        <v>1</v>
      </c>
      <c r="H218" s="171">
        <f>tbTransactions[[#This Row],[Qty]]*tbTransactions[[#This Row],[Unit Cost]]*tbTransactions[[#This Row],[Exchange Rate]]</f>
        <v>0</v>
      </c>
      <c r="I218" s="148" t="s">
        <v>422</v>
      </c>
      <c r="J218" s="176" t="s">
        <v>440</v>
      </c>
      <c r="K218" s="163" t="str">
        <f>IF(tbTransactions[[#This Row],[Sub-Type]]="Transfer","Neutral",IF(tbTransactions[[#This Row],[Qty]]&lt;0,"Debit",IF(tbTransactions[[#This Row],[Qty]]&gt;0,"Credit","Neutral")))</f>
        <v>Credit</v>
      </c>
      <c r="L218" s="163" t="s">
        <v>516</v>
      </c>
      <c r="M218" s="171" t="s">
        <v>446</v>
      </c>
    </row>
    <row r="219" spans="3:13" ht="30" customHeight="1" x14ac:dyDescent="0.25">
      <c r="C219" s="175">
        <v>217</v>
      </c>
      <c r="D219" s="163">
        <v>44367</v>
      </c>
      <c r="E219" s="171">
        <v>-5.0000000000000001E-3</v>
      </c>
      <c r="F219" s="171">
        <v>2719.86</v>
      </c>
      <c r="G219" s="172">
        <v>1</v>
      </c>
      <c r="H219" s="171">
        <f>tbTransactions[[#This Row],[Qty]]*tbTransactions[[#This Row],[Unit Cost]]*tbTransactions[[#This Row],[Exchange Rate]]</f>
        <v>-13.599300000000001</v>
      </c>
      <c r="I219" s="148" t="s">
        <v>422</v>
      </c>
      <c r="J219" s="176" t="s">
        <v>22</v>
      </c>
      <c r="K219" s="163" t="str">
        <f>IF(tbTransactions[[#This Row],[Sub-Type]]="Transfer","Neutral",IF(tbTransactions[[#This Row],[Qty]]&lt;0,"Debit",IF(tbTransactions[[#This Row],[Qty]]&gt;0,"Credit","Neutral")))</f>
        <v>Debit</v>
      </c>
      <c r="L219" s="163" t="s">
        <v>12</v>
      </c>
      <c r="M219" s="171" t="s">
        <v>525</v>
      </c>
    </row>
    <row r="220" spans="3:13" ht="30" customHeight="1" x14ac:dyDescent="0.25">
      <c r="C220" s="175">
        <v>218</v>
      </c>
      <c r="D220" s="163">
        <v>44367</v>
      </c>
      <c r="E220" s="171">
        <v>-3.4194741799999999</v>
      </c>
      <c r="F220" s="171">
        <v>2719.86</v>
      </c>
      <c r="G220" s="172">
        <v>1</v>
      </c>
      <c r="H220" s="171">
        <f>tbTransactions[[#This Row],[Qty]]*tbTransactions[[#This Row],[Unit Cost]]*tbTransactions[[#This Row],[Exchange Rate]]</f>
        <v>-9300.4910432148008</v>
      </c>
      <c r="I220" s="148" t="s">
        <v>509</v>
      </c>
      <c r="J220" s="176" t="s">
        <v>22</v>
      </c>
      <c r="K220" s="163" t="str">
        <f>IF(tbTransactions[[#This Row],[Sub-Type]]="Transfer","Neutral",IF(tbTransactions[[#This Row],[Qty]]&lt;0,"Debit",IF(tbTransactions[[#This Row],[Qty]]&gt;0,"Credit","Neutral")))</f>
        <v>Neutral</v>
      </c>
      <c r="L220" s="163" t="s">
        <v>32</v>
      </c>
      <c r="M220" s="171" t="s">
        <v>525</v>
      </c>
    </row>
    <row r="221" spans="3:13" ht="30" customHeight="1" x14ac:dyDescent="0.25">
      <c r="C221" s="175">
        <v>219</v>
      </c>
      <c r="D221" s="163">
        <v>44367</v>
      </c>
      <c r="E221" s="171">
        <v>3.4244741799999998</v>
      </c>
      <c r="F221" s="171">
        <v>2719.86</v>
      </c>
      <c r="G221" s="172">
        <v>1</v>
      </c>
      <c r="H221" s="171">
        <f>tbTransactions[[#This Row],[Qty]]*tbTransactions[[#This Row],[Unit Cost]]*tbTransactions[[#This Row],[Exchange Rate]]</f>
        <v>9314.0903432148007</v>
      </c>
      <c r="I221" s="148" t="s">
        <v>759</v>
      </c>
      <c r="J221" s="176" t="s">
        <v>22</v>
      </c>
      <c r="K221" s="163" t="str">
        <f>IF(tbTransactions[[#This Row],[Sub-Type]]="Transfer","Neutral",IF(tbTransactions[[#This Row],[Qty]]&lt;0,"Debit",IF(tbTransactions[[#This Row],[Qty]]&gt;0,"Credit","Neutral")))</f>
        <v>Neutral</v>
      </c>
      <c r="L221" s="163" t="s">
        <v>32</v>
      </c>
      <c r="M221" s="171" t="s">
        <v>525</v>
      </c>
    </row>
    <row r="222" spans="3:13" ht="30" customHeight="1" x14ac:dyDescent="0.25">
      <c r="C222" s="175">
        <v>220</v>
      </c>
      <c r="D222" s="163">
        <v>44367</v>
      </c>
      <c r="E222" s="171">
        <v>-3.5</v>
      </c>
      <c r="F222" s="171">
        <v>2716</v>
      </c>
      <c r="G222" s="172">
        <v>1</v>
      </c>
      <c r="H222" s="171">
        <f>tbTransactions[[#This Row],[Qty]]*tbTransactions[[#This Row],[Unit Cost]]*tbTransactions[[#This Row],[Exchange Rate]]</f>
        <v>-9506</v>
      </c>
      <c r="I222" s="148" t="s">
        <v>759</v>
      </c>
      <c r="J222" s="176" t="s">
        <v>22</v>
      </c>
      <c r="K222" s="163" t="str">
        <f>IF(tbTransactions[[#This Row],[Sub-Type]]="Transfer","Neutral",IF(tbTransactions[[#This Row],[Qty]]&lt;0,"Debit",IF(tbTransactions[[#This Row],[Qty]]&gt;0,"Credit","Neutral")))</f>
        <v>Debit</v>
      </c>
      <c r="L222" s="163" t="s">
        <v>526</v>
      </c>
      <c r="M222" s="171" t="s">
        <v>435</v>
      </c>
    </row>
    <row r="223" spans="3:13" ht="30" customHeight="1" x14ac:dyDescent="0.25">
      <c r="C223" s="175">
        <v>221</v>
      </c>
      <c r="D223" s="163">
        <v>44367</v>
      </c>
      <c r="E223" s="171">
        <v>1</v>
      </c>
      <c r="F223" s="171">
        <f>E222*F222*-1</f>
        <v>9506</v>
      </c>
      <c r="G223" s="172">
        <v>1</v>
      </c>
      <c r="H223" s="171">
        <f>tbTransactions[[#This Row],[Qty]]*tbTransactions[[#This Row],[Unit Cost]]*tbTransactions[[#This Row],[Exchange Rate]]</f>
        <v>9506</v>
      </c>
      <c r="I223" s="148" t="s">
        <v>434</v>
      </c>
      <c r="J223" s="176" t="s">
        <v>433</v>
      </c>
      <c r="K223" s="163" t="str">
        <f>IF(tbTransactions[[#This Row],[Sub-Type]]="Transfer","Neutral",IF(tbTransactions[[#This Row],[Qty]]&lt;0,"Debit",IF(tbTransactions[[#This Row],[Qty]]&gt;0,"Credit","Neutral")))</f>
        <v>Credit</v>
      </c>
      <c r="L223" s="163" t="s">
        <v>517</v>
      </c>
      <c r="M223" s="171" t="s">
        <v>442</v>
      </c>
    </row>
    <row r="224" spans="3:13" ht="30" customHeight="1" x14ac:dyDescent="0.25">
      <c r="C224" s="175">
        <v>222</v>
      </c>
      <c r="D224" s="163">
        <v>44369</v>
      </c>
      <c r="E224" s="171">
        <v>0.110971</v>
      </c>
      <c r="F224" s="171">
        <v>0</v>
      </c>
      <c r="G224" s="172">
        <v>1</v>
      </c>
      <c r="H224" s="171">
        <f>tbTransactions[[#This Row],[Qty]]*tbTransactions[[#This Row],[Unit Cost]]*tbTransactions[[#This Row],[Exchange Rate]]</f>
        <v>0</v>
      </c>
      <c r="I224" s="148" t="s">
        <v>431</v>
      </c>
      <c r="J224" s="176" t="s">
        <v>18</v>
      </c>
      <c r="K224" s="163" t="str">
        <f>IF(tbTransactions[[#This Row],[Sub-Type]]="Transfer","Neutral",IF(tbTransactions[[#This Row],[Qty]]&lt;0,"Debit",IF(tbTransactions[[#This Row],[Qty]]&gt;0,"Credit","Neutral")))</f>
        <v>Credit</v>
      </c>
      <c r="L224" s="163" t="s">
        <v>518</v>
      </c>
      <c r="M224" s="171" t="s">
        <v>40</v>
      </c>
    </row>
    <row r="225" spans="3:13" ht="30" customHeight="1" x14ac:dyDescent="0.25">
      <c r="C225" s="175">
        <v>223</v>
      </c>
      <c r="D225" s="163">
        <v>44371</v>
      </c>
      <c r="E225" s="171">
        <v>-14.99</v>
      </c>
      <c r="F225" s="171">
        <v>1</v>
      </c>
      <c r="G225" s="172">
        <v>1</v>
      </c>
      <c r="H225" s="171">
        <f>tbTransactions[[#This Row],[Qty]]*tbTransactions[[#This Row],[Unit Cost]]*tbTransactions[[#This Row],[Exchange Rate]]</f>
        <v>-14.99</v>
      </c>
      <c r="I225" s="148" t="s">
        <v>509</v>
      </c>
      <c r="J225" s="176" t="s">
        <v>411</v>
      </c>
      <c r="K225" s="163" t="str">
        <f>IF(tbTransactions[[#This Row],[Sub-Type]]="Transfer","Neutral",IF(tbTransactions[[#This Row],[Qty]]&lt;0,"Debit",IF(tbTransactions[[#This Row],[Qty]]&gt;0,"Credit","Neutral")))</f>
        <v>Debit</v>
      </c>
      <c r="L225" s="163" t="s">
        <v>12</v>
      </c>
      <c r="M225" s="171"/>
    </row>
    <row r="226" spans="3:13" ht="30" customHeight="1" x14ac:dyDescent="0.25">
      <c r="C226" s="175">
        <v>224</v>
      </c>
      <c r="D226" s="163">
        <v>44371</v>
      </c>
      <c r="E226" s="171">
        <v>-3000</v>
      </c>
      <c r="F226" s="171">
        <v>1</v>
      </c>
      <c r="G226" s="172">
        <v>1</v>
      </c>
      <c r="H226" s="171">
        <f>tbTransactions[[#This Row],[Qty]]*tbTransactions[[#This Row],[Unit Cost]]*tbTransactions[[#This Row],[Exchange Rate]]</f>
        <v>-3000</v>
      </c>
      <c r="I226" s="177" t="s">
        <v>499</v>
      </c>
      <c r="J226" s="176" t="s">
        <v>411</v>
      </c>
      <c r="K226" s="163" t="str">
        <f>IF(tbTransactions[[#This Row],[Sub-Type]]="Transfer","Neutral",IF(tbTransactions[[#This Row],[Qty]]&lt;0,"Debit",IF(tbTransactions[[#This Row],[Qty]]&gt;0,"Credit","Neutral")))</f>
        <v>Debit</v>
      </c>
      <c r="L226" s="163" t="s">
        <v>502</v>
      </c>
      <c r="M226" s="171"/>
    </row>
    <row r="227" spans="3:13" ht="30" customHeight="1" x14ac:dyDescent="0.25">
      <c r="C227" s="175">
        <v>225</v>
      </c>
      <c r="D227" s="163">
        <v>44371</v>
      </c>
      <c r="E227" s="171">
        <v>3000</v>
      </c>
      <c r="F227" s="171">
        <v>1</v>
      </c>
      <c r="G227" s="172">
        <v>1</v>
      </c>
      <c r="H227" s="171">
        <f>tbTransactions[[#This Row],[Qty]]*tbTransactions[[#This Row],[Unit Cost]]*tbTransactions[[#This Row],[Exchange Rate]]</f>
        <v>3000</v>
      </c>
      <c r="I227" s="148" t="s">
        <v>509</v>
      </c>
      <c r="J227" s="176" t="s">
        <v>411</v>
      </c>
      <c r="K227" s="163" t="str">
        <f>IF(tbTransactions[[#This Row],[Sub-Type]]="Transfer","Neutral",IF(tbTransactions[[#This Row],[Qty]]&lt;0,"Debit",IF(tbTransactions[[#This Row],[Qty]]&gt;0,"Credit","Neutral")))</f>
        <v>Credit</v>
      </c>
      <c r="L227" s="163" t="s">
        <v>500</v>
      </c>
      <c r="M227" s="171"/>
    </row>
    <row r="228" spans="3:13" ht="30" customHeight="1" x14ac:dyDescent="0.25">
      <c r="C228" s="175">
        <v>226</v>
      </c>
      <c r="D228" s="163">
        <v>44371</v>
      </c>
      <c r="E228" s="171">
        <v>1.2263209100000001</v>
      </c>
      <c r="F228" s="171">
        <v>2434.11</v>
      </c>
      <c r="G228" s="172">
        <v>1</v>
      </c>
      <c r="H228" s="171">
        <f>tbTransactions[[#This Row],[Qty]]*tbTransactions[[#This Row],[Unit Cost]]*tbTransactions[[#This Row],[Exchange Rate]]</f>
        <v>2984.9999902401005</v>
      </c>
      <c r="I228" s="148" t="s">
        <v>509</v>
      </c>
      <c r="J228" s="176" t="s">
        <v>22</v>
      </c>
      <c r="K228" s="163" t="str">
        <f>IF(tbTransactions[[#This Row],[Sub-Type]]="Transfer","Neutral",IF(tbTransactions[[#This Row],[Qty]]&lt;0,"Debit",IF(tbTransactions[[#This Row],[Qty]]&gt;0,"Credit","Neutral")))</f>
        <v>Credit</v>
      </c>
      <c r="L228" s="163" t="s">
        <v>505</v>
      </c>
      <c r="M228" s="171" t="s">
        <v>439</v>
      </c>
    </row>
    <row r="229" spans="3:13" ht="30" customHeight="1" x14ac:dyDescent="0.25">
      <c r="C229" s="175">
        <v>227</v>
      </c>
      <c r="D229" s="163">
        <v>44371</v>
      </c>
      <c r="E229" s="171">
        <v>-2985</v>
      </c>
      <c r="F229" s="171">
        <v>1</v>
      </c>
      <c r="G229" s="172">
        <v>1</v>
      </c>
      <c r="H229" s="171">
        <f>tbTransactions[[#This Row],[Qty]]*tbTransactions[[#This Row],[Unit Cost]]*tbTransactions[[#This Row],[Exchange Rate]]</f>
        <v>-2985</v>
      </c>
      <c r="I229" s="148" t="s">
        <v>509</v>
      </c>
      <c r="J229" s="176" t="s">
        <v>411</v>
      </c>
      <c r="K229" s="163" t="str">
        <f>IF(tbTransactions[[#This Row],[Sub-Type]]="Transfer","Neutral",IF(tbTransactions[[#This Row],[Qty]]&lt;0,"Debit",IF(tbTransactions[[#This Row],[Qty]]&gt;0,"Credit","Neutral")))</f>
        <v>Debit</v>
      </c>
      <c r="L229" s="163" t="s">
        <v>501</v>
      </c>
      <c r="M229" s="171" t="s">
        <v>439</v>
      </c>
    </row>
    <row r="230" spans="3:13" ht="30" customHeight="1" x14ac:dyDescent="0.25">
      <c r="C230" s="175">
        <v>228</v>
      </c>
      <c r="D230" s="163">
        <v>44371</v>
      </c>
      <c r="E230" s="171">
        <v>2.382644</v>
      </c>
      <c r="F230" s="171">
        <v>0</v>
      </c>
      <c r="G230" s="172">
        <v>1</v>
      </c>
      <c r="H230" s="171">
        <f>tbTransactions[[#This Row],[Qty]]*tbTransactions[[#This Row],[Unit Cost]]*tbTransactions[[#This Row],[Exchange Rate]]</f>
        <v>0</v>
      </c>
      <c r="I230" s="148" t="s">
        <v>507</v>
      </c>
      <c r="J230" s="176" t="s">
        <v>17</v>
      </c>
      <c r="K230" s="163" t="str">
        <f>IF(tbTransactions[[#This Row],[Sub-Type]]="Transfer","Neutral",IF(tbTransactions[[#This Row],[Qty]]&lt;0,"Debit",IF(tbTransactions[[#This Row],[Qty]]&gt;0,"Credit","Neutral")))</f>
        <v>Credit</v>
      </c>
      <c r="L230" s="163" t="s">
        <v>518</v>
      </c>
      <c r="M230" s="171" t="s">
        <v>427</v>
      </c>
    </row>
    <row r="231" spans="3:13" ht="30" customHeight="1" x14ac:dyDescent="0.25">
      <c r="C231" s="175">
        <v>229</v>
      </c>
      <c r="D231" s="163">
        <v>44372</v>
      </c>
      <c r="E231" s="171">
        <v>-3000</v>
      </c>
      <c r="F231" s="171">
        <v>1</v>
      </c>
      <c r="G231" s="172">
        <v>1</v>
      </c>
      <c r="H231" s="171">
        <f>tbTransactions[[#This Row],[Qty]]*tbTransactions[[#This Row],[Unit Cost]]*tbTransactions[[#This Row],[Exchange Rate]]</f>
        <v>-3000</v>
      </c>
      <c r="I231" s="177" t="s">
        <v>499</v>
      </c>
      <c r="J231" s="176" t="s">
        <v>411</v>
      </c>
      <c r="K231" s="163" t="str">
        <f>IF(tbTransactions[[#This Row],[Sub-Type]]="Transfer","Neutral",IF(tbTransactions[[#This Row],[Qty]]&lt;0,"Debit",IF(tbTransactions[[#This Row],[Qty]]&gt;0,"Credit","Neutral")))</f>
        <v>Debit</v>
      </c>
      <c r="L231" s="163" t="s">
        <v>502</v>
      </c>
      <c r="M231" s="171"/>
    </row>
    <row r="232" spans="3:13" ht="30" customHeight="1" x14ac:dyDescent="0.25">
      <c r="C232" s="175">
        <v>230</v>
      </c>
      <c r="D232" s="163">
        <v>44372</v>
      </c>
      <c r="E232" s="171">
        <v>3000</v>
      </c>
      <c r="F232" s="171">
        <v>1</v>
      </c>
      <c r="G232" s="172">
        <v>1</v>
      </c>
      <c r="H232" s="171">
        <f>tbTransactions[[#This Row],[Qty]]*tbTransactions[[#This Row],[Unit Cost]]*tbTransactions[[#This Row],[Exchange Rate]]</f>
        <v>3000</v>
      </c>
      <c r="I232" s="148" t="s">
        <v>509</v>
      </c>
      <c r="J232" s="176" t="s">
        <v>411</v>
      </c>
      <c r="K232" s="163" t="str">
        <f>IF(tbTransactions[[#This Row],[Sub-Type]]="Transfer","Neutral",IF(tbTransactions[[#This Row],[Qty]]&lt;0,"Debit",IF(tbTransactions[[#This Row],[Qty]]&gt;0,"Credit","Neutral")))</f>
        <v>Credit</v>
      </c>
      <c r="L232" s="163" t="s">
        <v>500</v>
      </c>
      <c r="M232" s="171"/>
    </row>
    <row r="233" spans="3:13" ht="30" customHeight="1" x14ac:dyDescent="0.25">
      <c r="C233" s="175">
        <v>231</v>
      </c>
      <c r="D233" s="163">
        <v>44372</v>
      </c>
      <c r="E233" s="171">
        <v>-14.99</v>
      </c>
      <c r="F233" s="171">
        <v>1</v>
      </c>
      <c r="G233" s="172">
        <v>1</v>
      </c>
      <c r="H233" s="171">
        <f>tbTransactions[[#This Row],[Qty]]*tbTransactions[[#This Row],[Unit Cost]]*tbTransactions[[#This Row],[Exchange Rate]]</f>
        <v>-14.99</v>
      </c>
      <c r="I233" s="148" t="s">
        <v>509</v>
      </c>
      <c r="J233" s="176" t="s">
        <v>411</v>
      </c>
      <c r="K233" s="163" t="str">
        <f>IF(tbTransactions[[#This Row],[Sub-Type]]="Transfer","Neutral",IF(tbTransactions[[#This Row],[Qty]]&lt;0,"Debit",IF(tbTransactions[[#This Row],[Qty]]&gt;0,"Credit","Neutral")))</f>
        <v>Debit</v>
      </c>
      <c r="L233" s="163" t="s">
        <v>12</v>
      </c>
      <c r="M233" s="171"/>
    </row>
    <row r="234" spans="3:13" ht="30" customHeight="1" x14ac:dyDescent="0.25">
      <c r="C234" s="175">
        <v>232</v>
      </c>
      <c r="D234" s="163">
        <v>44372</v>
      </c>
      <c r="E234" s="171">
        <v>1.3097964799999999</v>
      </c>
      <c r="F234" s="171">
        <v>2278.98</v>
      </c>
      <c r="G234" s="172">
        <v>1</v>
      </c>
      <c r="H234" s="171">
        <f>tbTransactions[[#This Row],[Qty]]*tbTransactions[[#This Row],[Unit Cost]]*tbTransactions[[#This Row],[Exchange Rate]]</f>
        <v>2984.9999819903996</v>
      </c>
      <c r="I234" s="148" t="s">
        <v>509</v>
      </c>
      <c r="J234" s="176" t="s">
        <v>22</v>
      </c>
      <c r="K234" s="163" t="str">
        <f>IF(tbTransactions[[#This Row],[Sub-Type]]="Transfer","Neutral",IF(tbTransactions[[#This Row],[Qty]]&lt;0,"Debit",IF(tbTransactions[[#This Row],[Qty]]&gt;0,"Credit","Neutral")))</f>
        <v>Credit</v>
      </c>
      <c r="L234" s="163" t="s">
        <v>505</v>
      </c>
      <c r="M234" s="171" t="s">
        <v>439</v>
      </c>
    </row>
    <row r="235" spans="3:13" ht="30" customHeight="1" x14ac:dyDescent="0.25">
      <c r="C235" s="175">
        <v>233</v>
      </c>
      <c r="D235" s="163">
        <v>44372</v>
      </c>
      <c r="E235" s="171">
        <v>-2985</v>
      </c>
      <c r="F235" s="171">
        <v>1</v>
      </c>
      <c r="G235" s="172">
        <v>1</v>
      </c>
      <c r="H235" s="171">
        <f>tbTransactions[[#This Row],[Qty]]*tbTransactions[[#This Row],[Unit Cost]]*tbTransactions[[#This Row],[Exchange Rate]]</f>
        <v>-2985</v>
      </c>
      <c r="I235" s="148" t="s">
        <v>509</v>
      </c>
      <c r="J235" s="176" t="s">
        <v>411</v>
      </c>
      <c r="K235" s="163" t="str">
        <f>IF(tbTransactions[[#This Row],[Sub-Type]]="Transfer","Neutral",IF(tbTransactions[[#This Row],[Qty]]&lt;0,"Debit",IF(tbTransactions[[#This Row],[Qty]]&gt;0,"Credit","Neutral")))</f>
        <v>Debit</v>
      </c>
      <c r="L235" s="163" t="s">
        <v>501</v>
      </c>
      <c r="M235" s="171" t="s">
        <v>439</v>
      </c>
    </row>
    <row r="236" spans="3:13" ht="30" customHeight="1" x14ac:dyDescent="0.25">
      <c r="C236" s="175">
        <v>234</v>
      </c>
      <c r="D236" s="163">
        <v>44372</v>
      </c>
      <c r="E236" s="171">
        <v>-0.05</v>
      </c>
      <c r="F236" s="171">
        <v>1</v>
      </c>
      <c r="G236" s="172">
        <v>1</v>
      </c>
      <c r="H236" s="171">
        <f>tbTransactions[[#This Row],[Qty]]*tbTransactions[[#This Row],[Unit Cost]]*tbTransactions[[#This Row],[Exchange Rate]]</f>
        <v>-0.05</v>
      </c>
      <c r="I236" s="148" t="s">
        <v>509</v>
      </c>
      <c r="J236" s="176" t="s">
        <v>22</v>
      </c>
      <c r="K236" s="163" t="str">
        <f>IF(tbTransactions[[#This Row],[Sub-Type]]="Transfer","Neutral",IF(tbTransactions[[#This Row],[Qty]]&lt;0,"Debit",IF(tbTransactions[[#This Row],[Qty]]&gt;0,"Credit","Neutral")))</f>
        <v>Debit</v>
      </c>
      <c r="L236" s="163" t="s">
        <v>12</v>
      </c>
      <c r="M236" s="171" t="s">
        <v>525</v>
      </c>
    </row>
    <row r="237" spans="3:13" ht="30" customHeight="1" x14ac:dyDescent="0.25">
      <c r="C237" s="175">
        <v>235</v>
      </c>
      <c r="D237" s="163">
        <v>44372</v>
      </c>
      <c r="E237" s="171">
        <v>-2.5311173899999999</v>
      </c>
      <c r="F237" s="171">
        <v>1</v>
      </c>
      <c r="G237" s="172">
        <v>1</v>
      </c>
      <c r="H237" s="171">
        <f>tbTransactions[[#This Row],[Qty]]*tbTransactions[[#This Row],[Unit Cost]]*tbTransactions[[#This Row],[Exchange Rate]]</f>
        <v>-2.5311173899999999</v>
      </c>
      <c r="I237" s="148" t="s">
        <v>509</v>
      </c>
      <c r="J237" s="176" t="s">
        <v>22</v>
      </c>
      <c r="K237" s="163" t="str">
        <f>IF(tbTransactions[[#This Row],[Sub-Type]]="Transfer","Neutral",IF(tbTransactions[[#This Row],[Qty]]&lt;0,"Debit",IF(tbTransactions[[#This Row],[Qty]]&gt;0,"Credit","Neutral")))</f>
        <v>Neutral</v>
      </c>
      <c r="L237" s="163" t="s">
        <v>32</v>
      </c>
      <c r="M237" s="171" t="s">
        <v>525</v>
      </c>
    </row>
    <row r="238" spans="3:13" ht="30" customHeight="1" x14ac:dyDescent="0.25">
      <c r="C238" s="175">
        <v>236</v>
      </c>
      <c r="D238" s="163">
        <v>44372</v>
      </c>
      <c r="E238" s="171">
        <v>2.5311173899999999</v>
      </c>
      <c r="F238" s="171">
        <v>1</v>
      </c>
      <c r="G238" s="172">
        <v>1</v>
      </c>
      <c r="H238" s="171">
        <f>tbTransactions[[#This Row],[Qty]]*tbTransactions[[#This Row],[Unit Cost]]*tbTransactions[[#This Row],[Exchange Rate]]</f>
        <v>2.5311173899999999</v>
      </c>
      <c r="I238" s="148" t="s">
        <v>759</v>
      </c>
      <c r="J238" s="176" t="s">
        <v>22</v>
      </c>
      <c r="K238" s="163" t="str">
        <f>IF(tbTransactions[[#This Row],[Sub-Type]]="Transfer","Neutral",IF(tbTransactions[[#This Row],[Qty]]&lt;0,"Debit",IF(tbTransactions[[#This Row],[Qty]]&gt;0,"Credit","Neutral")))</f>
        <v>Neutral</v>
      </c>
      <c r="L238" s="163" t="s">
        <v>32</v>
      </c>
      <c r="M238" s="171" t="s">
        <v>525</v>
      </c>
    </row>
    <row r="239" spans="3:13" ht="30" customHeight="1" x14ac:dyDescent="0.25">
      <c r="C239" s="175">
        <v>237</v>
      </c>
      <c r="D239" s="163">
        <v>44372</v>
      </c>
      <c r="E239" s="171">
        <v>-2.4</v>
      </c>
      <c r="F239" s="171">
        <v>2278.98</v>
      </c>
      <c r="G239" s="172">
        <v>1</v>
      </c>
      <c r="H239" s="171">
        <f>tbTransactions[[#This Row],[Qty]]*tbTransactions[[#This Row],[Unit Cost]]*tbTransactions[[#This Row],[Exchange Rate]]</f>
        <v>-5469.5519999999997</v>
      </c>
      <c r="I239" s="148" t="s">
        <v>759</v>
      </c>
      <c r="J239" s="176" t="s">
        <v>22</v>
      </c>
      <c r="K239" s="163" t="str">
        <f>IF(tbTransactions[[#This Row],[Sub-Type]]="Transfer","Neutral",IF(tbTransactions[[#This Row],[Qty]]&lt;0,"Debit",IF(tbTransactions[[#This Row],[Qty]]&gt;0,"Credit","Neutral")))</f>
        <v>Debit</v>
      </c>
      <c r="L239" s="163" t="s">
        <v>526</v>
      </c>
      <c r="M239" s="171" t="s">
        <v>435</v>
      </c>
    </row>
    <row r="240" spans="3:13" ht="30" customHeight="1" x14ac:dyDescent="0.25">
      <c r="C240" s="175">
        <v>238</v>
      </c>
      <c r="D240" s="163">
        <v>44372</v>
      </c>
      <c r="E240" s="171">
        <v>1</v>
      </c>
      <c r="F240" s="171">
        <v>5451.7</v>
      </c>
      <c r="G240" s="172">
        <v>1</v>
      </c>
      <c r="H240" s="171">
        <f>tbTransactions[[#This Row],[Qty]]*tbTransactions[[#This Row],[Unit Cost]]*tbTransactions[[#This Row],[Exchange Rate]]</f>
        <v>5451.7</v>
      </c>
      <c r="I240" s="148" t="s">
        <v>459</v>
      </c>
      <c r="J240" s="176" t="s">
        <v>458</v>
      </c>
      <c r="K240" s="163" t="str">
        <f>IF(tbTransactions[[#This Row],[Sub-Type]]="Transfer","Neutral",IF(tbTransactions[[#This Row],[Qty]]&lt;0,"Debit",IF(tbTransactions[[#This Row],[Qty]]&gt;0,"Credit","Neutral")))</f>
        <v>Credit</v>
      </c>
      <c r="L240" s="163" t="s">
        <v>517</v>
      </c>
      <c r="M240" s="171" t="s">
        <v>460</v>
      </c>
    </row>
    <row r="241" spans="3:13" ht="30" customHeight="1" x14ac:dyDescent="0.25">
      <c r="C241" s="175">
        <v>239</v>
      </c>
      <c r="D241" s="163">
        <v>44374</v>
      </c>
      <c r="E241" s="171">
        <v>-3000</v>
      </c>
      <c r="F241" s="171">
        <v>1</v>
      </c>
      <c r="G241" s="172">
        <v>1</v>
      </c>
      <c r="H241" s="171">
        <f>tbTransactions[[#This Row],[Qty]]*tbTransactions[[#This Row],[Unit Cost]]*tbTransactions[[#This Row],[Exchange Rate]]</f>
        <v>-3000</v>
      </c>
      <c r="I241" s="148" t="s">
        <v>499</v>
      </c>
      <c r="J241" s="176" t="s">
        <v>411</v>
      </c>
      <c r="K241" s="163" t="str">
        <f>IF(tbTransactions[[#This Row],[Sub-Type]]="Transfer","Neutral",IF(tbTransactions[[#This Row],[Qty]]&lt;0,"Debit",IF(tbTransactions[[#This Row],[Qty]]&gt;0,"Credit","Neutral")))</f>
        <v>Debit</v>
      </c>
      <c r="L241" s="163" t="s">
        <v>502</v>
      </c>
      <c r="M241" s="171"/>
    </row>
    <row r="242" spans="3:13" ht="30" customHeight="1" x14ac:dyDescent="0.25">
      <c r="C242" s="175">
        <v>240</v>
      </c>
      <c r="D242" s="163">
        <v>44374</v>
      </c>
      <c r="E242" s="171">
        <v>-14.99</v>
      </c>
      <c r="F242" s="171">
        <v>1</v>
      </c>
      <c r="G242" s="172">
        <v>1</v>
      </c>
      <c r="H242" s="171">
        <f>tbTransactions[[#This Row],[Qty]]*tbTransactions[[#This Row],[Unit Cost]]*tbTransactions[[#This Row],[Exchange Rate]]</f>
        <v>-14.99</v>
      </c>
      <c r="I242" s="148" t="s">
        <v>509</v>
      </c>
      <c r="J242" s="176" t="s">
        <v>411</v>
      </c>
      <c r="K242" s="163" t="str">
        <f>IF(tbTransactions[[#This Row],[Sub-Type]]="Transfer","Neutral",IF(tbTransactions[[#This Row],[Qty]]&lt;0,"Debit",IF(tbTransactions[[#This Row],[Qty]]&gt;0,"Credit","Neutral")))</f>
        <v>Debit</v>
      </c>
      <c r="L242" s="163" t="s">
        <v>12</v>
      </c>
      <c r="M242" s="171"/>
    </row>
    <row r="243" spans="3:13" ht="30" customHeight="1" x14ac:dyDescent="0.25">
      <c r="C243" s="175">
        <v>241</v>
      </c>
      <c r="D243" s="163">
        <v>44374</v>
      </c>
      <c r="E243" s="171">
        <v>-2985</v>
      </c>
      <c r="F243" s="171">
        <v>1</v>
      </c>
      <c r="G243" s="172">
        <v>1</v>
      </c>
      <c r="H243" s="171">
        <f>tbTransactions[[#This Row],[Qty]]*tbTransactions[[#This Row],[Unit Cost]]*tbTransactions[[#This Row],[Exchange Rate]]</f>
        <v>-2985</v>
      </c>
      <c r="I243" s="148" t="s">
        <v>509</v>
      </c>
      <c r="J243" s="176" t="s">
        <v>411</v>
      </c>
      <c r="K243" s="163" t="str">
        <f>IF(tbTransactions[[#This Row],[Sub-Type]]="Transfer","Neutral",IF(tbTransactions[[#This Row],[Qty]]&lt;0,"Debit",IF(tbTransactions[[#This Row],[Qty]]&gt;0,"Credit","Neutral")))</f>
        <v>Debit</v>
      </c>
      <c r="L243" s="163" t="s">
        <v>501</v>
      </c>
      <c r="M243" s="171" t="s">
        <v>439</v>
      </c>
    </row>
    <row r="244" spans="3:13" ht="30" customHeight="1" x14ac:dyDescent="0.25">
      <c r="C244" s="175">
        <v>242</v>
      </c>
      <c r="D244" s="163">
        <v>44374</v>
      </c>
      <c r="E244" s="171">
        <v>1.3079542</v>
      </c>
      <c r="F244" s="171">
        <v>2282.19</v>
      </c>
      <c r="G244" s="172">
        <v>1</v>
      </c>
      <c r="H244" s="171">
        <f>tbTransactions[[#This Row],[Qty]]*tbTransactions[[#This Row],[Unit Cost]]*tbTransactions[[#This Row],[Exchange Rate]]</f>
        <v>2984.999995698</v>
      </c>
      <c r="I244" s="148" t="s">
        <v>509</v>
      </c>
      <c r="J244" s="176" t="s">
        <v>22</v>
      </c>
      <c r="K244" s="163" t="str">
        <f>IF(tbTransactions[[#This Row],[Sub-Type]]="Transfer","Neutral",IF(tbTransactions[[#This Row],[Qty]]&lt;0,"Debit",IF(tbTransactions[[#This Row],[Qty]]&gt;0,"Credit","Neutral")))</f>
        <v>Credit</v>
      </c>
      <c r="L244" s="163" t="s">
        <v>505</v>
      </c>
      <c r="M244" s="171" t="s">
        <v>439</v>
      </c>
    </row>
    <row r="245" spans="3:13" ht="30" customHeight="1" x14ac:dyDescent="0.25">
      <c r="C245" s="175">
        <v>243</v>
      </c>
      <c r="D245" s="163">
        <v>44374</v>
      </c>
      <c r="E245" s="171">
        <v>3000</v>
      </c>
      <c r="F245" s="171">
        <v>1</v>
      </c>
      <c r="G245" s="172">
        <v>1</v>
      </c>
      <c r="H245" s="171">
        <f>tbTransactions[[#This Row],[Qty]]*tbTransactions[[#This Row],[Unit Cost]]*tbTransactions[[#This Row],[Exchange Rate]]</f>
        <v>3000</v>
      </c>
      <c r="I245" s="148" t="s">
        <v>509</v>
      </c>
      <c r="J245" s="176" t="s">
        <v>411</v>
      </c>
      <c r="K245" s="163" t="str">
        <f>IF(tbTransactions[[#This Row],[Sub-Type]]="Transfer","Neutral",IF(tbTransactions[[#This Row],[Qty]]&lt;0,"Debit",IF(tbTransactions[[#This Row],[Qty]]&gt;0,"Credit","Neutral")))</f>
        <v>Credit</v>
      </c>
      <c r="L245" s="163" t="s">
        <v>500</v>
      </c>
      <c r="M245" s="171"/>
    </row>
    <row r="246" spans="3:13" ht="30" customHeight="1" x14ac:dyDescent="0.25">
      <c r="C246" s="175">
        <v>244</v>
      </c>
      <c r="D246" s="163">
        <v>44376</v>
      </c>
      <c r="E246" s="171">
        <v>2.0906259999999999</v>
      </c>
      <c r="F246" s="171">
        <v>0</v>
      </c>
      <c r="G246" s="172">
        <v>1</v>
      </c>
      <c r="H246" s="171">
        <f>tbTransactions[[#This Row],[Qty]]*tbTransactions[[#This Row],[Unit Cost]]*tbTransactions[[#This Row],[Exchange Rate]]</f>
        <v>0</v>
      </c>
      <c r="I246" s="148" t="s">
        <v>507</v>
      </c>
      <c r="J246" s="176" t="s">
        <v>17</v>
      </c>
      <c r="K246" s="163" t="str">
        <f>IF(tbTransactions[[#This Row],[Sub-Type]]="Transfer","Neutral",IF(tbTransactions[[#This Row],[Qty]]&lt;0,"Debit",IF(tbTransactions[[#This Row],[Qty]]&gt;0,"Credit","Neutral")))</f>
        <v>Credit</v>
      </c>
      <c r="L246" s="163" t="s">
        <v>518</v>
      </c>
      <c r="M246" s="171" t="s">
        <v>427</v>
      </c>
    </row>
    <row r="247" spans="3:13" ht="30" customHeight="1" x14ac:dyDescent="0.25">
      <c r="C247" s="175">
        <v>245</v>
      </c>
      <c r="D247" s="163">
        <v>44376</v>
      </c>
      <c r="E247" s="171">
        <v>3.1685680000000001E-2</v>
      </c>
      <c r="F247" s="171">
        <v>0</v>
      </c>
      <c r="G247" s="172">
        <v>1</v>
      </c>
      <c r="H247" s="171">
        <f>tbTransactions[[#This Row],[Qty]]*tbTransactions[[#This Row],[Unit Cost]]*tbTransactions[[#This Row],[Exchange Rate]]</f>
        <v>0</v>
      </c>
      <c r="I247" s="148" t="s">
        <v>422</v>
      </c>
      <c r="J247" s="176" t="s">
        <v>479</v>
      </c>
      <c r="K247" s="163" t="str">
        <f>IF(tbTransactions[[#This Row],[Sub-Type]]="Transfer","Neutral",IF(tbTransactions[[#This Row],[Qty]]&lt;0,"Debit",IF(tbTransactions[[#This Row],[Qty]]&gt;0,"Credit","Neutral")))</f>
        <v>Credit</v>
      </c>
      <c r="L247" s="163" t="s">
        <v>516</v>
      </c>
      <c r="M247" s="171" t="s">
        <v>462</v>
      </c>
    </row>
    <row r="248" spans="3:13" ht="30" customHeight="1" x14ac:dyDescent="0.25">
      <c r="C248" s="175">
        <v>246</v>
      </c>
      <c r="D248" s="163">
        <v>44376</v>
      </c>
      <c r="E248" s="171">
        <v>3.1685680000000001E-2</v>
      </c>
      <c r="F248" s="171">
        <v>0</v>
      </c>
      <c r="G248" s="172">
        <v>1</v>
      </c>
      <c r="H248" s="171">
        <f>tbTransactions[[#This Row],[Qty]]*tbTransactions[[#This Row],[Unit Cost]]*tbTransactions[[#This Row],[Exchange Rate]]</f>
        <v>0</v>
      </c>
      <c r="I248" s="148" t="s">
        <v>422</v>
      </c>
      <c r="J248" s="176" t="s">
        <v>479</v>
      </c>
      <c r="K248" s="163" t="str">
        <f>IF(tbTransactions[[#This Row],[Sub-Type]]="Transfer","Neutral",IF(tbTransactions[[#This Row],[Qty]]&lt;0,"Debit",IF(tbTransactions[[#This Row],[Qty]]&gt;0,"Credit","Neutral")))</f>
        <v>Credit</v>
      </c>
      <c r="L248" s="163" t="s">
        <v>516</v>
      </c>
      <c r="M248" s="171" t="s">
        <v>462</v>
      </c>
    </row>
    <row r="249" spans="3:13" ht="30" customHeight="1" x14ac:dyDescent="0.25">
      <c r="C249" s="175">
        <v>247</v>
      </c>
      <c r="D249" s="163">
        <v>44376</v>
      </c>
      <c r="E249" s="171">
        <v>3.1685680000000001E-2</v>
      </c>
      <c r="F249" s="171">
        <v>0</v>
      </c>
      <c r="G249" s="172">
        <v>1</v>
      </c>
      <c r="H249" s="171">
        <f>tbTransactions[[#This Row],[Qty]]*tbTransactions[[#This Row],[Unit Cost]]*tbTransactions[[#This Row],[Exchange Rate]]</f>
        <v>0</v>
      </c>
      <c r="I249" s="148" t="s">
        <v>422</v>
      </c>
      <c r="J249" s="176" t="s">
        <v>479</v>
      </c>
      <c r="K249" s="163" t="str">
        <f>IF(tbTransactions[[#This Row],[Sub-Type]]="Transfer","Neutral",IF(tbTransactions[[#This Row],[Qty]]&lt;0,"Debit",IF(tbTransactions[[#This Row],[Qty]]&gt;0,"Credit","Neutral")))</f>
        <v>Credit</v>
      </c>
      <c r="L249" s="163" t="s">
        <v>516</v>
      </c>
      <c r="M249" s="171" t="s">
        <v>462</v>
      </c>
    </row>
    <row r="250" spans="3:13" ht="30" customHeight="1" x14ac:dyDescent="0.25">
      <c r="C250" s="175">
        <v>248</v>
      </c>
      <c r="D250" s="163">
        <v>44381</v>
      </c>
      <c r="E250" s="171">
        <v>2.731236</v>
      </c>
      <c r="F250" s="171">
        <v>0</v>
      </c>
      <c r="G250" s="172">
        <v>1</v>
      </c>
      <c r="H250" s="171">
        <f>tbTransactions[[#This Row],[Qty]]*tbTransactions[[#This Row],[Unit Cost]]*tbTransactions[[#This Row],[Exchange Rate]]</f>
        <v>0</v>
      </c>
      <c r="I250" s="148" t="s">
        <v>507</v>
      </c>
      <c r="J250" s="176" t="s">
        <v>17</v>
      </c>
      <c r="K250" s="163" t="str">
        <f>IF(tbTransactions[[#This Row],[Sub-Type]]="Transfer","Neutral",IF(tbTransactions[[#This Row],[Qty]]&lt;0,"Debit",IF(tbTransactions[[#This Row],[Qty]]&gt;0,"Credit","Neutral")))</f>
        <v>Credit</v>
      </c>
      <c r="L250" s="163" t="s">
        <v>518</v>
      </c>
      <c r="M250" s="171" t="s">
        <v>427</v>
      </c>
    </row>
    <row r="251" spans="3:13" ht="30" customHeight="1" x14ac:dyDescent="0.25">
      <c r="C251" s="175">
        <v>249</v>
      </c>
      <c r="D251" s="163">
        <v>44381</v>
      </c>
      <c r="E251" s="171">
        <v>3.1381899999999997E-2</v>
      </c>
      <c r="F251" s="171">
        <v>0</v>
      </c>
      <c r="G251" s="172">
        <v>1</v>
      </c>
      <c r="H251" s="171">
        <f>tbTransactions[[#This Row],[Qty]]*tbTransactions[[#This Row],[Unit Cost]]*tbTransactions[[#This Row],[Exchange Rate]]</f>
        <v>0</v>
      </c>
      <c r="I251" s="148" t="s">
        <v>511</v>
      </c>
      <c r="J251" s="176" t="s">
        <v>20</v>
      </c>
      <c r="K251" s="163" t="str">
        <f>IF(tbTransactions[[#This Row],[Sub-Type]]="Transfer","Neutral",IF(tbTransactions[[#This Row],[Qty]]&lt;0,"Debit",IF(tbTransactions[[#This Row],[Qty]]&gt;0,"Credit","Neutral")))</f>
        <v>Credit</v>
      </c>
      <c r="L251" s="163" t="s">
        <v>518</v>
      </c>
      <c r="M251" s="171" t="s">
        <v>465</v>
      </c>
    </row>
    <row r="252" spans="3:13" ht="30" customHeight="1" x14ac:dyDescent="0.25">
      <c r="C252" s="175">
        <v>250</v>
      </c>
      <c r="D252" s="163">
        <v>44382</v>
      </c>
      <c r="E252" s="171">
        <v>3.29278603E-2</v>
      </c>
      <c r="F252" s="171">
        <v>0</v>
      </c>
      <c r="G252" s="172">
        <v>1</v>
      </c>
      <c r="H252" s="171">
        <f>tbTransactions[[#This Row],[Qty]]*tbTransactions[[#This Row],[Unit Cost]]*tbTransactions[[#This Row],[Exchange Rate]]</f>
        <v>0</v>
      </c>
      <c r="I252" s="148" t="s">
        <v>511</v>
      </c>
      <c r="J252" s="176" t="s">
        <v>20</v>
      </c>
      <c r="K252" s="163" t="str">
        <f>IF(tbTransactions[[#This Row],[Sub-Type]]="Transfer","Neutral",IF(tbTransactions[[#This Row],[Qty]]&lt;0,"Debit",IF(tbTransactions[[#This Row],[Qty]]&gt;0,"Credit","Neutral")))</f>
        <v>Credit</v>
      </c>
      <c r="L252" s="163" t="s">
        <v>518</v>
      </c>
      <c r="M252" s="171" t="s">
        <v>465</v>
      </c>
    </row>
    <row r="253" spans="3:13" ht="30" customHeight="1" x14ac:dyDescent="0.25">
      <c r="C253" s="175">
        <v>251</v>
      </c>
      <c r="D253" s="163">
        <v>44383</v>
      </c>
      <c r="E253" s="171">
        <v>0.12429</v>
      </c>
      <c r="F253" s="171">
        <v>0</v>
      </c>
      <c r="G253" s="172">
        <v>1</v>
      </c>
      <c r="H253" s="171">
        <f>tbTransactions[[#This Row],[Qty]]*tbTransactions[[#This Row],[Unit Cost]]*tbTransactions[[#This Row],[Exchange Rate]]</f>
        <v>0</v>
      </c>
      <c r="I253" s="148" t="s">
        <v>431</v>
      </c>
      <c r="J253" s="176" t="s">
        <v>18</v>
      </c>
      <c r="K253" s="163" t="str">
        <f>IF(tbTransactions[[#This Row],[Sub-Type]]="Transfer","Neutral",IF(tbTransactions[[#This Row],[Qty]]&lt;0,"Debit",IF(tbTransactions[[#This Row],[Qty]]&gt;0,"Credit","Neutral")))</f>
        <v>Credit</v>
      </c>
      <c r="L253" s="163" t="s">
        <v>518</v>
      </c>
      <c r="M253" s="171" t="s">
        <v>40</v>
      </c>
    </row>
    <row r="254" spans="3:13" ht="30" customHeight="1" x14ac:dyDescent="0.25">
      <c r="C254" s="175">
        <v>252</v>
      </c>
      <c r="D254" s="163">
        <v>44383</v>
      </c>
      <c r="E254" s="171">
        <v>2.3384501500000002E-2</v>
      </c>
      <c r="F254" s="171">
        <v>0</v>
      </c>
      <c r="G254" s="172">
        <v>1</v>
      </c>
      <c r="H254" s="171">
        <f>tbTransactions[[#This Row],[Qty]]*tbTransactions[[#This Row],[Unit Cost]]*tbTransactions[[#This Row],[Exchange Rate]]</f>
        <v>0</v>
      </c>
      <c r="I254" s="148" t="s">
        <v>511</v>
      </c>
      <c r="J254" s="176" t="s">
        <v>20</v>
      </c>
      <c r="K254" s="163" t="str">
        <f>IF(tbTransactions[[#This Row],[Sub-Type]]="Transfer","Neutral",IF(tbTransactions[[#This Row],[Qty]]&lt;0,"Debit",IF(tbTransactions[[#This Row],[Qty]]&gt;0,"Credit","Neutral")))</f>
        <v>Credit</v>
      </c>
      <c r="L254" s="163" t="s">
        <v>518</v>
      </c>
      <c r="M254" s="171" t="s">
        <v>465</v>
      </c>
    </row>
    <row r="255" spans="3:13" ht="30" customHeight="1" x14ac:dyDescent="0.25">
      <c r="C255" s="175">
        <v>253</v>
      </c>
      <c r="D255" s="163">
        <v>44384</v>
      </c>
      <c r="E255" s="171">
        <v>3.1142782599999998E-2</v>
      </c>
      <c r="F255" s="171">
        <v>0</v>
      </c>
      <c r="G255" s="172">
        <v>1</v>
      </c>
      <c r="H255" s="171">
        <f>tbTransactions[[#This Row],[Qty]]*tbTransactions[[#This Row],[Unit Cost]]*tbTransactions[[#This Row],[Exchange Rate]]</f>
        <v>0</v>
      </c>
      <c r="I255" s="148" t="s">
        <v>511</v>
      </c>
      <c r="J255" s="176" t="s">
        <v>20</v>
      </c>
      <c r="K255" s="163" t="str">
        <f>IF(tbTransactions[[#This Row],[Sub-Type]]="Transfer","Neutral",IF(tbTransactions[[#This Row],[Qty]]&lt;0,"Debit",IF(tbTransactions[[#This Row],[Qty]]&gt;0,"Credit","Neutral")))</f>
        <v>Credit</v>
      </c>
      <c r="L255" s="163" t="s">
        <v>518</v>
      </c>
      <c r="M255" s="171" t="s">
        <v>465</v>
      </c>
    </row>
    <row r="256" spans="3:13" ht="30" customHeight="1" x14ac:dyDescent="0.25">
      <c r="C256" s="175">
        <v>254</v>
      </c>
      <c r="D256" s="163">
        <v>44385</v>
      </c>
      <c r="E256" s="171">
        <v>2.7771368800000001E-2</v>
      </c>
      <c r="F256" s="171">
        <v>0</v>
      </c>
      <c r="G256" s="172">
        <v>1</v>
      </c>
      <c r="H256" s="171">
        <f>tbTransactions[[#This Row],[Qty]]*tbTransactions[[#This Row],[Unit Cost]]*tbTransactions[[#This Row],[Exchange Rate]]</f>
        <v>0</v>
      </c>
      <c r="I256" s="148" t="s">
        <v>511</v>
      </c>
      <c r="J256" s="176" t="s">
        <v>20</v>
      </c>
      <c r="K256" s="163" t="str">
        <f>IF(tbTransactions[[#This Row],[Sub-Type]]="Transfer","Neutral",IF(tbTransactions[[#This Row],[Qty]]&lt;0,"Debit",IF(tbTransactions[[#This Row],[Qty]]&gt;0,"Credit","Neutral")))</f>
        <v>Credit</v>
      </c>
      <c r="L256" s="163" t="s">
        <v>518</v>
      </c>
      <c r="M256" s="171" t="s">
        <v>465</v>
      </c>
    </row>
    <row r="257" spans="3:13" ht="30" customHeight="1" x14ac:dyDescent="0.25">
      <c r="C257" s="175">
        <v>255</v>
      </c>
      <c r="D257" s="163">
        <v>44386</v>
      </c>
      <c r="E257" s="171">
        <v>2.5058009999999999</v>
      </c>
      <c r="F257" s="171">
        <v>0</v>
      </c>
      <c r="G257" s="172">
        <v>1</v>
      </c>
      <c r="H257" s="171">
        <f>tbTransactions[[#This Row],[Qty]]*tbTransactions[[#This Row],[Unit Cost]]*tbTransactions[[#This Row],[Exchange Rate]]</f>
        <v>0</v>
      </c>
      <c r="I257" s="148" t="s">
        <v>507</v>
      </c>
      <c r="J257" s="176" t="s">
        <v>17</v>
      </c>
      <c r="K257" s="163" t="str">
        <f>IF(tbTransactions[[#This Row],[Sub-Type]]="Transfer","Neutral",IF(tbTransactions[[#This Row],[Qty]]&lt;0,"Debit",IF(tbTransactions[[#This Row],[Qty]]&gt;0,"Credit","Neutral")))</f>
        <v>Credit</v>
      </c>
      <c r="L257" s="163" t="s">
        <v>518</v>
      </c>
      <c r="M257" s="171" t="s">
        <v>427</v>
      </c>
    </row>
    <row r="258" spans="3:13" ht="30" customHeight="1" x14ac:dyDescent="0.25">
      <c r="C258" s="175">
        <v>256</v>
      </c>
      <c r="D258" s="163">
        <v>44386</v>
      </c>
      <c r="E258" s="171">
        <v>2.1238399430118702</v>
      </c>
      <c r="F258" s="171">
        <v>0</v>
      </c>
      <c r="G258" s="172">
        <v>1</v>
      </c>
      <c r="H258" s="171">
        <f>tbTransactions[[#This Row],[Qty]]*tbTransactions[[#This Row],[Unit Cost]]*tbTransactions[[#This Row],[Exchange Rate]]</f>
        <v>0</v>
      </c>
      <c r="I258" s="148" t="s">
        <v>512</v>
      </c>
      <c r="J258" s="176" t="s">
        <v>503</v>
      </c>
      <c r="K258" s="163" t="str">
        <f>IF(tbTransactions[[#This Row],[Sub-Type]]="Transfer","Neutral",IF(tbTransactions[[#This Row],[Qty]]&lt;0,"Debit",IF(tbTransactions[[#This Row],[Qty]]&gt;0,"Credit","Neutral")))</f>
        <v>Credit</v>
      </c>
      <c r="L258" s="163" t="s">
        <v>516</v>
      </c>
      <c r="M258" s="171" t="s">
        <v>464</v>
      </c>
    </row>
    <row r="259" spans="3:13" ht="30" customHeight="1" x14ac:dyDescent="0.25">
      <c r="C259" s="175">
        <v>257</v>
      </c>
      <c r="D259" s="163">
        <v>44386</v>
      </c>
      <c r="E259" s="171">
        <v>2.6610370899999999E-2</v>
      </c>
      <c r="F259" s="171">
        <v>0</v>
      </c>
      <c r="G259" s="172">
        <v>1</v>
      </c>
      <c r="H259" s="171">
        <f>tbTransactions[[#This Row],[Qty]]*tbTransactions[[#This Row],[Unit Cost]]*tbTransactions[[#This Row],[Exchange Rate]]</f>
        <v>0</v>
      </c>
      <c r="I259" s="148" t="s">
        <v>511</v>
      </c>
      <c r="J259" s="176" t="s">
        <v>20</v>
      </c>
      <c r="K259" s="163" t="str">
        <f>IF(tbTransactions[[#This Row],[Sub-Type]]="Transfer","Neutral",IF(tbTransactions[[#This Row],[Qty]]&lt;0,"Debit",IF(tbTransactions[[#This Row],[Qty]]&gt;0,"Credit","Neutral")))</f>
        <v>Credit</v>
      </c>
      <c r="L259" s="163" t="s">
        <v>518</v>
      </c>
      <c r="M259" s="171" t="s">
        <v>465</v>
      </c>
    </row>
    <row r="260" spans="3:13" ht="30" customHeight="1" x14ac:dyDescent="0.25">
      <c r="C260" s="175">
        <v>258</v>
      </c>
      <c r="D260" s="163">
        <v>44387</v>
      </c>
      <c r="E260" s="171">
        <v>3.2435386699999999E-2</v>
      </c>
      <c r="F260" s="171">
        <v>0</v>
      </c>
      <c r="G260" s="172">
        <v>1</v>
      </c>
      <c r="H260" s="171">
        <f>tbTransactions[[#This Row],[Qty]]*tbTransactions[[#This Row],[Unit Cost]]*tbTransactions[[#This Row],[Exchange Rate]]</f>
        <v>0</v>
      </c>
      <c r="I260" s="148" t="s">
        <v>511</v>
      </c>
      <c r="J260" s="176" t="s">
        <v>20</v>
      </c>
      <c r="K260" s="163" t="str">
        <f>IF(tbTransactions[[#This Row],[Sub-Type]]="Transfer","Neutral",IF(tbTransactions[[#This Row],[Qty]]&lt;0,"Debit",IF(tbTransactions[[#This Row],[Qty]]&gt;0,"Credit","Neutral")))</f>
        <v>Credit</v>
      </c>
      <c r="L260" s="163" t="s">
        <v>518</v>
      </c>
      <c r="M260" s="171" t="s">
        <v>465</v>
      </c>
    </row>
    <row r="261" spans="3:13" ht="30" customHeight="1" x14ac:dyDescent="0.25">
      <c r="C261" s="175">
        <v>259</v>
      </c>
      <c r="D261" s="163">
        <v>44388</v>
      </c>
      <c r="E261" s="171">
        <v>2.7733334700000001E-2</v>
      </c>
      <c r="F261" s="171">
        <v>0</v>
      </c>
      <c r="G261" s="172">
        <v>1</v>
      </c>
      <c r="H261" s="171">
        <f>tbTransactions[[#This Row],[Qty]]*tbTransactions[[#This Row],[Unit Cost]]*tbTransactions[[#This Row],[Exchange Rate]]</f>
        <v>0</v>
      </c>
      <c r="I261" s="148" t="s">
        <v>511</v>
      </c>
      <c r="J261" s="176" t="s">
        <v>20</v>
      </c>
      <c r="K261" s="163" t="str">
        <f>IF(tbTransactions[[#This Row],[Sub-Type]]="Transfer","Neutral",IF(tbTransactions[[#This Row],[Qty]]&lt;0,"Debit",IF(tbTransactions[[#This Row],[Qty]]&gt;0,"Credit","Neutral")))</f>
        <v>Credit</v>
      </c>
      <c r="L261" s="163" t="s">
        <v>518</v>
      </c>
      <c r="M261" s="171" t="s">
        <v>465</v>
      </c>
    </row>
    <row r="262" spans="3:13" ht="30" customHeight="1" x14ac:dyDescent="0.25">
      <c r="C262" s="175">
        <v>260</v>
      </c>
      <c r="D262" s="163">
        <v>44389</v>
      </c>
      <c r="E262" s="171">
        <v>-2100</v>
      </c>
      <c r="F262" s="171">
        <v>1</v>
      </c>
      <c r="G262" s="172">
        <v>1</v>
      </c>
      <c r="H262" s="171">
        <f>tbTransactions[[#This Row],[Qty]]*tbTransactions[[#This Row],[Unit Cost]]*tbTransactions[[#This Row],[Exchange Rate]]</f>
        <v>-2100</v>
      </c>
      <c r="I262" s="148" t="s">
        <v>499</v>
      </c>
      <c r="J262" s="176" t="s">
        <v>411</v>
      </c>
      <c r="K262" s="163" t="str">
        <f>IF(tbTransactions[[#This Row],[Sub-Type]]="Transfer","Neutral",IF(tbTransactions[[#This Row],[Qty]]&lt;0,"Debit",IF(tbTransactions[[#This Row],[Qty]]&gt;0,"Credit","Neutral")))</f>
        <v>Debit</v>
      </c>
      <c r="L262" s="163" t="s">
        <v>502</v>
      </c>
      <c r="M262" s="171"/>
    </row>
    <row r="263" spans="3:13" ht="30" customHeight="1" x14ac:dyDescent="0.25">
      <c r="C263" s="175">
        <v>261</v>
      </c>
      <c r="D263" s="163">
        <v>44389</v>
      </c>
      <c r="E263" s="171">
        <v>2100</v>
      </c>
      <c r="F263" s="171">
        <v>1</v>
      </c>
      <c r="G263" s="172">
        <v>1</v>
      </c>
      <c r="H263" s="171">
        <f>tbTransactions[[#This Row],[Qty]]*tbTransactions[[#This Row],[Unit Cost]]*tbTransactions[[#This Row],[Exchange Rate]]</f>
        <v>2100</v>
      </c>
      <c r="I263" s="148" t="s">
        <v>504</v>
      </c>
      <c r="J263" s="176" t="s">
        <v>411</v>
      </c>
      <c r="K263" s="163" t="str">
        <f>IF(tbTransactions[[#This Row],[Sub-Type]]="Transfer","Neutral",IF(tbTransactions[[#This Row],[Qty]]&lt;0,"Debit",IF(tbTransactions[[#This Row],[Qty]]&gt;0,"Credit","Neutral")))</f>
        <v>Credit</v>
      </c>
      <c r="L263" s="163" t="s">
        <v>500</v>
      </c>
      <c r="M263" s="171"/>
    </row>
    <row r="264" spans="3:13" ht="30" customHeight="1" x14ac:dyDescent="0.25">
      <c r="C264" s="175">
        <v>262</v>
      </c>
      <c r="D264" s="163">
        <v>44389</v>
      </c>
      <c r="E264" s="171">
        <v>1250</v>
      </c>
      <c r="F264" s="171">
        <v>1.6741999999999999</v>
      </c>
      <c r="G264" s="172">
        <v>1</v>
      </c>
      <c r="H264" s="171">
        <f>tbTransactions[[#This Row],[Qty]]*tbTransactions[[#This Row],[Unit Cost]]*tbTransactions[[#This Row],[Exchange Rate]]</f>
        <v>2092.75</v>
      </c>
      <c r="I264" s="148" t="s">
        <v>504</v>
      </c>
      <c r="J264" s="176" t="s">
        <v>17</v>
      </c>
      <c r="K264" s="163" t="str">
        <f>IF(tbTransactions[[#This Row],[Sub-Type]]="Transfer","Neutral",IF(tbTransactions[[#This Row],[Qty]]&lt;0,"Debit",IF(tbTransactions[[#This Row],[Qty]]&gt;0,"Credit","Neutral")))</f>
        <v>Credit</v>
      </c>
      <c r="L264" s="163" t="s">
        <v>505</v>
      </c>
      <c r="M264" s="171" t="s">
        <v>454</v>
      </c>
    </row>
    <row r="265" spans="3:13" ht="30" customHeight="1" x14ac:dyDescent="0.25">
      <c r="C265" s="175">
        <v>263</v>
      </c>
      <c r="D265" s="163">
        <v>44389</v>
      </c>
      <c r="E265" s="171">
        <v>-3.3483999999999998</v>
      </c>
      <c r="F265" s="171">
        <v>1</v>
      </c>
      <c r="G265" s="172">
        <v>1</v>
      </c>
      <c r="H265" s="171">
        <f>tbTransactions[[#This Row],[Qty]]*tbTransactions[[#This Row],[Unit Cost]]*tbTransactions[[#This Row],[Exchange Rate]]</f>
        <v>-3.3483999999999998</v>
      </c>
      <c r="I265" s="148" t="s">
        <v>504</v>
      </c>
      <c r="J265" s="176" t="s">
        <v>411</v>
      </c>
      <c r="K265" s="163" t="str">
        <f>IF(tbTransactions[[#This Row],[Sub-Type]]="Transfer","Neutral",IF(tbTransactions[[#This Row],[Qty]]&lt;0,"Debit",IF(tbTransactions[[#This Row],[Qty]]&gt;0,"Credit","Neutral")))</f>
        <v>Debit</v>
      </c>
      <c r="L265" s="163" t="s">
        <v>12</v>
      </c>
      <c r="M265" s="171"/>
    </row>
    <row r="266" spans="3:13" ht="30" customHeight="1" x14ac:dyDescent="0.25">
      <c r="C266" s="175">
        <v>264</v>
      </c>
      <c r="D266" s="163">
        <v>44389</v>
      </c>
      <c r="E266" s="171">
        <v>-1250</v>
      </c>
      <c r="F266" s="171">
        <v>1.6741999999999999</v>
      </c>
      <c r="G266" s="172">
        <v>1</v>
      </c>
      <c r="H266" s="171">
        <f>tbTransactions[[#This Row],[Qty]]*tbTransactions[[#This Row],[Unit Cost]]*tbTransactions[[#This Row],[Exchange Rate]]</f>
        <v>-2092.75</v>
      </c>
      <c r="I266" s="148" t="s">
        <v>504</v>
      </c>
      <c r="J266" s="176" t="s">
        <v>17</v>
      </c>
      <c r="K266" s="163" t="str">
        <f>IF(tbTransactions[[#This Row],[Sub-Type]]="Transfer","Neutral",IF(tbTransactions[[#This Row],[Qty]]&lt;0,"Debit",IF(tbTransactions[[#This Row],[Qty]]&gt;0,"Credit","Neutral")))</f>
        <v>Neutral</v>
      </c>
      <c r="L266" s="163" t="s">
        <v>32</v>
      </c>
      <c r="M266" s="171" t="s">
        <v>463</v>
      </c>
    </row>
    <row r="267" spans="3:13" ht="30" customHeight="1" x14ac:dyDescent="0.25">
      <c r="C267" s="175">
        <v>265</v>
      </c>
      <c r="D267" s="163">
        <v>44389</v>
      </c>
      <c r="E267" s="171">
        <v>1247.2</v>
      </c>
      <c r="F267" s="171">
        <v>1.6741999999999999</v>
      </c>
      <c r="G267" s="172">
        <v>1</v>
      </c>
      <c r="H267" s="171">
        <f>tbTransactions[[#This Row],[Qty]]*tbTransactions[[#This Row],[Unit Cost]]*tbTransactions[[#This Row],[Exchange Rate]]</f>
        <v>2088.0622399999997</v>
      </c>
      <c r="I267" s="148" t="s">
        <v>507</v>
      </c>
      <c r="J267" s="176" t="s">
        <v>17</v>
      </c>
      <c r="K267" s="163" t="str">
        <f>IF(tbTransactions[[#This Row],[Sub-Type]]="Transfer","Neutral",IF(tbTransactions[[#This Row],[Qty]]&lt;0,"Debit",IF(tbTransactions[[#This Row],[Qty]]&gt;0,"Credit","Neutral")))</f>
        <v>Neutral</v>
      </c>
      <c r="L267" s="163" t="s">
        <v>32</v>
      </c>
      <c r="M267" s="171" t="s">
        <v>463</v>
      </c>
    </row>
    <row r="268" spans="3:13" ht="30" customHeight="1" x14ac:dyDescent="0.25">
      <c r="C268" s="175">
        <v>266</v>
      </c>
      <c r="D268" s="163">
        <v>44389</v>
      </c>
      <c r="E268" s="171">
        <v>-2.8</v>
      </c>
      <c r="F268" s="171">
        <v>1.6741999999999999</v>
      </c>
      <c r="G268" s="172">
        <v>1</v>
      </c>
      <c r="H268" s="171">
        <f>tbTransactions[[#This Row],[Qty]]*tbTransactions[[#This Row],[Unit Cost]]*tbTransactions[[#This Row],[Exchange Rate]]</f>
        <v>-4.687759999999999</v>
      </c>
      <c r="I268" s="148" t="s">
        <v>504</v>
      </c>
      <c r="J268" s="176" t="s">
        <v>17</v>
      </c>
      <c r="K268" s="163" t="str">
        <f>IF(tbTransactions[[#This Row],[Sub-Type]]="Transfer","Neutral",IF(tbTransactions[[#This Row],[Qty]]&lt;0,"Debit",IF(tbTransactions[[#This Row],[Qty]]&gt;0,"Credit","Neutral")))</f>
        <v>Debit</v>
      </c>
      <c r="L268" s="163" t="s">
        <v>12</v>
      </c>
      <c r="M268" s="171" t="s">
        <v>463</v>
      </c>
    </row>
    <row r="269" spans="3:13" ht="30" customHeight="1" x14ac:dyDescent="0.25">
      <c r="C269" s="175">
        <v>267</v>
      </c>
      <c r="D269" s="163">
        <v>44389</v>
      </c>
      <c r="E269" s="171">
        <v>2.2641344899999999E-2</v>
      </c>
      <c r="F269" s="171">
        <v>0</v>
      </c>
      <c r="G269" s="172">
        <v>1</v>
      </c>
      <c r="H269" s="171">
        <f>tbTransactions[[#This Row],[Qty]]*tbTransactions[[#This Row],[Unit Cost]]*tbTransactions[[#This Row],[Exchange Rate]]</f>
        <v>0</v>
      </c>
      <c r="I269" s="148" t="s">
        <v>511</v>
      </c>
      <c r="J269" s="176" t="s">
        <v>20</v>
      </c>
      <c r="K269" s="163" t="str">
        <f>IF(tbTransactions[[#This Row],[Sub-Type]]="Transfer","Neutral",IF(tbTransactions[[#This Row],[Qty]]&lt;0,"Debit",IF(tbTransactions[[#This Row],[Qty]]&gt;0,"Credit","Neutral")))</f>
        <v>Credit</v>
      </c>
      <c r="L269" s="163" t="s">
        <v>518</v>
      </c>
      <c r="M269" s="171" t="s">
        <v>465</v>
      </c>
    </row>
    <row r="270" spans="3:13" ht="30" customHeight="1" x14ac:dyDescent="0.25">
      <c r="C270" s="175">
        <v>268</v>
      </c>
      <c r="D270" s="163">
        <v>44390</v>
      </c>
      <c r="E270" s="171">
        <v>2.66755267E-2</v>
      </c>
      <c r="F270" s="171">
        <v>0</v>
      </c>
      <c r="G270" s="172">
        <v>1</v>
      </c>
      <c r="H270" s="171">
        <f>tbTransactions[[#This Row],[Qty]]*tbTransactions[[#This Row],[Unit Cost]]*tbTransactions[[#This Row],[Exchange Rate]]</f>
        <v>0</v>
      </c>
      <c r="I270" s="148" t="s">
        <v>511</v>
      </c>
      <c r="J270" s="176" t="s">
        <v>20</v>
      </c>
      <c r="K270" s="163" t="str">
        <f>IF(tbTransactions[[#This Row],[Sub-Type]]="Transfer","Neutral",IF(tbTransactions[[#This Row],[Qty]]&lt;0,"Debit",IF(tbTransactions[[#This Row],[Qty]]&gt;0,"Credit","Neutral")))</f>
        <v>Credit</v>
      </c>
      <c r="L270" s="163" t="s">
        <v>518</v>
      </c>
      <c r="M270" s="171" t="s">
        <v>465</v>
      </c>
    </row>
    <row r="271" spans="3:13" ht="30" customHeight="1" x14ac:dyDescent="0.25">
      <c r="C271" s="175">
        <v>269</v>
      </c>
      <c r="D271" s="163">
        <v>44391</v>
      </c>
      <c r="E271" s="171">
        <v>-0.22</v>
      </c>
      <c r="F271" s="171">
        <v>2484</v>
      </c>
      <c r="G271" s="172">
        <v>1</v>
      </c>
      <c r="H271" s="171">
        <f>tbTransactions[[#This Row],[Qty]]*tbTransactions[[#This Row],[Unit Cost]]*tbTransactions[[#This Row],[Exchange Rate]]</f>
        <v>-546.48</v>
      </c>
      <c r="I271" s="148" t="s">
        <v>759</v>
      </c>
      <c r="J271" s="176" t="s">
        <v>22</v>
      </c>
      <c r="K271" s="163" t="str">
        <f>IF(tbTransactions[[#This Row],[Sub-Type]]="Transfer","Neutral",IF(tbTransactions[[#This Row],[Qty]]&lt;0,"Debit",IF(tbTransactions[[#This Row],[Qty]]&gt;0,"Credit","Neutral")))</f>
        <v>Neutral</v>
      </c>
      <c r="L271" s="163" t="s">
        <v>32</v>
      </c>
      <c r="M271" s="171" t="s">
        <v>466</v>
      </c>
    </row>
    <row r="272" spans="3:13" ht="30" customHeight="1" x14ac:dyDescent="0.25">
      <c r="C272" s="175">
        <v>270</v>
      </c>
      <c r="D272" s="163">
        <v>44391</v>
      </c>
      <c r="E272" s="171">
        <v>-4.3000000000000001E-8</v>
      </c>
      <c r="F272" s="171">
        <v>2484</v>
      </c>
      <c r="G272" s="172">
        <v>1</v>
      </c>
      <c r="H272" s="171">
        <f>tbTransactions[[#This Row],[Qty]]*tbTransactions[[#This Row],[Unit Cost]]*tbTransactions[[#This Row],[Exchange Rate]]</f>
        <v>-1.0681200000000001E-4</v>
      </c>
      <c r="I272" s="148" t="s">
        <v>759</v>
      </c>
      <c r="J272" s="176" t="s">
        <v>22</v>
      </c>
      <c r="K272" s="163" t="str">
        <f>IF(tbTransactions[[#This Row],[Sub-Type]]="Transfer","Neutral",IF(tbTransactions[[#This Row],[Qty]]&lt;0,"Debit",IF(tbTransactions[[#This Row],[Qty]]&gt;0,"Credit","Neutral")))</f>
        <v>Debit</v>
      </c>
      <c r="L272" s="163" t="s">
        <v>12</v>
      </c>
      <c r="M272" s="171" t="s">
        <v>466</v>
      </c>
    </row>
    <row r="273" spans="3:13" ht="30" customHeight="1" x14ac:dyDescent="0.25">
      <c r="C273" s="175">
        <v>271</v>
      </c>
      <c r="D273" s="163">
        <v>44391</v>
      </c>
      <c r="E273" s="171">
        <v>47.014699999999998</v>
      </c>
      <c r="F273" s="171">
        <v>11.63</v>
      </c>
      <c r="G273" s="172">
        <v>1</v>
      </c>
      <c r="H273" s="171">
        <f>tbTransactions[[#This Row],[Qty]]*tbTransactions[[#This Row],[Unit Cost]]*tbTransactions[[#This Row],[Exchange Rate]]</f>
        <v>546.78096100000005</v>
      </c>
      <c r="I273" s="148" t="s">
        <v>759</v>
      </c>
      <c r="J273" s="176" t="s">
        <v>467</v>
      </c>
      <c r="K273" s="163" t="str">
        <f>IF(tbTransactions[[#This Row],[Sub-Type]]="Transfer","Neutral",IF(tbTransactions[[#This Row],[Qty]]&lt;0,"Debit",IF(tbTransactions[[#This Row],[Qty]]&gt;0,"Credit","Neutral")))</f>
        <v>Credit</v>
      </c>
      <c r="L273" s="163" t="s">
        <v>517</v>
      </c>
      <c r="M273" s="171" t="s">
        <v>466</v>
      </c>
    </row>
    <row r="274" spans="3:13" ht="30" customHeight="1" x14ac:dyDescent="0.25">
      <c r="C274" s="175">
        <v>272</v>
      </c>
      <c r="D274" s="163">
        <v>44391</v>
      </c>
      <c r="E274" s="171">
        <v>31.912724000000001</v>
      </c>
      <c r="F274" s="171">
        <v>15.07</v>
      </c>
      <c r="G274" s="172">
        <v>1</v>
      </c>
      <c r="H274" s="171">
        <f>tbTransactions[[#This Row],[Qty]]*tbTransactions[[#This Row],[Unit Cost]]*tbTransactions[[#This Row],[Exchange Rate]]</f>
        <v>480.92475068000005</v>
      </c>
      <c r="I274" s="148" t="s">
        <v>422</v>
      </c>
      <c r="J274" s="176" t="s">
        <v>18</v>
      </c>
      <c r="K274" s="163" t="str">
        <f>IF(tbTransactions[[#This Row],[Sub-Type]]="Transfer","Neutral",IF(tbTransactions[[#This Row],[Qty]]&lt;0,"Debit",IF(tbTransactions[[#This Row],[Qty]]&gt;0,"Credit","Neutral")))</f>
        <v>Credit</v>
      </c>
      <c r="L274" s="163" t="s">
        <v>505</v>
      </c>
      <c r="M274" s="171" t="s">
        <v>469</v>
      </c>
    </row>
    <row r="275" spans="3:13" ht="30" customHeight="1" x14ac:dyDescent="0.25">
      <c r="C275" s="175">
        <v>273</v>
      </c>
      <c r="D275" s="163">
        <v>44391</v>
      </c>
      <c r="E275" s="171">
        <v>-19.18</v>
      </c>
      <c r="F275" s="171">
        <v>1</v>
      </c>
      <c r="G275" s="172">
        <v>1</v>
      </c>
      <c r="H275" s="171">
        <f>tbTransactions[[#This Row],[Qty]]*tbTransactions[[#This Row],[Unit Cost]]*tbTransactions[[#This Row],[Exchange Rate]]</f>
        <v>-19.18</v>
      </c>
      <c r="I275" s="148" t="s">
        <v>499</v>
      </c>
      <c r="J275" s="176" t="s">
        <v>411</v>
      </c>
      <c r="K275" s="163" t="str">
        <f>IF(tbTransactions[[#This Row],[Sub-Type]]="Transfer","Neutral",IF(tbTransactions[[#This Row],[Qty]]&lt;0,"Debit",IF(tbTransactions[[#This Row],[Qty]]&gt;0,"Credit","Neutral")))</f>
        <v>Debit</v>
      </c>
      <c r="L275" s="163" t="s">
        <v>12</v>
      </c>
      <c r="M275" s="171" t="s">
        <v>469</v>
      </c>
    </row>
    <row r="276" spans="3:13" ht="30" customHeight="1" x14ac:dyDescent="0.25">
      <c r="C276" s="175">
        <v>274</v>
      </c>
      <c r="D276" s="163">
        <v>44391</v>
      </c>
      <c r="E276" s="171">
        <v>-480.92475067999999</v>
      </c>
      <c r="F276" s="171">
        <v>1</v>
      </c>
      <c r="G276" s="172">
        <v>1</v>
      </c>
      <c r="H276" s="171">
        <f>tbTransactions[[#This Row],[Qty]]*tbTransactions[[#This Row],[Unit Cost]]*tbTransactions[[#This Row],[Exchange Rate]]</f>
        <v>-480.92475067999999</v>
      </c>
      <c r="I276" s="148" t="s">
        <v>499</v>
      </c>
      <c r="J276" s="176" t="s">
        <v>411</v>
      </c>
      <c r="K276" s="163" t="str">
        <f>IF(tbTransactions[[#This Row],[Sub-Type]]="Transfer","Neutral",IF(tbTransactions[[#This Row],[Qty]]&lt;0,"Debit",IF(tbTransactions[[#This Row],[Qty]]&gt;0,"Credit","Neutral")))</f>
        <v>Debit</v>
      </c>
      <c r="L276" s="163" t="s">
        <v>502</v>
      </c>
      <c r="M276" s="171" t="s">
        <v>469</v>
      </c>
    </row>
    <row r="277" spans="3:13" ht="30" customHeight="1" x14ac:dyDescent="0.25">
      <c r="C277" s="175">
        <v>275</v>
      </c>
      <c r="D277" s="163">
        <v>44391</v>
      </c>
      <c r="E277" s="171">
        <v>-2.5000000000000001E-3</v>
      </c>
      <c r="F277" s="171">
        <v>14.9633</v>
      </c>
      <c r="G277" s="172">
        <v>1</v>
      </c>
      <c r="H277" s="171">
        <f>tbTransactions[[#This Row],[Qty]]*tbTransactions[[#This Row],[Unit Cost]]*tbTransactions[[#This Row],[Exchange Rate]]</f>
        <v>-3.7408250000000004E-2</v>
      </c>
      <c r="I277" s="148" t="s">
        <v>422</v>
      </c>
      <c r="J277" s="176" t="s">
        <v>18</v>
      </c>
      <c r="K277" s="163" t="str">
        <f>IF(tbTransactions[[#This Row],[Sub-Type]]="Transfer","Neutral",IF(tbTransactions[[#This Row],[Qty]]&lt;0,"Debit",IF(tbTransactions[[#This Row],[Qty]]&gt;0,"Credit","Neutral")))</f>
        <v>Debit</v>
      </c>
      <c r="L277" s="163" t="s">
        <v>12</v>
      </c>
      <c r="M277" s="171" t="s">
        <v>470</v>
      </c>
    </row>
    <row r="278" spans="3:13" ht="30" customHeight="1" x14ac:dyDescent="0.25">
      <c r="C278" s="175">
        <v>276</v>
      </c>
      <c r="D278" s="163">
        <v>44391</v>
      </c>
      <c r="E278" s="171">
        <v>-31.912724000000001</v>
      </c>
      <c r="F278" s="171">
        <v>14.9633</v>
      </c>
      <c r="G278" s="172">
        <v>1</v>
      </c>
      <c r="H278" s="171">
        <f>tbTransactions[[#This Row],[Qty]]*tbTransactions[[#This Row],[Unit Cost]]*tbTransactions[[#This Row],[Exchange Rate]]</f>
        <v>-477.51966302920005</v>
      </c>
      <c r="I278" s="148" t="s">
        <v>422</v>
      </c>
      <c r="J278" s="176" t="s">
        <v>18</v>
      </c>
      <c r="K278" s="163" t="str">
        <f>IF(tbTransactions[[#This Row],[Sub-Type]]="Transfer","Neutral",IF(tbTransactions[[#This Row],[Qty]]&lt;0,"Debit",IF(tbTransactions[[#This Row],[Qty]]&gt;0,"Credit","Neutral")))</f>
        <v>Neutral</v>
      </c>
      <c r="L278" s="163" t="s">
        <v>32</v>
      </c>
      <c r="M278" s="171" t="s">
        <v>470</v>
      </c>
    </row>
    <row r="279" spans="3:13" ht="30" customHeight="1" x14ac:dyDescent="0.25">
      <c r="C279" s="175">
        <v>277</v>
      </c>
      <c r="D279" s="163">
        <v>44391</v>
      </c>
      <c r="E279" s="171">
        <v>31.910223999999999</v>
      </c>
      <c r="F279" s="171">
        <v>14.9633</v>
      </c>
      <c r="G279" s="172">
        <v>1</v>
      </c>
      <c r="H279" s="171">
        <f>tbTransactions[[#This Row],[Qty]]*tbTransactions[[#This Row],[Unit Cost]]*tbTransactions[[#This Row],[Exchange Rate]]</f>
        <v>477.48225477919999</v>
      </c>
      <c r="I279" s="148" t="s">
        <v>431</v>
      </c>
      <c r="J279" s="176" t="s">
        <v>18</v>
      </c>
      <c r="K279" s="163" t="str">
        <f>IF(tbTransactions[[#This Row],[Sub-Type]]="Transfer","Neutral",IF(tbTransactions[[#This Row],[Qty]]&lt;0,"Debit",IF(tbTransactions[[#This Row],[Qty]]&gt;0,"Credit","Neutral")))</f>
        <v>Neutral</v>
      </c>
      <c r="L279" s="163" t="s">
        <v>32</v>
      </c>
      <c r="M279" s="171" t="s">
        <v>470</v>
      </c>
    </row>
    <row r="280" spans="3:13" ht="30" customHeight="1" x14ac:dyDescent="0.25">
      <c r="C280" s="175">
        <v>278</v>
      </c>
      <c r="D280" s="163">
        <v>44391</v>
      </c>
      <c r="E280" s="171">
        <v>-5.0749999999999997E-3</v>
      </c>
      <c r="F280" s="171">
        <v>14.9633</v>
      </c>
      <c r="G280" s="172">
        <v>1</v>
      </c>
      <c r="H280" s="171">
        <f>tbTransactions[[#This Row],[Qty]]*tbTransactions[[#This Row],[Unit Cost]]*tbTransactions[[#This Row],[Exchange Rate]]</f>
        <v>-7.5938747500000001E-2</v>
      </c>
      <c r="I280" s="148" t="s">
        <v>431</v>
      </c>
      <c r="J280" s="176" t="s">
        <v>18</v>
      </c>
      <c r="K280" s="163" t="str">
        <f>IF(tbTransactions[[#This Row],[Sub-Type]]="Transfer","Neutral",IF(tbTransactions[[#This Row],[Qty]]&lt;0,"Debit",IF(tbTransactions[[#This Row],[Qty]]&gt;0,"Credit","Neutral")))</f>
        <v>Debit</v>
      </c>
      <c r="L280" s="163" t="s">
        <v>12</v>
      </c>
      <c r="M280" s="171" t="s">
        <v>471</v>
      </c>
    </row>
    <row r="281" spans="3:13" ht="30" customHeight="1" x14ac:dyDescent="0.25">
      <c r="C281" s="175">
        <v>279</v>
      </c>
      <c r="D281" s="163">
        <v>44391</v>
      </c>
      <c r="E281" s="171">
        <v>1.692383</v>
      </c>
      <c r="F281" s="171">
        <v>0</v>
      </c>
      <c r="G281" s="172">
        <v>1</v>
      </c>
      <c r="H281" s="171">
        <f>tbTransactions[[#This Row],[Qty]]*tbTransactions[[#This Row],[Unit Cost]]*tbTransactions[[#This Row],[Exchange Rate]]</f>
        <v>0</v>
      </c>
      <c r="I281" s="148" t="s">
        <v>507</v>
      </c>
      <c r="J281" s="176" t="s">
        <v>17</v>
      </c>
      <c r="K281" s="163" t="str">
        <f>IF(tbTransactions[[#This Row],[Sub-Type]]="Transfer","Neutral",IF(tbTransactions[[#This Row],[Qty]]&lt;0,"Debit",IF(tbTransactions[[#This Row],[Qty]]&gt;0,"Credit","Neutral")))</f>
        <v>Credit</v>
      </c>
      <c r="L281" s="163" t="s">
        <v>518</v>
      </c>
      <c r="M281" s="171" t="s">
        <v>427</v>
      </c>
    </row>
    <row r="282" spans="3:13" ht="30" customHeight="1" x14ac:dyDescent="0.25">
      <c r="C282" s="175">
        <v>280</v>
      </c>
      <c r="D282" s="163">
        <v>44391</v>
      </c>
      <c r="E282" s="171">
        <v>2.6423745299999999E-2</v>
      </c>
      <c r="F282" s="171">
        <v>0</v>
      </c>
      <c r="G282" s="172">
        <v>1</v>
      </c>
      <c r="H282" s="171">
        <f>tbTransactions[[#This Row],[Qty]]*tbTransactions[[#This Row],[Unit Cost]]*tbTransactions[[#This Row],[Exchange Rate]]</f>
        <v>0</v>
      </c>
      <c r="I282" s="148" t="s">
        <v>511</v>
      </c>
      <c r="J282" s="176" t="s">
        <v>20</v>
      </c>
      <c r="K282" s="163" t="str">
        <f>IF(tbTransactions[[#This Row],[Sub-Type]]="Transfer","Neutral",IF(tbTransactions[[#This Row],[Qty]]&lt;0,"Debit",IF(tbTransactions[[#This Row],[Qty]]&gt;0,"Credit","Neutral")))</f>
        <v>Credit</v>
      </c>
      <c r="L282" s="163" t="s">
        <v>518</v>
      </c>
      <c r="M282" s="171" t="s">
        <v>465</v>
      </c>
    </row>
    <row r="283" spans="3:13" ht="30" customHeight="1" x14ac:dyDescent="0.25">
      <c r="C283" s="175">
        <v>281</v>
      </c>
      <c r="D283" s="163">
        <v>44392</v>
      </c>
      <c r="E283" s="171">
        <v>2.8911298299999999E-2</v>
      </c>
      <c r="F283" s="171">
        <v>0</v>
      </c>
      <c r="G283" s="172">
        <v>1</v>
      </c>
      <c r="H283" s="171">
        <f>tbTransactions[[#This Row],[Qty]]*tbTransactions[[#This Row],[Unit Cost]]*tbTransactions[[#This Row],[Exchange Rate]]</f>
        <v>0</v>
      </c>
      <c r="I283" s="148" t="s">
        <v>511</v>
      </c>
      <c r="J283" s="176" t="s">
        <v>20</v>
      </c>
      <c r="K283" s="163" t="str">
        <f>IF(tbTransactions[[#This Row],[Sub-Type]]="Transfer","Neutral",IF(tbTransactions[[#This Row],[Qty]]&lt;0,"Debit",IF(tbTransactions[[#This Row],[Qty]]&gt;0,"Credit","Neutral")))</f>
        <v>Credit</v>
      </c>
      <c r="L283" s="163" t="s">
        <v>518</v>
      </c>
      <c r="M283" s="171" t="s">
        <v>465</v>
      </c>
    </row>
    <row r="284" spans="3:13" ht="30" customHeight="1" x14ac:dyDescent="0.25">
      <c r="C284" s="175">
        <v>282</v>
      </c>
      <c r="D284" s="163">
        <v>44393</v>
      </c>
      <c r="E284" s="171">
        <v>2.2587368300000001E-2</v>
      </c>
      <c r="F284" s="171">
        <v>0</v>
      </c>
      <c r="G284" s="172">
        <v>1</v>
      </c>
      <c r="H284" s="171">
        <f>tbTransactions[[#This Row],[Qty]]*tbTransactions[[#This Row],[Unit Cost]]*tbTransactions[[#This Row],[Exchange Rate]]</f>
        <v>0</v>
      </c>
      <c r="I284" s="148" t="s">
        <v>511</v>
      </c>
      <c r="J284" s="176" t="s">
        <v>20</v>
      </c>
      <c r="K284" s="163" t="str">
        <f>IF(tbTransactions[[#This Row],[Sub-Type]]="Transfer","Neutral",IF(tbTransactions[[#This Row],[Qty]]&lt;0,"Debit",IF(tbTransactions[[#This Row],[Qty]]&gt;0,"Credit","Neutral")))</f>
        <v>Credit</v>
      </c>
      <c r="L284" s="163" t="s">
        <v>518</v>
      </c>
      <c r="M284" s="171" t="s">
        <v>465</v>
      </c>
    </row>
    <row r="285" spans="3:13" ht="30" customHeight="1" x14ac:dyDescent="0.25">
      <c r="C285" s="175">
        <v>283</v>
      </c>
      <c r="D285" s="163">
        <v>44394</v>
      </c>
      <c r="E285" s="171">
        <v>2.2697037100000001E-2</v>
      </c>
      <c r="F285" s="171">
        <v>0</v>
      </c>
      <c r="G285" s="172">
        <v>1</v>
      </c>
      <c r="H285" s="171">
        <f>tbTransactions[[#This Row],[Qty]]*tbTransactions[[#This Row],[Unit Cost]]*tbTransactions[[#This Row],[Exchange Rate]]</f>
        <v>0</v>
      </c>
      <c r="I285" s="148" t="s">
        <v>511</v>
      </c>
      <c r="J285" s="176" t="s">
        <v>20</v>
      </c>
      <c r="K285" s="163" t="str">
        <f>IF(tbTransactions[[#This Row],[Sub-Type]]="Transfer","Neutral",IF(tbTransactions[[#This Row],[Qty]]&lt;0,"Debit",IF(tbTransactions[[#This Row],[Qty]]&gt;0,"Credit","Neutral")))</f>
        <v>Credit</v>
      </c>
      <c r="L285" s="163" t="s">
        <v>518</v>
      </c>
      <c r="M285" s="171" t="s">
        <v>465</v>
      </c>
    </row>
    <row r="286" spans="3:13" ht="30" customHeight="1" x14ac:dyDescent="0.25">
      <c r="C286" s="175">
        <v>284</v>
      </c>
      <c r="D286" s="163">
        <v>44395</v>
      </c>
      <c r="E286" s="171">
        <v>3.0626286499999999E-2</v>
      </c>
      <c r="F286" s="171">
        <v>0</v>
      </c>
      <c r="G286" s="172">
        <v>1</v>
      </c>
      <c r="H286" s="171">
        <f>tbTransactions[[#This Row],[Qty]]*tbTransactions[[#This Row],[Unit Cost]]*tbTransactions[[#This Row],[Exchange Rate]]</f>
        <v>0</v>
      </c>
      <c r="I286" s="148" t="s">
        <v>511</v>
      </c>
      <c r="J286" s="176" t="s">
        <v>20</v>
      </c>
      <c r="K286" s="163" t="str">
        <f>IF(tbTransactions[[#This Row],[Sub-Type]]="Transfer","Neutral",IF(tbTransactions[[#This Row],[Qty]]&lt;0,"Debit",IF(tbTransactions[[#This Row],[Qty]]&gt;0,"Credit","Neutral")))</f>
        <v>Credit</v>
      </c>
      <c r="L286" s="163" t="s">
        <v>518</v>
      </c>
      <c r="M286" s="171" t="s">
        <v>465</v>
      </c>
    </row>
    <row r="287" spans="3:13" ht="30" customHeight="1" x14ac:dyDescent="0.25">
      <c r="C287" s="175">
        <v>285</v>
      </c>
      <c r="D287" s="163">
        <v>44396</v>
      </c>
      <c r="E287" s="171">
        <v>1.2595620000000001</v>
      </c>
      <c r="F287" s="171">
        <v>0</v>
      </c>
      <c r="G287" s="172">
        <v>1</v>
      </c>
      <c r="H287" s="171">
        <f>tbTransactions[[#This Row],[Qty]]*tbTransactions[[#This Row],[Unit Cost]]*tbTransactions[[#This Row],[Exchange Rate]]</f>
        <v>0</v>
      </c>
      <c r="I287" s="148" t="s">
        <v>507</v>
      </c>
      <c r="J287" s="176" t="s">
        <v>17</v>
      </c>
      <c r="K287" s="163" t="str">
        <f>IF(tbTransactions[[#This Row],[Sub-Type]]="Transfer","Neutral",IF(tbTransactions[[#This Row],[Qty]]&lt;0,"Debit",IF(tbTransactions[[#This Row],[Qty]]&gt;0,"Credit","Neutral")))</f>
        <v>Credit</v>
      </c>
      <c r="L287" s="163" t="s">
        <v>518</v>
      </c>
      <c r="M287" s="171" t="s">
        <v>427</v>
      </c>
    </row>
    <row r="288" spans="3:13" ht="30" customHeight="1" x14ac:dyDescent="0.25">
      <c r="C288" s="175">
        <v>286</v>
      </c>
      <c r="D288" s="163">
        <v>44396</v>
      </c>
      <c r="E288" s="171">
        <v>-3000</v>
      </c>
      <c r="F288" s="171">
        <v>1</v>
      </c>
      <c r="G288" s="172">
        <v>1</v>
      </c>
      <c r="H288" s="171">
        <f>tbTransactions[[#This Row],[Qty]]*tbTransactions[[#This Row],[Unit Cost]]*tbTransactions[[#This Row],[Exchange Rate]]</f>
        <v>-3000</v>
      </c>
      <c r="I288" s="148" t="s">
        <v>499</v>
      </c>
      <c r="J288" s="176" t="s">
        <v>411</v>
      </c>
      <c r="K288" s="163" t="str">
        <f>IF(tbTransactions[[#This Row],[Sub-Type]]="Transfer","Neutral",IF(tbTransactions[[#This Row],[Qty]]&lt;0,"Debit",IF(tbTransactions[[#This Row],[Qty]]&gt;0,"Credit","Neutral")))</f>
        <v>Debit</v>
      </c>
      <c r="L288" s="163" t="s">
        <v>502</v>
      </c>
      <c r="M288" s="171"/>
    </row>
    <row r="289" spans="3:13" ht="30" customHeight="1" x14ac:dyDescent="0.25">
      <c r="C289" s="175">
        <v>287</v>
      </c>
      <c r="D289" s="163">
        <v>44396</v>
      </c>
      <c r="E289" s="171">
        <v>3000</v>
      </c>
      <c r="F289" s="171">
        <v>1</v>
      </c>
      <c r="G289" s="172">
        <v>1</v>
      </c>
      <c r="H289" s="171">
        <f>tbTransactions[[#This Row],[Qty]]*tbTransactions[[#This Row],[Unit Cost]]*tbTransactions[[#This Row],[Exchange Rate]]</f>
        <v>3000</v>
      </c>
      <c r="I289" s="148" t="s">
        <v>504</v>
      </c>
      <c r="J289" s="176" t="s">
        <v>411</v>
      </c>
      <c r="K289" s="163" t="str">
        <f>IF(tbTransactions[[#This Row],[Sub-Type]]="Transfer","Neutral",IF(tbTransactions[[#This Row],[Qty]]&lt;0,"Debit",IF(tbTransactions[[#This Row],[Qty]]&gt;0,"Credit","Neutral")))</f>
        <v>Credit</v>
      </c>
      <c r="L289" s="163" t="s">
        <v>500</v>
      </c>
      <c r="M289" s="171"/>
    </row>
    <row r="290" spans="3:13" ht="30" customHeight="1" x14ac:dyDescent="0.25">
      <c r="C290" s="175">
        <v>288</v>
      </c>
      <c r="D290" s="163">
        <v>44396</v>
      </c>
      <c r="E290" s="171">
        <v>3.5466653799999998E-2</v>
      </c>
      <c r="F290" s="171">
        <v>0</v>
      </c>
      <c r="G290" s="172">
        <v>1</v>
      </c>
      <c r="H290" s="171">
        <f>tbTransactions[[#This Row],[Qty]]*tbTransactions[[#This Row],[Unit Cost]]*tbTransactions[[#This Row],[Exchange Rate]]</f>
        <v>0</v>
      </c>
      <c r="I290" s="148" t="s">
        <v>511</v>
      </c>
      <c r="J290" s="176" t="s">
        <v>20</v>
      </c>
      <c r="K290" s="163" t="str">
        <f>IF(tbTransactions[[#This Row],[Sub-Type]]="Transfer","Neutral",IF(tbTransactions[[#This Row],[Qty]]&lt;0,"Debit",IF(tbTransactions[[#This Row],[Qty]]&gt;0,"Credit","Neutral")))</f>
        <v>Credit</v>
      </c>
      <c r="L290" s="163" t="s">
        <v>518</v>
      </c>
      <c r="M290" s="171" t="s">
        <v>465</v>
      </c>
    </row>
    <row r="291" spans="3:13" ht="30" customHeight="1" x14ac:dyDescent="0.25">
      <c r="C291" s="175">
        <v>289</v>
      </c>
      <c r="D291" s="163">
        <v>44397</v>
      </c>
      <c r="E291" s="171">
        <v>2.7508797099999999E-2</v>
      </c>
      <c r="F291" s="171">
        <v>0</v>
      </c>
      <c r="G291" s="172">
        <v>1</v>
      </c>
      <c r="H291" s="171">
        <f>tbTransactions[[#This Row],[Qty]]*tbTransactions[[#This Row],[Unit Cost]]*tbTransactions[[#This Row],[Exchange Rate]]</f>
        <v>0</v>
      </c>
      <c r="I291" s="148" t="s">
        <v>511</v>
      </c>
      <c r="J291" s="176" t="s">
        <v>20</v>
      </c>
      <c r="K291" s="163" t="str">
        <f>IF(tbTransactions[[#This Row],[Sub-Type]]="Transfer","Neutral",IF(tbTransactions[[#This Row],[Qty]]&lt;0,"Debit",IF(tbTransactions[[#This Row],[Qty]]&gt;0,"Credit","Neutral")))</f>
        <v>Credit</v>
      </c>
      <c r="L291" s="163" t="s">
        <v>518</v>
      </c>
      <c r="M291" s="171" t="s">
        <v>465</v>
      </c>
    </row>
    <row r="292" spans="3:13" ht="30" customHeight="1" x14ac:dyDescent="0.25">
      <c r="C292" s="175">
        <v>290</v>
      </c>
      <c r="D292" s="163">
        <v>44398</v>
      </c>
      <c r="E292" s="171">
        <v>0.117301</v>
      </c>
      <c r="F292" s="171">
        <v>0</v>
      </c>
      <c r="G292" s="172">
        <v>1</v>
      </c>
      <c r="H292" s="171">
        <f>tbTransactions[[#This Row],[Qty]]*tbTransactions[[#This Row],[Unit Cost]]*tbTransactions[[#This Row],[Exchange Rate]]</f>
        <v>0</v>
      </c>
      <c r="I292" s="148" t="s">
        <v>431</v>
      </c>
      <c r="J292" s="176" t="s">
        <v>18</v>
      </c>
      <c r="K292" s="163" t="str">
        <f>IF(tbTransactions[[#This Row],[Sub-Type]]="Transfer","Neutral",IF(tbTransactions[[#This Row],[Qty]]&lt;0,"Debit",IF(tbTransactions[[#This Row],[Qty]]&gt;0,"Credit","Neutral")))</f>
        <v>Credit</v>
      </c>
      <c r="L292" s="163" t="s">
        <v>518</v>
      </c>
      <c r="M292" s="171" t="s">
        <v>40</v>
      </c>
    </row>
    <row r="293" spans="3:13" ht="30" customHeight="1" x14ac:dyDescent="0.25">
      <c r="C293" s="175">
        <v>291</v>
      </c>
      <c r="D293" s="163">
        <v>44398</v>
      </c>
      <c r="E293" s="171">
        <v>3.29405194E-2</v>
      </c>
      <c r="F293" s="171">
        <v>0</v>
      </c>
      <c r="G293" s="172">
        <v>1</v>
      </c>
      <c r="H293" s="171">
        <f>tbTransactions[[#This Row],[Qty]]*tbTransactions[[#This Row],[Unit Cost]]*tbTransactions[[#This Row],[Exchange Rate]]</f>
        <v>0</v>
      </c>
      <c r="I293" s="148" t="s">
        <v>511</v>
      </c>
      <c r="J293" s="176" t="s">
        <v>20</v>
      </c>
      <c r="K293" s="163" t="str">
        <f>IF(tbTransactions[[#This Row],[Sub-Type]]="Transfer","Neutral",IF(tbTransactions[[#This Row],[Qty]]&lt;0,"Debit",IF(tbTransactions[[#This Row],[Qty]]&gt;0,"Credit","Neutral")))</f>
        <v>Credit</v>
      </c>
      <c r="L293" s="163" t="s">
        <v>518</v>
      </c>
      <c r="M293" s="171" t="s">
        <v>465</v>
      </c>
    </row>
    <row r="294" spans="3:13" ht="30" customHeight="1" x14ac:dyDescent="0.25">
      <c r="C294" s="175">
        <v>292</v>
      </c>
      <c r="D294" s="163">
        <v>44399</v>
      </c>
      <c r="E294" s="171">
        <v>2.2128008899999999E-2</v>
      </c>
      <c r="F294" s="171">
        <v>0</v>
      </c>
      <c r="G294" s="172">
        <v>1</v>
      </c>
      <c r="H294" s="171">
        <f>tbTransactions[[#This Row],[Qty]]*tbTransactions[[#This Row],[Unit Cost]]*tbTransactions[[#This Row],[Exchange Rate]]</f>
        <v>0</v>
      </c>
      <c r="I294" s="148" t="s">
        <v>511</v>
      </c>
      <c r="J294" s="176" t="s">
        <v>20</v>
      </c>
      <c r="K294" s="163" t="str">
        <f>IF(tbTransactions[[#This Row],[Sub-Type]]="Transfer","Neutral",IF(tbTransactions[[#This Row],[Qty]]&lt;0,"Debit",IF(tbTransactions[[#This Row],[Qty]]&gt;0,"Credit","Neutral")))</f>
        <v>Credit</v>
      </c>
      <c r="L294" s="163" t="s">
        <v>518</v>
      </c>
      <c r="M294" s="171" t="s">
        <v>465</v>
      </c>
    </row>
    <row r="295" spans="3:13" ht="30" customHeight="1" x14ac:dyDescent="0.25">
      <c r="C295" s="175">
        <v>293</v>
      </c>
      <c r="D295" s="163">
        <v>44400</v>
      </c>
      <c r="E295" s="171">
        <v>2.69936299E-2</v>
      </c>
      <c r="F295" s="171">
        <v>0</v>
      </c>
      <c r="G295" s="172">
        <v>1</v>
      </c>
      <c r="H295" s="171">
        <f>tbTransactions[[#This Row],[Qty]]*tbTransactions[[#This Row],[Unit Cost]]*tbTransactions[[#This Row],[Exchange Rate]]</f>
        <v>0</v>
      </c>
      <c r="I295" s="148" t="s">
        <v>511</v>
      </c>
      <c r="J295" s="176" t="s">
        <v>20</v>
      </c>
      <c r="K295" s="163" t="str">
        <f>IF(tbTransactions[[#This Row],[Sub-Type]]="Transfer","Neutral",IF(tbTransactions[[#This Row],[Qty]]&lt;0,"Debit",IF(tbTransactions[[#This Row],[Qty]]&gt;0,"Credit","Neutral")))</f>
        <v>Credit</v>
      </c>
      <c r="L295" s="163" t="s">
        <v>518</v>
      </c>
      <c r="M295" s="171" t="s">
        <v>465</v>
      </c>
    </row>
    <row r="296" spans="3:13" ht="30" customHeight="1" x14ac:dyDescent="0.25">
      <c r="C296" s="175">
        <v>294</v>
      </c>
      <c r="D296" s="163">
        <v>44401</v>
      </c>
      <c r="E296" s="171">
        <v>2.8922889999999999</v>
      </c>
      <c r="F296" s="171">
        <v>0</v>
      </c>
      <c r="G296" s="172">
        <v>1</v>
      </c>
      <c r="H296" s="171">
        <f>tbTransactions[[#This Row],[Qty]]*tbTransactions[[#This Row],[Unit Cost]]*tbTransactions[[#This Row],[Exchange Rate]]</f>
        <v>0</v>
      </c>
      <c r="I296" s="148" t="s">
        <v>507</v>
      </c>
      <c r="J296" s="176" t="s">
        <v>17</v>
      </c>
      <c r="K296" s="163" t="str">
        <f>IF(tbTransactions[[#This Row],[Sub-Type]]="Transfer","Neutral",IF(tbTransactions[[#This Row],[Qty]]&lt;0,"Debit",IF(tbTransactions[[#This Row],[Qty]]&gt;0,"Credit","Neutral")))</f>
        <v>Credit</v>
      </c>
      <c r="L296" s="163" t="s">
        <v>518</v>
      </c>
      <c r="M296" s="171" t="s">
        <v>427</v>
      </c>
    </row>
    <row r="297" spans="3:13" ht="30" customHeight="1" x14ac:dyDescent="0.25">
      <c r="C297" s="175">
        <v>295</v>
      </c>
      <c r="D297" s="163">
        <v>44401</v>
      </c>
      <c r="E297" s="171">
        <v>2.4082111600000001E-2</v>
      </c>
      <c r="F297" s="171">
        <v>0</v>
      </c>
      <c r="G297" s="172">
        <v>1</v>
      </c>
      <c r="H297" s="171">
        <f>tbTransactions[[#This Row],[Qty]]*tbTransactions[[#This Row],[Unit Cost]]*tbTransactions[[#This Row],[Exchange Rate]]</f>
        <v>0</v>
      </c>
      <c r="I297" s="148" t="s">
        <v>511</v>
      </c>
      <c r="J297" s="176" t="s">
        <v>20</v>
      </c>
      <c r="K297" s="163" t="str">
        <f>IF(tbTransactions[[#This Row],[Sub-Type]]="Transfer","Neutral",IF(tbTransactions[[#This Row],[Qty]]&lt;0,"Debit",IF(tbTransactions[[#This Row],[Qty]]&gt;0,"Credit","Neutral")))</f>
        <v>Credit</v>
      </c>
      <c r="L297" s="163" t="s">
        <v>518</v>
      </c>
      <c r="M297" s="171" t="s">
        <v>465</v>
      </c>
    </row>
    <row r="298" spans="3:13" ht="30" customHeight="1" x14ac:dyDescent="0.25">
      <c r="C298" s="175">
        <v>296</v>
      </c>
      <c r="D298" s="163">
        <v>44402</v>
      </c>
      <c r="E298" s="171">
        <v>2.3482571300000001E-2</v>
      </c>
      <c r="F298" s="171">
        <v>0</v>
      </c>
      <c r="G298" s="172">
        <v>1</v>
      </c>
      <c r="H298" s="171">
        <f>tbTransactions[[#This Row],[Qty]]*tbTransactions[[#This Row],[Unit Cost]]*tbTransactions[[#This Row],[Exchange Rate]]</f>
        <v>0</v>
      </c>
      <c r="I298" s="148" t="s">
        <v>511</v>
      </c>
      <c r="J298" s="176" t="s">
        <v>20</v>
      </c>
      <c r="K298" s="163" t="str">
        <f>IF(tbTransactions[[#This Row],[Sub-Type]]="Transfer","Neutral",IF(tbTransactions[[#This Row],[Qty]]&lt;0,"Debit",IF(tbTransactions[[#This Row],[Qty]]&gt;0,"Credit","Neutral")))</f>
        <v>Credit</v>
      </c>
      <c r="L298" s="163" t="s">
        <v>518</v>
      </c>
      <c r="M298" s="171" t="s">
        <v>465</v>
      </c>
    </row>
    <row r="299" spans="3:13" ht="30" customHeight="1" x14ac:dyDescent="0.25">
      <c r="C299" s="175">
        <v>297</v>
      </c>
      <c r="D299" s="163">
        <v>44403</v>
      </c>
      <c r="E299" s="171">
        <v>2.8653283500000001E-2</v>
      </c>
      <c r="F299" s="171">
        <v>0</v>
      </c>
      <c r="G299" s="172">
        <v>1</v>
      </c>
      <c r="H299" s="171">
        <f>tbTransactions[[#This Row],[Qty]]*tbTransactions[[#This Row],[Unit Cost]]*tbTransactions[[#This Row],[Exchange Rate]]</f>
        <v>0</v>
      </c>
      <c r="I299" s="148" t="s">
        <v>511</v>
      </c>
      <c r="J299" s="176" t="s">
        <v>20</v>
      </c>
      <c r="K299" s="163" t="str">
        <f>IF(tbTransactions[[#This Row],[Sub-Type]]="Transfer","Neutral",IF(tbTransactions[[#This Row],[Qty]]&lt;0,"Debit",IF(tbTransactions[[#This Row],[Qty]]&gt;0,"Credit","Neutral")))</f>
        <v>Credit</v>
      </c>
      <c r="L299" s="163" t="s">
        <v>518</v>
      </c>
      <c r="M299" s="171" t="s">
        <v>465</v>
      </c>
    </row>
    <row r="300" spans="3:13" ht="30" customHeight="1" x14ac:dyDescent="0.25">
      <c r="C300" s="175">
        <v>298</v>
      </c>
      <c r="D300" s="163">
        <v>44404</v>
      </c>
      <c r="E300" s="171">
        <v>0.110084</v>
      </c>
      <c r="F300" s="171">
        <v>0</v>
      </c>
      <c r="G300" s="172">
        <v>1</v>
      </c>
      <c r="H300" s="171">
        <f>tbTransactions[[#This Row],[Qty]]*tbTransactions[[#This Row],[Unit Cost]]*tbTransactions[[#This Row],[Exchange Rate]]</f>
        <v>0</v>
      </c>
      <c r="I300" s="148" t="s">
        <v>431</v>
      </c>
      <c r="J300" s="176" t="s">
        <v>18</v>
      </c>
      <c r="K300" s="163" t="str">
        <f>IF(tbTransactions[[#This Row],[Sub-Type]]="Transfer","Neutral",IF(tbTransactions[[#This Row],[Qty]]&lt;0,"Debit",IF(tbTransactions[[#This Row],[Qty]]&gt;0,"Credit","Neutral")))</f>
        <v>Credit</v>
      </c>
      <c r="L300" s="163" t="s">
        <v>518</v>
      </c>
      <c r="M300" s="171" t="s">
        <v>40</v>
      </c>
    </row>
    <row r="301" spans="3:13" ht="30" customHeight="1" x14ac:dyDescent="0.25">
      <c r="C301" s="175">
        <v>299</v>
      </c>
      <c r="D301" s="163">
        <v>44404</v>
      </c>
      <c r="E301" s="171">
        <v>3.3528204700000001E-2</v>
      </c>
      <c r="F301" s="171">
        <v>0</v>
      </c>
      <c r="G301" s="172">
        <v>1</v>
      </c>
      <c r="H301" s="171">
        <f>tbTransactions[[#This Row],[Qty]]*tbTransactions[[#This Row],[Unit Cost]]*tbTransactions[[#This Row],[Exchange Rate]]</f>
        <v>0</v>
      </c>
      <c r="I301" s="148" t="s">
        <v>511</v>
      </c>
      <c r="J301" s="176" t="s">
        <v>20</v>
      </c>
      <c r="K301" s="163" t="str">
        <f>IF(tbTransactions[[#This Row],[Sub-Type]]="Transfer","Neutral",IF(tbTransactions[[#This Row],[Qty]]&lt;0,"Debit",IF(tbTransactions[[#This Row],[Qty]]&gt;0,"Credit","Neutral")))</f>
        <v>Credit</v>
      </c>
      <c r="L301" s="163" t="s">
        <v>518</v>
      </c>
      <c r="M301" s="171" t="s">
        <v>465</v>
      </c>
    </row>
    <row r="302" spans="3:13" ht="30" customHeight="1" x14ac:dyDescent="0.25">
      <c r="C302" s="175">
        <v>300</v>
      </c>
      <c r="D302" s="163">
        <v>44405</v>
      </c>
      <c r="E302" s="171">
        <v>2.6077075799999998E-2</v>
      </c>
      <c r="F302" s="171">
        <v>0</v>
      </c>
      <c r="G302" s="172">
        <v>1</v>
      </c>
      <c r="H302" s="171">
        <f>tbTransactions[[#This Row],[Qty]]*tbTransactions[[#This Row],[Unit Cost]]*tbTransactions[[#This Row],[Exchange Rate]]</f>
        <v>0</v>
      </c>
      <c r="I302" s="148" t="s">
        <v>511</v>
      </c>
      <c r="J302" s="176" t="s">
        <v>20</v>
      </c>
      <c r="K302" s="163" t="str">
        <f>IF(tbTransactions[[#This Row],[Sub-Type]]="Transfer","Neutral",IF(tbTransactions[[#This Row],[Qty]]&lt;0,"Debit",IF(tbTransactions[[#This Row],[Qty]]&gt;0,"Credit","Neutral")))</f>
        <v>Credit</v>
      </c>
      <c r="L302" s="163" t="s">
        <v>518</v>
      </c>
      <c r="M302" s="171" t="s">
        <v>465</v>
      </c>
    </row>
    <row r="303" spans="3:13" ht="30" customHeight="1" x14ac:dyDescent="0.25">
      <c r="C303" s="175">
        <v>301</v>
      </c>
      <c r="D303" s="163">
        <v>44406</v>
      </c>
      <c r="E303" s="171">
        <v>3.19645</v>
      </c>
      <c r="F303" s="171">
        <v>0</v>
      </c>
      <c r="G303" s="172">
        <v>1</v>
      </c>
      <c r="H303" s="171">
        <f>tbTransactions[[#This Row],[Qty]]*tbTransactions[[#This Row],[Unit Cost]]*tbTransactions[[#This Row],[Exchange Rate]]</f>
        <v>0</v>
      </c>
      <c r="I303" s="148" t="s">
        <v>507</v>
      </c>
      <c r="J303" s="176" t="s">
        <v>17</v>
      </c>
      <c r="K303" s="163" t="str">
        <f>IF(tbTransactions[[#This Row],[Sub-Type]]="Transfer","Neutral",IF(tbTransactions[[#This Row],[Qty]]&lt;0,"Debit",IF(tbTransactions[[#This Row],[Qty]]&gt;0,"Credit","Neutral")))</f>
        <v>Credit</v>
      </c>
      <c r="L303" s="163" t="s">
        <v>518</v>
      </c>
      <c r="M303" s="171" t="s">
        <v>427</v>
      </c>
    </row>
    <row r="304" spans="3:13" ht="30" customHeight="1" x14ac:dyDescent="0.25">
      <c r="C304" s="175">
        <v>302</v>
      </c>
      <c r="D304" s="163">
        <v>44406</v>
      </c>
      <c r="E304" s="171">
        <v>2.5960703000000002E-2</v>
      </c>
      <c r="F304" s="171">
        <v>0</v>
      </c>
      <c r="G304" s="172">
        <v>1</v>
      </c>
      <c r="H304" s="171">
        <f>tbTransactions[[#This Row],[Qty]]*tbTransactions[[#This Row],[Unit Cost]]*tbTransactions[[#This Row],[Exchange Rate]]</f>
        <v>0</v>
      </c>
      <c r="I304" s="148" t="s">
        <v>511</v>
      </c>
      <c r="J304" s="176" t="s">
        <v>20</v>
      </c>
      <c r="K304" s="163" t="str">
        <f>IF(tbTransactions[[#This Row],[Sub-Type]]="Transfer","Neutral",IF(tbTransactions[[#This Row],[Qty]]&lt;0,"Debit",IF(tbTransactions[[#This Row],[Qty]]&gt;0,"Credit","Neutral")))</f>
        <v>Credit</v>
      </c>
      <c r="L304" s="163" t="s">
        <v>518</v>
      </c>
      <c r="M304" s="171" t="s">
        <v>465</v>
      </c>
    </row>
    <row r="305" spans="3:13" ht="30" customHeight="1" x14ac:dyDescent="0.25">
      <c r="C305" s="175">
        <v>303</v>
      </c>
      <c r="D305" s="163">
        <v>44407</v>
      </c>
      <c r="E305" s="171">
        <v>5.1631000000000003E-2</v>
      </c>
      <c r="F305" s="171">
        <v>0</v>
      </c>
      <c r="G305" s="172">
        <v>1</v>
      </c>
      <c r="H305" s="171">
        <f>tbTransactions[[#This Row],[Qty]]*tbTransactions[[#This Row],[Unit Cost]]*tbTransactions[[#This Row],[Exchange Rate]]</f>
        <v>0</v>
      </c>
      <c r="I305" s="148" t="s">
        <v>431</v>
      </c>
      <c r="J305" s="176" t="s">
        <v>18</v>
      </c>
      <c r="K305" s="163" t="str">
        <f>IF(tbTransactions[[#This Row],[Sub-Type]]="Transfer","Neutral",IF(tbTransactions[[#This Row],[Qty]]&lt;0,"Debit",IF(tbTransactions[[#This Row],[Qty]]&gt;0,"Credit","Neutral")))</f>
        <v>Credit</v>
      </c>
      <c r="L305" s="163" t="s">
        <v>518</v>
      </c>
      <c r="M305" s="171" t="s">
        <v>40</v>
      </c>
    </row>
    <row r="306" spans="3:13" ht="30" customHeight="1" x14ac:dyDescent="0.25">
      <c r="C306" s="175">
        <v>304</v>
      </c>
      <c r="D306" s="163">
        <v>44407</v>
      </c>
      <c r="E306" s="171">
        <v>2.8898469600000001E-2</v>
      </c>
      <c r="F306" s="171">
        <v>0</v>
      </c>
      <c r="G306" s="172">
        <v>1</v>
      </c>
      <c r="H306" s="171">
        <f>tbTransactions[[#This Row],[Qty]]*tbTransactions[[#This Row],[Unit Cost]]*tbTransactions[[#This Row],[Exchange Rate]]</f>
        <v>0</v>
      </c>
      <c r="I306" s="148" t="s">
        <v>511</v>
      </c>
      <c r="J306" s="176" t="s">
        <v>20</v>
      </c>
      <c r="K306" s="163" t="str">
        <f>IF(tbTransactions[[#This Row],[Sub-Type]]="Transfer","Neutral",IF(tbTransactions[[#This Row],[Qty]]&lt;0,"Debit",IF(tbTransactions[[#This Row],[Qty]]&gt;0,"Credit","Neutral")))</f>
        <v>Credit</v>
      </c>
      <c r="L306" s="163" t="s">
        <v>518</v>
      </c>
      <c r="M306" s="171" t="s">
        <v>465</v>
      </c>
    </row>
    <row r="307" spans="3:13" ht="30" customHeight="1" x14ac:dyDescent="0.25">
      <c r="C307" s="175">
        <v>305</v>
      </c>
      <c r="D307" s="163">
        <v>44408</v>
      </c>
      <c r="E307" s="171">
        <v>2.9262882600000002E-2</v>
      </c>
      <c r="F307" s="171">
        <v>0</v>
      </c>
      <c r="G307" s="172">
        <v>1</v>
      </c>
      <c r="H307" s="171">
        <f>tbTransactions[[#This Row],[Qty]]*tbTransactions[[#This Row],[Unit Cost]]*tbTransactions[[#This Row],[Exchange Rate]]</f>
        <v>0</v>
      </c>
      <c r="I307" s="148" t="s">
        <v>511</v>
      </c>
      <c r="J307" s="176" t="s">
        <v>20</v>
      </c>
      <c r="K307" s="163" t="str">
        <f>IF(tbTransactions[[#This Row],[Sub-Type]]="Transfer","Neutral",IF(tbTransactions[[#This Row],[Qty]]&lt;0,"Debit",IF(tbTransactions[[#This Row],[Qty]]&gt;0,"Credit","Neutral")))</f>
        <v>Credit</v>
      </c>
      <c r="L307" s="163" t="s">
        <v>518</v>
      </c>
      <c r="M307" s="171" t="s">
        <v>465</v>
      </c>
    </row>
    <row r="308" spans="3:13" ht="30" customHeight="1" x14ac:dyDescent="0.25">
      <c r="C308" s="175">
        <v>306</v>
      </c>
      <c r="D308" s="163">
        <v>44409</v>
      </c>
      <c r="E308" s="171">
        <v>2.6514645199999999E-2</v>
      </c>
      <c r="F308" s="171">
        <v>0</v>
      </c>
      <c r="G308" s="172">
        <v>1</v>
      </c>
      <c r="H308" s="171">
        <f>tbTransactions[[#This Row],[Qty]]*tbTransactions[[#This Row],[Unit Cost]]*tbTransactions[[#This Row],[Exchange Rate]]</f>
        <v>0</v>
      </c>
      <c r="I308" s="148" t="s">
        <v>511</v>
      </c>
      <c r="J308" s="176" t="s">
        <v>20</v>
      </c>
      <c r="K308" s="163" t="str">
        <f>IF(tbTransactions[[#This Row],[Sub-Type]]="Transfer","Neutral",IF(tbTransactions[[#This Row],[Qty]]&lt;0,"Debit",IF(tbTransactions[[#This Row],[Qty]]&gt;0,"Credit","Neutral")))</f>
        <v>Credit</v>
      </c>
      <c r="L308" s="163" t="s">
        <v>518</v>
      </c>
      <c r="M308" s="171" t="s">
        <v>465</v>
      </c>
    </row>
    <row r="309" spans="3:13" ht="30" customHeight="1" x14ac:dyDescent="0.25">
      <c r="C309" s="175">
        <v>307</v>
      </c>
      <c r="D309" s="163">
        <v>44410</v>
      </c>
      <c r="E309" s="171">
        <v>2.47348386E-2</v>
      </c>
      <c r="F309" s="171">
        <v>0</v>
      </c>
      <c r="G309" s="172">
        <v>1</v>
      </c>
      <c r="H309" s="171">
        <f>tbTransactions[[#This Row],[Qty]]*tbTransactions[[#This Row],[Unit Cost]]*tbTransactions[[#This Row],[Exchange Rate]]</f>
        <v>0</v>
      </c>
      <c r="I309" s="148" t="s">
        <v>511</v>
      </c>
      <c r="J309" s="176" t="s">
        <v>20</v>
      </c>
      <c r="K309" s="163" t="str">
        <f>IF(tbTransactions[[#This Row],[Sub-Type]]="Transfer","Neutral",IF(tbTransactions[[#This Row],[Qty]]&lt;0,"Debit",IF(tbTransactions[[#This Row],[Qty]]&gt;0,"Credit","Neutral")))</f>
        <v>Credit</v>
      </c>
      <c r="L309" s="163" t="s">
        <v>518</v>
      </c>
      <c r="M309" s="171" t="s">
        <v>465</v>
      </c>
    </row>
    <row r="310" spans="3:13" ht="30" customHeight="1" x14ac:dyDescent="0.25">
      <c r="C310" s="175">
        <v>308</v>
      </c>
      <c r="D310" s="163">
        <v>44411</v>
      </c>
      <c r="E310" s="171">
        <v>2.731236</v>
      </c>
      <c r="F310" s="171">
        <v>0</v>
      </c>
      <c r="G310" s="172">
        <v>1</v>
      </c>
      <c r="H310" s="171">
        <f>tbTransactions[[#This Row],[Qty]]*tbTransactions[[#This Row],[Unit Cost]]*tbTransactions[[#This Row],[Exchange Rate]]</f>
        <v>0</v>
      </c>
      <c r="I310" s="148" t="s">
        <v>507</v>
      </c>
      <c r="J310" s="176" t="s">
        <v>17</v>
      </c>
      <c r="K310" s="163" t="str">
        <f>IF(tbTransactions[[#This Row],[Sub-Type]]="Transfer","Neutral",IF(tbTransactions[[#This Row],[Qty]]&lt;0,"Debit",IF(tbTransactions[[#This Row],[Qty]]&gt;0,"Credit","Neutral")))</f>
        <v>Credit</v>
      </c>
      <c r="L310" s="163" t="s">
        <v>518</v>
      </c>
      <c r="M310" s="171" t="s">
        <v>427</v>
      </c>
    </row>
    <row r="311" spans="3:13" ht="30" customHeight="1" x14ac:dyDescent="0.25">
      <c r="C311" s="175">
        <v>309</v>
      </c>
      <c r="D311" s="163">
        <v>44411</v>
      </c>
      <c r="E311" s="171">
        <v>2.77253864E-2</v>
      </c>
      <c r="F311" s="171">
        <v>0</v>
      </c>
      <c r="G311" s="172">
        <v>1</v>
      </c>
      <c r="H311" s="171">
        <f>tbTransactions[[#This Row],[Qty]]*tbTransactions[[#This Row],[Unit Cost]]*tbTransactions[[#This Row],[Exchange Rate]]</f>
        <v>0</v>
      </c>
      <c r="I311" s="148" t="s">
        <v>511</v>
      </c>
      <c r="J311" s="176" t="s">
        <v>20</v>
      </c>
      <c r="K311" s="163" t="str">
        <f>IF(tbTransactions[[#This Row],[Sub-Type]]="Transfer","Neutral",IF(tbTransactions[[#This Row],[Qty]]&lt;0,"Debit",IF(tbTransactions[[#This Row],[Qty]]&gt;0,"Credit","Neutral")))</f>
        <v>Credit</v>
      </c>
      <c r="L311" s="163" t="s">
        <v>518</v>
      </c>
      <c r="M311" s="171" t="s">
        <v>465</v>
      </c>
    </row>
    <row r="312" spans="3:13" ht="30" customHeight="1" x14ac:dyDescent="0.25">
      <c r="C312" s="175">
        <v>310</v>
      </c>
      <c r="D312" s="163">
        <v>44412</v>
      </c>
      <c r="E312" s="171">
        <v>3.25542978E-2</v>
      </c>
      <c r="F312" s="171">
        <v>0</v>
      </c>
      <c r="G312" s="172">
        <v>1</v>
      </c>
      <c r="H312" s="171">
        <f>tbTransactions[[#This Row],[Qty]]*tbTransactions[[#This Row],[Unit Cost]]*tbTransactions[[#This Row],[Exchange Rate]]</f>
        <v>0</v>
      </c>
      <c r="I312" s="148" t="s">
        <v>511</v>
      </c>
      <c r="J312" s="176" t="s">
        <v>20</v>
      </c>
      <c r="K312" s="163" t="str">
        <f>IF(tbTransactions[[#This Row],[Sub-Type]]="Transfer","Neutral",IF(tbTransactions[[#This Row],[Qty]]&lt;0,"Debit",IF(tbTransactions[[#This Row],[Qty]]&gt;0,"Credit","Neutral")))</f>
        <v>Credit</v>
      </c>
      <c r="L312" s="163" t="s">
        <v>518</v>
      </c>
      <c r="M312" s="171" t="s">
        <v>465</v>
      </c>
    </row>
    <row r="313" spans="3:13" ht="30" customHeight="1" x14ac:dyDescent="0.25">
      <c r="C313" s="175">
        <v>311</v>
      </c>
      <c r="D313" s="163">
        <v>44413</v>
      </c>
      <c r="E313" s="171">
        <v>2.42643697E-2</v>
      </c>
      <c r="F313" s="171">
        <v>0</v>
      </c>
      <c r="G313" s="172">
        <v>1</v>
      </c>
      <c r="H313" s="171">
        <f>tbTransactions[[#This Row],[Qty]]*tbTransactions[[#This Row],[Unit Cost]]*tbTransactions[[#This Row],[Exchange Rate]]</f>
        <v>0</v>
      </c>
      <c r="I313" s="148" t="s">
        <v>511</v>
      </c>
      <c r="J313" s="176" t="s">
        <v>20</v>
      </c>
      <c r="K313" s="163" t="str">
        <f>IF(tbTransactions[[#This Row],[Sub-Type]]="Transfer","Neutral",IF(tbTransactions[[#This Row],[Qty]]&lt;0,"Debit",IF(tbTransactions[[#This Row],[Qty]]&gt;0,"Credit","Neutral")))</f>
        <v>Credit</v>
      </c>
      <c r="L313" s="163" t="s">
        <v>518</v>
      </c>
      <c r="M313" s="171" t="s">
        <v>465</v>
      </c>
    </row>
    <row r="314" spans="3:13" ht="30" customHeight="1" x14ac:dyDescent="0.25">
      <c r="C314" s="175">
        <v>312</v>
      </c>
      <c r="D314" s="163">
        <v>44414</v>
      </c>
      <c r="E314" s="171">
        <v>-480.82</v>
      </c>
      <c r="F314" s="171">
        <v>1</v>
      </c>
      <c r="G314" s="172">
        <v>1</v>
      </c>
      <c r="H314" s="171">
        <f>tbTransactions[[#This Row],[Qty]]*tbTransactions[[#This Row],[Unit Cost]]*tbTransactions[[#This Row],[Exchange Rate]]</f>
        <v>-480.82</v>
      </c>
      <c r="I314" s="148" t="s">
        <v>499</v>
      </c>
      <c r="J314" s="176" t="s">
        <v>411</v>
      </c>
      <c r="K314" s="163" t="str">
        <f>IF(tbTransactions[[#This Row],[Sub-Type]]="Transfer","Neutral",IF(tbTransactions[[#This Row],[Qty]]&lt;0,"Debit",IF(tbTransactions[[#This Row],[Qty]]&gt;0,"Credit","Neutral")))</f>
        <v>Debit</v>
      </c>
      <c r="L314" s="163" t="s">
        <v>502</v>
      </c>
      <c r="M314" s="171"/>
    </row>
    <row r="315" spans="3:13" ht="30" customHeight="1" x14ac:dyDescent="0.25">
      <c r="C315" s="175">
        <v>313</v>
      </c>
      <c r="D315" s="163">
        <v>44414</v>
      </c>
      <c r="E315" s="171">
        <v>-19.18</v>
      </c>
      <c r="F315" s="171">
        <v>1</v>
      </c>
      <c r="G315" s="172">
        <v>1</v>
      </c>
      <c r="H315" s="171">
        <f>tbTransactions[[#This Row],[Qty]]*tbTransactions[[#This Row],[Unit Cost]]*tbTransactions[[#This Row],[Exchange Rate]]</f>
        <v>-19.18</v>
      </c>
      <c r="I315" s="148" t="s">
        <v>499</v>
      </c>
      <c r="J315" s="176" t="s">
        <v>411</v>
      </c>
      <c r="K315" s="163" t="str">
        <f>IF(tbTransactions[[#This Row],[Sub-Type]]="Transfer","Neutral",IF(tbTransactions[[#This Row],[Qty]]&lt;0,"Debit",IF(tbTransactions[[#This Row],[Qty]]&gt;0,"Credit","Neutral")))</f>
        <v>Debit</v>
      </c>
      <c r="L315" s="163" t="s">
        <v>12</v>
      </c>
      <c r="M315" s="171"/>
    </row>
    <row r="316" spans="3:13" ht="30" customHeight="1" x14ac:dyDescent="0.25">
      <c r="C316" s="175">
        <v>314</v>
      </c>
      <c r="D316" s="163">
        <v>44414</v>
      </c>
      <c r="E316" s="171">
        <v>0.13075564000000001</v>
      </c>
      <c r="F316" s="171">
        <v>3677.24</v>
      </c>
      <c r="G316" s="172">
        <v>1</v>
      </c>
      <c r="H316" s="171">
        <f>tbTransactions[[#This Row],[Qty]]*tbTransactions[[#This Row],[Unit Cost]]*tbTransactions[[#This Row],[Exchange Rate]]</f>
        <v>480.81986963359998</v>
      </c>
      <c r="I316" s="148" t="s">
        <v>422</v>
      </c>
      <c r="J316" s="176" t="s">
        <v>22</v>
      </c>
      <c r="K316" s="163" t="str">
        <f>IF(tbTransactions[[#This Row],[Sub-Type]]="Transfer","Neutral",IF(tbTransactions[[#This Row],[Qty]]&lt;0,"Debit",IF(tbTransactions[[#This Row],[Qty]]&gt;0,"Credit","Neutral")))</f>
        <v>Credit</v>
      </c>
      <c r="L316" s="163" t="s">
        <v>505</v>
      </c>
      <c r="M316" s="171" t="s">
        <v>439</v>
      </c>
    </row>
    <row r="317" spans="3:13" ht="30" customHeight="1" x14ac:dyDescent="0.25">
      <c r="C317" s="175">
        <v>315</v>
      </c>
      <c r="D317" s="163">
        <v>44414</v>
      </c>
      <c r="E317" s="171">
        <v>-1.0709999999999999E-3</v>
      </c>
      <c r="F317" s="171">
        <v>3677.24</v>
      </c>
      <c r="G317" s="172">
        <v>1</v>
      </c>
      <c r="H317" s="171">
        <f>tbTransactions[[#This Row],[Qty]]*tbTransactions[[#This Row],[Unit Cost]]*tbTransactions[[#This Row],[Exchange Rate]]</f>
        <v>-3.9383240399999995</v>
      </c>
      <c r="I317" s="148" t="s">
        <v>422</v>
      </c>
      <c r="J317" s="176" t="s">
        <v>22</v>
      </c>
      <c r="K317" s="163" t="str">
        <f>IF(tbTransactions[[#This Row],[Sub-Type]]="Transfer","Neutral",IF(tbTransactions[[#This Row],[Qty]]&lt;0,"Debit",IF(tbTransactions[[#This Row],[Qty]]&gt;0,"Credit","Neutral")))</f>
        <v>Debit</v>
      </c>
      <c r="L317" s="163" t="s">
        <v>12</v>
      </c>
      <c r="M317" s="171" t="s">
        <v>525</v>
      </c>
    </row>
    <row r="318" spans="3:13" ht="30" customHeight="1" x14ac:dyDescent="0.25">
      <c r="C318" s="175">
        <v>316</v>
      </c>
      <c r="D318" s="163">
        <v>44414</v>
      </c>
      <c r="E318" s="171">
        <v>-0.27216361999999999</v>
      </c>
      <c r="F318" s="171">
        <v>1</v>
      </c>
      <c r="G318" s="172">
        <v>1</v>
      </c>
      <c r="H318" s="171">
        <f>tbTransactions[[#This Row],[Qty]]*tbTransactions[[#This Row],[Unit Cost]]*tbTransactions[[#This Row],[Exchange Rate]]</f>
        <v>-0.27216361999999999</v>
      </c>
      <c r="I318" s="148" t="s">
        <v>422</v>
      </c>
      <c r="J318" s="176" t="s">
        <v>22</v>
      </c>
      <c r="K318" s="163" t="str">
        <f>IF(tbTransactions[[#This Row],[Sub-Type]]="Transfer","Neutral",IF(tbTransactions[[#This Row],[Qty]]&lt;0,"Debit",IF(tbTransactions[[#This Row],[Qty]]&gt;0,"Credit","Neutral")))</f>
        <v>Neutral</v>
      </c>
      <c r="L318" s="163" t="s">
        <v>32</v>
      </c>
      <c r="M318" s="171" t="s">
        <v>525</v>
      </c>
    </row>
    <row r="319" spans="3:13" ht="30" customHeight="1" x14ac:dyDescent="0.25">
      <c r="C319" s="175">
        <v>317</v>
      </c>
      <c r="D319" s="163">
        <v>44414</v>
      </c>
      <c r="E319" s="171">
        <v>0.27216361999999999</v>
      </c>
      <c r="F319" s="171">
        <v>1</v>
      </c>
      <c r="G319" s="172">
        <v>1</v>
      </c>
      <c r="H319" s="171">
        <f>tbTransactions[[#This Row],[Qty]]*tbTransactions[[#This Row],[Unit Cost]]*tbTransactions[[#This Row],[Exchange Rate]]</f>
        <v>0.27216361999999999</v>
      </c>
      <c r="I319" s="148" t="s">
        <v>759</v>
      </c>
      <c r="J319" s="176" t="s">
        <v>22</v>
      </c>
      <c r="K319" s="163" t="str">
        <f>IF(tbTransactions[[#This Row],[Sub-Type]]="Transfer","Neutral",IF(tbTransactions[[#This Row],[Qty]]&lt;0,"Debit",IF(tbTransactions[[#This Row],[Qty]]&gt;0,"Credit","Neutral")))</f>
        <v>Neutral</v>
      </c>
      <c r="L319" s="163" t="s">
        <v>32</v>
      </c>
      <c r="M319" s="171" t="s">
        <v>525</v>
      </c>
    </row>
    <row r="320" spans="3:13" ht="30" customHeight="1" x14ac:dyDescent="0.25">
      <c r="C320" s="175">
        <v>318</v>
      </c>
      <c r="D320" s="163">
        <v>44414</v>
      </c>
      <c r="E320" s="171">
        <v>-1</v>
      </c>
      <c r="F320" s="171">
        <v>7607</v>
      </c>
      <c r="G320" s="172">
        <v>1</v>
      </c>
      <c r="H320" s="171">
        <f>tbTransactions[[#This Row],[Qty]]*tbTransactions[[#This Row],[Unit Cost]]*tbTransactions[[#This Row],[Exchange Rate]]</f>
        <v>-7607</v>
      </c>
      <c r="I320" s="148" t="s">
        <v>459</v>
      </c>
      <c r="J320" s="176" t="s">
        <v>458</v>
      </c>
      <c r="K320" s="163" t="str">
        <f>IF(tbTransactions[[#This Row],[Sub-Type]]="Transfer","Neutral",IF(tbTransactions[[#This Row],[Qty]]&lt;0,"Debit",IF(tbTransactions[[#This Row],[Qty]]&gt;0,"Credit","Neutral")))</f>
        <v>Debit</v>
      </c>
      <c r="L320" s="163" t="s">
        <v>526</v>
      </c>
      <c r="M320" s="171" t="s">
        <v>473</v>
      </c>
    </row>
    <row r="321" spans="3:13" ht="30" customHeight="1" x14ac:dyDescent="0.25">
      <c r="C321" s="175">
        <v>319</v>
      </c>
      <c r="D321" s="163">
        <v>44414</v>
      </c>
      <c r="E321" s="171">
        <v>2.0699999999999998</v>
      </c>
      <c r="F321" s="171">
        <v>3672</v>
      </c>
      <c r="G321" s="172">
        <v>1</v>
      </c>
      <c r="H321" s="171">
        <f>tbTransactions[[#This Row],[Qty]]*tbTransactions[[#This Row],[Unit Cost]]*tbTransactions[[#This Row],[Exchange Rate]]</f>
        <v>7601.0399999999991</v>
      </c>
      <c r="I321" s="148" t="s">
        <v>759</v>
      </c>
      <c r="J321" s="176" t="s">
        <v>22</v>
      </c>
      <c r="K321" s="163" t="str">
        <f>IF(tbTransactions[[#This Row],[Sub-Type]]="Transfer","Neutral",IF(tbTransactions[[#This Row],[Qty]]&lt;0,"Debit",IF(tbTransactions[[#This Row],[Qty]]&gt;0,"Credit","Neutral")))</f>
        <v>Credit</v>
      </c>
      <c r="L321" s="163" t="s">
        <v>520</v>
      </c>
      <c r="M321" s="171" t="s">
        <v>473</v>
      </c>
    </row>
    <row r="322" spans="3:13" ht="30" customHeight="1" x14ac:dyDescent="0.25">
      <c r="C322" s="175">
        <v>320</v>
      </c>
      <c r="D322" s="163">
        <v>44414</v>
      </c>
      <c r="E322" s="171">
        <v>-2.7199999999999998E-2</v>
      </c>
      <c r="F322" s="171">
        <v>3672</v>
      </c>
      <c r="G322" s="172">
        <v>1</v>
      </c>
      <c r="H322" s="171">
        <f>tbTransactions[[#This Row],[Qty]]*tbTransactions[[#This Row],[Unit Cost]]*tbTransactions[[#This Row],[Exchange Rate]]</f>
        <v>-99.878399999999999</v>
      </c>
      <c r="I322" s="148" t="s">
        <v>759</v>
      </c>
      <c r="J322" s="176" t="s">
        <v>22</v>
      </c>
      <c r="K322" s="163" t="str">
        <f>IF(tbTransactions[[#This Row],[Sub-Type]]="Transfer","Neutral",IF(tbTransactions[[#This Row],[Qty]]&lt;0,"Debit",IF(tbTransactions[[#This Row],[Qty]]&gt;0,"Credit","Neutral")))</f>
        <v>Debit</v>
      </c>
      <c r="L322" s="163" t="s">
        <v>12</v>
      </c>
      <c r="M322" s="171" t="s">
        <v>473</v>
      </c>
    </row>
    <row r="323" spans="3:13" ht="30" customHeight="1" x14ac:dyDescent="0.25">
      <c r="C323" s="175">
        <v>321</v>
      </c>
      <c r="D323" s="163">
        <v>44414</v>
      </c>
      <c r="E323" s="171">
        <v>-1E-3</v>
      </c>
      <c r="F323" s="171">
        <v>3672</v>
      </c>
      <c r="G323" s="172">
        <v>1</v>
      </c>
      <c r="H323" s="171">
        <f>tbTransactions[[#This Row],[Qty]]*tbTransactions[[#This Row],[Unit Cost]]*tbTransactions[[#This Row],[Exchange Rate]]</f>
        <v>-3.6720000000000002</v>
      </c>
      <c r="I323" s="148" t="s">
        <v>759</v>
      </c>
      <c r="J323" s="176" t="s">
        <v>22</v>
      </c>
      <c r="K323" s="163" t="str">
        <f>IF(tbTransactions[[#This Row],[Sub-Type]]="Transfer","Neutral",IF(tbTransactions[[#This Row],[Qty]]&lt;0,"Debit",IF(tbTransactions[[#This Row],[Qty]]&gt;0,"Credit","Neutral")))</f>
        <v>Debit</v>
      </c>
      <c r="L323" s="163" t="s">
        <v>12</v>
      </c>
      <c r="M323" s="171" t="s">
        <v>473</v>
      </c>
    </row>
    <row r="324" spans="3:13" ht="30" customHeight="1" x14ac:dyDescent="0.25">
      <c r="C324" s="175">
        <v>322</v>
      </c>
      <c r="D324" s="163">
        <v>44414</v>
      </c>
      <c r="E324" s="171">
        <v>-2</v>
      </c>
      <c r="F324" s="171">
        <v>14694.855</v>
      </c>
      <c r="G324" s="172">
        <v>1</v>
      </c>
      <c r="H324" s="171">
        <f>tbTransactions[[#This Row],[Qty]]*tbTransactions[[#This Row],[Unit Cost]]*tbTransactions[[#This Row],[Exchange Rate]]</f>
        <v>-29389.71</v>
      </c>
      <c r="I324" s="177" t="s">
        <v>434</v>
      </c>
      <c r="J324" s="176" t="s">
        <v>433</v>
      </c>
      <c r="K324" s="163" t="str">
        <f>IF(tbTransactions[[#This Row],[Sub-Type]]="Transfer","Neutral",IF(tbTransactions[[#This Row],[Qty]]&lt;0,"Debit",IF(tbTransactions[[#This Row],[Qty]]&gt;0,"Credit","Neutral")))</f>
        <v>Debit</v>
      </c>
      <c r="L324" s="163" t="s">
        <v>526</v>
      </c>
      <c r="M324" s="171" t="s">
        <v>474</v>
      </c>
    </row>
    <row r="325" spans="3:13" ht="30" customHeight="1" x14ac:dyDescent="0.25">
      <c r="C325" s="175">
        <v>323</v>
      </c>
      <c r="D325" s="163">
        <v>44414</v>
      </c>
      <c r="E325" s="171">
        <v>8.98</v>
      </c>
      <c r="F325" s="171">
        <v>3672</v>
      </c>
      <c r="G325" s="172">
        <v>1</v>
      </c>
      <c r="H325" s="171">
        <f>tbTransactions[[#This Row],[Qty]]*tbTransactions[[#This Row],[Unit Cost]]*tbTransactions[[#This Row],[Exchange Rate]]</f>
        <v>32974.560000000005</v>
      </c>
      <c r="I325" s="148" t="s">
        <v>759</v>
      </c>
      <c r="J325" s="176" t="s">
        <v>22</v>
      </c>
      <c r="K325" s="163" t="str">
        <f>IF(tbTransactions[[#This Row],[Sub-Type]]="Transfer","Neutral",IF(tbTransactions[[#This Row],[Qty]]&lt;0,"Debit",IF(tbTransactions[[#This Row],[Qty]]&gt;0,"Credit","Neutral")))</f>
        <v>Credit</v>
      </c>
      <c r="L325" s="163" t="s">
        <v>520</v>
      </c>
      <c r="M325" s="171" t="s">
        <v>474</v>
      </c>
    </row>
    <row r="326" spans="3:13" ht="30" customHeight="1" x14ac:dyDescent="0.25">
      <c r="C326" s="175">
        <v>324</v>
      </c>
      <c r="D326" s="163">
        <v>44414</v>
      </c>
      <c r="E326" s="171">
        <v>-1.8800000000000001E-2</v>
      </c>
      <c r="F326" s="171">
        <v>3672</v>
      </c>
      <c r="G326" s="172">
        <v>1</v>
      </c>
      <c r="H326" s="171">
        <f>tbTransactions[[#This Row],[Qty]]*tbTransactions[[#This Row],[Unit Cost]]*tbTransactions[[#This Row],[Exchange Rate]]</f>
        <v>-69.033600000000007</v>
      </c>
      <c r="I326" s="148" t="s">
        <v>759</v>
      </c>
      <c r="J326" s="176" t="s">
        <v>22</v>
      </c>
      <c r="K326" s="163" t="str">
        <f>IF(tbTransactions[[#This Row],[Sub-Type]]="Transfer","Neutral",IF(tbTransactions[[#This Row],[Qty]]&lt;0,"Debit",IF(tbTransactions[[#This Row],[Qty]]&gt;0,"Credit","Neutral")))</f>
        <v>Debit</v>
      </c>
      <c r="L326" s="163" t="s">
        <v>12</v>
      </c>
      <c r="M326" s="171" t="s">
        <v>474</v>
      </c>
    </row>
    <row r="327" spans="3:13" ht="30" customHeight="1" x14ac:dyDescent="0.25">
      <c r="C327" s="175">
        <v>325</v>
      </c>
      <c r="D327" s="163">
        <v>44414</v>
      </c>
      <c r="E327" s="171">
        <v>2.61727564E-2</v>
      </c>
      <c r="F327" s="171">
        <v>0</v>
      </c>
      <c r="G327" s="172">
        <v>1</v>
      </c>
      <c r="H327" s="171">
        <f>tbTransactions[[#This Row],[Qty]]*tbTransactions[[#This Row],[Unit Cost]]*tbTransactions[[#This Row],[Exchange Rate]]</f>
        <v>0</v>
      </c>
      <c r="I327" s="148" t="s">
        <v>511</v>
      </c>
      <c r="J327" s="176" t="s">
        <v>20</v>
      </c>
      <c r="K327" s="163" t="str">
        <f>IF(tbTransactions[[#This Row],[Sub-Type]]="Transfer","Neutral",IF(tbTransactions[[#This Row],[Qty]]&lt;0,"Debit",IF(tbTransactions[[#This Row],[Qty]]&gt;0,"Credit","Neutral")))</f>
        <v>Credit</v>
      </c>
      <c r="L327" s="163" t="s">
        <v>518</v>
      </c>
      <c r="M327" s="171" t="s">
        <v>465</v>
      </c>
    </row>
    <row r="328" spans="3:13" ht="30" customHeight="1" x14ac:dyDescent="0.25">
      <c r="C328" s="175">
        <v>326</v>
      </c>
      <c r="D328" s="163">
        <v>44415</v>
      </c>
      <c r="E328" s="171">
        <v>0.93457944000000004</v>
      </c>
      <c r="F328" s="171">
        <v>0</v>
      </c>
      <c r="G328" s="172">
        <v>1</v>
      </c>
      <c r="H328" s="171">
        <f>tbTransactions[[#This Row],[Qty]]*tbTransactions[[#This Row],[Unit Cost]]*tbTransactions[[#This Row],[Exchange Rate]]</f>
        <v>0</v>
      </c>
      <c r="I328" s="148" t="s">
        <v>422</v>
      </c>
      <c r="J328" s="176" t="s">
        <v>478</v>
      </c>
      <c r="K328" s="163" t="str">
        <f>IF(tbTransactions[[#This Row],[Sub-Type]]="Transfer","Neutral",IF(tbTransactions[[#This Row],[Qty]]&lt;0,"Debit",IF(tbTransactions[[#This Row],[Qty]]&gt;0,"Credit","Neutral")))</f>
        <v>Credit</v>
      </c>
      <c r="L328" s="163" t="s">
        <v>516</v>
      </c>
      <c r="M328" s="171" t="s">
        <v>477</v>
      </c>
    </row>
    <row r="329" spans="3:13" ht="30" customHeight="1" x14ac:dyDescent="0.25">
      <c r="C329" s="175">
        <v>327</v>
      </c>
      <c r="D329" s="163">
        <v>44415</v>
      </c>
      <c r="E329" s="171">
        <v>0.93457944000000004</v>
      </c>
      <c r="F329" s="171">
        <v>0</v>
      </c>
      <c r="G329" s="172">
        <v>1</v>
      </c>
      <c r="H329" s="171">
        <f>tbTransactions[[#This Row],[Qty]]*tbTransactions[[#This Row],[Unit Cost]]*tbTransactions[[#This Row],[Exchange Rate]]</f>
        <v>0</v>
      </c>
      <c r="I329" s="148" t="s">
        <v>422</v>
      </c>
      <c r="J329" s="176" t="s">
        <v>478</v>
      </c>
      <c r="K329" s="163" t="str">
        <f>IF(tbTransactions[[#This Row],[Sub-Type]]="Transfer","Neutral",IF(tbTransactions[[#This Row],[Qty]]&lt;0,"Debit",IF(tbTransactions[[#This Row],[Qty]]&gt;0,"Credit","Neutral")))</f>
        <v>Credit</v>
      </c>
      <c r="L329" s="163" t="s">
        <v>516</v>
      </c>
      <c r="M329" s="171" t="s">
        <v>477</v>
      </c>
    </row>
    <row r="330" spans="3:13" ht="30" customHeight="1" x14ac:dyDescent="0.25">
      <c r="C330" s="175">
        <v>328</v>
      </c>
      <c r="D330" s="163">
        <v>44415</v>
      </c>
      <c r="E330" s="171">
        <v>0.92592593000000001</v>
      </c>
      <c r="F330" s="171">
        <v>0</v>
      </c>
      <c r="G330" s="172">
        <v>1</v>
      </c>
      <c r="H330" s="171">
        <f>tbTransactions[[#This Row],[Qty]]*tbTransactions[[#This Row],[Unit Cost]]*tbTransactions[[#This Row],[Exchange Rate]]</f>
        <v>0</v>
      </c>
      <c r="I330" s="148" t="s">
        <v>422</v>
      </c>
      <c r="J330" s="176" t="s">
        <v>478</v>
      </c>
      <c r="K330" s="163" t="str">
        <f>IF(tbTransactions[[#This Row],[Sub-Type]]="Transfer","Neutral",IF(tbTransactions[[#This Row],[Qty]]&lt;0,"Debit",IF(tbTransactions[[#This Row],[Qty]]&gt;0,"Credit","Neutral")))</f>
        <v>Credit</v>
      </c>
      <c r="L330" s="163" t="s">
        <v>516</v>
      </c>
      <c r="M330" s="171" t="s">
        <v>477</v>
      </c>
    </row>
    <row r="331" spans="3:13" ht="30" customHeight="1" x14ac:dyDescent="0.25">
      <c r="C331" s="175">
        <v>329</v>
      </c>
      <c r="D331" s="163">
        <v>44415</v>
      </c>
      <c r="E331" s="171">
        <v>3.2769403799999999E-2</v>
      </c>
      <c r="F331" s="171">
        <v>0</v>
      </c>
      <c r="G331" s="172">
        <v>1</v>
      </c>
      <c r="H331" s="171">
        <f>tbTransactions[[#This Row],[Qty]]*tbTransactions[[#This Row],[Unit Cost]]*tbTransactions[[#This Row],[Exchange Rate]]</f>
        <v>0</v>
      </c>
      <c r="I331" s="148" t="s">
        <v>511</v>
      </c>
      <c r="J331" s="176" t="s">
        <v>20</v>
      </c>
      <c r="K331" s="163" t="str">
        <f>IF(tbTransactions[[#This Row],[Sub-Type]]="Transfer","Neutral",IF(tbTransactions[[#This Row],[Qty]]&lt;0,"Debit",IF(tbTransactions[[#This Row],[Qty]]&gt;0,"Credit","Neutral")))</f>
        <v>Credit</v>
      </c>
      <c r="L331" s="163" t="s">
        <v>518</v>
      </c>
      <c r="M331" s="171" t="s">
        <v>465</v>
      </c>
    </row>
    <row r="332" spans="3:13" ht="30" customHeight="1" x14ac:dyDescent="0.25">
      <c r="C332" s="175">
        <v>330</v>
      </c>
      <c r="D332" s="163">
        <v>44416</v>
      </c>
      <c r="E332" s="171">
        <v>2.9544800000000002</v>
      </c>
      <c r="F332" s="171">
        <v>0</v>
      </c>
      <c r="G332" s="172">
        <v>1</v>
      </c>
      <c r="H332" s="171">
        <f>tbTransactions[[#This Row],[Qty]]*tbTransactions[[#This Row],[Unit Cost]]*tbTransactions[[#This Row],[Exchange Rate]]</f>
        <v>0</v>
      </c>
      <c r="I332" s="148" t="s">
        <v>507</v>
      </c>
      <c r="J332" s="176" t="s">
        <v>17</v>
      </c>
      <c r="K332" s="163" t="str">
        <f>IF(tbTransactions[[#This Row],[Sub-Type]]="Transfer","Neutral",IF(tbTransactions[[#This Row],[Qty]]&lt;0,"Debit",IF(tbTransactions[[#This Row],[Qty]]&gt;0,"Credit","Neutral")))</f>
        <v>Credit</v>
      </c>
      <c r="L332" s="163" t="s">
        <v>518</v>
      </c>
      <c r="M332" s="171" t="s">
        <v>427</v>
      </c>
    </row>
    <row r="333" spans="3:13" ht="30" customHeight="1" x14ac:dyDescent="0.25">
      <c r="C333" s="175">
        <v>331</v>
      </c>
      <c r="D333" s="163">
        <v>44416</v>
      </c>
      <c r="E333" s="171">
        <v>0.158499</v>
      </c>
      <c r="F333" s="171">
        <v>0</v>
      </c>
      <c r="G333" s="172">
        <v>1</v>
      </c>
      <c r="H333" s="171">
        <f>tbTransactions[[#This Row],[Qty]]*tbTransactions[[#This Row],[Unit Cost]]*tbTransactions[[#This Row],[Exchange Rate]]</f>
        <v>0</v>
      </c>
      <c r="I333" s="148" t="s">
        <v>431</v>
      </c>
      <c r="J333" s="176" t="s">
        <v>18</v>
      </c>
      <c r="K333" s="163" t="str">
        <f>IF(tbTransactions[[#This Row],[Sub-Type]]="Transfer","Neutral",IF(tbTransactions[[#This Row],[Qty]]&lt;0,"Debit",IF(tbTransactions[[#This Row],[Qty]]&gt;0,"Credit","Neutral")))</f>
        <v>Credit</v>
      </c>
      <c r="L333" s="163" t="s">
        <v>518</v>
      </c>
      <c r="M333" s="171" t="s">
        <v>40</v>
      </c>
    </row>
    <row r="334" spans="3:13" ht="30" customHeight="1" x14ac:dyDescent="0.25">
      <c r="C334" s="175">
        <v>332</v>
      </c>
      <c r="D334" s="163">
        <v>44416</v>
      </c>
      <c r="E334" s="171">
        <v>2.8559687100000002E-2</v>
      </c>
      <c r="F334" s="171">
        <v>0</v>
      </c>
      <c r="G334" s="172">
        <v>1</v>
      </c>
      <c r="H334" s="171">
        <f>tbTransactions[[#This Row],[Qty]]*tbTransactions[[#This Row],[Unit Cost]]*tbTransactions[[#This Row],[Exchange Rate]]</f>
        <v>0</v>
      </c>
      <c r="I334" s="148" t="s">
        <v>511</v>
      </c>
      <c r="J334" s="176" t="s">
        <v>20</v>
      </c>
      <c r="K334" s="163" t="str">
        <f>IF(tbTransactions[[#This Row],[Sub-Type]]="Transfer","Neutral",IF(tbTransactions[[#This Row],[Qty]]&lt;0,"Debit",IF(tbTransactions[[#This Row],[Qty]]&gt;0,"Credit","Neutral")))</f>
        <v>Credit</v>
      </c>
      <c r="L334" s="163" t="s">
        <v>518</v>
      </c>
      <c r="M334" s="171" t="s">
        <v>465</v>
      </c>
    </row>
    <row r="335" spans="3:13" ht="30" customHeight="1" x14ac:dyDescent="0.25">
      <c r="C335" s="175">
        <v>333</v>
      </c>
      <c r="D335" s="163">
        <v>44417</v>
      </c>
      <c r="E335" s="171">
        <v>3244.2930000000001</v>
      </c>
      <c r="F335" s="171">
        <v>7.7179999999999999E-2</v>
      </c>
      <c r="G335" s="172">
        <v>1</v>
      </c>
      <c r="H335" s="171">
        <f>tbTransactions[[#This Row],[Qty]]*tbTransactions[[#This Row],[Unit Cost]]*tbTransactions[[#This Row],[Exchange Rate]]</f>
        <v>250.39453374000001</v>
      </c>
      <c r="I335" s="148" t="s">
        <v>759</v>
      </c>
      <c r="J335" s="176" t="s">
        <v>440</v>
      </c>
      <c r="K335" s="163" t="str">
        <f>IF(tbTransactions[[#This Row],[Sub-Type]]="Transfer","Neutral",IF(tbTransactions[[#This Row],[Qty]]&lt;0,"Debit",IF(tbTransactions[[#This Row],[Qty]]&gt;0,"Credit","Neutral")))</f>
        <v>Neutral</v>
      </c>
      <c r="L335" s="163" t="s">
        <v>32</v>
      </c>
      <c r="M335" s="171" t="s">
        <v>492</v>
      </c>
    </row>
    <row r="336" spans="3:13" ht="30" customHeight="1" x14ac:dyDescent="0.25">
      <c r="C336" s="175">
        <v>334</v>
      </c>
      <c r="D336" s="163">
        <v>44417</v>
      </c>
      <c r="E336" s="171">
        <v>60.518765020000046</v>
      </c>
      <c r="F336" s="171">
        <v>7.7179999999999999E-2</v>
      </c>
      <c r="G336" s="172">
        <v>1</v>
      </c>
      <c r="H336" s="171">
        <f>tbTransactions[[#This Row],[Qty]]*tbTransactions[[#This Row],[Unit Cost]]*tbTransactions[[#This Row],[Exchange Rate]]</f>
        <v>4.6708382842436036</v>
      </c>
      <c r="I336" s="148" t="s">
        <v>422</v>
      </c>
      <c r="J336" s="176" t="s">
        <v>440</v>
      </c>
      <c r="K336" s="163" t="str">
        <f>IF(tbTransactions[[#This Row],[Sub-Type]]="Transfer","Neutral",IF(tbTransactions[[#This Row],[Qty]]&lt;0,"Debit",IF(tbTransactions[[#This Row],[Qty]]&gt;0,"Credit","Neutral")))</f>
        <v>Credit</v>
      </c>
      <c r="L336" s="163" t="s">
        <v>12</v>
      </c>
      <c r="M336" s="171" t="s">
        <v>492</v>
      </c>
    </row>
    <row r="337" spans="3:13" ht="30" customHeight="1" x14ac:dyDescent="0.25">
      <c r="C337" s="175">
        <v>335</v>
      </c>
      <c r="D337" s="163">
        <v>44417</v>
      </c>
      <c r="E337" s="171">
        <v>-3304.8117650200002</v>
      </c>
      <c r="F337" s="171">
        <v>7.7179999999999999E-2</v>
      </c>
      <c r="G337" s="172">
        <v>1</v>
      </c>
      <c r="H337" s="171">
        <f>tbTransactions[[#This Row],[Qty]]*tbTransactions[[#This Row],[Unit Cost]]*tbTransactions[[#This Row],[Exchange Rate]]</f>
        <v>-255.0653720242436</v>
      </c>
      <c r="I337" s="148" t="s">
        <v>422</v>
      </c>
      <c r="J337" s="176" t="s">
        <v>440</v>
      </c>
      <c r="K337" s="163" t="str">
        <f>IF(tbTransactions[[#This Row],[Sub-Type]]="Transfer","Neutral",IF(tbTransactions[[#This Row],[Qty]]&lt;0,"Debit",IF(tbTransactions[[#This Row],[Qty]]&gt;0,"Credit","Neutral")))</f>
        <v>Neutral</v>
      </c>
      <c r="L337" s="163" t="s">
        <v>32</v>
      </c>
      <c r="M337" s="171" t="s">
        <v>492</v>
      </c>
    </row>
    <row r="338" spans="3:13" ht="30" customHeight="1" x14ac:dyDescent="0.25">
      <c r="C338" s="175">
        <v>336</v>
      </c>
      <c r="D338" s="163">
        <v>44417</v>
      </c>
      <c r="E338" s="171">
        <v>-200.34896914000001</v>
      </c>
      <c r="F338" s="171">
        <v>1.44</v>
      </c>
      <c r="G338" s="172">
        <v>1</v>
      </c>
      <c r="H338" s="171">
        <f>tbTransactions[[#This Row],[Qty]]*tbTransactions[[#This Row],[Unit Cost]]*tbTransactions[[#This Row],[Exchange Rate]]</f>
        <v>-288.50251556159998</v>
      </c>
      <c r="I338" s="148" t="s">
        <v>422</v>
      </c>
      <c r="J338" s="176" t="s">
        <v>423</v>
      </c>
      <c r="K338" s="163" t="str">
        <f>IF(tbTransactions[[#This Row],[Sub-Type]]="Transfer","Neutral",IF(tbTransactions[[#This Row],[Qty]]&lt;0,"Debit",IF(tbTransactions[[#This Row],[Qty]]&gt;0,"Credit","Neutral")))</f>
        <v>Neutral</v>
      </c>
      <c r="L338" s="163" t="s">
        <v>32</v>
      </c>
      <c r="M338" s="171" t="s">
        <v>493</v>
      </c>
    </row>
    <row r="339" spans="3:13" ht="30" customHeight="1" x14ac:dyDescent="0.25">
      <c r="C339" s="175">
        <v>337</v>
      </c>
      <c r="D339" s="163">
        <v>44417</v>
      </c>
      <c r="E339" s="171">
        <v>-4.4167199300000002</v>
      </c>
      <c r="F339" s="171">
        <v>1.44</v>
      </c>
      <c r="G339" s="172">
        <v>1</v>
      </c>
      <c r="H339" s="171">
        <f>tbTransactions[[#This Row],[Qty]]*tbTransactions[[#This Row],[Unit Cost]]*tbTransactions[[#This Row],[Exchange Rate]]</f>
        <v>-6.3600766992000004</v>
      </c>
      <c r="I339" s="148" t="s">
        <v>422</v>
      </c>
      <c r="J339" s="176" t="s">
        <v>423</v>
      </c>
      <c r="K339" s="163" t="str">
        <f>IF(tbTransactions[[#This Row],[Sub-Type]]="Transfer","Neutral",IF(tbTransactions[[#This Row],[Qty]]&lt;0,"Debit",IF(tbTransactions[[#This Row],[Qty]]&gt;0,"Credit","Neutral")))</f>
        <v>Debit</v>
      </c>
      <c r="L339" s="163" t="s">
        <v>12</v>
      </c>
      <c r="M339" s="171" t="s">
        <v>493</v>
      </c>
    </row>
    <row r="340" spans="3:13" ht="30" customHeight="1" x14ac:dyDescent="0.25">
      <c r="C340" s="175">
        <v>338</v>
      </c>
      <c r="D340" s="163">
        <v>44417</v>
      </c>
      <c r="E340" s="171">
        <v>195.93224921000001</v>
      </c>
      <c r="F340" s="171">
        <v>1.44</v>
      </c>
      <c r="G340" s="172">
        <v>1</v>
      </c>
      <c r="H340" s="171">
        <f>tbTransactions[[#This Row],[Qty]]*tbTransactions[[#This Row],[Unit Cost]]*tbTransactions[[#This Row],[Exchange Rate]]</f>
        <v>282.14243886240001</v>
      </c>
      <c r="I340" s="148" t="s">
        <v>759</v>
      </c>
      <c r="J340" s="176" t="s">
        <v>423</v>
      </c>
      <c r="K340" s="163" t="str">
        <f>IF(tbTransactions[[#This Row],[Sub-Type]]="Transfer","Neutral",IF(tbTransactions[[#This Row],[Qty]]&lt;0,"Debit",IF(tbTransactions[[#This Row],[Qty]]&gt;0,"Credit","Neutral")))</f>
        <v>Neutral</v>
      </c>
      <c r="L340" s="163" t="s">
        <v>32</v>
      </c>
      <c r="M340" s="171" t="s">
        <v>493</v>
      </c>
    </row>
    <row r="341" spans="3:13" ht="30" customHeight="1" x14ac:dyDescent="0.25">
      <c r="C341" s="175">
        <v>339</v>
      </c>
      <c r="D341" s="163">
        <v>44417</v>
      </c>
      <c r="E341" s="171">
        <v>2335.5264084700002</v>
      </c>
      <c r="F341" s="171">
        <v>1.25</v>
      </c>
      <c r="G341" s="172">
        <v>1</v>
      </c>
      <c r="H341" s="171">
        <f>tbTransactions[[#This Row],[Qty]]*tbTransactions[[#This Row],[Unit Cost]]*tbTransactions[[#This Row],[Exchange Rate]]</f>
        <v>2919.4080105875</v>
      </c>
      <c r="I341" s="148" t="s">
        <v>504</v>
      </c>
      <c r="J341" s="176" t="s">
        <v>496</v>
      </c>
      <c r="K341" s="163" t="str">
        <f>IF(tbTransactions[[#This Row],[Sub-Type]]="Transfer","Neutral",IF(tbTransactions[[#This Row],[Qty]]&lt;0,"Debit",IF(tbTransactions[[#This Row],[Qty]]&gt;0,"Credit","Neutral")))</f>
        <v>Credit</v>
      </c>
      <c r="L341" s="163" t="s">
        <v>505</v>
      </c>
      <c r="M341" s="171" t="s">
        <v>494</v>
      </c>
    </row>
    <row r="342" spans="3:13" ht="30" customHeight="1" x14ac:dyDescent="0.25">
      <c r="C342" s="175">
        <v>340</v>
      </c>
      <c r="D342" s="163">
        <v>44417</v>
      </c>
      <c r="E342" s="171">
        <v>-3007.22</v>
      </c>
      <c r="F342" s="171">
        <v>1.25</v>
      </c>
      <c r="G342" s="172">
        <v>1</v>
      </c>
      <c r="H342" s="171">
        <f>tbTransactions[[#This Row],[Qty]]*tbTransactions[[#This Row],[Unit Cost]]*tbTransactions[[#This Row],[Exchange Rate]]</f>
        <v>-3759.0249999999996</v>
      </c>
      <c r="I342" s="148" t="s">
        <v>504</v>
      </c>
      <c r="J342" s="176" t="s">
        <v>411</v>
      </c>
      <c r="K342" s="163" t="str">
        <f>IF(tbTransactions[[#This Row],[Sub-Type]]="Transfer","Neutral",IF(tbTransactions[[#This Row],[Qty]]&lt;0,"Debit",IF(tbTransactions[[#This Row],[Qty]]&gt;0,"Credit","Neutral")))</f>
        <v>Debit</v>
      </c>
      <c r="L342" s="163" t="s">
        <v>501</v>
      </c>
      <c r="M342" s="171" t="s">
        <v>494</v>
      </c>
    </row>
    <row r="343" spans="3:13" ht="30" customHeight="1" x14ac:dyDescent="0.25">
      <c r="C343" s="175">
        <v>341</v>
      </c>
      <c r="D343" s="163">
        <v>44417</v>
      </c>
      <c r="E343" s="171">
        <v>-4.6710528199999999</v>
      </c>
      <c r="F343" s="171">
        <v>1.25</v>
      </c>
      <c r="G343" s="172">
        <v>1</v>
      </c>
      <c r="H343" s="171">
        <f>tbTransactions[[#This Row],[Qty]]*tbTransactions[[#This Row],[Unit Cost]]*tbTransactions[[#This Row],[Exchange Rate]]</f>
        <v>-5.8388160249999999</v>
      </c>
      <c r="I343" s="148" t="s">
        <v>504</v>
      </c>
      <c r="J343" s="176" t="s">
        <v>496</v>
      </c>
      <c r="K343" s="163" t="str">
        <f>IF(tbTransactions[[#This Row],[Sub-Type]]="Transfer","Neutral",IF(tbTransactions[[#This Row],[Qty]]&lt;0,"Debit",IF(tbTransactions[[#This Row],[Qty]]&gt;0,"Credit","Neutral")))</f>
        <v>Debit</v>
      </c>
      <c r="L343" s="163" t="s">
        <v>12</v>
      </c>
      <c r="M343" s="171" t="s">
        <v>494</v>
      </c>
    </row>
    <row r="344" spans="3:13" ht="30" customHeight="1" x14ac:dyDescent="0.25">
      <c r="C344" s="175">
        <v>342</v>
      </c>
      <c r="D344" s="163">
        <v>44417</v>
      </c>
      <c r="E344" s="171">
        <v>-15</v>
      </c>
      <c r="F344" s="171">
        <v>1.25</v>
      </c>
      <c r="G344" s="172">
        <v>1</v>
      </c>
      <c r="H344" s="171">
        <f>tbTransactions[[#This Row],[Qty]]*tbTransactions[[#This Row],[Unit Cost]]*tbTransactions[[#This Row],[Exchange Rate]]</f>
        <v>-18.75</v>
      </c>
      <c r="I344" s="148" t="s">
        <v>504</v>
      </c>
      <c r="J344" s="176" t="s">
        <v>496</v>
      </c>
      <c r="K344" s="163" t="str">
        <f>IF(tbTransactions[[#This Row],[Sub-Type]]="Transfer","Neutral",IF(tbTransactions[[#This Row],[Qty]]&lt;0,"Debit",IF(tbTransactions[[#This Row],[Qty]]&gt;0,"Credit","Neutral")))</f>
        <v>Debit</v>
      </c>
      <c r="L344" s="163" t="s">
        <v>12</v>
      </c>
      <c r="M344" s="171" t="s">
        <v>495</v>
      </c>
    </row>
    <row r="345" spans="3:13" ht="30" customHeight="1" x14ac:dyDescent="0.25">
      <c r="C345" s="175">
        <v>343</v>
      </c>
      <c r="D345" s="163">
        <v>44417</v>
      </c>
      <c r="E345" s="171">
        <v>-2335.5264084700002</v>
      </c>
      <c r="F345" s="171">
        <v>1.25</v>
      </c>
      <c r="G345" s="172">
        <v>1</v>
      </c>
      <c r="H345" s="171">
        <f>tbTransactions[[#This Row],[Qty]]*tbTransactions[[#This Row],[Unit Cost]]*tbTransactions[[#This Row],[Exchange Rate]]</f>
        <v>-2919.4080105875</v>
      </c>
      <c r="I345" s="148" t="s">
        <v>504</v>
      </c>
      <c r="J345" s="176" t="s">
        <v>496</v>
      </c>
      <c r="K345" s="163" t="str">
        <f>IF(tbTransactions[[#This Row],[Sub-Type]]="Transfer","Neutral",IF(tbTransactions[[#This Row],[Qty]]&lt;0,"Debit",IF(tbTransactions[[#This Row],[Qty]]&gt;0,"Credit","Neutral")))</f>
        <v>Neutral</v>
      </c>
      <c r="L345" s="163" t="s">
        <v>32</v>
      </c>
      <c r="M345" s="171" t="s">
        <v>495</v>
      </c>
    </row>
    <row r="346" spans="3:13" ht="30" customHeight="1" x14ac:dyDescent="0.25">
      <c r="C346" s="175">
        <v>344</v>
      </c>
      <c r="D346" s="163">
        <v>44417</v>
      </c>
      <c r="E346" s="171">
        <v>2320.5264084700002</v>
      </c>
      <c r="F346" s="171">
        <v>1.25</v>
      </c>
      <c r="G346" s="172">
        <v>1</v>
      </c>
      <c r="H346" s="171">
        <f>tbTransactions[[#This Row],[Qty]]*tbTransactions[[#This Row],[Unit Cost]]*tbTransactions[[#This Row],[Exchange Rate]]</f>
        <v>2900.6580105875</v>
      </c>
      <c r="I346" s="148" t="s">
        <v>759</v>
      </c>
      <c r="J346" s="176" t="s">
        <v>496</v>
      </c>
      <c r="K346" s="163" t="str">
        <f>IF(tbTransactions[[#This Row],[Sub-Type]]="Transfer","Neutral",IF(tbTransactions[[#This Row],[Qty]]&lt;0,"Debit",IF(tbTransactions[[#This Row],[Qty]]&gt;0,"Credit","Neutral")))</f>
        <v>Neutral</v>
      </c>
      <c r="L346" s="163" t="s">
        <v>32</v>
      </c>
      <c r="M346" s="171" t="s">
        <v>495</v>
      </c>
    </row>
    <row r="347" spans="3:13" ht="30" customHeight="1" x14ac:dyDescent="0.25">
      <c r="C347" s="175">
        <v>345</v>
      </c>
      <c r="D347" s="163">
        <v>44417</v>
      </c>
      <c r="E347" s="171">
        <v>-4.6714084700001903</v>
      </c>
      <c r="F347" s="171">
        <v>1.25</v>
      </c>
      <c r="G347" s="172">
        <v>1</v>
      </c>
      <c r="H347" s="171">
        <f>tbTransactions[[#This Row],[Qty]]*tbTransactions[[#This Row],[Unit Cost]]*tbTransactions[[#This Row],[Exchange Rate]]</f>
        <v>-5.8392605875002381</v>
      </c>
      <c r="I347" s="148" t="s">
        <v>759</v>
      </c>
      <c r="J347" s="176" t="s">
        <v>496</v>
      </c>
      <c r="K347" s="163" t="str">
        <f>IF(tbTransactions[[#This Row],[Sub-Type]]="Transfer","Neutral",IF(tbTransactions[[#This Row],[Qty]]&lt;0,"Debit",IF(tbTransactions[[#This Row],[Qty]]&gt;0,"Credit","Neutral")))</f>
        <v>Debit</v>
      </c>
      <c r="L347" s="171" t="s">
        <v>29</v>
      </c>
      <c r="M347" s="171"/>
    </row>
    <row r="348" spans="3:13" ht="30" customHeight="1" x14ac:dyDescent="0.25">
      <c r="C348" s="175">
        <v>346</v>
      </c>
      <c r="D348" s="163">
        <v>44417</v>
      </c>
      <c r="E348" s="171">
        <v>3.0369996100000001E-2</v>
      </c>
      <c r="F348" s="171">
        <v>0</v>
      </c>
      <c r="G348" s="172">
        <v>1</v>
      </c>
      <c r="H348" s="171">
        <f>tbTransactions[[#This Row],[Qty]]*tbTransactions[[#This Row],[Unit Cost]]*tbTransactions[[#This Row],[Exchange Rate]]</f>
        <v>0</v>
      </c>
      <c r="I348" s="148" t="s">
        <v>511</v>
      </c>
      <c r="J348" s="176" t="s">
        <v>20</v>
      </c>
      <c r="K348" s="163" t="str">
        <f>IF(tbTransactions[[#This Row],[Sub-Type]]="Transfer","Neutral",IF(tbTransactions[[#This Row],[Qty]]&lt;0,"Debit",IF(tbTransactions[[#This Row],[Qty]]&gt;0,"Credit","Neutral")))</f>
        <v>Credit</v>
      </c>
      <c r="L348" s="163" t="s">
        <v>518</v>
      </c>
      <c r="M348" s="171" t="s">
        <v>465</v>
      </c>
    </row>
    <row r="349" spans="3:13" ht="30" customHeight="1" x14ac:dyDescent="0.25">
      <c r="C349" s="175">
        <v>347</v>
      </c>
      <c r="D349" s="163">
        <v>44417</v>
      </c>
      <c r="E349" s="171">
        <v>60.811765020000166</v>
      </c>
      <c r="F349" s="171">
        <v>7.7179999999999999E-2</v>
      </c>
      <c r="G349" s="172">
        <v>1</v>
      </c>
      <c r="H349" s="171">
        <f>tbTransactions[[#This Row],[Qty]]*tbTransactions[[#This Row],[Unit Cost]]*tbTransactions[[#This Row],[Exchange Rate]]</f>
        <v>4.6934520242436131</v>
      </c>
      <c r="I349" s="148" t="s">
        <v>422</v>
      </c>
      <c r="J349" s="176" t="s">
        <v>440</v>
      </c>
      <c r="K349" s="163" t="str">
        <f>IF(tbTransactions[[#This Row],[Sub-Type]]="Transfer","Neutral",IF(tbTransactions[[#This Row],[Qty]]&lt;0,"Debit",IF(tbTransactions[[#This Row],[Qty]]&gt;0,"Credit","Neutral")))</f>
        <v>Credit</v>
      </c>
      <c r="L349" s="163" t="s">
        <v>12</v>
      </c>
      <c r="M349" s="171" t="s">
        <v>513</v>
      </c>
    </row>
    <row r="350" spans="3:13" ht="30" customHeight="1" x14ac:dyDescent="0.25">
      <c r="C350" s="175">
        <v>348</v>
      </c>
      <c r="D350" s="163">
        <v>44417</v>
      </c>
      <c r="E350" s="171">
        <v>-3244</v>
      </c>
      <c r="F350" s="171">
        <v>1</v>
      </c>
      <c r="G350" s="172">
        <v>1</v>
      </c>
      <c r="H350" s="171">
        <f>tbTransactions[[#This Row],[Qty]]*tbTransactions[[#This Row],[Unit Cost]]*tbTransactions[[#This Row],[Exchange Rate]]</f>
        <v>-3244</v>
      </c>
      <c r="I350" s="148" t="s">
        <v>759</v>
      </c>
      <c r="J350" s="176" t="s">
        <v>440</v>
      </c>
      <c r="K350" s="163" t="str">
        <f>IF(tbTransactions[[#This Row],[Sub-Type]]="Transfer","Neutral",IF(tbTransactions[[#This Row],[Qty]]&lt;0,"Debit",IF(tbTransactions[[#This Row],[Qty]]&gt;0,"Credit","Neutral")))</f>
        <v>Neutral</v>
      </c>
      <c r="L350" s="163" t="s">
        <v>32</v>
      </c>
      <c r="M350" s="171" t="s">
        <v>532</v>
      </c>
    </row>
    <row r="351" spans="3:13" ht="30" customHeight="1" x14ac:dyDescent="0.25">
      <c r="C351" s="175">
        <v>349</v>
      </c>
      <c r="D351" s="163">
        <v>44417</v>
      </c>
      <c r="E351" s="171">
        <v>3244</v>
      </c>
      <c r="F351" s="171">
        <v>1</v>
      </c>
      <c r="G351" s="172">
        <v>1</v>
      </c>
      <c r="H351" s="171">
        <f>tbTransactions[[#This Row],[Qty]]*tbTransactions[[#This Row],[Unit Cost]]*tbTransactions[[#This Row],[Exchange Rate]]</f>
        <v>3244</v>
      </c>
      <c r="I351" s="148" t="s">
        <v>531</v>
      </c>
      <c r="J351" s="176" t="s">
        <v>440</v>
      </c>
      <c r="K351" s="163" t="str">
        <f>IF(tbTransactions[[#This Row],[Sub-Type]]="Transfer","Neutral",IF(tbTransactions[[#This Row],[Qty]]&lt;0,"Debit",IF(tbTransactions[[#This Row],[Qty]]&gt;0,"Credit","Neutral")))</f>
        <v>Neutral</v>
      </c>
      <c r="L351" s="163" t="s">
        <v>32</v>
      </c>
      <c r="M351" s="171" t="s">
        <v>532</v>
      </c>
    </row>
    <row r="352" spans="3:13" ht="30" customHeight="1" x14ac:dyDescent="0.25">
      <c r="C352" s="175">
        <v>350</v>
      </c>
      <c r="D352" s="163">
        <v>44418</v>
      </c>
      <c r="E352" s="171">
        <v>1.33922593</v>
      </c>
      <c r="F352" s="171">
        <v>0</v>
      </c>
      <c r="G352" s="172">
        <v>1</v>
      </c>
      <c r="H352" s="171">
        <f>tbTransactions[[#This Row],[Qty]]*tbTransactions[[#This Row],[Unit Cost]]*tbTransactions[[#This Row],[Exchange Rate]]</f>
        <v>0</v>
      </c>
      <c r="I352" s="148" t="s">
        <v>422</v>
      </c>
      <c r="J352" s="176" t="s">
        <v>425</v>
      </c>
      <c r="K352" s="163" t="str">
        <f>IF(tbTransactions[[#This Row],[Sub-Type]]="Transfer","Neutral",IF(tbTransactions[[#This Row],[Qty]]&lt;0,"Debit",IF(tbTransactions[[#This Row],[Qty]]&gt;0,"Credit","Neutral")))</f>
        <v>Credit</v>
      </c>
      <c r="L352" s="163" t="s">
        <v>516</v>
      </c>
      <c r="M352" s="171" t="s">
        <v>448</v>
      </c>
    </row>
    <row r="353" spans="3:13" ht="30" customHeight="1" x14ac:dyDescent="0.25">
      <c r="C353" s="175">
        <v>351</v>
      </c>
      <c r="D353" s="163">
        <v>44418</v>
      </c>
      <c r="E353" s="171">
        <v>4.17041155E-2</v>
      </c>
      <c r="F353" s="171">
        <v>0</v>
      </c>
      <c r="G353" s="172">
        <v>1</v>
      </c>
      <c r="H353" s="171">
        <f>tbTransactions[[#This Row],[Qty]]*tbTransactions[[#This Row],[Unit Cost]]*tbTransactions[[#This Row],[Exchange Rate]]</f>
        <v>0</v>
      </c>
      <c r="I353" s="148" t="s">
        <v>511</v>
      </c>
      <c r="J353" s="176" t="s">
        <v>20</v>
      </c>
      <c r="K353" s="163" t="str">
        <f>IF(tbTransactions[[#This Row],[Sub-Type]]="Transfer","Neutral",IF(tbTransactions[[#This Row],[Qty]]&lt;0,"Debit",IF(tbTransactions[[#This Row],[Qty]]&gt;0,"Credit","Neutral")))</f>
        <v>Credit</v>
      </c>
      <c r="L353" s="163" t="s">
        <v>518</v>
      </c>
      <c r="M353" s="171" t="s">
        <v>465</v>
      </c>
    </row>
    <row r="354" spans="3:13" ht="30" customHeight="1" x14ac:dyDescent="0.25">
      <c r="C354" s="175">
        <v>352</v>
      </c>
      <c r="D354" s="163">
        <v>44419</v>
      </c>
      <c r="E354" s="171">
        <v>3.4654755199999998E-2</v>
      </c>
      <c r="F354" s="171">
        <v>0</v>
      </c>
      <c r="G354" s="172">
        <v>1</v>
      </c>
      <c r="H354" s="171">
        <f>tbTransactions[[#This Row],[Qty]]*tbTransactions[[#This Row],[Unit Cost]]*tbTransactions[[#This Row],[Exchange Rate]]</f>
        <v>0</v>
      </c>
      <c r="I354" s="148" t="s">
        <v>511</v>
      </c>
      <c r="J354" s="176" t="s">
        <v>20</v>
      </c>
      <c r="K354" s="163" t="str">
        <f>IF(tbTransactions[[#This Row],[Sub-Type]]="Transfer","Neutral",IF(tbTransactions[[#This Row],[Qty]]&lt;0,"Debit",IF(tbTransactions[[#This Row],[Qty]]&gt;0,"Credit","Neutral")))</f>
        <v>Credit</v>
      </c>
      <c r="L354" s="163" t="s">
        <v>518</v>
      </c>
      <c r="M354" s="171" t="s">
        <v>465</v>
      </c>
    </row>
    <row r="355" spans="3:13" ht="30" customHeight="1" x14ac:dyDescent="0.25">
      <c r="C355" s="175">
        <v>353</v>
      </c>
      <c r="D355" s="163">
        <v>44420</v>
      </c>
      <c r="E355" s="171">
        <v>-3.2049999999999999E-3</v>
      </c>
      <c r="F355" s="171">
        <v>3903</v>
      </c>
      <c r="G355" s="172">
        <v>1</v>
      </c>
      <c r="H355" s="171">
        <f>tbTransactions[[#This Row],[Qty]]*tbTransactions[[#This Row],[Unit Cost]]*tbTransactions[[#This Row],[Exchange Rate]]</f>
        <v>-12.509115</v>
      </c>
      <c r="I355" s="148" t="s">
        <v>759</v>
      </c>
      <c r="J355" s="176" t="s">
        <v>22</v>
      </c>
      <c r="K355" s="163" t="str">
        <f>IF(tbTransactions[[#This Row],[Sub-Type]]="Transfer","Neutral",IF(tbTransactions[[#This Row],[Qty]]&lt;0,"Debit",IF(tbTransactions[[#This Row],[Qty]]&gt;0,"Credit","Neutral")))</f>
        <v>Debit</v>
      </c>
      <c r="L355" s="163" t="s">
        <v>12</v>
      </c>
      <c r="M355" s="171" t="s">
        <v>514</v>
      </c>
    </row>
    <row r="356" spans="3:13" ht="30" customHeight="1" x14ac:dyDescent="0.25">
      <c r="C356" s="175">
        <v>354</v>
      </c>
      <c r="D356" s="163">
        <v>44420</v>
      </c>
      <c r="E356" s="171">
        <v>2.63073079E-2</v>
      </c>
      <c r="F356" s="171">
        <v>0</v>
      </c>
      <c r="G356" s="172">
        <v>1</v>
      </c>
      <c r="H356" s="171">
        <f>tbTransactions[[#This Row],[Qty]]*tbTransactions[[#This Row],[Unit Cost]]*tbTransactions[[#This Row],[Exchange Rate]]</f>
        <v>0</v>
      </c>
      <c r="I356" s="148" t="s">
        <v>511</v>
      </c>
      <c r="J356" s="176" t="s">
        <v>20</v>
      </c>
      <c r="K356" s="163" t="str">
        <f>IF(tbTransactions[[#This Row],[Sub-Type]]="Transfer","Neutral",IF(tbTransactions[[#This Row],[Qty]]&lt;0,"Debit",IF(tbTransactions[[#This Row],[Qty]]&gt;0,"Credit","Neutral")))</f>
        <v>Credit</v>
      </c>
      <c r="L356" s="163" t="s">
        <v>518</v>
      </c>
      <c r="M356" s="171" t="s">
        <v>465</v>
      </c>
    </row>
    <row r="357" spans="3:13" ht="30" customHeight="1" x14ac:dyDescent="0.25">
      <c r="C357" s="175">
        <v>355</v>
      </c>
      <c r="D357" s="163">
        <v>44421</v>
      </c>
      <c r="E357" s="171">
        <v>-1.9780000000000002E-3</v>
      </c>
      <c r="F357" s="171">
        <v>4089</v>
      </c>
      <c r="G357" s="172">
        <v>1</v>
      </c>
      <c r="H357" s="171">
        <f>tbTransactions[[#This Row],[Qty]]*tbTransactions[[#This Row],[Unit Cost]]*tbTransactions[[#This Row],[Exchange Rate]]</f>
        <v>-8.0880420000000015</v>
      </c>
      <c r="I357" s="148" t="s">
        <v>759</v>
      </c>
      <c r="J357" s="176" t="s">
        <v>22</v>
      </c>
      <c r="K357" s="163" t="str">
        <f>IF(tbTransactions[[#This Row],[Sub-Type]]="Transfer","Neutral",IF(tbTransactions[[#This Row],[Qty]]&lt;0,"Debit",IF(tbTransactions[[#This Row],[Qty]]&gt;0,"Credit","Neutral")))</f>
        <v>Debit</v>
      </c>
      <c r="L357" s="163" t="s">
        <v>12</v>
      </c>
      <c r="M357" s="171" t="s">
        <v>515</v>
      </c>
    </row>
    <row r="358" spans="3:13" ht="30" customHeight="1" x14ac:dyDescent="0.25">
      <c r="C358" s="175">
        <v>356</v>
      </c>
      <c r="D358" s="163">
        <v>44421</v>
      </c>
      <c r="E358" s="171">
        <v>2.7571460000000001</v>
      </c>
      <c r="F358" s="171">
        <v>0</v>
      </c>
      <c r="G358" s="172">
        <v>1</v>
      </c>
      <c r="H358" s="171">
        <f>tbTransactions[[#This Row],[Qty]]*tbTransactions[[#This Row],[Unit Cost]]*tbTransactions[[#This Row],[Exchange Rate]]</f>
        <v>0</v>
      </c>
      <c r="I358" s="148" t="s">
        <v>507</v>
      </c>
      <c r="J358" s="176" t="s">
        <v>17</v>
      </c>
      <c r="K358" s="163" t="str">
        <f>IF(tbTransactions[[#This Row],[Sub-Type]]="Transfer","Neutral",IF(tbTransactions[[#This Row],[Qty]]&lt;0,"Debit",IF(tbTransactions[[#This Row],[Qty]]&gt;0,"Credit","Neutral")))</f>
        <v>Credit</v>
      </c>
      <c r="L358" s="163" t="s">
        <v>518</v>
      </c>
      <c r="M358" s="171" t="s">
        <v>427</v>
      </c>
    </row>
    <row r="359" spans="3:13" ht="30" customHeight="1" x14ac:dyDescent="0.25">
      <c r="C359" s="175">
        <v>357</v>
      </c>
      <c r="D359" s="163">
        <v>44421</v>
      </c>
      <c r="E359" s="171">
        <v>3.4326375399999998E-2</v>
      </c>
      <c r="F359" s="171">
        <v>0</v>
      </c>
      <c r="G359" s="172">
        <v>1</v>
      </c>
      <c r="H359" s="171">
        <f>tbTransactions[[#This Row],[Qty]]*tbTransactions[[#This Row],[Unit Cost]]*tbTransactions[[#This Row],[Exchange Rate]]</f>
        <v>0</v>
      </c>
      <c r="I359" s="148" t="s">
        <v>511</v>
      </c>
      <c r="J359" s="176" t="s">
        <v>20</v>
      </c>
      <c r="K359" s="163" t="str">
        <f>IF(tbTransactions[[#This Row],[Sub-Type]]="Transfer","Neutral",IF(tbTransactions[[#This Row],[Qty]]&lt;0,"Debit",IF(tbTransactions[[#This Row],[Qty]]&gt;0,"Credit","Neutral")))</f>
        <v>Credit</v>
      </c>
      <c r="L359" s="163" t="s">
        <v>518</v>
      </c>
      <c r="M359" s="171" t="s">
        <v>465</v>
      </c>
    </row>
    <row r="360" spans="3:13" ht="30" customHeight="1" x14ac:dyDescent="0.25">
      <c r="C360" s="175">
        <v>358</v>
      </c>
      <c r="D360" s="163">
        <v>44422</v>
      </c>
      <c r="E360" s="171">
        <v>-5.3749999999999996E-3</v>
      </c>
      <c r="F360" s="171">
        <v>4096</v>
      </c>
      <c r="G360" s="172">
        <v>1</v>
      </c>
      <c r="H360" s="171">
        <f>tbTransactions[[#This Row],[Qty]]*tbTransactions[[#This Row],[Unit Cost]]*tbTransactions[[#This Row],[Exchange Rate]]</f>
        <v>-22.015999999999998</v>
      </c>
      <c r="I360" s="148" t="s">
        <v>759</v>
      </c>
      <c r="J360" s="176" t="s">
        <v>22</v>
      </c>
      <c r="K360" s="163" t="str">
        <f>IF(tbTransactions[[#This Row],[Sub-Type]]="Transfer","Neutral",IF(tbTransactions[[#This Row],[Qty]]&lt;0,"Debit",IF(tbTransactions[[#This Row],[Qty]]&gt;0,"Credit","Neutral")))</f>
        <v>Debit</v>
      </c>
      <c r="L360" s="163" t="s">
        <v>12</v>
      </c>
      <c r="M360" s="171" t="s">
        <v>528</v>
      </c>
    </row>
    <row r="361" spans="3:13" ht="30" customHeight="1" x14ac:dyDescent="0.25">
      <c r="C361" s="175">
        <v>359</v>
      </c>
      <c r="D361" s="163">
        <v>44422</v>
      </c>
      <c r="E361" s="171">
        <f>(2293.37+23.158)-2296.18394718</f>
        <v>20.344052819999888</v>
      </c>
      <c r="F361" s="171">
        <v>1.25</v>
      </c>
      <c r="G361" s="172">
        <v>1</v>
      </c>
      <c r="H361" s="171">
        <f>tbTransactions[[#This Row],[Qty]]*tbTransactions[[#This Row],[Unit Cost]]*tbTransactions[[#This Row],[Exchange Rate]]</f>
        <v>25.43006602499986</v>
      </c>
      <c r="I361" s="148" t="s">
        <v>759</v>
      </c>
      <c r="J361" s="176" t="s">
        <v>496</v>
      </c>
      <c r="K361" s="163" t="str">
        <f>IF(tbTransactions[[#This Row],[Sub-Type]]="Transfer","Neutral",IF(tbTransactions[[#This Row],[Qty]]&lt;0,"Debit",IF(tbTransactions[[#This Row],[Qty]]&gt;0,"Credit","Neutral")))</f>
        <v>Credit</v>
      </c>
      <c r="L361" s="171" t="s">
        <v>29</v>
      </c>
      <c r="M361" s="171"/>
    </row>
    <row r="362" spans="3:13" ht="30" customHeight="1" x14ac:dyDescent="0.25">
      <c r="C362" s="175">
        <v>360</v>
      </c>
      <c r="D362" s="163">
        <v>44422</v>
      </c>
      <c r="E362" s="171">
        <v>3.4315275200000002E-2</v>
      </c>
      <c r="F362" s="171">
        <v>0</v>
      </c>
      <c r="G362" s="172">
        <v>1</v>
      </c>
      <c r="H362" s="171">
        <f>tbTransactions[[#This Row],[Qty]]*tbTransactions[[#This Row],[Unit Cost]]*tbTransactions[[#This Row],[Exchange Rate]]</f>
        <v>0</v>
      </c>
      <c r="I362" s="148" t="s">
        <v>511</v>
      </c>
      <c r="J362" s="176" t="s">
        <v>20</v>
      </c>
      <c r="K362" s="163" t="str">
        <f>IF(tbTransactions[[#This Row],[Sub-Type]]="Transfer","Neutral",IF(tbTransactions[[#This Row],[Qty]]&lt;0,"Debit",IF(tbTransactions[[#This Row],[Qty]]&gt;0,"Credit","Neutral")))</f>
        <v>Credit</v>
      </c>
      <c r="L362" s="163" t="s">
        <v>518</v>
      </c>
      <c r="M362" s="171" t="s">
        <v>465</v>
      </c>
    </row>
    <row r="363" spans="3:13" ht="30" customHeight="1" x14ac:dyDescent="0.25">
      <c r="C363" s="175">
        <v>361</v>
      </c>
      <c r="D363" s="163">
        <v>44422</v>
      </c>
      <c r="E363" s="171">
        <v>-2292.6999999999998</v>
      </c>
      <c r="F363" s="171">
        <v>1.25</v>
      </c>
      <c r="G363" s="172">
        <v>1</v>
      </c>
      <c r="H363" s="171">
        <f>tbTransactions[[#This Row],[Qty]]*tbTransactions[[#This Row],[Unit Cost]]*tbTransactions[[#This Row],[Exchange Rate]]</f>
        <v>-2865.875</v>
      </c>
      <c r="I363" s="148" t="s">
        <v>759</v>
      </c>
      <c r="J363" s="176" t="s">
        <v>496</v>
      </c>
      <c r="K363" s="163" t="str">
        <f>IF(tbTransactions[[#This Row],[Sub-Type]]="Transfer","Neutral",IF(tbTransactions[[#This Row],[Qty]]&lt;0,"Debit",IF(tbTransactions[[#This Row],[Qty]]&gt;0,"Credit","Neutral")))</f>
        <v>Neutral</v>
      </c>
      <c r="L363" s="163" t="s">
        <v>32</v>
      </c>
      <c r="M363" s="171" t="s">
        <v>539</v>
      </c>
    </row>
    <row r="364" spans="3:13" ht="30" customHeight="1" x14ac:dyDescent="0.25">
      <c r="C364" s="175">
        <v>362</v>
      </c>
      <c r="D364" s="163">
        <v>44422</v>
      </c>
      <c r="E364" s="171">
        <v>2292.6999999999998</v>
      </c>
      <c r="F364" s="171">
        <v>1.25</v>
      </c>
      <c r="G364" s="172">
        <v>1</v>
      </c>
      <c r="H364" s="171">
        <f>tbTransactions[[#This Row],[Qty]]*tbTransactions[[#This Row],[Unit Cost]]*tbTransactions[[#This Row],[Exchange Rate]]</f>
        <v>2865.875</v>
      </c>
      <c r="I364" s="148" t="s">
        <v>527</v>
      </c>
      <c r="J364" s="176" t="s">
        <v>496</v>
      </c>
      <c r="K364" s="163" t="str">
        <f>IF(tbTransactions[[#This Row],[Sub-Type]]="Transfer","Neutral",IF(tbTransactions[[#This Row],[Qty]]&lt;0,"Debit",IF(tbTransactions[[#This Row],[Qty]]&gt;0,"Credit","Neutral")))</f>
        <v>Neutral</v>
      </c>
      <c r="L364" s="163" t="s">
        <v>32</v>
      </c>
      <c r="M364" s="171" t="s">
        <v>539</v>
      </c>
    </row>
    <row r="365" spans="3:13" ht="30" customHeight="1" x14ac:dyDescent="0.25">
      <c r="C365" s="175">
        <v>363</v>
      </c>
      <c r="D365" s="163">
        <v>44423</v>
      </c>
      <c r="E365" s="171">
        <v>0.122348</v>
      </c>
      <c r="F365" s="171">
        <v>0</v>
      </c>
      <c r="G365" s="172">
        <v>1</v>
      </c>
      <c r="H365" s="171">
        <f>tbTransactions[[#This Row],[Qty]]*tbTransactions[[#This Row],[Unit Cost]]*tbTransactions[[#This Row],[Exchange Rate]]</f>
        <v>0</v>
      </c>
      <c r="I365" s="148" t="s">
        <v>431</v>
      </c>
      <c r="J365" s="176" t="s">
        <v>18</v>
      </c>
      <c r="K365" s="163" t="str">
        <f>IF(tbTransactions[[#This Row],[Sub-Type]]="Transfer","Neutral",IF(tbTransactions[[#This Row],[Qty]]&lt;0,"Debit",IF(tbTransactions[[#This Row],[Qty]]&gt;0,"Credit","Neutral")))</f>
        <v>Credit</v>
      </c>
      <c r="L365" s="163" t="s">
        <v>518</v>
      </c>
      <c r="M365" s="171" t="s">
        <v>40</v>
      </c>
    </row>
    <row r="366" spans="3:13" ht="30" customHeight="1" x14ac:dyDescent="0.25">
      <c r="C366" s="175">
        <v>364</v>
      </c>
      <c r="D366" s="163">
        <v>44423</v>
      </c>
      <c r="E366" s="171">
        <v>3.4682821000000003E-2</v>
      </c>
      <c r="F366" s="171">
        <v>0</v>
      </c>
      <c r="G366" s="172">
        <v>1</v>
      </c>
      <c r="H366" s="171">
        <f>tbTransactions[[#This Row],[Qty]]*tbTransactions[[#This Row],[Unit Cost]]*tbTransactions[[#This Row],[Exchange Rate]]</f>
        <v>0</v>
      </c>
      <c r="I366" s="148" t="s">
        <v>511</v>
      </c>
      <c r="J366" s="176" t="s">
        <v>20</v>
      </c>
      <c r="K366" s="163" t="str">
        <f>IF(tbTransactions[[#This Row],[Sub-Type]]="Transfer","Neutral",IF(tbTransactions[[#This Row],[Qty]]&lt;0,"Debit",IF(tbTransactions[[#This Row],[Qty]]&gt;0,"Credit","Neutral")))</f>
        <v>Credit</v>
      </c>
      <c r="L366" s="163" t="s">
        <v>518</v>
      </c>
      <c r="M366" s="171" t="s">
        <v>465</v>
      </c>
    </row>
    <row r="367" spans="3:13" ht="30" customHeight="1" x14ac:dyDescent="0.25">
      <c r="C367" s="175">
        <v>365</v>
      </c>
      <c r="D367" s="163">
        <v>44424</v>
      </c>
      <c r="E367" s="171">
        <v>-1.5685000000000001E-2</v>
      </c>
      <c r="F367" s="171">
        <v>3965</v>
      </c>
      <c r="G367" s="172">
        <v>1</v>
      </c>
      <c r="H367" s="171">
        <f>tbTransactions[[#This Row],[Qty]]*tbTransactions[[#This Row],[Unit Cost]]*tbTransactions[[#This Row],[Exchange Rate]]</f>
        <v>-62.191025000000003</v>
      </c>
      <c r="I367" s="148" t="s">
        <v>759</v>
      </c>
      <c r="J367" s="176" t="s">
        <v>22</v>
      </c>
      <c r="K367" s="163" t="str">
        <f>IF(tbTransactions[[#This Row],[Sub-Type]]="Transfer","Neutral",IF(tbTransactions[[#This Row],[Qty]]&lt;0,"Debit",IF(tbTransactions[[#This Row],[Qty]]&gt;0,"Credit","Neutral")))</f>
        <v>Debit</v>
      </c>
      <c r="L367" s="163" t="s">
        <v>12</v>
      </c>
      <c r="M367" s="171" t="s">
        <v>529</v>
      </c>
    </row>
    <row r="368" spans="3:13" ht="30" customHeight="1" x14ac:dyDescent="0.25">
      <c r="C368" s="175">
        <v>366</v>
      </c>
      <c r="D368" s="163">
        <v>44424</v>
      </c>
      <c r="E368" s="171">
        <v>3.0916310999999998E-2</v>
      </c>
      <c r="F368" s="171">
        <v>0</v>
      </c>
      <c r="G368" s="172">
        <v>1</v>
      </c>
      <c r="H368" s="171">
        <f>tbTransactions[[#This Row],[Qty]]*tbTransactions[[#This Row],[Unit Cost]]*tbTransactions[[#This Row],[Exchange Rate]]</f>
        <v>0</v>
      </c>
      <c r="I368" s="148" t="s">
        <v>511</v>
      </c>
      <c r="J368" s="176" t="s">
        <v>20</v>
      </c>
      <c r="K368" s="163" t="str">
        <f>IF(tbTransactions[[#This Row],[Sub-Type]]="Transfer","Neutral",IF(tbTransactions[[#This Row],[Qty]]&lt;0,"Debit",IF(tbTransactions[[#This Row],[Qty]]&gt;0,"Credit","Neutral")))</f>
        <v>Credit</v>
      </c>
      <c r="L368" s="163" t="s">
        <v>518</v>
      </c>
      <c r="M368" s="171" t="s">
        <v>465</v>
      </c>
    </row>
    <row r="369" spans="3:13" ht="30" customHeight="1" x14ac:dyDescent="0.25">
      <c r="C369" s="175">
        <v>367</v>
      </c>
      <c r="D369" s="163">
        <v>44425</v>
      </c>
      <c r="E369" s="171">
        <v>3.2739729299999999E-2</v>
      </c>
      <c r="F369" s="171">
        <v>0</v>
      </c>
      <c r="G369" s="172">
        <v>1</v>
      </c>
      <c r="H369" s="171">
        <f>tbTransactions[[#This Row],[Qty]]*tbTransactions[[#This Row],[Unit Cost]]*tbTransactions[[#This Row],[Exchange Rate]]</f>
        <v>0</v>
      </c>
      <c r="I369" s="148" t="s">
        <v>511</v>
      </c>
      <c r="J369" s="176" t="s">
        <v>20</v>
      </c>
      <c r="K369" s="163" t="str">
        <f>IF(tbTransactions[[#This Row],[Sub-Type]]="Transfer","Neutral",IF(tbTransactions[[#This Row],[Qty]]&lt;0,"Debit",IF(tbTransactions[[#This Row],[Qty]]&gt;0,"Credit","Neutral")))</f>
        <v>Credit</v>
      </c>
      <c r="L369" s="163" t="s">
        <v>518</v>
      </c>
      <c r="M369" s="171" t="s">
        <v>465</v>
      </c>
    </row>
    <row r="370" spans="3:13" ht="30" customHeight="1" x14ac:dyDescent="0.25">
      <c r="C370" s="175">
        <v>368</v>
      </c>
      <c r="D370" s="163">
        <v>44426</v>
      </c>
      <c r="E370" s="171">
        <v>-120.62353004000001</v>
      </c>
      <c r="F370" s="171">
        <v>1</v>
      </c>
      <c r="G370" s="172">
        <v>1</v>
      </c>
      <c r="H370" s="171">
        <f>tbTransactions[[#This Row],[Qty]]*tbTransactions[[#This Row],[Unit Cost]]*tbTransactions[[#This Row],[Exchange Rate]]</f>
        <v>-120.62353004000001</v>
      </c>
      <c r="I370" s="148" t="s">
        <v>531</v>
      </c>
      <c r="J370" s="176" t="s">
        <v>440</v>
      </c>
      <c r="K370" s="163" t="str">
        <f>IF(tbTransactions[[#This Row],[Sub-Type]]="Transfer","Neutral",IF(tbTransactions[[#This Row],[Qty]]&lt;0,"Debit",IF(tbTransactions[[#This Row],[Qty]]&gt;0,"Credit","Neutral")))</f>
        <v>Debit</v>
      </c>
      <c r="L370" s="163" t="s">
        <v>29</v>
      </c>
      <c r="M370" s="171"/>
    </row>
    <row r="371" spans="3:13" ht="30" customHeight="1" x14ac:dyDescent="0.25">
      <c r="C371" s="175">
        <v>369</v>
      </c>
      <c r="D371" s="163">
        <v>44426</v>
      </c>
      <c r="E371" s="171">
        <v>0.29299999999999998</v>
      </c>
      <c r="F371" s="171">
        <v>1</v>
      </c>
      <c r="G371" s="172">
        <v>1</v>
      </c>
      <c r="H371" s="171">
        <f>tbTransactions[[#This Row],[Qty]]*tbTransactions[[#This Row],[Unit Cost]]*tbTransactions[[#This Row],[Exchange Rate]]</f>
        <v>0.29299999999999998</v>
      </c>
      <c r="I371" s="148" t="s">
        <v>759</v>
      </c>
      <c r="J371" s="176" t="s">
        <v>440</v>
      </c>
      <c r="K371" s="163" t="str">
        <f>IF(tbTransactions[[#This Row],[Sub-Type]]="Transfer","Neutral",IF(tbTransactions[[#This Row],[Qty]]&lt;0,"Debit",IF(tbTransactions[[#This Row],[Qty]]&gt;0,"Credit","Neutral")))</f>
        <v>Credit</v>
      </c>
      <c r="L371" s="163" t="s">
        <v>29</v>
      </c>
      <c r="M371" s="171"/>
    </row>
    <row r="372" spans="3:13" ht="30" customHeight="1" x14ac:dyDescent="0.25">
      <c r="C372" s="175">
        <v>370</v>
      </c>
      <c r="D372" s="163">
        <v>44426</v>
      </c>
      <c r="E372" s="171">
        <v>2.96334639E-2</v>
      </c>
      <c r="F372" s="171">
        <v>0</v>
      </c>
      <c r="G372" s="172">
        <v>1</v>
      </c>
      <c r="H372" s="171">
        <f>tbTransactions[[#This Row],[Qty]]*tbTransactions[[#This Row],[Unit Cost]]*tbTransactions[[#This Row],[Exchange Rate]]</f>
        <v>0</v>
      </c>
      <c r="I372" s="148" t="s">
        <v>511</v>
      </c>
      <c r="J372" s="176" t="s">
        <v>20</v>
      </c>
      <c r="K372" s="163" t="str">
        <f>IF(tbTransactions[[#This Row],[Sub-Type]]="Transfer","Neutral",IF(tbTransactions[[#This Row],[Qty]]&lt;0,"Debit",IF(tbTransactions[[#This Row],[Qty]]&gt;0,"Credit","Neutral")))</f>
        <v>Credit</v>
      </c>
      <c r="L372" s="163" t="s">
        <v>518</v>
      </c>
      <c r="M372" s="171" t="s">
        <v>465</v>
      </c>
    </row>
    <row r="373" spans="3:13" ht="30" customHeight="1" x14ac:dyDescent="0.25">
      <c r="C373" s="175">
        <v>371</v>
      </c>
      <c r="D373" s="163">
        <v>44426</v>
      </c>
      <c r="E373" s="171">
        <v>3.9920239999999998</v>
      </c>
      <c r="F373" s="171">
        <v>0</v>
      </c>
      <c r="G373" s="172">
        <v>1</v>
      </c>
      <c r="H373" s="171">
        <f>tbTransactions[[#This Row],[Qty]]*tbTransactions[[#This Row],[Unit Cost]]*tbTransactions[[#This Row],[Exchange Rate]]</f>
        <v>0</v>
      </c>
      <c r="I373" s="148" t="s">
        <v>507</v>
      </c>
      <c r="J373" s="176" t="s">
        <v>17</v>
      </c>
      <c r="K373" s="163" t="str">
        <f>IF(tbTransactions[[#This Row],[Sub-Type]]="Transfer","Neutral",IF(tbTransactions[[#This Row],[Qty]]&lt;0,"Debit",IF(tbTransactions[[#This Row],[Qty]]&gt;0,"Credit","Neutral")))</f>
        <v>Credit</v>
      </c>
      <c r="L373" s="163" t="s">
        <v>518</v>
      </c>
      <c r="M373" s="171" t="s">
        <v>427</v>
      </c>
    </row>
    <row r="374" spans="3:13" ht="30" customHeight="1" x14ac:dyDescent="0.25">
      <c r="C374" s="175">
        <v>372</v>
      </c>
      <c r="D374" s="163">
        <v>44426</v>
      </c>
      <c r="E374" s="171">
        <v>-1.0281999999999999E-2</v>
      </c>
      <c r="F374" s="171">
        <v>3805</v>
      </c>
      <c r="G374" s="172">
        <v>1</v>
      </c>
      <c r="H374" s="171">
        <f>tbTransactions[[#This Row],[Qty]]*tbTransactions[[#This Row],[Unit Cost]]*tbTransactions[[#This Row],[Exchange Rate]]</f>
        <v>-39.123010000000001</v>
      </c>
      <c r="I374" s="148" t="s">
        <v>759</v>
      </c>
      <c r="J374" s="176" t="s">
        <v>22</v>
      </c>
      <c r="K374" s="163" t="str">
        <f>IF(tbTransactions[[#This Row],[Sub-Type]]="Transfer","Neutral",IF(tbTransactions[[#This Row],[Qty]]&lt;0,"Debit",IF(tbTransactions[[#This Row],[Qty]]&gt;0,"Credit","Neutral")))</f>
        <v>Debit</v>
      </c>
      <c r="L374" s="163" t="s">
        <v>12</v>
      </c>
      <c r="M374" s="171" t="s">
        <v>533</v>
      </c>
    </row>
    <row r="375" spans="3:13" ht="30" customHeight="1" x14ac:dyDescent="0.25">
      <c r="C375" s="175">
        <v>373</v>
      </c>
      <c r="D375" s="163">
        <v>44426</v>
      </c>
      <c r="E375" s="171">
        <v>-195.93</v>
      </c>
      <c r="F375" s="171">
        <v>1</v>
      </c>
      <c r="G375" s="172">
        <v>1</v>
      </c>
      <c r="H375" s="171">
        <f>tbTransactions[[#This Row],[Qty]]*tbTransactions[[#This Row],[Unit Cost]]*tbTransactions[[#This Row],[Exchange Rate]]</f>
        <v>-195.93</v>
      </c>
      <c r="I375" s="148" t="s">
        <v>759</v>
      </c>
      <c r="J375" s="176" t="s">
        <v>423</v>
      </c>
      <c r="K375" s="163" t="str">
        <f>IF(tbTransactions[[#This Row],[Sub-Type]]="Transfer","Neutral",IF(tbTransactions[[#This Row],[Qty]]&lt;0,"Debit",IF(tbTransactions[[#This Row],[Qty]]&gt;0,"Credit","Neutral")))</f>
        <v>Neutral</v>
      </c>
      <c r="L375" s="163" t="s">
        <v>32</v>
      </c>
      <c r="M375" s="171" t="s">
        <v>533</v>
      </c>
    </row>
    <row r="376" spans="3:13" ht="30" customHeight="1" x14ac:dyDescent="0.25">
      <c r="C376" s="175">
        <v>374</v>
      </c>
      <c r="D376" s="163">
        <v>44426</v>
      </c>
      <c r="E376" s="171">
        <v>195.93</v>
      </c>
      <c r="F376" s="171">
        <v>1</v>
      </c>
      <c r="G376" s="172">
        <v>1</v>
      </c>
      <c r="H376" s="171">
        <f>tbTransactions[[#This Row],[Qty]]*tbTransactions[[#This Row],[Unit Cost]]*tbTransactions[[#This Row],[Exchange Rate]]</f>
        <v>195.93</v>
      </c>
      <c r="I376" s="148" t="s">
        <v>534</v>
      </c>
      <c r="J376" s="176" t="s">
        <v>423</v>
      </c>
      <c r="K376" s="163" t="str">
        <f>IF(tbTransactions[[#This Row],[Sub-Type]]="Transfer","Neutral",IF(tbTransactions[[#This Row],[Qty]]&lt;0,"Debit",IF(tbTransactions[[#This Row],[Qty]]&gt;0,"Credit","Neutral")))</f>
        <v>Neutral</v>
      </c>
      <c r="L376" s="163" t="s">
        <v>32</v>
      </c>
      <c r="M376" s="171" t="s">
        <v>533</v>
      </c>
    </row>
    <row r="377" spans="3:13" ht="30" customHeight="1" x14ac:dyDescent="0.25">
      <c r="C377" s="175">
        <v>375</v>
      </c>
      <c r="D377" s="163">
        <v>44426</v>
      </c>
      <c r="E377" s="171">
        <f>195.93-191.51552437</f>
        <v>4.4144756299999983</v>
      </c>
      <c r="F377" s="171">
        <v>2.1598782247919583</v>
      </c>
      <c r="G377" s="172">
        <v>1</v>
      </c>
      <c r="H377" s="171">
        <f>tbTransactions[[#This Row],[Qty]]*tbTransactions[[#This Row],[Unit Cost]]*tbTransactions[[#This Row],[Exchange Rate]]</f>
        <v>9.5347297871117576</v>
      </c>
      <c r="I377" s="148" t="s">
        <v>534</v>
      </c>
      <c r="J377" s="176" t="s">
        <v>423</v>
      </c>
      <c r="K377" s="163" t="str">
        <f>IF(tbTransactions[[#This Row],[Sub-Type]]="Transfer","Neutral",IF(tbTransactions[[#This Row],[Qty]]&lt;0,"Debit",IF(tbTransactions[[#This Row],[Qty]]&gt;0,"Credit","Neutral")))</f>
        <v>Credit</v>
      </c>
      <c r="L377" s="163" t="s">
        <v>29</v>
      </c>
      <c r="M377" s="171"/>
    </row>
    <row r="378" spans="3:13" ht="30" customHeight="1" x14ac:dyDescent="0.25">
      <c r="C378" s="175">
        <v>376</v>
      </c>
      <c r="D378" s="163">
        <v>44426</v>
      </c>
      <c r="E378" s="171">
        <v>-8.7432289999999996E-2</v>
      </c>
      <c r="F378" s="171">
        <v>32.270000000000003</v>
      </c>
      <c r="G378" s="172">
        <v>1</v>
      </c>
      <c r="H378" s="171">
        <f>tbTransactions[[#This Row],[Qty]]*tbTransactions[[#This Row],[Unit Cost]]*tbTransactions[[#This Row],[Exchange Rate]]</f>
        <v>-2.8214399983000003</v>
      </c>
      <c r="I378" s="148" t="s">
        <v>422</v>
      </c>
      <c r="J378" s="176" t="s">
        <v>24</v>
      </c>
      <c r="K378" s="163" t="str">
        <f>IF(tbTransactions[[#This Row],[Sub-Type]]="Transfer","Neutral",IF(tbTransactions[[#This Row],[Qty]]&lt;0,"Debit",IF(tbTransactions[[#This Row],[Qty]]&gt;0,"Credit","Neutral")))</f>
        <v>Debit</v>
      </c>
      <c r="L378" s="163" t="s">
        <v>12</v>
      </c>
      <c r="M378" s="171" t="s">
        <v>535</v>
      </c>
    </row>
    <row r="379" spans="3:13" ht="30" customHeight="1" x14ac:dyDescent="0.25">
      <c r="C379" s="175">
        <v>377</v>
      </c>
      <c r="D379" s="163">
        <v>44426</v>
      </c>
      <c r="E379" s="171">
        <v>-12.725975800000001</v>
      </c>
      <c r="F379" s="171">
        <v>32.270000000000003</v>
      </c>
      <c r="G379" s="172">
        <v>1</v>
      </c>
      <c r="H379" s="171">
        <f>tbTransactions[[#This Row],[Qty]]*tbTransactions[[#This Row],[Unit Cost]]*tbTransactions[[#This Row],[Exchange Rate]]</f>
        <v>-410.66723906600004</v>
      </c>
      <c r="I379" s="148" t="s">
        <v>422</v>
      </c>
      <c r="J379" s="176" t="s">
        <v>24</v>
      </c>
      <c r="K379" s="163" t="str">
        <f>IF(tbTransactions[[#This Row],[Sub-Type]]="Transfer","Neutral",IF(tbTransactions[[#This Row],[Qty]]&lt;0,"Debit",IF(tbTransactions[[#This Row],[Qty]]&gt;0,"Credit","Neutral")))</f>
        <v>Neutral</v>
      </c>
      <c r="L379" s="163" t="s">
        <v>32</v>
      </c>
      <c r="M379" s="171" t="s">
        <v>535</v>
      </c>
    </row>
    <row r="380" spans="3:13" ht="30" customHeight="1" x14ac:dyDescent="0.25">
      <c r="C380" s="175">
        <v>378</v>
      </c>
      <c r="D380" s="163">
        <v>44426</v>
      </c>
      <c r="E380" s="171">
        <v>12.725975800000001</v>
      </c>
      <c r="F380" s="171">
        <v>32.270000000000003</v>
      </c>
      <c r="G380" s="172">
        <v>1</v>
      </c>
      <c r="H380" s="171">
        <f>tbTransactions[[#This Row],[Qty]]*tbTransactions[[#This Row],[Unit Cost]]*tbTransactions[[#This Row],[Exchange Rate]]</f>
        <v>410.66723906600004</v>
      </c>
      <c r="I380" s="148" t="s">
        <v>422</v>
      </c>
      <c r="J380" s="176" t="s">
        <v>24</v>
      </c>
      <c r="K380" s="163" t="str">
        <f>IF(tbTransactions[[#This Row],[Sub-Type]]="Transfer","Neutral",IF(tbTransactions[[#This Row],[Qty]]&lt;0,"Debit",IF(tbTransactions[[#This Row],[Qty]]&gt;0,"Credit","Neutral")))</f>
        <v>Neutral</v>
      </c>
      <c r="L380" s="163" t="s">
        <v>32</v>
      </c>
      <c r="M380" s="171" t="s">
        <v>535</v>
      </c>
    </row>
    <row r="381" spans="3:13" ht="30" customHeight="1" x14ac:dyDescent="0.25">
      <c r="C381" s="175">
        <v>379</v>
      </c>
      <c r="D381" s="163">
        <v>44426</v>
      </c>
      <c r="E381" s="171">
        <v>-96.16</v>
      </c>
      <c r="F381" s="171">
        <v>1</v>
      </c>
      <c r="G381" s="172">
        <v>1</v>
      </c>
      <c r="H381" s="171">
        <f>tbTransactions[[#This Row],[Qty]]*tbTransactions[[#This Row],[Unit Cost]]*tbTransactions[[#This Row],[Exchange Rate]]</f>
        <v>-96.16</v>
      </c>
      <c r="I381" s="148" t="s">
        <v>499</v>
      </c>
      <c r="J381" s="176" t="s">
        <v>411</v>
      </c>
      <c r="K381" s="163" t="str">
        <f>IF(tbTransactions[[#This Row],[Sub-Type]]="Transfer","Neutral",IF(tbTransactions[[#This Row],[Qty]]&lt;0,"Debit",IF(tbTransactions[[#This Row],[Qty]]&gt;0,"Credit","Neutral")))</f>
        <v>Debit</v>
      </c>
      <c r="L381" s="163" t="s">
        <v>502</v>
      </c>
      <c r="M381" s="171" t="s">
        <v>536</v>
      </c>
    </row>
    <row r="382" spans="3:13" ht="30" customHeight="1" x14ac:dyDescent="0.25">
      <c r="C382" s="175">
        <v>380</v>
      </c>
      <c r="D382" s="163">
        <v>44426</v>
      </c>
      <c r="E382" s="171">
        <v>-3.84</v>
      </c>
      <c r="F382" s="171">
        <v>1</v>
      </c>
      <c r="G382" s="172">
        <v>1</v>
      </c>
      <c r="H382" s="171">
        <f>tbTransactions[[#This Row],[Qty]]*tbTransactions[[#This Row],[Unit Cost]]*tbTransactions[[#This Row],[Exchange Rate]]</f>
        <v>-3.84</v>
      </c>
      <c r="I382" s="148" t="s">
        <v>499</v>
      </c>
      <c r="J382" s="176" t="s">
        <v>411</v>
      </c>
      <c r="K382" s="163" t="str">
        <f>IF(tbTransactions[[#This Row],[Sub-Type]]="Transfer","Neutral",IF(tbTransactions[[#This Row],[Qty]]&lt;0,"Debit",IF(tbTransactions[[#This Row],[Qty]]&gt;0,"Credit","Neutral")))</f>
        <v>Debit</v>
      </c>
      <c r="L382" s="163" t="s">
        <v>12</v>
      </c>
      <c r="M382" s="171" t="s">
        <v>536</v>
      </c>
    </row>
    <row r="383" spans="3:13" ht="30" customHeight="1" x14ac:dyDescent="0.25">
      <c r="C383" s="175">
        <v>381</v>
      </c>
      <c r="D383" s="163">
        <v>44426</v>
      </c>
      <c r="E383" s="171">
        <v>2.4875649999999999E-2</v>
      </c>
      <c r="F383" s="171">
        <v>3865.63</v>
      </c>
      <c r="G383" s="172">
        <v>1</v>
      </c>
      <c r="H383" s="171">
        <f>tbTransactions[[#This Row],[Qty]]*tbTransactions[[#This Row],[Unit Cost]]*tbTransactions[[#This Row],[Exchange Rate]]</f>
        <v>96.160058909499995</v>
      </c>
      <c r="I383" s="148" t="s">
        <v>422</v>
      </c>
      <c r="J383" s="176" t="s">
        <v>22</v>
      </c>
      <c r="K383" s="163" t="str">
        <f>IF(tbTransactions[[#This Row],[Sub-Type]]="Transfer","Neutral",IF(tbTransactions[[#This Row],[Qty]]&lt;0,"Debit",IF(tbTransactions[[#This Row],[Qty]]&gt;0,"Credit","Neutral")))</f>
        <v>Credit</v>
      </c>
      <c r="L383" s="163" t="s">
        <v>505</v>
      </c>
      <c r="M383" s="171" t="s">
        <v>536</v>
      </c>
    </row>
    <row r="384" spans="3:13" ht="30" customHeight="1" x14ac:dyDescent="0.25">
      <c r="C384" s="175">
        <v>382</v>
      </c>
      <c r="D384" s="163">
        <v>44426</v>
      </c>
      <c r="E384" s="171">
        <v>-7.7700000000000002E-4</v>
      </c>
      <c r="F384" s="171">
        <v>3818</v>
      </c>
      <c r="G384" s="172">
        <v>1</v>
      </c>
      <c r="H384" s="171">
        <f>tbTransactions[[#This Row],[Qty]]*tbTransactions[[#This Row],[Unit Cost]]*tbTransactions[[#This Row],[Exchange Rate]]</f>
        <v>-2.9665859999999999</v>
      </c>
      <c r="I384" s="148" t="s">
        <v>431</v>
      </c>
      <c r="J384" s="176" t="s">
        <v>22</v>
      </c>
      <c r="K384" s="163" t="str">
        <f>IF(tbTransactions[[#This Row],[Sub-Type]]="Transfer","Neutral",IF(tbTransactions[[#This Row],[Qty]]&lt;0,"Debit",IF(tbTransactions[[#This Row],[Qty]]&gt;0,"Credit","Neutral")))</f>
        <v>Debit</v>
      </c>
      <c r="L384" s="163" t="s">
        <v>12</v>
      </c>
      <c r="M384" s="171" t="s">
        <v>418</v>
      </c>
    </row>
    <row r="385" spans="3:13" ht="30" customHeight="1" x14ac:dyDescent="0.25">
      <c r="C385" s="175">
        <v>383</v>
      </c>
      <c r="D385" s="163">
        <v>44426</v>
      </c>
      <c r="E385" s="171">
        <v>-2.4875649999999999E-2</v>
      </c>
      <c r="F385" s="171">
        <v>3834.6736000000001</v>
      </c>
      <c r="G385" s="172">
        <v>1</v>
      </c>
      <c r="H385" s="171">
        <f>tbTransactions[[#This Row],[Qty]]*tbTransactions[[#This Row],[Unit Cost]]*tbTransactions[[#This Row],[Exchange Rate]]</f>
        <v>-95.389998337839998</v>
      </c>
      <c r="I385" s="148" t="s">
        <v>422</v>
      </c>
      <c r="J385" s="176" t="s">
        <v>22</v>
      </c>
      <c r="K385" s="163" t="str">
        <f>IF(tbTransactions[[#This Row],[Sub-Type]]="Transfer","Neutral",IF(tbTransactions[[#This Row],[Qty]]&lt;0,"Debit",IF(tbTransactions[[#This Row],[Qty]]&gt;0,"Credit","Neutral")))</f>
        <v>Neutral</v>
      </c>
      <c r="L385" s="163" t="s">
        <v>32</v>
      </c>
      <c r="M385" s="171" t="s">
        <v>418</v>
      </c>
    </row>
    <row r="386" spans="3:13" ht="30" customHeight="1" x14ac:dyDescent="0.25">
      <c r="C386" s="175">
        <v>384</v>
      </c>
      <c r="D386" s="163">
        <v>44426</v>
      </c>
      <c r="E386" s="171">
        <v>2.4875649999999999E-2</v>
      </c>
      <c r="F386" s="171">
        <v>3834.6736000000001</v>
      </c>
      <c r="G386" s="172">
        <v>1</v>
      </c>
      <c r="H386" s="171">
        <f>tbTransactions[[#This Row],[Qty]]*tbTransactions[[#This Row],[Unit Cost]]*tbTransactions[[#This Row],[Exchange Rate]]</f>
        <v>95.389998337839998</v>
      </c>
      <c r="I386" s="148" t="s">
        <v>431</v>
      </c>
      <c r="J386" s="176" t="s">
        <v>22</v>
      </c>
      <c r="K386" s="163" t="str">
        <f>IF(tbTransactions[[#This Row],[Sub-Type]]="Transfer","Neutral",IF(tbTransactions[[#This Row],[Qty]]&lt;0,"Debit",IF(tbTransactions[[#This Row],[Qty]]&gt;0,"Credit","Neutral")))</f>
        <v>Neutral</v>
      </c>
      <c r="L386" s="163" t="s">
        <v>32</v>
      </c>
      <c r="M386" s="171" t="s">
        <v>418</v>
      </c>
    </row>
    <row r="387" spans="3:13" ht="30" customHeight="1" x14ac:dyDescent="0.25">
      <c r="C387" s="175">
        <v>385</v>
      </c>
      <c r="D387" s="163">
        <v>44426</v>
      </c>
      <c r="E387" s="171">
        <v>50.865945830000001</v>
      </c>
      <c r="F387" s="171">
        <v>31.92</v>
      </c>
      <c r="G387" s="172">
        <v>1</v>
      </c>
      <c r="H387" s="171">
        <f>tbTransactions[[#This Row],[Qty]]*tbTransactions[[#This Row],[Unit Cost]]*tbTransactions[[#This Row],[Exchange Rate]]</f>
        <v>1623.6409908936</v>
      </c>
      <c r="I387" s="148" t="s">
        <v>759</v>
      </c>
      <c r="J387" s="176" t="s">
        <v>24</v>
      </c>
      <c r="K387" s="163" t="str">
        <f>IF(tbTransactions[[#This Row],[Sub-Type]]="Transfer","Neutral",IF(tbTransactions[[#This Row],[Qty]]&lt;0,"Debit",IF(tbTransactions[[#This Row],[Qty]]&gt;0,"Credit","Neutral")))</f>
        <v>Neutral</v>
      </c>
      <c r="L387" s="163" t="s">
        <v>32</v>
      </c>
      <c r="M387" s="171" t="s">
        <v>535</v>
      </c>
    </row>
    <row r="388" spans="3:13" ht="30" customHeight="1" x14ac:dyDescent="0.25">
      <c r="C388" s="175">
        <v>386</v>
      </c>
      <c r="D388" s="163">
        <v>44426</v>
      </c>
      <c r="E388" s="171">
        <v>-50.865945830000001</v>
      </c>
      <c r="F388" s="171">
        <v>31.92</v>
      </c>
      <c r="G388" s="172">
        <v>1</v>
      </c>
      <c r="H388" s="171">
        <f>tbTransactions[[#This Row],[Qty]]*tbTransactions[[#This Row],[Unit Cost]]*tbTransactions[[#This Row],[Exchange Rate]]</f>
        <v>-1623.6409908936</v>
      </c>
      <c r="I388" s="148" t="s">
        <v>431</v>
      </c>
      <c r="J388" s="176" t="s">
        <v>24</v>
      </c>
      <c r="K388" s="163" t="str">
        <f>IF(tbTransactions[[#This Row],[Sub-Type]]="Transfer","Neutral",IF(tbTransactions[[#This Row],[Qty]]&lt;0,"Debit",IF(tbTransactions[[#This Row],[Qty]]&gt;0,"Credit","Neutral")))</f>
        <v>Neutral</v>
      </c>
      <c r="L388" s="163" t="s">
        <v>32</v>
      </c>
      <c r="M388" s="171" t="s">
        <v>535</v>
      </c>
    </row>
    <row r="389" spans="3:13" ht="30" customHeight="1" x14ac:dyDescent="0.25">
      <c r="C389" s="175">
        <v>387</v>
      </c>
      <c r="D389" s="163">
        <v>44426</v>
      </c>
      <c r="E389" s="171">
        <v>-7.4830000000000001E-3</v>
      </c>
      <c r="F389" s="171">
        <v>3765</v>
      </c>
      <c r="G389" s="172">
        <v>1</v>
      </c>
      <c r="H389" s="171">
        <f>tbTransactions[[#This Row],[Qty]]*tbTransactions[[#This Row],[Unit Cost]]*tbTransactions[[#This Row],[Exchange Rate]]</f>
        <v>-28.173494999999999</v>
      </c>
      <c r="I389" s="148" t="s">
        <v>759</v>
      </c>
      <c r="J389" s="176" t="s">
        <v>22</v>
      </c>
      <c r="K389" s="163" t="str">
        <f>IF(tbTransactions[[#This Row],[Sub-Type]]="Transfer","Neutral",IF(tbTransactions[[#This Row],[Qty]]&lt;0,"Debit",IF(tbTransactions[[#This Row],[Qty]]&gt;0,"Credit","Neutral")))</f>
        <v>Debit</v>
      </c>
      <c r="L389" s="163" t="s">
        <v>12</v>
      </c>
      <c r="M389" s="171" t="s">
        <v>538</v>
      </c>
    </row>
    <row r="390" spans="3:13" ht="30" customHeight="1" x14ac:dyDescent="0.25">
      <c r="C390" s="175">
        <v>388</v>
      </c>
      <c r="D390" s="163">
        <v>44426</v>
      </c>
      <c r="E390" s="171">
        <v>-1.57377727E-3</v>
      </c>
      <c r="F390" s="171">
        <v>3765</v>
      </c>
      <c r="G390" s="172">
        <v>1</v>
      </c>
      <c r="H390" s="171">
        <f>tbTransactions[[#This Row],[Qty]]*tbTransactions[[#This Row],[Unit Cost]]*tbTransactions[[#This Row],[Exchange Rate]]</f>
        <v>-5.9252714215499998</v>
      </c>
      <c r="I390" s="148" t="s">
        <v>759</v>
      </c>
      <c r="J390" s="176" t="s">
        <v>22</v>
      </c>
      <c r="K390" s="163" t="str">
        <f>IF(tbTransactions[[#This Row],[Sub-Type]]="Transfer","Neutral",IF(tbTransactions[[#This Row],[Qty]]&lt;0,"Debit",IF(tbTransactions[[#This Row],[Qty]]&gt;0,"Credit","Neutral")))</f>
        <v>Debit</v>
      </c>
      <c r="L390" s="163" t="s">
        <v>12</v>
      </c>
      <c r="M390" s="171" t="s">
        <v>537</v>
      </c>
    </row>
    <row r="391" spans="3:13" ht="30" customHeight="1" x14ac:dyDescent="0.25">
      <c r="C391" s="175">
        <v>389</v>
      </c>
      <c r="D391" s="163">
        <v>44426</v>
      </c>
      <c r="E391" s="171">
        <v>-63.59</v>
      </c>
      <c r="F391" s="171">
        <v>31.59</v>
      </c>
      <c r="G391" s="172">
        <v>1</v>
      </c>
      <c r="H391" s="171">
        <f>tbTransactions[[#This Row],[Qty]]*tbTransactions[[#This Row],[Unit Cost]]*tbTransactions[[#This Row],[Exchange Rate]]</f>
        <v>-2008.8081000000002</v>
      </c>
      <c r="I391" s="148" t="s">
        <v>759</v>
      </c>
      <c r="J391" s="176" t="s">
        <v>24</v>
      </c>
      <c r="K391" s="163" t="str">
        <f>IF(tbTransactions[[#This Row],[Sub-Type]]="Transfer","Neutral",IF(tbTransactions[[#This Row],[Qty]]&lt;0,"Debit",IF(tbTransactions[[#This Row],[Qty]]&gt;0,"Credit","Neutral")))</f>
        <v>Neutral</v>
      </c>
      <c r="L391" s="163" t="s">
        <v>32</v>
      </c>
      <c r="M391" s="171" t="s">
        <v>538</v>
      </c>
    </row>
    <row r="392" spans="3:13" ht="30" customHeight="1" x14ac:dyDescent="0.25">
      <c r="C392" s="175">
        <v>390</v>
      </c>
      <c r="D392" s="163">
        <v>44426</v>
      </c>
      <c r="E392" s="171">
        <v>63.59</v>
      </c>
      <c r="F392" s="171">
        <v>31.59</v>
      </c>
      <c r="G392" s="172">
        <v>1</v>
      </c>
      <c r="H392" s="171">
        <f>tbTransactions[[#This Row],[Qty]]*tbTransactions[[#This Row],[Unit Cost]]*tbTransactions[[#This Row],[Exchange Rate]]</f>
        <v>2008.8081000000002</v>
      </c>
      <c r="I392" s="148" t="s">
        <v>485</v>
      </c>
      <c r="J392" s="176" t="s">
        <v>24</v>
      </c>
      <c r="K392" s="163" t="str">
        <f>IF(tbTransactions[[#This Row],[Sub-Type]]="Transfer","Neutral",IF(tbTransactions[[#This Row],[Qty]]&lt;0,"Debit",IF(tbTransactions[[#This Row],[Qty]]&gt;0,"Credit","Neutral")))</f>
        <v>Neutral</v>
      </c>
      <c r="L392" s="163" t="s">
        <v>32</v>
      </c>
      <c r="M392" s="171" t="s">
        <v>538</v>
      </c>
    </row>
    <row r="393" spans="3:13" ht="30" customHeight="1" x14ac:dyDescent="0.25">
      <c r="C393" s="175">
        <v>391</v>
      </c>
      <c r="D393" s="163">
        <v>44426</v>
      </c>
      <c r="E393" s="171">
        <v>1380</v>
      </c>
      <c r="F393" s="171">
        <v>7.38</v>
      </c>
      <c r="G393" s="172">
        <v>1</v>
      </c>
      <c r="H393" s="171">
        <f>tbTransactions[[#This Row],[Qty]]*tbTransactions[[#This Row],[Unit Cost]]*tbTransactions[[#This Row],[Exchange Rate]]</f>
        <v>10184.4</v>
      </c>
      <c r="I393" s="148" t="s">
        <v>715</v>
      </c>
      <c r="J393" s="176" t="s">
        <v>47</v>
      </c>
      <c r="K393" s="163" t="str">
        <f>IF(tbTransactions[[#This Row],[Sub-Type]]="Transfer","Neutral",IF(tbTransactions[[#This Row],[Qty]]&lt;0,"Debit",IF(tbTransactions[[#This Row],[Qty]]&gt;0,"Credit","Neutral")))</f>
        <v>Credit</v>
      </c>
      <c r="L393" s="163" t="s">
        <v>519</v>
      </c>
      <c r="M393" s="171" t="s">
        <v>551</v>
      </c>
    </row>
    <row r="394" spans="3:13" ht="30" customHeight="1" x14ac:dyDescent="0.25">
      <c r="C394" s="175">
        <v>392</v>
      </c>
      <c r="D394" s="163">
        <v>44426</v>
      </c>
      <c r="E394" s="171">
        <v>-10184.4</v>
      </c>
      <c r="F394" s="171">
        <v>1</v>
      </c>
      <c r="G394" s="172">
        <v>1</v>
      </c>
      <c r="H394" s="171">
        <f>tbTransactions[[#This Row],[Qty]]*tbTransactions[[#This Row],[Unit Cost]]*tbTransactions[[#This Row],[Exchange Rate]]</f>
        <v>-10184.4</v>
      </c>
      <c r="I394" s="148" t="s">
        <v>715</v>
      </c>
      <c r="J394" s="176" t="s">
        <v>411</v>
      </c>
      <c r="K394" s="163" t="str">
        <f>IF(tbTransactions[[#This Row],[Sub-Type]]="Transfer","Neutral",IF(tbTransactions[[#This Row],[Qty]]&lt;0,"Debit",IF(tbTransactions[[#This Row],[Qty]]&gt;0,"Credit","Neutral")))</f>
        <v>Debit</v>
      </c>
      <c r="L394" s="163" t="s">
        <v>522</v>
      </c>
      <c r="M394" s="171" t="s">
        <v>551</v>
      </c>
    </row>
    <row r="395" spans="3:13" ht="30" customHeight="1" x14ac:dyDescent="0.25">
      <c r="C395" s="175">
        <v>393</v>
      </c>
      <c r="D395" s="163">
        <v>44427</v>
      </c>
      <c r="E395" s="171">
        <f>11.2384-12.55799201</f>
        <v>-1.3195920099999991</v>
      </c>
      <c r="F395" s="171">
        <v>2935.4900252343964</v>
      </c>
      <c r="G395" s="172">
        <v>1</v>
      </c>
      <c r="H395" s="171">
        <f>tbTransactions[[#This Row],[Qty]]*tbTransactions[[#This Row],[Unit Cost]]*tbTransactions[[#This Row],[Exchange Rate]]</f>
        <v>-3873.6491827340055</v>
      </c>
      <c r="I395" s="148" t="s">
        <v>759</v>
      </c>
      <c r="J395" s="176" t="s">
        <v>22</v>
      </c>
      <c r="K395" s="163" t="str">
        <f>IF(tbTransactions[[#This Row],[Sub-Type]]="Transfer","Neutral",IF(tbTransactions[[#This Row],[Qty]]&lt;0,"Debit",IF(tbTransactions[[#This Row],[Qty]]&gt;0,"Credit","Neutral")))</f>
        <v>Debit</v>
      </c>
      <c r="L395" s="163" t="s">
        <v>29</v>
      </c>
      <c r="M395" s="171"/>
    </row>
    <row r="396" spans="3:13" ht="30" customHeight="1" x14ac:dyDescent="0.25">
      <c r="C396" s="175">
        <v>394</v>
      </c>
      <c r="D396" s="163">
        <v>44427</v>
      </c>
      <c r="E396" s="171">
        <v>-11</v>
      </c>
      <c r="F396" s="171">
        <v>4145</v>
      </c>
      <c r="G396" s="172">
        <v>1</v>
      </c>
      <c r="H396" s="171">
        <f>tbTransactions[[#This Row],[Qty]]*tbTransactions[[#This Row],[Unit Cost]]*tbTransactions[[#This Row],[Exchange Rate]]</f>
        <v>-45595</v>
      </c>
      <c r="I396" s="148" t="s">
        <v>759</v>
      </c>
      <c r="J396" s="176" t="s">
        <v>22</v>
      </c>
      <c r="K396" s="163" t="str">
        <f>IF(tbTransactions[[#This Row],[Sub-Type]]="Transfer","Neutral",IF(tbTransactions[[#This Row],[Qty]]&lt;0,"Debit",IF(tbTransactions[[#This Row],[Qty]]&gt;0,"Credit","Neutral")))</f>
        <v>Neutral</v>
      </c>
      <c r="L396" s="163" t="s">
        <v>32</v>
      </c>
      <c r="M396" s="171" t="s">
        <v>541</v>
      </c>
    </row>
    <row r="397" spans="3:13" ht="30" customHeight="1" x14ac:dyDescent="0.25">
      <c r="C397" s="175">
        <v>395</v>
      </c>
      <c r="D397" s="163">
        <v>44427</v>
      </c>
      <c r="E397" s="171">
        <v>11</v>
      </c>
      <c r="F397" s="171">
        <v>4145</v>
      </c>
      <c r="G397" s="172">
        <v>1</v>
      </c>
      <c r="H397" s="171">
        <f>tbTransactions[[#This Row],[Qty]]*tbTransactions[[#This Row],[Unit Cost]]*tbTransactions[[#This Row],[Exchange Rate]]</f>
        <v>45595</v>
      </c>
      <c r="I397" s="148" t="s">
        <v>540</v>
      </c>
      <c r="J397" s="176" t="s">
        <v>22</v>
      </c>
      <c r="K397" s="163" t="str">
        <f>IF(tbTransactions[[#This Row],[Sub-Type]]="Transfer","Neutral",IF(tbTransactions[[#This Row],[Qty]]&lt;0,"Debit",IF(tbTransactions[[#This Row],[Qty]]&gt;0,"Credit","Neutral")))</f>
        <v>Neutral</v>
      </c>
      <c r="L397" s="163" t="s">
        <v>32</v>
      </c>
      <c r="M397" s="171" t="s">
        <v>541</v>
      </c>
    </row>
    <row r="398" spans="3:13" ht="30" customHeight="1" x14ac:dyDescent="0.25">
      <c r="C398" s="175">
        <v>396</v>
      </c>
      <c r="D398" s="163">
        <v>44427</v>
      </c>
      <c r="E398" s="171">
        <v>-6.2799999999999998E-4</v>
      </c>
      <c r="F398" s="171">
        <v>4145</v>
      </c>
      <c r="G398" s="172">
        <v>1</v>
      </c>
      <c r="H398" s="171">
        <f>tbTransactions[[#This Row],[Qty]]*tbTransactions[[#This Row],[Unit Cost]]*tbTransactions[[#This Row],[Exchange Rate]]</f>
        <v>-2.6030599999999997</v>
      </c>
      <c r="I398" s="148" t="s">
        <v>759</v>
      </c>
      <c r="J398" s="176" t="s">
        <v>22</v>
      </c>
      <c r="K398" s="163" t="str">
        <f>IF(tbTransactions[[#This Row],[Sub-Type]]="Transfer","Neutral",IF(tbTransactions[[#This Row],[Qty]]&lt;0,"Debit",IF(tbTransactions[[#This Row],[Qty]]&gt;0,"Credit","Neutral")))</f>
        <v>Debit</v>
      </c>
      <c r="L398" s="163" t="s">
        <v>12</v>
      </c>
      <c r="M398" s="171" t="s">
        <v>541</v>
      </c>
    </row>
    <row r="399" spans="3:13" ht="30" customHeight="1" x14ac:dyDescent="0.25">
      <c r="C399" s="175">
        <v>397</v>
      </c>
      <c r="D399" s="163">
        <v>44427</v>
      </c>
      <c r="E399" s="171">
        <v>-1.8999999999991201E-3</v>
      </c>
      <c r="F399" s="171">
        <v>4145</v>
      </c>
      <c r="G399" s="172">
        <v>1</v>
      </c>
      <c r="H399" s="171">
        <f>tbTransactions[[#This Row],[Qty]]*tbTransactions[[#This Row],[Unit Cost]]*tbTransactions[[#This Row],[Exchange Rate]]</f>
        <v>-7.8754999999963529</v>
      </c>
      <c r="I399" s="148" t="s">
        <v>540</v>
      </c>
      <c r="J399" s="176" t="s">
        <v>22</v>
      </c>
      <c r="K399" s="163" t="str">
        <f>IF(tbTransactions[[#This Row],[Sub-Type]]="Transfer","Neutral",IF(tbTransactions[[#This Row],[Qty]]&lt;0,"Debit",IF(tbTransactions[[#This Row],[Qty]]&gt;0,"Credit","Neutral")))</f>
        <v>Debit</v>
      </c>
      <c r="L399" s="163" t="s">
        <v>29</v>
      </c>
      <c r="M399" s="171"/>
    </row>
    <row r="400" spans="3:13" ht="30" customHeight="1" x14ac:dyDescent="0.25">
      <c r="C400" s="175">
        <v>398</v>
      </c>
      <c r="D400" s="163">
        <v>44427</v>
      </c>
      <c r="E400" s="171">
        <v>-10.998100000000001</v>
      </c>
      <c r="F400" s="171">
        <v>4145</v>
      </c>
      <c r="G400" s="172">
        <v>1</v>
      </c>
      <c r="H400" s="171">
        <f>tbTransactions[[#This Row],[Qty]]*tbTransactions[[#This Row],[Unit Cost]]*tbTransactions[[#This Row],[Exchange Rate]]</f>
        <v>-45587.124500000005</v>
      </c>
      <c r="I400" s="148" t="s">
        <v>540</v>
      </c>
      <c r="J400" s="176" t="s">
        <v>22</v>
      </c>
      <c r="K400" s="163" t="str">
        <f>IF(tbTransactions[[#This Row],[Sub-Type]]="Transfer","Neutral",IF(tbTransactions[[#This Row],[Qty]]&lt;0,"Debit",IF(tbTransactions[[#This Row],[Qty]]&gt;0,"Credit","Neutral")))</f>
        <v>Neutral</v>
      </c>
      <c r="L400" s="163" t="s">
        <v>32</v>
      </c>
      <c r="M400" s="171" t="s">
        <v>543</v>
      </c>
    </row>
    <row r="401" spans="3:13" ht="30" customHeight="1" x14ac:dyDescent="0.25">
      <c r="C401" s="175">
        <v>399</v>
      </c>
      <c r="D401" s="163">
        <v>44427</v>
      </c>
      <c r="E401" s="171">
        <v>10.998100000000001</v>
      </c>
      <c r="F401" s="171">
        <v>4145</v>
      </c>
      <c r="G401" s="172">
        <v>1</v>
      </c>
      <c r="H401" s="171">
        <f>tbTransactions[[#This Row],[Qty]]*tbTransactions[[#This Row],[Unit Cost]]*tbTransactions[[#This Row],[Exchange Rate]]</f>
        <v>45587.124500000005</v>
      </c>
      <c r="I401" s="148" t="s">
        <v>542</v>
      </c>
      <c r="J401" s="176" t="s">
        <v>22</v>
      </c>
      <c r="K401" s="163" t="str">
        <f>IF(tbTransactions[[#This Row],[Sub-Type]]="Transfer","Neutral",IF(tbTransactions[[#This Row],[Qty]]&lt;0,"Debit",IF(tbTransactions[[#This Row],[Qty]]&gt;0,"Credit","Neutral")))</f>
        <v>Neutral</v>
      </c>
      <c r="L401" s="163" t="s">
        <v>32</v>
      </c>
      <c r="M401" s="171" t="s">
        <v>543</v>
      </c>
    </row>
    <row r="402" spans="3:13" ht="30" customHeight="1" x14ac:dyDescent="0.25">
      <c r="C402" s="175">
        <v>400</v>
      </c>
      <c r="D402" s="163">
        <v>44427</v>
      </c>
      <c r="E402" s="171">
        <v>2.8551168299999999E-2</v>
      </c>
      <c r="F402" s="171">
        <v>0</v>
      </c>
      <c r="G402" s="172">
        <v>1</v>
      </c>
      <c r="H402" s="171">
        <f>tbTransactions[[#This Row],[Qty]]*tbTransactions[[#This Row],[Unit Cost]]*tbTransactions[[#This Row],[Exchange Rate]]</f>
        <v>0</v>
      </c>
      <c r="I402" s="148" t="s">
        <v>511</v>
      </c>
      <c r="J402" s="176" t="s">
        <v>20</v>
      </c>
      <c r="K402" s="163" t="str">
        <f>IF(tbTransactions[[#This Row],[Sub-Type]]="Transfer","Neutral",IF(tbTransactions[[#This Row],[Qty]]&lt;0,"Debit",IF(tbTransactions[[#This Row],[Qty]]&gt;0,"Credit","Neutral")))</f>
        <v>Credit</v>
      </c>
      <c r="L402" s="163" t="s">
        <v>518</v>
      </c>
      <c r="M402" s="171" t="s">
        <v>465</v>
      </c>
    </row>
    <row r="403" spans="3:13" ht="30" customHeight="1" x14ac:dyDescent="0.25">
      <c r="C403" s="175">
        <v>401</v>
      </c>
      <c r="D403" s="163">
        <v>44428</v>
      </c>
      <c r="E403" s="171">
        <v>3.53788383E-2</v>
      </c>
      <c r="F403" s="171">
        <v>0</v>
      </c>
      <c r="G403" s="172">
        <v>1</v>
      </c>
      <c r="H403" s="171">
        <f>tbTransactions[[#This Row],[Qty]]*tbTransactions[[#This Row],[Unit Cost]]*tbTransactions[[#This Row],[Exchange Rate]]</f>
        <v>0</v>
      </c>
      <c r="I403" s="148" t="s">
        <v>511</v>
      </c>
      <c r="J403" s="176" t="s">
        <v>20</v>
      </c>
      <c r="K403" s="163" t="str">
        <f>IF(tbTransactions[[#This Row],[Sub-Type]]="Transfer","Neutral",IF(tbTransactions[[#This Row],[Qty]]&lt;0,"Debit",IF(tbTransactions[[#This Row],[Qty]]&gt;0,"Credit","Neutral")))</f>
        <v>Credit</v>
      </c>
      <c r="L403" s="163" t="s">
        <v>518</v>
      </c>
      <c r="M403" s="171" t="s">
        <v>465</v>
      </c>
    </row>
    <row r="404" spans="3:13" ht="30" customHeight="1" x14ac:dyDescent="0.25">
      <c r="C404" s="175">
        <v>402</v>
      </c>
      <c r="D404" s="163">
        <v>44429</v>
      </c>
      <c r="E404" s="171">
        <v>3.7230745500000002E-2</v>
      </c>
      <c r="F404" s="171">
        <v>0</v>
      </c>
      <c r="G404" s="172">
        <v>1</v>
      </c>
      <c r="H404" s="171">
        <f>tbTransactions[[#This Row],[Qty]]*tbTransactions[[#This Row],[Unit Cost]]*tbTransactions[[#This Row],[Exchange Rate]]</f>
        <v>0</v>
      </c>
      <c r="I404" s="148" t="s">
        <v>511</v>
      </c>
      <c r="J404" s="176" t="s">
        <v>20</v>
      </c>
      <c r="K404" s="163" t="str">
        <f>IF(tbTransactions[[#This Row],[Sub-Type]]="Transfer","Neutral",IF(tbTransactions[[#This Row],[Qty]]&lt;0,"Debit",IF(tbTransactions[[#This Row],[Qty]]&gt;0,"Credit","Neutral")))</f>
        <v>Credit</v>
      </c>
      <c r="L404" s="163" t="s">
        <v>518</v>
      </c>
      <c r="M404" s="171" t="s">
        <v>465</v>
      </c>
    </row>
    <row r="405" spans="3:13" ht="30" customHeight="1" x14ac:dyDescent="0.25">
      <c r="C405" s="175">
        <v>403</v>
      </c>
      <c r="D405" s="163">
        <v>44429</v>
      </c>
      <c r="E405" s="171">
        <v>0.103354</v>
      </c>
      <c r="F405" s="171">
        <v>0</v>
      </c>
      <c r="G405" s="172">
        <v>1</v>
      </c>
      <c r="H405" s="171">
        <f>tbTransactions[[#This Row],[Qty]]*tbTransactions[[#This Row],[Unit Cost]]*tbTransactions[[#This Row],[Exchange Rate]]</f>
        <v>0</v>
      </c>
      <c r="I405" s="148" t="s">
        <v>431</v>
      </c>
      <c r="J405" s="176" t="s">
        <v>18</v>
      </c>
      <c r="K405" s="163" t="str">
        <f>IF(tbTransactions[[#This Row],[Sub-Type]]="Transfer","Neutral",IF(tbTransactions[[#This Row],[Qty]]&lt;0,"Debit",IF(tbTransactions[[#This Row],[Qty]]&gt;0,"Credit","Neutral")))</f>
        <v>Credit</v>
      </c>
      <c r="L405" s="163" t="s">
        <v>518</v>
      </c>
      <c r="M405" s="171" t="s">
        <v>40</v>
      </c>
    </row>
    <row r="406" spans="3:13" ht="30" customHeight="1" x14ac:dyDescent="0.25">
      <c r="C406" s="175">
        <v>404</v>
      </c>
      <c r="D406" s="163">
        <v>44430</v>
      </c>
      <c r="E406" s="171">
        <f>2299.1-2292.7</f>
        <v>6.4000000000000909</v>
      </c>
      <c r="F406" s="171">
        <v>0</v>
      </c>
      <c r="G406" s="172">
        <v>1</v>
      </c>
      <c r="H406" s="171">
        <f>tbTransactions[[#This Row],[Qty]]*tbTransactions[[#This Row],[Unit Cost]]*tbTransactions[[#This Row],[Exchange Rate]]</f>
        <v>0</v>
      </c>
      <c r="I406" s="148" t="s">
        <v>527</v>
      </c>
      <c r="J406" s="176" t="s">
        <v>496</v>
      </c>
      <c r="K406" s="163" t="str">
        <f>IF(tbTransactions[[#This Row],[Sub-Type]]="Transfer","Neutral",IF(tbTransactions[[#This Row],[Qty]]&lt;0,"Debit",IF(tbTransactions[[#This Row],[Qty]]&gt;0,"Credit","Neutral")))</f>
        <v>Credit</v>
      </c>
      <c r="L406" s="171" t="s">
        <v>530</v>
      </c>
      <c r="M406" s="171" t="s">
        <v>550</v>
      </c>
    </row>
    <row r="407" spans="3:13" ht="30" customHeight="1" x14ac:dyDescent="0.25">
      <c r="C407" s="175">
        <v>405</v>
      </c>
      <c r="D407" s="163">
        <v>44430</v>
      </c>
      <c r="E407" s="171">
        <v>3.1239417200000001E-2</v>
      </c>
      <c r="F407" s="171">
        <v>0</v>
      </c>
      <c r="G407" s="172">
        <v>1</v>
      </c>
      <c r="H407" s="171">
        <f>tbTransactions[[#This Row],[Qty]]*tbTransactions[[#This Row],[Unit Cost]]*tbTransactions[[#This Row],[Exchange Rate]]</f>
        <v>0</v>
      </c>
      <c r="I407" s="148" t="s">
        <v>511</v>
      </c>
      <c r="J407" s="176" t="s">
        <v>20</v>
      </c>
      <c r="K407" s="163" t="str">
        <f>IF(tbTransactions[[#This Row],[Sub-Type]]="Transfer","Neutral",IF(tbTransactions[[#This Row],[Qty]]&lt;0,"Debit",IF(tbTransactions[[#This Row],[Qty]]&gt;0,"Credit","Neutral")))</f>
        <v>Credit</v>
      </c>
      <c r="L407" s="163" t="s">
        <v>518</v>
      </c>
      <c r="M407" s="171" t="s">
        <v>465</v>
      </c>
    </row>
    <row r="408" spans="3:13" ht="30" customHeight="1" x14ac:dyDescent="0.25">
      <c r="C408" s="175">
        <v>406</v>
      </c>
      <c r="D408" s="163">
        <v>44431</v>
      </c>
      <c r="E408" s="171">
        <v>-4661</v>
      </c>
      <c r="F408" s="171">
        <v>3.78</v>
      </c>
      <c r="G408" s="172">
        <v>1</v>
      </c>
      <c r="H408" s="171">
        <f>tbTransactions[[#This Row],[Qty]]*tbTransactions[[#This Row],[Unit Cost]]*tbTransactions[[#This Row],[Exchange Rate]]</f>
        <v>-17618.579999999998</v>
      </c>
      <c r="I408" s="148" t="s">
        <v>507</v>
      </c>
      <c r="J408" s="176" t="s">
        <v>17</v>
      </c>
      <c r="K408" s="163" t="str">
        <f>IF(tbTransactions[[#This Row],[Sub-Type]]="Transfer","Neutral",IF(tbTransactions[[#This Row],[Qty]]&lt;0,"Debit",IF(tbTransactions[[#This Row],[Qty]]&gt;0,"Credit","Neutral")))</f>
        <v>Neutral</v>
      </c>
      <c r="L408" s="163" t="s">
        <v>32</v>
      </c>
      <c r="M408" s="171" t="s">
        <v>548</v>
      </c>
    </row>
    <row r="409" spans="3:13" ht="30" customHeight="1" x14ac:dyDescent="0.25">
      <c r="C409" s="175">
        <v>407</v>
      </c>
      <c r="D409" s="163">
        <v>44431</v>
      </c>
      <c r="E409" s="171">
        <v>-0.218858</v>
      </c>
      <c r="F409" s="171">
        <v>3.78</v>
      </c>
      <c r="G409" s="172">
        <v>1</v>
      </c>
      <c r="H409" s="171">
        <f>tbTransactions[[#This Row],[Qty]]*tbTransactions[[#This Row],[Unit Cost]]*tbTransactions[[#This Row],[Exchange Rate]]</f>
        <v>-0.82728323999999998</v>
      </c>
      <c r="I409" s="148" t="s">
        <v>507</v>
      </c>
      <c r="J409" s="176" t="s">
        <v>17</v>
      </c>
      <c r="K409" s="163" t="str">
        <f>IF(tbTransactions[[#This Row],[Sub-Type]]="Transfer","Neutral",IF(tbTransactions[[#This Row],[Qty]]&lt;0,"Debit",IF(tbTransactions[[#This Row],[Qty]]&gt;0,"Credit","Neutral")))</f>
        <v>Debit</v>
      </c>
      <c r="L409" s="163" t="s">
        <v>12</v>
      </c>
      <c r="M409" s="171" t="s">
        <v>548</v>
      </c>
    </row>
    <row r="410" spans="3:13" ht="30" customHeight="1" x14ac:dyDescent="0.25">
      <c r="C410" s="175">
        <v>408</v>
      </c>
      <c r="D410" s="163">
        <v>44431</v>
      </c>
      <c r="E410" s="171">
        <v>4661</v>
      </c>
      <c r="F410" s="171">
        <v>3.78</v>
      </c>
      <c r="G410" s="172">
        <v>1</v>
      </c>
      <c r="H410" s="171">
        <f>tbTransactions[[#This Row],[Qty]]*tbTransactions[[#This Row],[Unit Cost]]*tbTransactions[[#This Row],[Exchange Rate]]</f>
        <v>17618.579999999998</v>
      </c>
      <c r="I410" s="148" t="s">
        <v>504</v>
      </c>
      <c r="J410" s="176" t="s">
        <v>17</v>
      </c>
      <c r="K410" s="163" t="str">
        <f>IF(tbTransactions[[#This Row],[Sub-Type]]="Transfer","Neutral",IF(tbTransactions[[#This Row],[Qty]]&lt;0,"Debit",IF(tbTransactions[[#This Row],[Qty]]&gt;0,"Credit","Neutral")))</f>
        <v>Neutral</v>
      </c>
      <c r="L410" s="163" t="s">
        <v>32</v>
      </c>
      <c r="M410" s="171" t="s">
        <v>548</v>
      </c>
    </row>
    <row r="411" spans="3:13" ht="30" customHeight="1" x14ac:dyDescent="0.25">
      <c r="C411" s="175">
        <v>409</v>
      </c>
      <c r="D411" s="163">
        <v>44431</v>
      </c>
      <c r="E411" s="171">
        <v>-4661</v>
      </c>
      <c r="F411" s="171">
        <v>3.6211980000000001</v>
      </c>
      <c r="G411" s="172">
        <v>1</v>
      </c>
      <c r="H411" s="171">
        <f>tbTransactions[[#This Row],[Qty]]*tbTransactions[[#This Row],[Unit Cost]]*tbTransactions[[#This Row],[Exchange Rate]]</f>
        <v>-16878.403878000001</v>
      </c>
      <c r="I411" s="148" t="s">
        <v>504</v>
      </c>
      <c r="J411" s="176" t="s">
        <v>17</v>
      </c>
      <c r="K411" s="163" t="str">
        <f>IF(tbTransactions[[#This Row],[Sub-Type]]="Transfer","Neutral",IF(tbTransactions[[#This Row],[Qty]]&lt;0,"Debit",IF(tbTransactions[[#This Row],[Qty]]&gt;0,"Credit","Neutral")))</f>
        <v>Debit</v>
      </c>
      <c r="L411" s="163" t="s">
        <v>12</v>
      </c>
      <c r="M411" s="163" t="s">
        <v>549</v>
      </c>
    </row>
    <row r="412" spans="3:13" ht="30" customHeight="1" x14ac:dyDescent="0.25">
      <c r="C412" s="175">
        <v>410</v>
      </c>
      <c r="D412" s="163">
        <v>44431</v>
      </c>
      <c r="E412" s="171">
        <f>16844.65-16878.4039</f>
        <v>-33.753899999999703</v>
      </c>
      <c r="F412" s="171">
        <v>1</v>
      </c>
      <c r="G412" s="172">
        <v>1</v>
      </c>
      <c r="H412" s="171">
        <f>tbTransactions[[#This Row],[Qty]]*tbTransactions[[#This Row],[Unit Cost]]*tbTransactions[[#This Row],[Exchange Rate]]</f>
        <v>-33.753899999999703</v>
      </c>
      <c r="I412" s="148" t="s">
        <v>504</v>
      </c>
      <c r="J412" s="176" t="s">
        <v>411</v>
      </c>
      <c r="K412" s="163" t="str">
        <f>IF(tbTransactions[[#This Row],[Sub-Type]]="Transfer","Neutral",IF(tbTransactions[[#This Row],[Qty]]&lt;0,"Debit",IF(tbTransactions[[#This Row],[Qty]]&gt;0,"Credit","Neutral")))</f>
        <v>Debit</v>
      </c>
      <c r="L412" s="163" t="s">
        <v>12</v>
      </c>
      <c r="M412" s="163" t="s">
        <v>549</v>
      </c>
    </row>
    <row r="413" spans="3:13" ht="30" customHeight="1" x14ac:dyDescent="0.25">
      <c r="C413" s="175">
        <v>411</v>
      </c>
      <c r="D413" s="163">
        <v>44431</v>
      </c>
      <c r="E413" s="171">
        <v>16878.403900000001</v>
      </c>
      <c r="F413" s="171">
        <v>1</v>
      </c>
      <c r="G413" s="172">
        <v>1</v>
      </c>
      <c r="H413" s="171">
        <f>tbTransactions[[#This Row],[Qty]]*tbTransactions[[#This Row],[Unit Cost]]*tbTransactions[[#This Row],[Exchange Rate]]</f>
        <v>16878.403900000001</v>
      </c>
      <c r="I413" s="148" t="s">
        <v>504</v>
      </c>
      <c r="J413" s="176" t="s">
        <v>411</v>
      </c>
      <c r="K413" s="163" t="str">
        <f>IF(tbTransactions[[#This Row],[Sub-Type]]="Transfer","Neutral",IF(tbTransactions[[#This Row],[Qty]]&lt;0,"Debit",IF(tbTransactions[[#This Row],[Qty]]&gt;0,"Credit","Neutral")))</f>
        <v>Credit</v>
      </c>
      <c r="L413" s="163" t="s">
        <v>500</v>
      </c>
      <c r="M413" s="163" t="s">
        <v>549</v>
      </c>
    </row>
    <row r="414" spans="3:13" ht="30" customHeight="1" x14ac:dyDescent="0.25">
      <c r="C414" s="175">
        <v>412</v>
      </c>
      <c r="D414" s="163">
        <v>44431</v>
      </c>
      <c r="E414" s="171">
        <v>-16832</v>
      </c>
      <c r="F414" s="171">
        <v>1</v>
      </c>
      <c r="G414" s="172">
        <v>1</v>
      </c>
      <c r="H414" s="171">
        <f>tbTransactions[[#This Row],[Qty]]*tbTransactions[[#This Row],[Unit Cost]]*tbTransactions[[#This Row],[Exchange Rate]]</f>
        <v>-16832</v>
      </c>
      <c r="I414" s="148" t="s">
        <v>504</v>
      </c>
      <c r="J414" s="176" t="s">
        <v>411</v>
      </c>
      <c r="K414" s="163" t="str">
        <f>IF(tbTransactions[[#This Row],[Sub-Type]]="Transfer","Neutral",IF(tbTransactions[[#This Row],[Qty]]&lt;0,"Debit",IF(tbTransactions[[#This Row],[Qty]]&gt;0,"Credit","Neutral")))</f>
        <v>Debit</v>
      </c>
      <c r="L414" s="163" t="s">
        <v>501</v>
      </c>
      <c r="M414" s="171" t="s">
        <v>494</v>
      </c>
    </row>
    <row r="415" spans="3:13" ht="30" customHeight="1" x14ac:dyDescent="0.25">
      <c r="C415" s="175">
        <v>413</v>
      </c>
      <c r="D415" s="163">
        <v>44431</v>
      </c>
      <c r="E415" s="171">
        <v>12986.62352234</v>
      </c>
      <c r="F415" s="171">
        <v>1.26</v>
      </c>
      <c r="G415" s="172">
        <v>1</v>
      </c>
      <c r="H415" s="171">
        <f>tbTransactions[[#This Row],[Qty]]*tbTransactions[[#This Row],[Unit Cost]]*tbTransactions[[#This Row],[Exchange Rate]]</f>
        <v>16363.1456381484</v>
      </c>
      <c r="I415" s="148" t="s">
        <v>504</v>
      </c>
      <c r="J415" s="176" t="s">
        <v>496</v>
      </c>
      <c r="K415" s="163" t="str">
        <f>IF(tbTransactions[[#This Row],[Sub-Type]]="Transfer","Neutral",IF(tbTransactions[[#This Row],[Qty]]&lt;0,"Debit",IF(tbTransactions[[#This Row],[Qty]]&gt;0,"Credit","Neutral")))</f>
        <v>Credit</v>
      </c>
      <c r="L415" s="163" t="s">
        <v>505</v>
      </c>
      <c r="M415" s="171" t="s">
        <v>494</v>
      </c>
    </row>
    <row r="416" spans="3:13" ht="30" customHeight="1" x14ac:dyDescent="0.25">
      <c r="C416" s="175">
        <v>414</v>
      </c>
      <c r="D416" s="163">
        <v>44431</v>
      </c>
      <c r="E416" s="171">
        <v>3.2678430000000001</v>
      </c>
      <c r="F416" s="171">
        <v>0</v>
      </c>
      <c r="G416" s="172">
        <v>1</v>
      </c>
      <c r="H416" s="171">
        <f>tbTransactions[[#This Row],[Qty]]*tbTransactions[[#This Row],[Unit Cost]]*tbTransactions[[#This Row],[Exchange Rate]]</f>
        <v>0</v>
      </c>
      <c r="I416" s="148" t="s">
        <v>507</v>
      </c>
      <c r="J416" s="176" t="s">
        <v>17</v>
      </c>
      <c r="K416" s="163" t="str">
        <f>IF(tbTransactions[[#This Row],[Sub-Type]]="Transfer","Neutral",IF(tbTransactions[[#This Row],[Qty]]&lt;0,"Debit",IF(tbTransactions[[#This Row],[Qty]]&gt;0,"Credit","Neutral")))</f>
        <v>Credit</v>
      </c>
      <c r="L416" s="163" t="s">
        <v>518</v>
      </c>
      <c r="M416" s="171" t="s">
        <v>427</v>
      </c>
    </row>
    <row r="417" spans="3:13" ht="30" customHeight="1" x14ac:dyDescent="0.25">
      <c r="C417" s="175">
        <v>415</v>
      </c>
      <c r="D417" s="163">
        <v>44431</v>
      </c>
      <c r="E417" s="171">
        <v>3.18846713E-2</v>
      </c>
      <c r="F417" s="171">
        <v>0</v>
      </c>
      <c r="G417" s="172">
        <v>1</v>
      </c>
      <c r="H417" s="171">
        <f>tbTransactions[[#This Row],[Qty]]*tbTransactions[[#This Row],[Unit Cost]]*tbTransactions[[#This Row],[Exchange Rate]]</f>
        <v>0</v>
      </c>
      <c r="I417" s="148" t="s">
        <v>511</v>
      </c>
      <c r="J417" s="176" t="s">
        <v>20</v>
      </c>
      <c r="K417" s="163" t="str">
        <f>IF(tbTransactions[[#This Row],[Sub-Type]]="Transfer","Neutral",IF(tbTransactions[[#This Row],[Qty]]&lt;0,"Debit",IF(tbTransactions[[#This Row],[Qty]]&gt;0,"Credit","Neutral")))</f>
        <v>Credit</v>
      </c>
      <c r="L417" s="163" t="s">
        <v>518</v>
      </c>
      <c r="M417" s="171" t="s">
        <v>465</v>
      </c>
    </row>
    <row r="418" spans="3:13" ht="30" customHeight="1" x14ac:dyDescent="0.25">
      <c r="C418" s="175">
        <v>416</v>
      </c>
      <c r="D418" s="163">
        <v>44432</v>
      </c>
      <c r="E418" s="171">
        <v>3.4395084200000002E-2</v>
      </c>
      <c r="F418" s="171">
        <v>0</v>
      </c>
      <c r="G418" s="172">
        <v>1</v>
      </c>
      <c r="H418" s="171">
        <f>tbTransactions[[#This Row],[Qty]]*tbTransactions[[#This Row],[Unit Cost]]*tbTransactions[[#This Row],[Exchange Rate]]</f>
        <v>0</v>
      </c>
      <c r="I418" s="148" t="s">
        <v>511</v>
      </c>
      <c r="J418" s="176" t="s">
        <v>20</v>
      </c>
      <c r="K418" s="163" t="str">
        <f>IF(tbTransactions[[#This Row],[Sub-Type]]="Transfer","Neutral",IF(tbTransactions[[#This Row],[Qty]]&lt;0,"Debit",IF(tbTransactions[[#This Row],[Qty]]&gt;0,"Credit","Neutral")))</f>
        <v>Credit</v>
      </c>
      <c r="L418" s="163" t="s">
        <v>518</v>
      </c>
      <c r="M418" s="171" t="s">
        <v>465</v>
      </c>
    </row>
    <row r="419" spans="3:13" ht="30" customHeight="1" x14ac:dyDescent="0.25">
      <c r="C419" s="175">
        <v>417</v>
      </c>
      <c r="D419" s="163">
        <v>44433</v>
      </c>
      <c r="E419" s="171">
        <v>2.78632462E-2</v>
      </c>
      <c r="F419" s="171">
        <v>0</v>
      </c>
      <c r="G419" s="172">
        <v>1</v>
      </c>
      <c r="H419" s="171">
        <f>tbTransactions[[#This Row],[Qty]]*tbTransactions[[#This Row],[Unit Cost]]*tbTransactions[[#This Row],[Exchange Rate]]</f>
        <v>0</v>
      </c>
      <c r="I419" s="148" t="s">
        <v>511</v>
      </c>
      <c r="J419" s="176" t="s">
        <v>20</v>
      </c>
      <c r="K419" s="163" t="str">
        <f>IF(tbTransactions[[#This Row],[Sub-Type]]="Transfer","Neutral",IF(tbTransactions[[#This Row],[Qty]]&lt;0,"Debit",IF(tbTransactions[[#This Row],[Qty]]&gt;0,"Credit","Neutral")))</f>
        <v>Credit</v>
      </c>
      <c r="L419" s="163" t="s">
        <v>518</v>
      </c>
      <c r="M419" s="171" t="s">
        <v>465</v>
      </c>
    </row>
    <row r="420" spans="3:13" ht="30" customHeight="1" x14ac:dyDescent="0.25">
      <c r="C420" s="175">
        <v>418</v>
      </c>
      <c r="D420" s="163">
        <v>44434</v>
      </c>
      <c r="E420" s="171">
        <v>-15</v>
      </c>
      <c r="F420" s="171">
        <v>1.26</v>
      </c>
      <c r="G420" s="172">
        <v>1</v>
      </c>
      <c r="H420" s="171">
        <f>tbTransactions[[#This Row],[Qty]]*tbTransactions[[#This Row],[Unit Cost]]*tbTransactions[[#This Row],[Exchange Rate]]</f>
        <v>-18.899999999999999</v>
      </c>
      <c r="I420" s="148" t="s">
        <v>759</v>
      </c>
      <c r="J420" s="176" t="s">
        <v>496</v>
      </c>
      <c r="K420" s="163" t="str">
        <f>IF(tbTransactions[[#This Row],[Sub-Type]]="Transfer","Neutral",IF(tbTransactions[[#This Row],[Qty]]&lt;0,"Debit",IF(tbTransactions[[#This Row],[Qty]]&gt;0,"Credit","Neutral")))</f>
        <v>Neutral</v>
      </c>
      <c r="L420" s="163" t="s">
        <v>32</v>
      </c>
      <c r="M420" s="171" t="s">
        <v>495</v>
      </c>
    </row>
    <row r="421" spans="3:13" ht="30" customHeight="1" x14ac:dyDescent="0.25">
      <c r="C421" s="175">
        <v>419</v>
      </c>
      <c r="D421" s="163">
        <v>44434</v>
      </c>
      <c r="E421" s="171">
        <v>-12971.62352234</v>
      </c>
      <c r="F421" s="171">
        <v>1.26</v>
      </c>
      <c r="G421" s="172">
        <v>1</v>
      </c>
      <c r="H421" s="171">
        <f>tbTransactions[[#This Row],[Qty]]*tbTransactions[[#This Row],[Unit Cost]]*tbTransactions[[#This Row],[Exchange Rate]]</f>
        <v>-16344.245638148401</v>
      </c>
      <c r="I421" s="148" t="s">
        <v>504</v>
      </c>
      <c r="J421" s="176" t="s">
        <v>496</v>
      </c>
      <c r="K421" s="163" t="str">
        <f>IF(tbTransactions[[#This Row],[Sub-Type]]="Transfer","Neutral",IF(tbTransactions[[#This Row],[Qty]]&lt;0,"Debit",IF(tbTransactions[[#This Row],[Qty]]&gt;0,"Credit","Neutral")))</f>
        <v>Debit</v>
      </c>
      <c r="L421" s="163" t="s">
        <v>12</v>
      </c>
      <c r="M421" s="171" t="s">
        <v>495</v>
      </c>
    </row>
    <row r="422" spans="3:13" ht="30" customHeight="1" x14ac:dyDescent="0.25">
      <c r="C422" s="175">
        <v>420</v>
      </c>
      <c r="D422" s="163">
        <v>44434</v>
      </c>
      <c r="E422" s="171">
        <f>12971.62352234+E420</f>
        <v>12956.62352234</v>
      </c>
      <c r="F422" s="171">
        <v>1.26</v>
      </c>
      <c r="G422" s="172">
        <v>1</v>
      </c>
      <c r="H422" s="171">
        <f>tbTransactions[[#This Row],[Qty]]*tbTransactions[[#This Row],[Unit Cost]]*tbTransactions[[#This Row],[Exchange Rate]]</f>
        <v>16325.345638148399</v>
      </c>
      <c r="I422" s="148" t="s">
        <v>759</v>
      </c>
      <c r="J422" s="176" t="s">
        <v>496</v>
      </c>
      <c r="K422" s="163" t="str">
        <f>IF(tbTransactions[[#This Row],[Sub-Type]]="Transfer","Neutral",IF(tbTransactions[[#This Row],[Qty]]&lt;0,"Debit",IF(tbTransactions[[#This Row],[Qty]]&gt;0,"Credit","Neutral")))</f>
        <v>Neutral</v>
      </c>
      <c r="L422" s="163" t="s">
        <v>32</v>
      </c>
      <c r="M422" s="171" t="s">
        <v>495</v>
      </c>
    </row>
    <row r="423" spans="3:13" ht="30" customHeight="1" x14ac:dyDescent="0.25">
      <c r="C423" s="175">
        <v>421</v>
      </c>
      <c r="D423" s="163">
        <v>44434</v>
      </c>
      <c r="E423" s="171">
        <v>-9.4467004982726702E-3</v>
      </c>
      <c r="F423" s="171">
        <v>3926</v>
      </c>
      <c r="G423" s="172">
        <v>1</v>
      </c>
      <c r="H423" s="171">
        <f>tbTransactions[[#This Row],[Qty]]*tbTransactions[[#This Row],[Unit Cost]]*tbTransactions[[#This Row],[Exchange Rate]]</f>
        <v>-37.0877461562185</v>
      </c>
      <c r="I423" s="148" t="s">
        <v>759</v>
      </c>
      <c r="J423" s="176" t="s">
        <v>496</v>
      </c>
      <c r="K423" s="163" t="str">
        <f>IF(tbTransactions[[#This Row],[Sub-Type]]="Transfer","Neutral",IF(tbTransactions[[#This Row],[Qty]]&lt;0,"Debit",IF(tbTransactions[[#This Row],[Qty]]&gt;0,"Credit","Neutral")))</f>
        <v>Debit</v>
      </c>
      <c r="L423" s="163" t="s">
        <v>12</v>
      </c>
      <c r="M423" s="171" t="s">
        <v>539</v>
      </c>
    </row>
    <row r="424" spans="3:13" ht="30" customHeight="1" x14ac:dyDescent="0.25">
      <c r="C424" s="175">
        <v>422</v>
      </c>
      <c r="D424" s="163">
        <v>44434</v>
      </c>
      <c r="E424" s="171">
        <v>-12994.782076</v>
      </c>
      <c r="F424" s="171">
        <v>1.26</v>
      </c>
      <c r="G424" s="172">
        <v>1</v>
      </c>
      <c r="H424" s="171">
        <f>tbTransactions[[#This Row],[Qty]]*tbTransactions[[#This Row],[Unit Cost]]*tbTransactions[[#This Row],[Exchange Rate]]</f>
        <v>-16373.425415759999</v>
      </c>
      <c r="I424" s="148" t="s">
        <v>759</v>
      </c>
      <c r="J424" s="176" t="s">
        <v>496</v>
      </c>
      <c r="K424" s="163" t="str">
        <f>IF(tbTransactions[[#This Row],[Sub-Type]]="Transfer","Neutral",IF(tbTransactions[[#This Row],[Qty]]&lt;0,"Debit",IF(tbTransactions[[#This Row],[Qty]]&gt;0,"Credit","Neutral")))</f>
        <v>Neutral</v>
      </c>
      <c r="L424" s="163" t="s">
        <v>32</v>
      </c>
      <c r="M424" s="171" t="s">
        <v>539</v>
      </c>
    </row>
    <row r="425" spans="3:13" ht="30" customHeight="1" x14ac:dyDescent="0.25">
      <c r="C425" s="175">
        <v>423</v>
      </c>
      <c r="D425" s="163">
        <v>44434</v>
      </c>
      <c r="E425" s="171">
        <v>12994.782076</v>
      </c>
      <c r="F425" s="171">
        <v>1.26</v>
      </c>
      <c r="G425" s="172">
        <v>1</v>
      </c>
      <c r="H425" s="171">
        <f>tbTransactions[[#This Row],[Qty]]*tbTransactions[[#This Row],[Unit Cost]]*tbTransactions[[#This Row],[Exchange Rate]]</f>
        <v>16373.425415759999</v>
      </c>
      <c r="I425" s="148" t="s">
        <v>527</v>
      </c>
      <c r="J425" s="176" t="s">
        <v>496</v>
      </c>
      <c r="K425" s="163" t="str">
        <f>IF(tbTransactions[[#This Row],[Sub-Type]]="Transfer","Neutral",IF(tbTransactions[[#This Row],[Qty]]&lt;0,"Debit",IF(tbTransactions[[#This Row],[Qty]]&gt;0,"Credit","Neutral")))</f>
        <v>Neutral</v>
      </c>
      <c r="L425" s="163" t="s">
        <v>32</v>
      </c>
      <c r="M425" s="171" t="s">
        <v>539</v>
      </c>
    </row>
    <row r="426" spans="3:13" ht="30" customHeight="1" x14ac:dyDescent="0.25">
      <c r="C426" s="175">
        <v>424</v>
      </c>
      <c r="D426" s="163">
        <v>44434</v>
      </c>
      <c r="E426" s="171">
        <v>14.597924359999499</v>
      </c>
      <c r="F426" s="171">
        <v>1.26</v>
      </c>
      <c r="G426" s="172">
        <v>1</v>
      </c>
      <c r="H426" s="171">
        <f>tbTransactions[[#This Row],[Qty]]*tbTransactions[[#This Row],[Unit Cost]]*tbTransactions[[#This Row],[Exchange Rate]]</f>
        <v>18.393384693599369</v>
      </c>
      <c r="I426" s="148" t="s">
        <v>527</v>
      </c>
      <c r="J426" s="176" t="s">
        <v>496</v>
      </c>
      <c r="K426" s="163" t="str">
        <f>IF(tbTransactions[[#This Row],[Sub-Type]]="Transfer","Neutral",IF(tbTransactions[[#This Row],[Qty]]&lt;0,"Debit",IF(tbTransactions[[#This Row],[Qty]]&gt;0,"Credit","Neutral")))</f>
        <v>Credit</v>
      </c>
      <c r="L426" s="163" t="s">
        <v>29</v>
      </c>
      <c r="M426" s="171"/>
    </row>
    <row r="427" spans="3:13" ht="30" customHeight="1" x14ac:dyDescent="0.25">
      <c r="C427" s="175">
        <v>425</v>
      </c>
      <c r="D427" s="163">
        <v>44434</v>
      </c>
      <c r="E427" s="171">
        <v>3.0254626199999999E-2</v>
      </c>
      <c r="F427" s="171">
        <v>0</v>
      </c>
      <c r="G427" s="172">
        <v>1</v>
      </c>
      <c r="H427" s="171">
        <f>tbTransactions[[#This Row],[Qty]]*tbTransactions[[#This Row],[Unit Cost]]*tbTransactions[[#This Row],[Exchange Rate]]</f>
        <v>0</v>
      </c>
      <c r="I427" s="148" t="s">
        <v>511</v>
      </c>
      <c r="J427" s="176" t="s">
        <v>20</v>
      </c>
      <c r="K427" s="163" t="str">
        <f>IF(tbTransactions[[#This Row],[Sub-Type]]="Transfer","Neutral",IF(tbTransactions[[#This Row],[Qty]]&lt;0,"Debit",IF(tbTransactions[[#This Row],[Qty]]&gt;0,"Credit","Neutral")))</f>
        <v>Credit</v>
      </c>
      <c r="L427" s="163" t="s">
        <v>518</v>
      </c>
      <c r="M427" s="171" t="s">
        <v>465</v>
      </c>
    </row>
    <row r="428" spans="3:13" ht="30" customHeight="1" x14ac:dyDescent="0.25">
      <c r="C428" s="175">
        <v>426</v>
      </c>
      <c r="D428" s="163">
        <v>44435</v>
      </c>
      <c r="E428" s="171">
        <v>2.8570834199999999E-2</v>
      </c>
      <c r="F428" s="171">
        <v>0</v>
      </c>
      <c r="G428" s="172">
        <v>1</v>
      </c>
      <c r="H428" s="171">
        <f>tbTransactions[[#This Row],[Qty]]*tbTransactions[[#This Row],[Unit Cost]]*tbTransactions[[#This Row],[Exchange Rate]]</f>
        <v>0</v>
      </c>
      <c r="I428" s="148" t="s">
        <v>511</v>
      </c>
      <c r="J428" s="176" t="s">
        <v>20</v>
      </c>
      <c r="K428" s="163" t="str">
        <f>IF(tbTransactions[[#This Row],[Sub-Type]]="Transfer","Neutral",IF(tbTransactions[[#This Row],[Qty]]&lt;0,"Debit",IF(tbTransactions[[#This Row],[Qty]]&gt;0,"Credit","Neutral")))</f>
        <v>Credit</v>
      </c>
      <c r="L428" s="163" t="s">
        <v>518</v>
      </c>
      <c r="M428" s="171" t="s">
        <v>465</v>
      </c>
    </row>
    <row r="429" spans="3:13" ht="30" customHeight="1" x14ac:dyDescent="0.25">
      <c r="C429" s="175">
        <v>427</v>
      </c>
      <c r="D429" s="163">
        <v>44436</v>
      </c>
      <c r="E429" s="171">
        <v>2.5957194100000001E-2</v>
      </c>
      <c r="F429" s="171">
        <v>0</v>
      </c>
      <c r="G429" s="172">
        <v>1</v>
      </c>
      <c r="H429" s="171">
        <f>tbTransactions[[#This Row],[Qty]]*tbTransactions[[#This Row],[Unit Cost]]*tbTransactions[[#This Row],[Exchange Rate]]</f>
        <v>0</v>
      </c>
      <c r="I429" s="148" t="s">
        <v>511</v>
      </c>
      <c r="J429" s="176" t="s">
        <v>20</v>
      </c>
      <c r="K429" s="163" t="str">
        <f>IF(tbTransactions[[#This Row],[Sub-Type]]="Transfer","Neutral",IF(tbTransactions[[#This Row],[Qty]]&lt;0,"Debit",IF(tbTransactions[[#This Row],[Qty]]&gt;0,"Credit","Neutral")))</f>
        <v>Credit</v>
      </c>
      <c r="L429" s="163" t="s">
        <v>518</v>
      </c>
      <c r="M429" s="171" t="s">
        <v>465</v>
      </c>
    </row>
    <row r="430" spans="3:13" ht="30" customHeight="1" x14ac:dyDescent="0.25">
      <c r="C430" s="175">
        <v>428</v>
      </c>
      <c r="D430" s="163">
        <v>44436</v>
      </c>
      <c r="E430" s="171">
        <v>5.3169100000000002E-3</v>
      </c>
      <c r="F430" s="171">
        <v>0</v>
      </c>
      <c r="G430" s="172">
        <v>1</v>
      </c>
      <c r="H430" s="171">
        <f>tbTransactions[[#This Row],[Qty]]*tbTransactions[[#This Row],[Unit Cost]]*tbTransactions[[#This Row],[Exchange Rate]]</f>
        <v>0</v>
      </c>
      <c r="I430" s="148" t="s">
        <v>542</v>
      </c>
      <c r="J430" s="176" t="s">
        <v>22</v>
      </c>
      <c r="K430" s="163" t="str">
        <f>IF(tbTransactions[[#This Row],[Sub-Type]]="Transfer","Neutral",IF(tbTransactions[[#This Row],[Qty]]&lt;0,"Debit",IF(tbTransactions[[#This Row],[Qty]]&gt;0,"Credit","Neutral")))</f>
        <v>Credit</v>
      </c>
      <c r="L430" s="163" t="s">
        <v>518</v>
      </c>
      <c r="M430" s="171" t="s">
        <v>556</v>
      </c>
    </row>
    <row r="431" spans="3:13" ht="30" customHeight="1" x14ac:dyDescent="0.25">
      <c r="C431" s="175">
        <v>429</v>
      </c>
      <c r="D431" s="163">
        <v>44436</v>
      </c>
      <c r="E431" s="171">
        <v>3.7076820000000001</v>
      </c>
      <c r="F431" s="171">
        <v>0</v>
      </c>
      <c r="G431" s="172">
        <v>1</v>
      </c>
      <c r="H431" s="171">
        <f>tbTransactions[[#This Row],[Qty]]*tbTransactions[[#This Row],[Unit Cost]]*tbTransactions[[#This Row],[Exchange Rate]]</f>
        <v>0</v>
      </c>
      <c r="I431" s="148" t="s">
        <v>507</v>
      </c>
      <c r="J431" s="176" t="s">
        <v>17</v>
      </c>
      <c r="K431" s="163" t="str">
        <f>IF(tbTransactions[[#This Row],[Sub-Type]]="Transfer","Neutral",IF(tbTransactions[[#This Row],[Qty]]&lt;0,"Debit",IF(tbTransactions[[#This Row],[Qty]]&gt;0,"Credit","Neutral")))</f>
        <v>Credit</v>
      </c>
      <c r="L431" s="163" t="s">
        <v>518</v>
      </c>
      <c r="M431" s="171" t="s">
        <v>427</v>
      </c>
    </row>
    <row r="432" spans="3:13" ht="30" customHeight="1" x14ac:dyDescent="0.25">
      <c r="C432" s="175">
        <v>430</v>
      </c>
      <c r="D432" s="163">
        <v>44437</v>
      </c>
      <c r="E432" s="171">
        <v>2.7771795200000001E-2</v>
      </c>
      <c r="F432" s="171">
        <v>0</v>
      </c>
      <c r="G432" s="172">
        <v>1</v>
      </c>
      <c r="H432" s="171">
        <f>tbTransactions[[#This Row],[Qty]]*tbTransactions[[#This Row],[Unit Cost]]*tbTransactions[[#This Row],[Exchange Rate]]</f>
        <v>0</v>
      </c>
      <c r="I432" s="148" t="s">
        <v>511</v>
      </c>
      <c r="J432" s="176" t="s">
        <v>20</v>
      </c>
      <c r="K432" s="163" t="str">
        <f>IF(tbTransactions[[#This Row],[Sub-Type]]="Transfer","Neutral",IF(tbTransactions[[#This Row],[Qty]]&lt;0,"Debit",IF(tbTransactions[[#This Row],[Qty]]&gt;0,"Credit","Neutral")))</f>
        <v>Credit</v>
      </c>
      <c r="L432" s="163" t="s">
        <v>518</v>
      </c>
      <c r="M432" s="171" t="s">
        <v>465</v>
      </c>
    </row>
    <row r="433" spans="3:13" ht="30" customHeight="1" x14ac:dyDescent="0.25">
      <c r="C433" s="175">
        <v>431</v>
      </c>
      <c r="D433" s="163">
        <v>44438</v>
      </c>
      <c r="E433" s="171">
        <v>2.87112606E-2</v>
      </c>
      <c r="F433" s="171">
        <v>0</v>
      </c>
      <c r="G433" s="172">
        <v>1</v>
      </c>
      <c r="H433" s="171">
        <f>tbTransactions[[#This Row],[Qty]]*tbTransactions[[#This Row],[Unit Cost]]*tbTransactions[[#This Row],[Exchange Rate]]</f>
        <v>0</v>
      </c>
      <c r="I433" s="148" t="s">
        <v>511</v>
      </c>
      <c r="J433" s="176" t="s">
        <v>20</v>
      </c>
      <c r="K433" s="163" t="str">
        <f>IF(tbTransactions[[#This Row],[Sub-Type]]="Transfer","Neutral",IF(tbTransactions[[#This Row],[Qty]]&lt;0,"Debit",IF(tbTransactions[[#This Row],[Qty]]&gt;0,"Credit","Neutral")))</f>
        <v>Credit</v>
      </c>
      <c r="L433" s="163" t="s">
        <v>518</v>
      </c>
      <c r="M433" s="171" t="s">
        <v>465</v>
      </c>
    </row>
    <row r="434" spans="3:13" ht="30" customHeight="1" x14ac:dyDescent="0.25">
      <c r="C434" s="175">
        <v>432</v>
      </c>
      <c r="D434" s="163">
        <v>44438</v>
      </c>
      <c r="E434" s="171">
        <v>0.15364</v>
      </c>
      <c r="F434" s="171">
        <v>0</v>
      </c>
      <c r="G434" s="172">
        <v>1</v>
      </c>
      <c r="H434" s="171">
        <f>tbTransactions[[#This Row],[Qty]]*tbTransactions[[#This Row],[Unit Cost]]*tbTransactions[[#This Row],[Exchange Rate]]</f>
        <v>0</v>
      </c>
      <c r="I434" s="148" t="s">
        <v>431</v>
      </c>
      <c r="J434" s="176" t="s">
        <v>18</v>
      </c>
      <c r="K434" s="163" t="str">
        <f>IF(tbTransactions[[#This Row],[Sub-Type]]="Transfer","Neutral",IF(tbTransactions[[#This Row],[Qty]]&lt;0,"Debit",IF(tbTransactions[[#This Row],[Qty]]&gt;0,"Credit","Neutral")))</f>
        <v>Credit</v>
      </c>
      <c r="L434" s="163" t="s">
        <v>518</v>
      </c>
      <c r="M434" s="171" t="s">
        <v>40</v>
      </c>
    </row>
    <row r="435" spans="3:13" ht="30" customHeight="1" x14ac:dyDescent="0.25">
      <c r="C435" s="175">
        <v>433</v>
      </c>
      <c r="D435" s="163">
        <v>44439</v>
      </c>
      <c r="E435" s="171">
        <v>1.5248551400000001</v>
      </c>
      <c r="F435" s="171">
        <v>0</v>
      </c>
      <c r="G435" s="172">
        <v>1</v>
      </c>
      <c r="H435" s="171">
        <f>tbTransactions[[#This Row],[Qty]]*tbTransactions[[#This Row],[Unit Cost]]*tbTransactions[[#This Row],[Exchange Rate]]</f>
        <v>0</v>
      </c>
      <c r="I435" s="148" t="s">
        <v>422</v>
      </c>
      <c r="J435" s="176" t="s">
        <v>552</v>
      </c>
      <c r="K435" s="163" t="str">
        <f>IF(tbTransactions[[#This Row],[Sub-Type]]="Transfer","Neutral",IF(tbTransactions[[#This Row],[Qty]]&lt;0,"Debit",IF(tbTransactions[[#This Row],[Qty]]&gt;0,"Credit","Neutral")))</f>
        <v>Credit</v>
      </c>
      <c r="L435" s="163" t="s">
        <v>516</v>
      </c>
      <c r="M435" s="171" t="s">
        <v>553</v>
      </c>
    </row>
    <row r="436" spans="3:13" ht="30" customHeight="1" x14ac:dyDescent="0.25">
      <c r="C436" s="175">
        <v>434</v>
      </c>
      <c r="D436" s="163">
        <v>44439</v>
      </c>
      <c r="E436" s="171">
        <v>1.5186028899999999</v>
      </c>
      <c r="F436" s="171">
        <v>0</v>
      </c>
      <c r="G436" s="172">
        <v>1</v>
      </c>
      <c r="H436" s="171">
        <f>tbTransactions[[#This Row],[Qty]]*tbTransactions[[#This Row],[Unit Cost]]*tbTransactions[[#This Row],[Exchange Rate]]</f>
        <v>0</v>
      </c>
      <c r="I436" s="148" t="s">
        <v>422</v>
      </c>
      <c r="J436" s="176" t="s">
        <v>552</v>
      </c>
      <c r="K436" s="163" t="str">
        <f>IF(tbTransactions[[#This Row],[Sub-Type]]="Transfer","Neutral",IF(tbTransactions[[#This Row],[Qty]]&lt;0,"Debit",IF(tbTransactions[[#This Row],[Qty]]&gt;0,"Credit","Neutral")))</f>
        <v>Credit</v>
      </c>
      <c r="L436" s="163" t="s">
        <v>516</v>
      </c>
      <c r="M436" s="171" t="s">
        <v>553</v>
      </c>
    </row>
    <row r="437" spans="3:13" ht="30" customHeight="1" x14ac:dyDescent="0.25">
      <c r="C437" s="175">
        <v>435</v>
      </c>
      <c r="D437" s="163">
        <v>44439</v>
      </c>
      <c r="E437" s="171">
        <v>1.5186028899999999</v>
      </c>
      <c r="F437" s="171">
        <v>0</v>
      </c>
      <c r="G437" s="172">
        <v>1</v>
      </c>
      <c r="H437" s="171">
        <f>tbTransactions[[#This Row],[Qty]]*tbTransactions[[#This Row],[Unit Cost]]*tbTransactions[[#This Row],[Exchange Rate]]</f>
        <v>0</v>
      </c>
      <c r="I437" s="148" t="s">
        <v>422</v>
      </c>
      <c r="J437" s="176" t="s">
        <v>552</v>
      </c>
      <c r="K437" s="163" t="str">
        <f>IF(tbTransactions[[#This Row],[Sub-Type]]="Transfer","Neutral",IF(tbTransactions[[#This Row],[Qty]]&lt;0,"Debit",IF(tbTransactions[[#This Row],[Qty]]&gt;0,"Credit","Neutral")))</f>
        <v>Credit</v>
      </c>
      <c r="L437" s="163" t="s">
        <v>516</v>
      </c>
      <c r="M437" s="171" t="s">
        <v>553</v>
      </c>
    </row>
    <row r="438" spans="3:13" ht="30" customHeight="1" x14ac:dyDescent="0.25">
      <c r="C438" s="175">
        <v>436</v>
      </c>
      <c r="D438" s="163">
        <v>44439</v>
      </c>
      <c r="E438" s="171">
        <v>-19.18</v>
      </c>
      <c r="F438" s="171">
        <v>1</v>
      </c>
      <c r="G438" s="172">
        <v>1</v>
      </c>
      <c r="H438" s="171">
        <f>tbTransactions[[#This Row],[Qty]]*tbTransactions[[#This Row],[Unit Cost]]*tbTransactions[[#This Row],[Exchange Rate]]</f>
        <v>-19.18</v>
      </c>
      <c r="I438" s="148" t="s">
        <v>422</v>
      </c>
      <c r="J438" s="176" t="s">
        <v>411</v>
      </c>
      <c r="K438" s="163" t="str">
        <f>IF(tbTransactions[[#This Row],[Sub-Type]]="Transfer","Neutral",IF(tbTransactions[[#This Row],[Qty]]&lt;0,"Debit",IF(tbTransactions[[#This Row],[Qty]]&gt;0,"Credit","Neutral")))</f>
        <v>Debit</v>
      </c>
      <c r="L438" s="163" t="s">
        <v>12</v>
      </c>
      <c r="M438" s="171" t="s">
        <v>606</v>
      </c>
    </row>
    <row r="439" spans="3:13" ht="30" customHeight="1" x14ac:dyDescent="0.25">
      <c r="C439" s="175">
        <v>437</v>
      </c>
      <c r="D439" s="163">
        <v>44439</v>
      </c>
      <c r="E439" s="171">
        <v>-500</v>
      </c>
      <c r="F439" s="171">
        <v>1</v>
      </c>
      <c r="G439" s="172">
        <v>1</v>
      </c>
      <c r="H439" s="171">
        <f>tbTransactions[[#This Row],[Qty]]*tbTransactions[[#This Row],[Unit Cost]]*tbTransactions[[#This Row],[Exchange Rate]]</f>
        <v>-500</v>
      </c>
      <c r="I439" s="148" t="s">
        <v>499</v>
      </c>
      <c r="J439" s="176" t="s">
        <v>411</v>
      </c>
      <c r="K439" s="163" t="str">
        <f>IF(tbTransactions[[#This Row],[Sub-Type]]="Transfer","Neutral",IF(tbTransactions[[#This Row],[Qty]]&lt;0,"Debit",IF(tbTransactions[[#This Row],[Qty]]&gt;0,"Credit","Neutral")))</f>
        <v>Debit</v>
      </c>
      <c r="L439" s="163" t="s">
        <v>502</v>
      </c>
      <c r="M439" s="171" t="s">
        <v>606</v>
      </c>
    </row>
    <row r="440" spans="3:13" ht="30" customHeight="1" x14ac:dyDescent="0.25">
      <c r="C440" s="175">
        <v>438</v>
      </c>
      <c r="D440" s="163">
        <v>44439</v>
      </c>
      <c r="E440" s="171">
        <v>500</v>
      </c>
      <c r="F440" s="171">
        <v>1</v>
      </c>
      <c r="G440" s="172">
        <v>1</v>
      </c>
      <c r="H440" s="171">
        <v>500</v>
      </c>
      <c r="I440" s="148" t="s">
        <v>422</v>
      </c>
      <c r="J440" s="176" t="s">
        <v>411</v>
      </c>
      <c r="K440" s="163" t="str">
        <f>IF(tbTransactions[[#This Row],[Sub-Type]]="Transfer","Neutral",IF(tbTransactions[[#This Row],[Qty]]&lt;0,"Debit",IF(tbTransactions[[#This Row],[Qty]]&gt;0,"Credit","Neutral")))</f>
        <v>Credit</v>
      </c>
      <c r="L440" s="163" t="s">
        <v>500</v>
      </c>
      <c r="M440" s="171" t="s">
        <v>606</v>
      </c>
    </row>
    <row r="441" spans="3:13" ht="30" customHeight="1" x14ac:dyDescent="0.25">
      <c r="C441" s="175">
        <v>439</v>
      </c>
      <c r="D441" s="163">
        <v>44439</v>
      </c>
      <c r="E441" s="171">
        <v>-480.82</v>
      </c>
      <c r="F441" s="171">
        <v>1</v>
      </c>
      <c r="G441" s="172">
        <v>1</v>
      </c>
      <c r="H441" s="171">
        <f>tbTransactions[[#This Row],[Qty]]*tbTransactions[[#This Row],[Unit Cost]]*tbTransactions[[#This Row],[Exchange Rate]]</f>
        <v>-480.82</v>
      </c>
      <c r="I441" s="148" t="s">
        <v>422</v>
      </c>
      <c r="J441" s="176" t="s">
        <v>411</v>
      </c>
      <c r="K441" s="163" t="str">
        <f>IF(tbTransactions[[#This Row],[Sub-Type]]="Transfer","Neutral",IF(tbTransactions[[#This Row],[Qty]]&lt;0,"Debit",IF(tbTransactions[[#This Row],[Qty]]&gt;0,"Credit","Neutral")))</f>
        <v>Debit</v>
      </c>
      <c r="L441" s="163" t="s">
        <v>501</v>
      </c>
      <c r="M441" s="171" t="s">
        <v>606</v>
      </c>
    </row>
    <row r="442" spans="3:13" ht="30" customHeight="1" x14ac:dyDescent="0.25">
      <c r="C442" s="175">
        <v>440</v>
      </c>
      <c r="D442" s="163">
        <v>44439</v>
      </c>
      <c r="E442" s="171">
        <v>576.31192969999995</v>
      </c>
      <c r="F442" s="171">
        <v>0.83430000000000004</v>
      </c>
      <c r="G442" s="172">
        <v>1</v>
      </c>
      <c r="H442" s="171">
        <f>tbTransactions[[#This Row],[Qty]]*tbTransactions[[#This Row],[Unit Cost]]*tbTransactions[[#This Row],[Exchange Rate]]</f>
        <v>480.81704294870997</v>
      </c>
      <c r="I442" s="148" t="s">
        <v>422</v>
      </c>
      <c r="J442" s="176" t="s">
        <v>552</v>
      </c>
      <c r="K442" s="163" t="str">
        <f>IF(tbTransactions[[#This Row],[Sub-Type]]="Transfer","Neutral",IF(tbTransactions[[#This Row],[Qty]]&lt;0,"Debit",IF(tbTransactions[[#This Row],[Qty]]&gt;0,"Credit","Neutral")))</f>
        <v>Credit</v>
      </c>
      <c r="L442" s="163" t="s">
        <v>505</v>
      </c>
      <c r="M442" s="171" t="s">
        <v>606</v>
      </c>
    </row>
    <row r="443" spans="3:13" ht="30" customHeight="1" x14ac:dyDescent="0.25">
      <c r="C443" s="175">
        <v>441</v>
      </c>
      <c r="D443" s="163">
        <v>44439</v>
      </c>
      <c r="E443" s="171">
        <v>572.02200000000005</v>
      </c>
      <c r="F443" s="171">
        <v>0.83030499999999996</v>
      </c>
      <c r="G443" s="172">
        <v>1</v>
      </c>
      <c r="H443" s="171">
        <f>tbTransactions[[#This Row],[Qty]]*tbTransactions[[#This Row],[Unit Cost]]*tbTransactions[[#This Row],[Exchange Rate]]</f>
        <v>474.95272671000004</v>
      </c>
      <c r="I443" s="148" t="s">
        <v>759</v>
      </c>
      <c r="J443" s="176" t="s">
        <v>552</v>
      </c>
      <c r="K443" s="163" t="str">
        <f>IF(tbTransactions[[#This Row],[Sub-Type]]="Transfer","Neutral",IF(tbTransactions[[#This Row],[Qty]]&lt;0,"Debit",IF(tbTransactions[[#This Row],[Qty]]&gt;0,"Credit","Neutral")))</f>
        <v>Neutral</v>
      </c>
      <c r="L443" s="163" t="s">
        <v>32</v>
      </c>
      <c r="M443" s="171" t="s">
        <v>555</v>
      </c>
    </row>
    <row r="444" spans="3:13" ht="30" customHeight="1" x14ac:dyDescent="0.25">
      <c r="C444" s="175">
        <v>442</v>
      </c>
      <c r="D444" s="163">
        <v>44439</v>
      </c>
      <c r="E444" s="171">
        <v>-8.8519906199999205</v>
      </c>
      <c r="F444" s="171">
        <v>0.83030499999999996</v>
      </c>
      <c r="G444" s="172">
        <v>1</v>
      </c>
      <c r="H444" s="171">
        <f>tbTransactions[[#This Row],[Qty]]*tbTransactions[[#This Row],[Unit Cost]]*tbTransactions[[#This Row],[Exchange Rate]]</f>
        <v>-7.3498520717390337</v>
      </c>
      <c r="I444" s="148" t="s">
        <v>422</v>
      </c>
      <c r="J444" s="176" t="s">
        <v>552</v>
      </c>
      <c r="K444" s="163" t="str">
        <f>IF(tbTransactions[[#This Row],[Sub-Type]]="Transfer","Neutral",IF(tbTransactions[[#This Row],[Qty]]&lt;0,"Debit",IF(tbTransactions[[#This Row],[Qty]]&gt;0,"Credit","Neutral")))</f>
        <v>Debit</v>
      </c>
      <c r="L444" s="163" t="s">
        <v>12</v>
      </c>
      <c r="M444" s="171" t="s">
        <v>555</v>
      </c>
    </row>
    <row r="445" spans="3:13" ht="30" customHeight="1" x14ac:dyDescent="0.25">
      <c r="C445" s="175">
        <v>443</v>
      </c>
      <c r="D445" s="163">
        <v>44439</v>
      </c>
      <c r="E445" s="171">
        <v>-572.02200000000005</v>
      </c>
      <c r="F445" s="171">
        <v>0.83030499999999996</v>
      </c>
      <c r="G445" s="172">
        <v>1</v>
      </c>
      <c r="H445" s="171">
        <f>tbTransactions[[#This Row],[Qty]]*tbTransactions[[#This Row],[Unit Cost]]*tbTransactions[[#This Row],[Exchange Rate]]</f>
        <v>-474.95272671000004</v>
      </c>
      <c r="I445" s="148" t="s">
        <v>422</v>
      </c>
      <c r="J445" s="176" t="s">
        <v>552</v>
      </c>
      <c r="K445" s="163" t="str">
        <f>IF(tbTransactions[[#This Row],[Sub-Type]]="Transfer","Neutral",IF(tbTransactions[[#This Row],[Qty]]&lt;0,"Debit",IF(tbTransactions[[#This Row],[Qty]]&gt;0,"Credit","Neutral")))</f>
        <v>Neutral</v>
      </c>
      <c r="L445" s="163" t="s">
        <v>32</v>
      </c>
      <c r="M445" s="171" t="s">
        <v>555</v>
      </c>
    </row>
    <row r="446" spans="3:13" ht="30" customHeight="1" x14ac:dyDescent="0.25">
      <c r="C446" s="175">
        <v>444</v>
      </c>
      <c r="D446" s="163">
        <v>44439</v>
      </c>
      <c r="E446" s="171">
        <v>2.2326890700000001E-2</v>
      </c>
      <c r="F446" s="171">
        <v>0</v>
      </c>
      <c r="G446" s="172">
        <v>1</v>
      </c>
      <c r="H446" s="171">
        <f>tbTransactions[[#This Row],[Qty]]*tbTransactions[[#This Row],[Unit Cost]]*tbTransactions[[#This Row],[Exchange Rate]]</f>
        <v>0</v>
      </c>
      <c r="I446" s="148" t="s">
        <v>511</v>
      </c>
      <c r="J446" s="176" t="s">
        <v>20</v>
      </c>
      <c r="K446" s="163" t="str">
        <f>IF(tbTransactions[[#This Row],[Sub-Type]]="Transfer","Neutral",IF(tbTransactions[[#This Row],[Qty]]&lt;0,"Debit",IF(tbTransactions[[#This Row],[Qty]]&gt;0,"Credit","Neutral")))</f>
        <v>Credit</v>
      </c>
      <c r="L446" s="163" t="s">
        <v>518</v>
      </c>
      <c r="M446" s="171" t="s">
        <v>465</v>
      </c>
    </row>
    <row r="447" spans="3:13" ht="30" customHeight="1" x14ac:dyDescent="0.25">
      <c r="C447" s="175">
        <v>445</v>
      </c>
      <c r="D447" s="163">
        <v>44439</v>
      </c>
      <c r="E447" s="171">
        <f>6.975525-4.620373</f>
        <v>2.3551520000000004</v>
      </c>
      <c r="F447" s="171">
        <v>3.5</v>
      </c>
      <c r="G447" s="172">
        <v>1</v>
      </c>
      <c r="H447" s="171">
        <f>tbTransactions[[#This Row],[Qty]]*tbTransactions[[#This Row],[Unit Cost]]*tbTransactions[[#This Row],[Exchange Rate]]</f>
        <v>8.2430320000000012</v>
      </c>
      <c r="I447" s="148" t="s">
        <v>507</v>
      </c>
      <c r="J447" s="176" t="s">
        <v>17</v>
      </c>
      <c r="K447" s="163" t="str">
        <f>IF(tbTransactions[[#This Row],[Sub-Type]]="Transfer","Neutral",IF(tbTransactions[[#This Row],[Qty]]&lt;0,"Debit",IF(tbTransactions[[#This Row],[Qty]]&gt;0,"Credit","Neutral")))</f>
        <v>Credit</v>
      </c>
      <c r="L447" s="163" t="s">
        <v>29</v>
      </c>
      <c r="M447" s="171"/>
    </row>
    <row r="448" spans="3:13" ht="30" customHeight="1" x14ac:dyDescent="0.25">
      <c r="C448" s="175">
        <v>446</v>
      </c>
      <c r="D448" s="163">
        <v>44439</v>
      </c>
      <c r="E448" s="171">
        <v>-3.431E-3</v>
      </c>
      <c r="F448" s="171">
        <v>4308.17</v>
      </c>
      <c r="G448" s="172">
        <v>1</v>
      </c>
      <c r="H448" s="171">
        <f>tbTransactions[[#This Row],[Qty]]*tbTransactions[[#This Row],[Unit Cost]]*tbTransactions[[#This Row],[Exchange Rate]]</f>
        <v>-14.781331270000001</v>
      </c>
      <c r="I448" s="148" t="s">
        <v>759</v>
      </c>
      <c r="J448" s="176" t="s">
        <v>22</v>
      </c>
      <c r="K448" s="163" t="str">
        <f>IF(tbTransactions[[#This Row],[Sub-Type]]="Transfer","Neutral",IF(tbTransactions[[#This Row],[Qty]]&lt;0,"Debit",IF(tbTransactions[[#This Row],[Qty]]&gt;0,"Credit","Neutral")))</f>
        <v>Debit</v>
      </c>
      <c r="L448" s="163" t="s">
        <v>12</v>
      </c>
      <c r="M448" s="171" t="s">
        <v>559</v>
      </c>
    </row>
    <row r="449" spans="3:13" ht="30" customHeight="1" x14ac:dyDescent="0.25">
      <c r="C449" s="175">
        <v>447</v>
      </c>
      <c r="D449" s="163">
        <v>44439</v>
      </c>
      <c r="E449" s="171">
        <v>-7.9649999999999999E-3</v>
      </c>
      <c r="F449" s="171">
        <v>4318</v>
      </c>
      <c r="G449" s="172">
        <v>1</v>
      </c>
      <c r="H449" s="171">
        <f>tbTransactions[[#This Row],[Qty]]*tbTransactions[[#This Row],[Unit Cost]]*tbTransactions[[#This Row],[Exchange Rate]]</f>
        <v>-34.392870000000002</v>
      </c>
      <c r="I449" s="148" t="s">
        <v>759</v>
      </c>
      <c r="J449" s="176" t="s">
        <v>22</v>
      </c>
      <c r="K449" s="163" t="str">
        <f>IF(tbTransactions[[#This Row],[Sub-Type]]="Transfer","Neutral",IF(tbTransactions[[#This Row],[Qty]]&lt;0,"Debit",IF(tbTransactions[[#This Row],[Qty]]&gt;0,"Credit","Neutral")))</f>
        <v>Debit</v>
      </c>
      <c r="L449" s="163" t="s">
        <v>12</v>
      </c>
      <c r="M449" s="171" t="s">
        <v>559</v>
      </c>
    </row>
    <row r="450" spans="3:13" ht="30" customHeight="1" x14ac:dyDescent="0.25">
      <c r="C450" s="175">
        <v>448</v>
      </c>
      <c r="D450" s="163">
        <v>44439</v>
      </c>
      <c r="E450" s="171">
        <v>-572</v>
      </c>
      <c r="F450" s="171">
        <v>0.91787799999999997</v>
      </c>
      <c r="G450" s="172">
        <v>1</v>
      </c>
      <c r="H450" s="171">
        <f>tbTransactions[[#This Row],[Qty]]*tbTransactions[[#This Row],[Unit Cost]]*tbTransactions[[#This Row],[Exchange Rate]]</f>
        <v>-525.02621599999998</v>
      </c>
      <c r="I450" s="148" t="s">
        <v>759</v>
      </c>
      <c r="J450" s="176" t="s">
        <v>552</v>
      </c>
      <c r="K450" s="163" t="str">
        <f>IF(tbTransactions[[#This Row],[Sub-Type]]="Transfer","Neutral",IF(tbTransactions[[#This Row],[Qty]]&lt;0,"Debit",IF(tbTransactions[[#This Row],[Qty]]&gt;0,"Credit","Neutral")))</f>
        <v>Neutral</v>
      </c>
      <c r="L450" s="163" t="s">
        <v>32</v>
      </c>
      <c r="M450" s="171" t="s">
        <v>559</v>
      </c>
    </row>
    <row r="451" spans="3:13" ht="30" customHeight="1" x14ac:dyDescent="0.25">
      <c r="C451" s="175">
        <v>449</v>
      </c>
      <c r="D451" s="163">
        <v>44439</v>
      </c>
      <c r="E451" s="171">
        <v>572</v>
      </c>
      <c r="F451" s="171">
        <v>0.91787799999999997</v>
      </c>
      <c r="G451" s="172">
        <v>1</v>
      </c>
      <c r="H451" s="171">
        <f>tbTransactions[[#This Row],[Qty]]*tbTransactions[[#This Row],[Unit Cost]]*tbTransactions[[#This Row],[Exchange Rate]]</f>
        <v>525.02621599999998</v>
      </c>
      <c r="I451" s="148" t="s">
        <v>554</v>
      </c>
      <c r="J451" s="176" t="s">
        <v>552</v>
      </c>
      <c r="K451" s="163" t="str">
        <f>IF(tbTransactions[[#This Row],[Sub-Type]]="Transfer","Neutral",IF(tbTransactions[[#This Row],[Qty]]&lt;0,"Debit",IF(tbTransactions[[#This Row],[Qty]]&gt;0,"Credit","Neutral")))</f>
        <v>Neutral</v>
      </c>
      <c r="L451" s="163" t="s">
        <v>32</v>
      </c>
      <c r="M451" s="171" t="s">
        <v>559</v>
      </c>
    </row>
    <row r="452" spans="3:13" ht="30" customHeight="1" x14ac:dyDescent="0.25">
      <c r="C452" s="175">
        <v>450</v>
      </c>
      <c r="D452" s="163">
        <v>44440</v>
      </c>
      <c r="E452" s="171">
        <v>2.6547181199999999E-2</v>
      </c>
      <c r="F452" s="171">
        <v>0</v>
      </c>
      <c r="G452" s="172">
        <v>1</v>
      </c>
      <c r="H452" s="171">
        <f>tbTransactions[[#This Row],[Qty]]*tbTransactions[[#This Row],[Unit Cost]]*tbTransactions[[#This Row],[Exchange Rate]]</f>
        <v>0</v>
      </c>
      <c r="I452" s="148" t="s">
        <v>511</v>
      </c>
      <c r="J452" s="176" t="s">
        <v>20</v>
      </c>
      <c r="K452" s="163" t="str">
        <f>IF(tbTransactions[[#This Row],[Sub-Type]]="Transfer","Neutral",IF(tbTransactions[[#This Row],[Qty]]&lt;0,"Debit",IF(tbTransactions[[#This Row],[Qty]]&gt;0,"Credit","Neutral")))</f>
        <v>Credit</v>
      </c>
      <c r="L452" s="163" t="s">
        <v>518</v>
      </c>
      <c r="M452" s="171" t="s">
        <v>465</v>
      </c>
    </row>
    <row r="453" spans="3:13" ht="30" customHeight="1" x14ac:dyDescent="0.25">
      <c r="C453" s="175">
        <v>451</v>
      </c>
      <c r="D453" s="163">
        <v>44441</v>
      </c>
      <c r="E453" s="171">
        <v>2.9538413100000001E-2</v>
      </c>
      <c r="F453" s="171">
        <v>0</v>
      </c>
      <c r="G453" s="172">
        <v>1</v>
      </c>
      <c r="H453" s="171">
        <f>tbTransactions[[#This Row],[Qty]]*tbTransactions[[#This Row],[Unit Cost]]*tbTransactions[[#This Row],[Exchange Rate]]</f>
        <v>0</v>
      </c>
      <c r="I453" s="148" t="s">
        <v>511</v>
      </c>
      <c r="J453" s="176" t="s">
        <v>20</v>
      </c>
      <c r="K453" s="163" t="str">
        <f>IF(tbTransactions[[#This Row],[Sub-Type]]="Transfer","Neutral",IF(tbTransactions[[#This Row],[Qty]]&lt;0,"Debit",IF(tbTransactions[[#This Row],[Qty]]&gt;0,"Credit","Neutral")))</f>
        <v>Credit</v>
      </c>
      <c r="L453" s="163" t="s">
        <v>518</v>
      </c>
      <c r="M453" s="171" t="s">
        <v>465</v>
      </c>
    </row>
    <row r="454" spans="3:13" ht="30" customHeight="1" x14ac:dyDescent="0.25">
      <c r="C454" s="175">
        <v>452</v>
      </c>
      <c r="D454" s="163">
        <v>44441</v>
      </c>
      <c r="E454" s="171">
        <v>2.9215460000000002</v>
      </c>
      <c r="F454" s="171">
        <v>0</v>
      </c>
      <c r="G454" s="172">
        <v>1</v>
      </c>
      <c r="H454" s="171">
        <f>tbTransactions[[#This Row],[Qty]]*tbTransactions[[#This Row],[Unit Cost]]*tbTransactions[[#This Row],[Exchange Rate]]</f>
        <v>0</v>
      </c>
      <c r="I454" s="148" t="s">
        <v>507</v>
      </c>
      <c r="J454" s="176" t="s">
        <v>17</v>
      </c>
      <c r="K454" s="163" t="str">
        <f>IF(tbTransactions[[#This Row],[Sub-Type]]="Transfer","Neutral",IF(tbTransactions[[#This Row],[Qty]]&lt;0,"Debit",IF(tbTransactions[[#This Row],[Qty]]&gt;0,"Credit","Neutral")))</f>
        <v>Credit</v>
      </c>
      <c r="L454" s="163" t="s">
        <v>518</v>
      </c>
      <c r="M454" s="171" t="s">
        <v>427</v>
      </c>
    </row>
    <row r="455" spans="3:13" ht="30" customHeight="1" x14ac:dyDescent="0.25">
      <c r="C455" s="175">
        <v>453</v>
      </c>
      <c r="D455" s="163">
        <v>44442</v>
      </c>
      <c r="E455" s="171">
        <v>2.0925557300000001E-2</v>
      </c>
      <c r="F455" s="171">
        <v>0</v>
      </c>
      <c r="G455" s="172">
        <v>1</v>
      </c>
      <c r="H455" s="171">
        <f>tbTransactions[[#This Row],[Qty]]*tbTransactions[[#This Row],[Unit Cost]]*tbTransactions[[#This Row],[Exchange Rate]]</f>
        <v>0</v>
      </c>
      <c r="I455" s="148" t="s">
        <v>511</v>
      </c>
      <c r="J455" s="176" t="s">
        <v>20</v>
      </c>
      <c r="K455" s="163" t="str">
        <f>IF(tbTransactions[[#This Row],[Sub-Type]]="Transfer","Neutral",IF(tbTransactions[[#This Row],[Qty]]&lt;0,"Debit",IF(tbTransactions[[#This Row],[Qty]]&gt;0,"Credit","Neutral")))</f>
        <v>Credit</v>
      </c>
      <c r="L455" s="163" t="s">
        <v>518</v>
      </c>
      <c r="M455" s="171" t="s">
        <v>465</v>
      </c>
    </row>
    <row r="456" spans="3:13" ht="30" customHeight="1" x14ac:dyDescent="0.25">
      <c r="C456" s="175">
        <v>454</v>
      </c>
      <c r="D456" s="163">
        <v>44443</v>
      </c>
      <c r="E456" s="171">
        <v>2.76046099E-2</v>
      </c>
      <c r="F456" s="171">
        <v>0</v>
      </c>
      <c r="G456" s="172">
        <v>1</v>
      </c>
      <c r="H456" s="171">
        <f>tbTransactions[[#This Row],[Qty]]*tbTransactions[[#This Row],[Unit Cost]]*tbTransactions[[#This Row],[Exchange Rate]]</f>
        <v>0</v>
      </c>
      <c r="I456" s="148" t="s">
        <v>511</v>
      </c>
      <c r="J456" s="176" t="s">
        <v>20</v>
      </c>
      <c r="K456" s="163" t="str">
        <f>IF(tbTransactions[[#This Row],[Sub-Type]]="Transfer","Neutral",IF(tbTransactions[[#This Row],[Qty]]&lt;0,"Debit",IF(tbTransactions[[#This Row],[Qty]]&gt;0,"Credit","Neutral")))</f>
        <v>Credit</v>
      </c>
      <c r="L456" s="163" t="s">
        <v>518</v>
      </c>
      <c r="M456" s="171" t="s">
        <v>465</v>
      </c>
    </row>
    <row r="457" spans="3:13" ht="30" customHeight="1" x14ac:dyDescent="0.25">
      <c r="C457" s="175">
        <v>455</v>
      </c>
      <c r="D457" s="163">
        <v>44443</v>
      </c>
      <c r="E457" s="171">
        <v>1.0635708000000001E-2</v>
      </c>
      <c r="F457" s="171">
        <v>0</v>
      </c>
      <c r="G457" s="172">
        <v>1</v>
      </c>
      <c r="H457" s="171">
        <f>tbTransactions[[#This Row],[Qty]]*tbTransactions[[#This Row],[Unit Cost]]*tbTransactions[[#This Row],[Exchange Rate]]</f>
        <v>0</v>
      </c>
      <c r="I457" s="148" t="s">
        <v>542</v>
      </c>
      <c r="J457" s="176" t="s">
        <v>22</v>
      </c>
      <c r="K457" s="163" t="str">
        <f>IF(tbTransactions[[#This Row],[Sub-Type]]="Transfer","Neutral",IF(tbTransactions[[#This Row],[Qty]]&lt;0,"Debit",IF(tbTransactions[[#This Row],[Qty]]&gt;0,"Credit","Neutral")))</f>
        <v>Credit</v>
      </c>
      <c r="L457" s="163" t="s">
        <v>518</v>
      </c>
      <c r="M457" s="171" t="s">
        <v>556</v>
      </c>
    </row>
    <row r="458" spans="3:13" ht="30" customHeight="1" x14ac:dyDescent="0.25">
      <c r="C458" s="175">
        <v>456</v>
      </c>
      <c r="D458" s="163">
        <v>44444</v>
      </c>
      <c r="E458" s="171">
        <v>0.10079200000000001</v>
      </c>
      <c r="F458" s="171">
        <v>0</v>
      </c>
      <c r="G458" s="172">
        <v>1</v>
      </c>
      <c r="H458" s="171">
        <f>tbTransactions[[#This Row],[Qty]]*tbTransactions[[#This Row],[Unit Cost]]*tbTransactions[[#This Row],[Exchange Rate]]</f>
        <v>0</v>
      </c>
      <c r="I458" s="148" t="s">
        <v>431</v>
      </c>
      <c r="J458" s="176" t="s">
        <v>18</v>
      </c>
      <c r="K458" s="163" t="str">
        <f>IF(tbTransactions[[#This Row],[Sub-Type]]="Transfer","Neutral",IF(tbTransactions[[#This Row],[Qty]]&lt;0,"Debit",IF(tbTransactions[[#This Row],[Qty]]&gt;0,"Credit","Neutral")))</f>
        <v>Credit</v>
      </c>
      <c r="L458" s="163" t="s">
        <v>518</v>
      </c>
      <c r="M458" s="171" t="s">
        <v>40</v>
      </c>
    </row>
    <row r="459" spans="3:13" ht="30" customHeight="1" x14ac:dyDescent="0.25">
      <c r="C459" s="175">
        <v>457</v>
      </c>
      <c r="D459" s="163">
        <v>44444</v>
      </c>
      <c r="E459" s="171">
        <v>2.78804803E-2</v>
      </c>
      <c r="F459" s="171">
        <v>0</v>
      </c>
      <c r="G459" s="172">
        <v>1</v>
      </c>
      <c r="H459" s="171">
        <f>tbTransactions[[#This Row],[Qty]]*tbTransactions[[#This Row],[Unit Cost]]*tbTransactions[[#This Row],[Exchange Rate]]</f>
        <v>0</v>
      </c>
      <c r="I459" s="148" t="s">
        <v>511</v>
      </c>
      <c r="J459" s="176" t="s">
        <v>20</v>
      </c>
      <c r="K459" s="163" t="str">
        <f>IF(tbTransactions[[#This Row],[Sub-Type]]="Transfer","Neutral",IF(tbTransactions[[#This Row],[Qty]]&lt;0,"Debit",IF(tbTransactions[[#This Row],[Qty]]&gt;0,"Credit","Neutral")))</f>
        <v>Credit</v>
      </c>
      <c r="L459" s="163" t="s">
        <v>518</v>
      </c>
      <c r="M459" s="171" t="s">
        <v>465</v>
      </c>
    </row>
    <row r="460" spans="3:13" ht="30" customHeight="1" x14ac:dyDescent="0.25">
      <c r="C460" s="175">
        <v>458</v>
      </c>
      <c r="D460" s="163">
        <v>44445</v>
      </c>
      <c r="E460" s="171">
        <v>3.2797119600000001E-2</v>
      </c>
      <c r="F460" s="171">
        <v>0</v>
      </c>
      <c r="G460" s="172">
        <v>1</v>
      </c>
      <c r="H460" s="171">
        <f>tbTransactions[[#This Row],[Qty]]*tbTransactions[[#This Row],[Unit Cost]]*tbTransactions[[#This Row],[Exchange Rate]]</f>
        <v>0</v>
      </c>
      <c r="I460" s="148" t="s">
        <v>511</v>
      </c>
      <c r="J460" s="176" t="s">
        <v>20</v>
      </c>
      <c r="K460" s="163" t="str">
        <f>IF(tbTransactions[[#This Row],[Sub-Type]]="Transfer","Neutral",IF(tbTransactions[[#This Row],[Qty]]&lt;0,"Debit",IF(tbTransactions[[#This Row],[Qty]]&gt;0,"Credit","Neutral")))</f>
        <v>Credit</v>
      </c>
      <c r="L460" s="163" t="s">
        <v>518</v>
      </c>
      <c r="M460" s="171" t="s">
        <v>465</v>
      </c>
    </row>
    <row r="461" spans="3:13" ht="30" customHeight="1" x14ac:dyDescent="0.25">
      <c r="C461" s="175">
        <v>459</v>
      </c>
      <c r="D461" s="163">
        <v>44446</v>
      </c>
      <c r="E461" s="171">
        <v>35.860000000000582</v>
      </c>
      <c r="F461" s="171">
        <v>0</v>
      </c>
      <c r="G461" s="172">
        <v>1</v>
      </c>
      <c r="H461" s="171">
        <f>tbTransactions[[#This Row],[Qty]]*tbTransactions[[#This Row],[Unit Cost]]*tbTransactions[[#This Row],[Exchange Rate]]</f>
        <v>0</v>
      </c>
      <c r="I461" s="148" t="s">
        <v>527</v>
      </c>
      <c r="J461" s="176" t="s">
        <v>496</v>
      </c>
      <c r="K461" s="163" t="str">
        <f>IF(tbTransactions[[#This Row],[Sub-Type]]="Transfer","Neutral",IF(tbTransactions[[#This Row],[Qty]]&lt;0,"Debit",IF(tbTransactions[[#This Row],[Qty]]&gt;0,"Credit","Neutral")))</f>
        <v>Credit</v>
      </c>
      <c r="L461" s="171" t="s">
        <v>530</v>
      </c>
      <c r="M461" s="171" t="s">
        <v>565</v>
      </c>
    </row>
    <row r="462" spans="3:13" ht="30" customHeight="1" x14ac:dyDescent="0.25">
      <c r="C462" s="175">
        <v>460</v>
      </c>
      <c r="D462" s="163">
        <v>44446</v>
      </c>
      <c r="E462" s="171">
        <v>-2.7102000000000001E-2</v>
      </c>
      <c r="F462" s="171">
        <v>4311</v>
      </c>
      <c r="G462" s="172">
        <v>1</v>
      </c>
      <c r="H462" s="171">
        <f>tbTransactions[[#This Row],[Qty]]*tbTransactions[[#This Row],[Unit Cost]]*tbTransactions[[#This Row],[Exchange Rate]]</f>
        <v>-116.83672200000001</v>
      </c>
      <c r="I462" s="148" t="s">
        <v>759</v>
      </c>
      <c r="J462" s="176" t="s">
        <v>22</v>
      </c>
      <c r="K462" s="163" t="str">
        <f>IF(tbTransactions[[#This Row],[Sub-Type]]="Transfer","Neutral",IF(tbTransactions[[#This Row],[Qty]]&lt;0,"Debit",IF(tbTransactions[[#This Row],[Qty]]&gt;0,"Credit","Neutral")))</f>
        <v>Debit</v>
      </c>
      <c r="L462" s="163" t="s">
        <v>12</v>
      </c>
      <c r="M462" s="171" t="s">
        <v>561</v>
      </c>
    </row>
    <row r="463" spans="3:13" ht="30" customHeight="1" x14ac:dyDescent="0.25">
      <c r="C463" s="175">
        <v>461</v>
      </c>
      <c r="D463" s="163">
        <v>44446</v>
      </c>
      <c r="E463" s="171">
        <v>-9.4120000000000002E-3</v>
      </c>
      <c r="F463" s="171">
        <v>4359</v>
      </c>
      <c r="G463" s="172">
        <v>1</v>
      </c>
      <c r="H463" s="171">
        <f>tbTransactions[[#This Row],[Qty]]*tbTransactions[[#This Row],[Unit Cost]]*tbTransactions[[#This Row],[Exchange Rate]]</f>
        <v>-41.026907999999999</v>
      </c>
      <c r="I463" s="148" t="s">
        <v>759</v>
      </c>
      <c r="J463" s="176" t="s">
        <v>22</v>
      </c>
      <c r="K463" s="163" t="str">
        <f>IF(tbTransactions[[#This Row],[Sub-Type]]="Transfer","Neutral",IF(tbTransactions[[#This Row],[Qty]]&lt;0,"Debit",IF(tbTransactions[[#This Row],[Qty]]&gt;0,"Credit","Neutral")))</f>
        <v>Debit</v>
      </c>
      <c r="L463" s="163" t="s">
        <v>12</v>
      </c>
      <c r="M463" s="171" t="s">
        <v>562</v>
      </c>
    </row>
    <row r="464" spans="3:13" ht="30" customHeight="1" x14ac:dyDescent="0.25">
      <c r="C464" s="175">
        <v>462</v>
      </c>
      <c r="D464" s="163">
        <v>44446</v>
      </c>
      <c r="E464" s="171">
        <v>-15175.840786999999</v>
      </c>
      <c r="F464" s="171">
        <v>1.26</v>
      </c>
      <c r="G464" s="172">
        <v>1</v>
      </c>
      <c r="H464" s="171">
        <f>tbTransactions[[#This Row],[Qty]]*tbTransactions[[#This Row],[Unit Cost]]*tbTransactions[[#This Row],[Exchange Rate]]</f>
        <v>-19121.559391619998</v>
      </c>
      <c r="I464" s="148" t="s">
        <v>759</v>
      </c>
      <c r="J464" s="176" t="s">
        <v>496</v>
      </c>
      <c r="K464" s="163" t="str">
        <f>IF(tbTransactions[[#This Row],[Sub-Type]]="Transfer","Neutral",IF(tbTransactions[[#This Row],[Qty]]&lt;0,"Debit",IF(tbTransactions[[#This Row],[Qty]]&gt;0,"Credit","Neutral")))</f>
        <v>Neutral</v>
      </c>
      <c r="L464" s="163" t="s">
        <v>32</v>
      </c>
      <c r="M464" s="171" t="s">
        <v>562</v>
      </c>
    </row>
    <row r="465" spans="3:13" ht="30" customHeight="1" x14ac:dyDescent="0.25">
      <c r="C465" s="175">
        <v>463</v>
      </c>
      <c r="D465" s="163">
        <v>44446</v>
      </c>
      <c r="E465" s="171">
        <v>15175.840786999999</v>
      </c>
      <c r="F465" s="171">
        <v>1.26</v>
      </c>
      <c r="G465" s="172">
        <v>1</v>
      </c>
      <c r="H465" s="171">
        <f>tbTransactions[[#This Row],[Qty]]*tbTransactions[[#This Row],[Unit Cost]]*tbTransactions[[#This Row],[Exchange Rate]]</f>
        <v>19121.559391619998</v>
      </c>
      <c r="I465" s="148" t="s">
        <v>509</v>
      </c>
      <c r="J465" s="176" t="s">
        <v>496</v>
      </c>
      <c r="K465" s="163" t="str">
        <f>IF(tbTransactions[[#This Row],[Sub-Type]]="Transfer","Neutral",IF(tbTransactions[[#This Row],[Qty]]&lt;0,"Debit",IF(tbTransactions[[#This Row],[Qty]]&gt;0,"Credit","Neutral")))</f>
        <v>Neutral</v>
      </c>
      <c r="L465" s="163" t="s">
        <v>32</v>
      </c>
      <c r="M465" s="171" t="s">
        <v>562</v>
      </c>
    </row>
    <row r="466" spans="3:13" ht="30" customHeight="1" x14ac:dyDescent="0.25">
      <c r="C466" s="175">
        <v>464</v>
      </c>
      <c r="D466" s="163">
        <v>44446</v>
      </c>
      <c r="E466" s="171">
        <v>-15175.840786999999</v>
      </c>
      <c r="F466" s="171">
        <v>1.2484257225622399</v>
      </c>
      <c r="G466" s="172">
        <v>1</v>
      </c>
      <c r="H466" s="171">
        <f>tbTransactions[[#This Row],[Qty]]*tbTransactions[[#This Row],[Unit Cost]]*tbTransactions[[#This Row],[Exchange Rate]]</f>
        <v>-18945.909999999985</v>
      </c>
      <c r="I466" s="148" t="s">
        <v>509</v>
      </c>
      <c r="J466" s="176" t="s">
        <v>496</v>
      </c>
      <c r="K466" s="163" t="str">
        <f>IF(tbTransactions[[#This Row],[Sub-Type]]="Transfer","Neutral",IF(tbTransactions[[#This Row],[Qty]]&lt;0,"Debit",IF(tbTransactions[[#This Row],[Qty]]&gt;0,"Credit","Neutral")))</f>
        <v>Debit</v>
      </c>
      <c r="L466" s="163" t="s">
        <v>506</v>
      </c>
      <c r="M466" s="171" t="s">
        <v>563</v>
      </c>
    </row>
    <row r="467" spans="3:13" ht="30" customHeight="1" x14ac:dyDescent="0.25">
      <c r="C467" s="175">
        <v>465</v>
      </c>
      <c r="D467" s="163">
        <v>44446</v>
      </c>
      <c r="E467" s="171">
        <v>-94.72</v>
      </c>
      <c r="F467" s="171">
        <v>1</v>
      </c>
      <c r="G467" s="172">
        <v>1</v>
      </c>
      <c r="H467" s="171">
        <f>tbTransactions[[#This Row],[Qty]]*tbTransactions[[#This Row],[Unit Cost]]*tbTransactions[[#This Row],[Exchange Rate]]</f>
        <v>-94.72</v>
      </c>
      <c r="I467" s="148" t="s">
        <v>509</v>
      </c>
      <c r="J467" s="176" t="s">
        <v>411</v>
      </c>
      <c r="K467" s="163" t="str">
        <f>IF(tbTransactions[[#This Row],[Sub-Type]]="Transfer","Neutral",IF(tbTransactions[[#This Row],[Qty]]&lt;0,"Debit",IF(tbTransactions[[#This Row],[Qty]]&gt;0,"Credit","Neutral")))</f>
        <v>Debit</v>
      </c>
      <c r="L467" s="163" t="s">
        <v>12</v>
      </c>
      <c r="M467" s="171" t="s">
        <v>563</v>
      </c>
    </row>
    <row r="468" spans="3:13" ht="30" customHeight="1" x14ac:dyDescent="0.25">
      <c r="C468" s="175">
        <v>466</v>
      </c>
      <c r="D468" s="163">
        <v>44446</v>
      </c>
      <c r="E468" s="171">
        <v>18945.91</v>
      </c>
      <c r="F468" s="171">
        <v>1</v>
      </c>
      <c r="G468" s="172">
        <v>1</v>
      </c>
      <c r="H468" s="171">
        <f>tbTransactions[[#This Row],[Qty]]*tbTransactions[[#This Row],[Unit Cost]]*tbTransactions[[#This Row],[Exchange Rate]]</f>
        <v>18945.91</v>
      </c>
      <c r="I468" s="148" t="s">
        <v>509</v>
      </c>
      <c r="J468" s="176" t="s">
        <v>411</v>
      </c>
      <c r="K468" s="163" t="str">
        <f>IF(tbTransactions[[#This Row],[Sub-Type]]="Transfer","Neutral",IF(tbTransactions[[#This Row],[Qty]]&lt;0,"Debit",IF(tbTransactions[[#This Row],[Qty]]&gt;0,"Credit","Neutral")))</f>
        <v>Credit</v>
      </c>
      <c r="L468" s="163" t="s">
        <v>500</v>
      </c>
      <c r="M468" s="171" t="s">
        <v>563</v>
      </c>
    </row>
    <row r="469" spans="3:13" ht="30" customHeight="1" x14ac:dyDescent="0.25">
      <c r="C469" s="175">
        <v>467</v>
      </c>
      <c r="D469" s="163">
        <v>44446</v>
      </c>
      <c r="E469" s="171">
        <v>4.28238334</v>
      </c>
      <c r="F469" s="171">
        <v>4402</v>
      </c>
      <c r="G469" s="172">
        <v>1</v>
      </c>
      <c r="H469" s="171">
        <f>tbTransactions[[#This Row],[Qty]]*tbTransactions[[#This Row],[Unit Cost]]*tbTransactions[[#This Row],[Exchange Rate]]</f>
        <v>18851.05146268</v>
      </c>
      <c r="I469" s="148" t="s">
        <v>509</v>
      </c>
      <c r="J469" s="176" t="s">
        <v>22</v>
      </c>
      <c r="K469" s="163" t="str">
        <f>IF(tbTransactions[[#This Row],[Sub-Type]]="Transfer","Neutral",IF(tbTransactions[[#This Row],[Qty]]&lt;0,"Debit",IF(tbTransactions[[#This Row],[Qty]]&gt;0,"Credit","Neutral")))</f>
        <v>Credit</v>
      </c>
      <c r="L469" s="163" t="s">
        <v>505</v>
      </c>
      <c r="M469" s="171" t="s">
        <v>439</v>
      </c>
    </row>
    <row r="470" spans="3:13" ht="30" customHeight="1" x14ac:dyDescent="0.25">
      <c r="C470" s="175">
        <v>468</v>
      </c>
      <c r="D470" s="163">
        <v>44446</v>
      </c>
      <c r="E470" s="171">
        <v>-18945.91</v>
      </c>
      <c r="F470" s="171">
        <v>1</v>
      </c>
      <c r="G470" s="172">
        <v>1</v>
      </c>
      <c r="H470" s="171">
        <f>tbTransactions[[#This Row],[Qty]]*tbTransactions[[#This Row],[Unit Cost]]*tbTransactions[[#This Row],[Exchange Rate]]</f>
        <v>-18945.91</v>
      </c>
      <c r="I470" s="148" t="s">
        <v>509</v>
      </c>
      <c r="J470" s="176" t="s">
        <v>411</v>
      </c>
      <c r="K470" s="163" t="str">
        <f>IF(tbTransactions[[#This Row],[Sub-Type]]="Transfer","Neutral",IF(tbTransactions[[#This Row],[Qty]]&lt;0,"Debit",IF(tbTransactions[[#This Row],[Qty]]&gt;0,"Credit","Neutral")))</f>
        <v>Debit</v>
      </c>
      <c r="L470" s="163" t="s">
        <v>501</v>
      </c>
      <c r="M470" s="171" t="s">
        <v>439</v>
      </c>
    </row>
    <row r="471" spans="3:13" ht="30" customHeight="1" x14ac:dyDescent="0.25">
      <c r="C471" s="175">
        <v>469</v>
      </c>
      <c r="D471" s="163">
        <v>44446</v>
      </c>
      <c r="E471" s="171">
        <v>-94.72</v>
      </c>
      <c r="F471" s="171">
        <v>1</v>
      </c>
      <c r="G471" s="172">
        <v>1</v>
      </c>
      <c r="H471" s="171">
        <f>tbTransactions[[#This Row],[Qty]]*tbTransactions[[#This Row],[Unit Cost]]*tbTransactions[[#This Row],[Exchange Rate]]</f>
        <v>-94.72</v>
      </c>
      <c r="I471" s="148" t="s">
        <v>509</v>
      </c>
      <c r="J471" s="176" t="s">
        <v>411</v>
      </c>
      <c r="K471" s="163" t="str">
        <f>IF(tbTransactions[[#This Row],[Sub-Type]]="Transfer","Neutral",IF(tbTransactions[[#This Row],[Qty]]&lt;0,"Debit",IF(tbTransactions[[#This Row],[Qty]]&gt;0,"Credit","Neutral")))</f>
        <v>Debit</v>
      </c>
      <c r="L471" s="163" t="s">
        <v>12</v>
      </c>
      <c r="M471" s="171" t="s">
        <v>439</v>
      </c>
    </row>
    <row r="472" spans="3:13" ht="30" customHeight="1" x14ac:dyDescent="0.25">
      <c r="C472" s="175">
        <v>470</v>
      </c>
      <c r="D472" s="163">
        <v>44446</v>
      </c>
      <c r="E472" s="171">
        <v>1.3079542200000001</v>
      </c>
      <c r="F472" s="171">
        <v>2935.4900252343964</v>
      </c>
      <c r="G472" s="172">
        <v>1</v>
      </c>
      <c r="H472" s="171">
        <f>tbTransactions[[#This Row],[Qty]]*tbTransactions[[#This Row],[Unit Cost]]*tbTransactions[[#This Row],[Exchange Rate]]</f>
        <v>3839.4865662732354</v>
      </c>
      <c r="I472" s="148" t="s">
        <v>509</v>
      </c>
      <c r="J472" s="176" t="s">
        <v>22</v>
      </c>
      <c r="K472" s="163" t="str">
        <f>IF(tbTransactions[[#This Row],[Sub-Type]]="Transfer","Neutral",IF(tbTransactions[[#This Row],[Qty]]&lt;0,"Debit",IF(tbTransactions[[#This Row],[Qty]]&gt;0,"Credit","Neutral")))</f>
        <v>Credit</v>
      </c>
      <c r="L472" s="163" t="s">
        <v>29</v>
      </c>
      <c r="M472" s="171" t="s">
        <v>564</v>
      </c>
    </row>
    <row r="473" spans="3:13" ht="30" customHeight="1" x14ac:dyDescent="0.25">
      <c r="C473" s="175">
        <v>471</v>
      </c>
      <c r="D473" s="163">
        <v>44446</v>
      </c>
      <c r="E473" s="171">
        <f>153.29-151.159213</f>
        <v>2.130786999999998</v>
      </c>
      <c r="F473" s="171">
        <v>1.26</v>
      </c>
      <c r="G473" s="172">
        <v>1</v>
      </c>
      <c r="H473" s="171">
        <f>tbTransactions[[#This Row],[Qty]]*tbTransactions[[#This Row],[Unit Cost]]*tbTransactions[[#This Row],[Exchange Rate]]</f>
        <v>2.6847916199999973</v>
      </c>
      <c r="I473" s="148" t="s">
        <v>759</v>
      </c>
      <c r="J473" s="176" t="s">
        <v>496</v>
      </c>
      <c r="K473" s="163" t="str">
        <f>IF(tbTransactions[[#This Row],[Sub-Type]]="Transfer","Neutral",IF(tbTransactions[[#This Row],[Qty]]&lt;0,"Debit",IF(tbTransactions[[#This Row],[Qty]]&gt;0,"Credit","Neutral")))</f>
        <v>Credit</v>
      </c>
      <c r="L473" s="163" t="s">
        <v>29</v>
      </c>
      <c r="M473" s="171"/>
    </row>
    <row r="474" spans="3:13" ht="30" customHeight="1" x14ac:dyDescent="0.25">
      <c r="C474" s="175">
        <v>472</v>
      </c>
      <c r="D474" s="163">
        <v>44446</v>
      </c>
      <c r="E474" s="171">
        <v>2.5579999999999999E-3</v>
      </c>
      <c r="F474" s="171">
        <v>0</v>
      </c>
      <c r="G474" s="172">
        <v>1</v>
      </c>
      <c r="H474" s="171">
        <f>tbTransactions[[#This Row],[Qty]]*tbTransactions[[#This Row],[Unit Cost]]*tbTransactions[[#This Row],[Exchange Rate]]</f>
        <v>0</v>
      </c>
      <c r="I474" s="148" t="s">
        <v>507</v>
      </c>
      <c r="J474" s="176" t="s">
        <v>17</v>
      </c>
      <c r="K474" s="163" t="str">
        <f>IF(tbTransactions[[#This Row],[Sub-Type]]="Transfer","Neutral",IF(tbTransactions[[#This Row],[Qty]]&lt;0,"Debit",IF(tbTransactions[[#This Row],[Qty]]&gt;0,"Credit","Neutral")))</f>
        <v>Credit</v>
      </c>
      <c r="L474" s="163" t="s">
        <v>518</v>
      </c>
      <c r="M474" s="171" t="s">
        <v>427</v>
      </c>
    </row>
    <row r="475" spans="3:13" ht="30" customHeight="1" x14ac:dyDescent="0.25">
      <c r="C475" s="175">
        <v>473</v>
      </c>
      <c r="D475" s="163">
        <v>44446</v>
      </c>
      <c r="E475" s="171">
        <v>2.4863330699999998E-2</v>
      </c>
      <c r="F475" s="171">
        <v>0</v>
      </c>
      <c r="G475" s="172">
        <v>1</v>
      </c>
      <c r="H475" s="171">
        <f>tbTransactions[[#This Row],[Qty]]*tbTransactions[[#This Row],[Unit Cost]]*tbTransactions[[#This Row],[Exchange Rate]]</f>
        <v>0</v>
      </c>
      <c r="I475" s="148" t="s">
        <v>511</v>
      </c>
      <c r="J475" s="176" t="s">
        <v>20</v>
      </c>
      <c r="K475" s="163" t="str">
        <f>IF(tbTransactions[[#This Row],[Sub-Type]]="Transfer","Neutral",IF(tbTransactions[[#This Row],[Qty]]&lt;0,"Debit",IF(tbTransactions[[#This Row],[Qty]]&gt;0,"Credit","Neutral")))</f>
        <v>Credit</v>
      </c>
      <c r="L475" s="163" t="s">
        <v>518</v>
      </c>
      <c r="M475" s="171" t="s">
        <v>465</v>
      </c>
    </row>
    <row r="476" spans="3:13" ht="30" customHeight="1" x14ac:dyDescent="0.25">
      <c r="C476" s="175">
        <v>474</v>
      </c>
      <c r="D476" s="163">
        <v>44446</v>
      </c>
      <c r="E476" s="171">
        <v>-0.05</v>
      </c>
      <c r="F476" s="171">
        <v>4336</v>
      </c>
      <c r="G476" s="172">
        <v>1</v>
      </c>
      <c r="H476" s="171">
        <f>tbTransactions[[#This Row],[Qty]]*tbTransactions[[#This Row],[Unit Cost]]*tbTransactions[[#This Row],[Exchange Rate]]</f>
        <v>-216.8</v>
      </c>
      <c r="I476" s="148" t="s">
        <v>509</v>
      </c>
      <c r="J476" s="176" t="s">
        <v>22</v>
      </c>
      <c r="K476" s="163" t="str">
        <f>IF(tbTransactions[[#This Row],[Sub-Type]]="Transfer","Neutral",IF(tbTransactions[[#This Row],[Qty]]&lt;0,"Debit",IF(tbTransactions[[#This Row],[Qty]]&gt;0,"Credit","Neutral")))</f>
        <v>Debit</v>
      </c>
      <c r="L476" s="163" t="s">
        <v>12</v>
      </c>
      <c r="M476" s="171" t="s">
        <v>541</v>
      </c>
    </row>
    <row r="477" spans="3:13" ht="30" customHeight="1" x14ac:dyDescent="0.25">
      <c r="C477" s="175">
        <v>475</v>
      </c>
      <c r="D477" s="163">
        <v>44446</v>
      </c>
      <c r="E477" s="171">
        <v>-5.5853375600000001</v>
      </c>
      <c r="F477" s="171">
        <v>4336</v>
      </c>
      <c r="G477" s="172">
        <v>1</v>
      </c>
      <c r="H477" s="171">
        <f>tbTransactions[[#This Row],[Qty]]*tbTransactions[[#This Row],[Unit Cost]]*tbTransactions[[#This Row],[Exchange Rate]]</f>
        <v>-24218.023660160001</v>
      </c>
      <c r="I477" s="148" t="s">
        <v>509</v>
      </c>
      <c r="J477" s="176" t="s">
        <v>22</v>
      </c>
      <c r="K477" s="163" t="str">
        <f>IF(tbTransactions[[#This Row],[Sub-Type]]="Transfer","Neutral",IF(tbTransactions[[#This Row],[Qty]]&lt;0,"Debit",IF(tbTransactions[[#This Row],[Qty]]&gt;0,"Credit","Neutral")))</f>
        <v>Neutral</v>
      </c>
      <c r="L477" s="163" t="s">
        <v>32</v>
      </c>
      <c r="M477" s="171" t="s">
        <v>541</v>
      </c>
    </row>
    <row r="478" spans="3:13" ht="30" customHeight="1" x14ac:dyDescent="0.25">
      <c r="C478" s="175">
        <v>476</v>
      </c>
      <c r="D478" s="163">
        <v>44446</v>
      </c>
      <c r="E478" s="171">
        <v>5.5812299999999997</v>
      </c>
      <c r="F478" s="171">
        <v>4305</v>
      </c>
      <c r="G478" s="172">
        <v>1</v>
      </c>
      <c r="H478" s="171">
        <f>tbTransactions[[#This Row],[Qty]]*tbTransactions[[#This Row],[Unit Cost]]*tbTransactions[[#This Row],[Exchange Rate]]</f>
        <v>24027.19515</v>
      </c>
      <c r="I478" s="148" t="s">
        <v>540</v>
      </c>
      <c r="J478" s="176" t="s">
        <v>22</v>
      </c>
      <c r="K478" s="163" t="str">
        <f>IF(tbTransactions[[#This Row],[Sub-Type]]="Transfer","Neutral",IF(tbTransactions[[#This Row],[Qty]]&lt;0,"Debit",IF(tbTransactions[[#This Row],[Qty]]&gt;0,"Credit","Neutral")))</f>
        <v>Neutral</v>
      </c>
      <c r="L478" s="163" t="s">
        <v>32</v>
      </c>
      <c r="M478" s="171" t="s">
        <v>541</v>
      </c>
    </row>
    <row r="479" spans="3:13" ht="30" customHeight="1" x14ac:dyDescent="0.25">
      <c r="C479" s="175">
        <v>477</v>
      </c>
      <c r="D479" s="163">
        <v>44446</v>
      </c>
      <c r="E479" s="171">
        <v>-5.5812299999999997</v>
      </c>
      <c r="F479" s="171">
        <v>4311</v>
      </c>
      <c r="G479" s="172">
        <v>1</v>
      </c>
      <c r="H479" s="171">
        <f>tbTransactions[[#This Row],[Qty]]*tbTransactions[[#This Row],[Unit Cost]]*tbTransactions[[#This Row],[Exchange Rate]]</f>
        <v>-24060.682529999998</v>
      </c>
      <c r="I479" s="148" t="s">
        <v>540</v>
      </c>
      <c r="J479" s="176" t="s">
        <v>22</v>
      </c>
      <c r="K479" s="163" t="str">
        <f>IF(tbTransactions[[#This Row],[Sub-Type]]="Transfer","Neutral",IF(tbTransactions[[#This Row],[Qty]]&lt;0,"Debit",IF(tbTransactions[[#This Row],[Qty]]&gt;0,"Credit","Neutral")))</f>
        <v>Neutral</v>
      </c>
      <c r="L479" s="163" t="s">
        <v>32</v>
      </c>
      <c r="M479" s="171" t="s">
        <v>543</v>
      </c>
    </row>
    <row r="480" spans="3:13" ht="30" customHeight="1" x14ac:dyDescent="0.25">
      <c r="C480" s="175">
        <v>478</v>
      </c>
      <c r="D480" s="163">
        <v>44446</v>
      </c>
      <c r="E480" s="171">
        <v>5.5812299999999997</v>
      </c>
      <c r="F480" s="171">
        <v>4311</v>
      </c>
      <c r="G480" s="172">
        <v>1</v>
      </c>
      <c r="H480" s="171">
        <f>tbTransactions[[#This Row],[Qty]]*tbTransactions[[#This Row],[Unit Cost]]*tbTransactions[[#This Row],[Exchange Rate]]</f>
        <v>24060.682529999998</v>
      </c>
      <c r="I480" s="148" t="s">
        <v>542</v>
      </c>
      <c r="J480" s="176" t="s">
        <v>22</v>
      </c>
      <c r="K480" s="163" t="str">
        <f>IF(tbTransactions[[#This Row],[Sub-Type]]="Transfer","Neutral",IF(tbTransactions[[#This Row],[Qty]]&lt;0,"Debit",IF(tbTransactions[[#This Row],[Qty]]&gt;0,"Credit","Neutral")))</f>
        <v>Neutral</v>
      </c>
      <c r="L480" s="163" t="s">
        <v>32</v>
      </c>
      <c r="M480" s="171" t="s">
        <v>543</v>
      </c>
    </row>
    <row r="481" spans="3:13" ht="30" customHeight="1" x14ac:dyDescent="0.25">
      <c r="C481" s="175">
        <v>479</v>
      </c>
      <c r="D481" s="163">
        <v>44446</v>
      </c>
      <c r="E481" s="171">
        <v>-3000</v>
      </c>
      <c r="F481" s="171">
        <v>1</v>
      </c>
      <c r="G481" s="172">
        <v>1</v>
      </c>
      <c r="H481" s="171">
        <f>tbTransactions[[#This Row],[Qty]]*tbTransactions[[#This Row],[Unit Cost]]*tbTransactions[[#This Row],[Exchange Rate]]</f>
        <v>-3000</v>
      </c>
      <c r="I481" s="148" t="s">
        <v>499</v>
      </c>
      <c r="J481" s="176" t="s">
        <v>411</v>
      </c>
      <c r="K481" s="163" t="str">
        <f>IF(tbTransactions[[#This Row],[Sub-Type]]="Transfer","Neutral",IF(tbTransactions[[#This Row],[Qty]]&lt;0,"Debit",IF(tbTransactions[[#This Row],[Qty]]&gt;0,"Credit","Neutral")))</f>
        <v>Debit</v>
      </c>
      <c r="L481" s="163" t="s">
        <v>502</v>
      </c>
      <c r="M481" s="171"/>
    </row>
    <row r="482" spans="3:13" ht="30" customHeight="1" x14ac:dyDescent="0.25">
      <c r="C482" s="175">
        <v>480</v>
      </c>
      <c r="D482" s="163">
        <v>44446</v>
      </c>
      <c r="E482" s="171">
        <v>3000</v>
      </c>
      <c r="F482" s="171">
        <v>1</v>
      </c>
      <c r="G482" s="172">
        <v>1</v>
      </c>
      <c r="H482" s="171">
        <f>tbTransactions[[#This Row],[Qty]]*tbTransactions[[#This Row],[Unit Cost]]*tbTransactions[[#This Row],[Exchange Rate]]</f>
        <v>3000</v>
      </c>
      <c r="I482" s="148" t="s">
        <v>504</v>
      </c>
      <c r="J482" s="176" t="s">
        <v>411</v>
      </c>
      <c r="K482" s="163" t="str">
        <f>IF(tbTransactions[[#This Row],[Sub-Type]]="Transfer","Neutral",IF(tbTransactions[[#This Row],[Qty]]&lt;0,"Debit",IF(tbTransactions[[#This Row],[Qty]]&gt;0,"Credit","Neutral")))</f>
        <v>Credit</v>
      </c>
      <c r="L482" s="163" t="s">
        <v>500</v>
      </c>
      <c r="M482" s="171"/>
    </row>
    <row r="483" spans="3:13" ht="30" customHeight="1" x14ac:dyDescent="0.25">
      <c r="C483" s="175">
        <v>481</v>
      </c>
      <c r="D483" s="163">
        <v>44447</v>
      </c>
      <c r="E483" s="171">
        <v>2.9647993899999999E-2</v>
      </c>
      <c r="F483" s="171">
        <v>0</v>
      </c>
      <c r="G483" s="172">
        <v>1</v>
      </c>
      <c r="H483" s="171">
        <f>tbTransactions[[#This Row],[Qty]]*tbTransactions[[#This Row],[Unit Cost]]*tbTransactions[[#This Row],[Exchange Rate]]</f>
        <v>0</v>
      </c>
      <c r="I483" s="148" t="s">
        <v>511</v>
      </c>
      <c r="J483" s="176" t="s">
        <v>20</v>
      </c>
      <c r="K483" s="163" t="str">
        <f>IF(tbTransactions[[#This Row],[Sub-Type]]="Transfer","Neutral",IF(tbTransactions[[#This Row],[Qty]]&lt;0,"Debit",IF(tbTransactions[[#This Row],[Qty]]&gt;0,"Credit","Neutral")))</f>
        <v>Credit</v>
      </c>
      <c r="L483" s="163" t="s">
        <v>518</v>
      </c>
      <c r="M483" s="171" t="s">
        <v>465</v>
      </c>
    </row>
    <row r="484" spans="3:13" ht="30" customHeight="1" x14ac:dyDescent="0.25">
      <c r="C484" s="175">
        <v>482</v>
      </c>
      <c r="D484" s="163">
        <v>44448</v>
      </c>
      <c r="E484" s="171">
        <v>2.7696067500000001E-2</v>
      </c>
      <c r="F484" s="171">
        <v>0</v>
      </c>
      <c r="G484" s="172">
        <v>1</v>
      </c>
      <c r="H484" s="171">
        <f>tbTransactions[[#This Row],[Qty]]*tbTransactions[[#This Row],[Unit Cost]]*tbTransactions[[#This Row],[Exchange Rate]]</f>
        <v>0</v>
      </c>
      <c r="I484" s="148" t="s">
        <v>511</v>
      </c>
      <c r="J484" s="176" t="s">
        <v>20</v>
      </c>
      <c r="K484" s="163" t="str">
        <f>IF(tbTransactions[[#This Row],[Sub-Type]]="Transfer","Neutral",IF(tbTransactions[[#This Row],[Qty]]&lt;0,"Debit",IF(tbTransactions[[#This Row],[Qty]]&gt;0,"Credit","Neutral")))</f>
        <v>Credit</v>
      </c>
      <c r="L484" s="163" t="s">
        <v>518</v>
      </c>
      <c r="M484" s="171" t="s">
        <v>465</v>
      </c>
    </row>
    <row r="485" spans="3:13" ht="30" customHeight="1" x14ac:dyDescent="0.25">
      <c r="C485" s="175">
        <v>483</v>
      </c>
      <c r="D485" s="163">
        <v>44448</v>
      </c>
      <c r="E485" s="171">
        <v>973.05</v>
      </c>
      <c r="F485" s="171">
        <v>3.05</v>
      </c>
      <c r="G485" s="172">
        <v>1</v>
      </c>
      <c r="H485" s="171">
        <f>tbTransactions[[#This Row],[Qty]]*tbTransactions[[#This Row],[Unit Cost]]*tbTransactions[[#This Row],[Exchange Rate]]</f>
        <v>2967.8024999999998</v>
      </c>
      <c r="I485" s="148" t="s">
        <v>504</v>
      </c>
      <c r="J485" s="176" t="s">
        <v>17</v>
      </c>
      <c r="K485" s="163" t="str">
        <f>IF(tbTransactions[[#This Row],[Sub-Type]]="Transfer","Neutral",IF(tbTransactions[[#This Row],[Qty]]&lt;0,"Debit",IF(tbTransactions[[#This Row],[Qty]]&gt;0,"Credit","Neutral")))</f>
        <v>Credit</v>
      </c>
      <c r="L485" s="163" t="s">
        <v>505</v>
      </c>
      <c r="M485" s="171" t="s">
        <v>454</v>
      </c>
    </row>
    <row r="486" spans="3:13" ht="30" customHeight="1" x14ac:dyDescent="0.25">
      <c r="C486" s="175">
        <v>484</v>
      </c>
      <c r="D486" s="163">
        <v>44448</v>
      </c>
      <c r="E486" s="171">
        <v>-2967.8024999999998</v>
      </c>
      <c r="F486" s="171">
        <v>1</v>
      </c>
      <c r="G486" s="172">
        <v>1</v>
      </c>
      <c r="H486" s="171">
        <f>tbTransactions[[#This Row],[Qty]]*tbTransactions[[#This Row],[Unit Cost]]*tbTransactions[[#This Row],[Exchange Rate]]</f>
        <v>-2967.8024999999998</v>
      </c>
      <c r="I486" s="148" t="s">
        <v>504</v>
      </c>
      <c r="J486" s="176" t="s">
        <v>411</v>
      </c>
      <c r="K486" s="163" t="str">
        <f>IF(tbTransactions[[#This Row],[Sub-Type]]="Transfer","Neutral",IF(tbTransactions[[#This Row],[Qty]]&lt;0,"Debit",IF(tbTransactions[[#This Row],[Qty]]&gt;0,"Credit","Neutral")))</f>
        <v>Debit</v>
      </c>
      <c r="L486" s="163" t="s">
        <v>501</v>
      </c>
      <c r="M486" s="171" t="s">
        <v>454</v>
      </c>
    </row>
    <row r="487" spans="3:13" ht="30" customHeight="1" x14ac:dyDescent="0.25">
      <c r="C487" s="175">
        <v>485</v>
      </c>
      <c r="D487" s="163">
        <v>44449</v>
      </c>
      <c r="E487" s="171">
        <v>-3000</v>
      </c>
      <c r="F487" s="171">
        <v>1</v>
      </c>
      <c r="G487" s="172">
        <v>1</v>
      </c>
      <c r="H487" s="171">
        <f>tbTransactions[[#This Row],[Qty]]*tbTransactions[[#This Row],[Unit Cost]]*tbTransactions[[#This Row],[Exchange Rate]]</f>
        <v>-3000</v>
      </c>
      <c r="I487" s="148" t="s">
        <v>499</v>
      </c>
      <c r="J487" s="176" t="s">
        <v>411</v>
      </c>
      <c r="K487" s="163" t="str">
        <f>IF(tbTransactions[[#This Row],[Sub-Type]]="Transfer","Neutral",IF(tbTransactions[[#This Row],[Qty]]&lt;0,"Debit",IF(tbTransactions[[#This Row],[Qty]]&gt;0,"Credit","Neutral")))</f>
        <v>Debit</v>
      </c>
      <c r="L487" s="163" t="s">
        <v>502</v>
      </c>
      <c r="M487" s="171"/>
    </row>
    <row r="488" spans="3:13" ht="30" customHeight="1" x14ac:dyDescent="0.25">
      <c r="C488" s="175">
        <v>486</v>
      </c>
      <c r="D488" s="163">
        <v>44449</v>
      </c>
      <c r="E488" s="171">
        <v>3000</v>
      </c>
      <c r="F488" s="171">
        <v>1</v>
      </c>
      <c r="G488" s="172">
        <v>1</v>
      </c>
      <c r="H488" s="171">
        <f>tbTransactions[[#This Row],[Qty]]*tbTransactions[[#This Row],[Unit Cost]]*tbTransactions[[#This Row],[Exchange Rate]]</f>
        <v>3000</v>
      </c>
      <c r="I488" s="148" t="s">
        <v>504</v>
      </c>
      <c r="J488" s="176" t="s">
        <v>411</v>
      </c>
      <c r="K488" s="163" t="str">
        <f>IF(tbTransactions[[#This Row],[Sub-Type]]="Transfer","Neutral",IF(tbTransactions[[#This Row],[Qty]]&lt;0,"Debit",IF(tbTransactions[[#This Row],[Qty]]&gt;0,"Credit","Neutral")))</f>
        <v>Credit</v>
      </c>
      <c r="L488" s="163" t="s">
        <v>500</v>
      </c>
      <c r="M488" s="171"/>
    </row>
    <row r="489" spans="3:13" ht="30" customHeight="1" x14ac:dyDescent="0.25">
      <c r="C489" s="175">
        <v>487</v>
      </c>
      <c r="D489" s="163">
        <v>44449</v>
      </c>
      <c r="E489" s="171">
        <v>74</v>
      </c>
      <c r="F489" s="171">
        <v>3.087202</v>
      </c>
      <c r="G489" s="172">
        <v>1</v>
      </c>
      <c r="H489" s="171">
        <f>tbTransactions[[#This Row],[Qty]]*tbTransactions[[#This Row],[Unit Cost]]*tbTransactions[[#This Row],[Exchange Rate]]</f>
        <v>228.45294799999999</v>
      </c>
      <c r="I489" s="148" t="s">
        <v>504</v>
      </c>
      <c r="J489" s="176" t="s">
        <v>17</v>
      </c>
      <c r="K489" s="163" t="str">
        <f>IF(tbTransactions[[#This Row],[Sub-Type]]="Transfer","Neutral",IF(tbTransactions[[#This Row],[Qty]]&lt;0,"Debit",IF(tbTransactions[[#This Row],[Qty]]&gt;0,"Credit","Neutral")))</f>
        <v>Credit</v>
      </c>
      <c r="L489" s="163" t="s">
        <v>505</v>
      </c>
      <c r="M489" s="171" t="s">
        <v>454</v>
      </c>
    </row>
    <row r="490" spans="3:13" ht="30" customHeight="1" x14ac:dyDescent="0.25">
      <c r="C490" s="175">
        <v>488</v>
      </c>
      <c r="D490" s="163">
        <v>44449</v>
      </c>
      <c r="E490" s="171">
        <v>97</v>
      </c>
      <c r="F490" s="171">
        <v>3.1</v>
      </c>
      <c r="G490" s="172">
        <v>1</v>
      </c>
      <c r="H490" s="171">
        <f>tbTransactions[[#This Row],[Qty]]*tbTransactions[[#This Row],[Unit Cost]]*tbTransactions[[#This Row],[Exchange Rate]]</f>
        <v>300.7</v>
      </c>
      <c r="I490" s="148" t="s">
        <v>504</v>
      </c>
      <c r="J490" s="176" t="s">
        <v>17</v>
      </c>
      <c r="K490" s="163" t="str">
        <f>IF(tbTransactions[[#This Row],[Sub-Type]]="Transfer","Neutral",IF(tbTransactions[[#This Row],[Qty]]&lt;0,"Debit",IF(tbTransactions[[#This Row],[Qty]]&gt;0,"Credit","Neutral")))</f>
        <v>Credit</v>
      </c>
      <c r="L490" s="163" t="s">
        <v>505</v>
      </c>
      <c r="M490" s="171" t="s">
        <v>454</v>
      </c>
    </row>
    <row r="491" spans="3:13" ht="30" customHeight="1" x14ac:dyDescent="0.25">
      <c r="C491" s="175">
        <v>489</v>
      </c>
      <c r="D491" s="163">
        <v>44449</v>
      </c>
      <c r="E491" s="171">
        <v>796</v>
      </c>
      <c r="F491" s="171">
        <v>3.1</v>
      </c>
      <c r="G491" s="172">
        <v>1</v>
      </c>
      <c r="H491" s="171">
        <f>tbTransactions[[#This Row],[Qty]]*tbTransactions[[#This Row],[Unit Cost]]*tbTransactions[[#This Row],[Exchange Rate]]</f>
        <v>2467.6</v>
      </c>
      <c r="I491" s="148" t="s">
        <v>504</v>
      </c>
      <c r="J491" s="176" t="s">
        <v>17</v>
      </c>
      <c r="K491" s="163" t="str">
        <f>IF(tbTransactions[[#This Row],[Sub-Type]]="Transfer","Neutral",IF(tbTransactions[[#This Row],[Qty]]&lt;0,"Debit",IF(tbTransactions[[#This Row],[Qty]]&gt;0,"Credit","Neutral")))</f>
        <v>Credit</v>
      </c>
      <c r="L491" s="163" t="s">
        <v>505</v>
      </c>
      <c r="M491" s="171" t="s">
        <v>454</v>
      </c>
    </row>
    <row r="492" spans="3:13" ht="30" customHeight="1" x14ac:dyDescent="0.25">
      <c r="C492" s="175">
        <v>490</v>
      </c>
      <c r="D492" s="163">
        <v>44449</v>
      </c>
      <c r="E492" s="171">
        <v>-2997.7</v>
      </c>
      <c r="F492" s="171">
        <v>1</v>
      </c>
      <c r="G492" s="172">
        <v>1</v>
      </c>
      <c r="H492" s="171">
        <f>tbTransactions[[#This Row],[Qty]]*tbTransactions[[#This Row],[Unit Cost]]*tbTransactions[[#This Row],[Exchange Rate]]</f>
        <v>-2997.7</v>
      </c>
      <c r="I492" s="148" t="s">
        <v>504</v>
      </c>
      <c r="J492" s="176" t="s">
        <v>411</v>
      </c>
      <c r="K492" s="163" t="str">
        <f>IF(tbTransactions[[#This Row],[Sub-Type]]="Transfer","Neutral",IF(tbTransactions[[#This Row],[Qty]]&lt;0,"Debit",IF(tbTransactions[[#This Row],[Qty]]&gt;0,"Credit","Neutral")))</f>
        <v>Debit</v>
      </c>
      <c r="L492" s="163" t="s">
        <v>501</v>
      </c>
      <c r="M492" s="171" t="s">
        <v>454</v>
      </c>
    </row>
    <row r="493" spans="3:13" ht="30" customHeight="1" x14ac:dyDescent="0.25">
      <c r="C493" s="175">
        <v>491</v>
      </c>
      <c r="D493" s="163">
        <v>44449</v>
      </c>
      <c r="E493" s="171">
        <v>-1937.816</v>
      </c>
      <c r="F493" s="171">
        <v>3.05</v>
      </c>
      <c r="G493" s="172">
        <v>1</v>
      </c>
      <c r="H493" s="171">
        <f>tbTransactions[[#This Row],[Qty]]*tbTransactions[[#This Row],[Unit Cost]]*tbTransactions[[#This Row],[Exchange Rate]]</f>
        <v>-5910.3387999999995</v>
      </c>
      <c r="I493" s="148" t="s">
        <v>504</v>
      </c>
      <c r="J493" s="176" t="s">
        <v>17</v>
      </c>
      <c r="K493" s="163" t="str">
        <f>IF(tbTransactions[[#This Row],[Sub-Type]]="Transfer","Neutral",IF(tbTransactions[[#This Row],[Qty]]&lt;0,"Debit",IF(tbTransactions[[#This Row],[Qty]]&gt;0,"Credit","Neutral")))</f>
        <v>Neutral</v>
      </c>
      <c r="L493" s="163" t="s">
        <v>32</v>
      </c>
      <c r="M493" s="171" t="s">
        <v>35</v>
      </c>
    </row>
    <row r="494" spans="3:13" ht="30" customHeight="1" x14ac:dyDescent="0.25">
      <c r="C494" s="175">
        <v>492</v>
      </c>
      <c r="D494" s="163">
        <v>44449</v>
      </c>
      <c r="E494" s="171">
        <v>1937.816</v>
      </c>
      <c r="F494" s="171">
        <v>3.05</v>
      </c>
      <c r="G494" s="172">
        <v>1</v>
      </c>
      <c r="H494" s="171">
        <f>tbTransactions[[#This Row],[Qty]]*tbTransactions[[#This Row],[Unit Cost]]*tbTransactions[[#This Row],[Exchange Rate]]</f>
        <v>5910.3387999999995</v>
      </c>
      <c r="I494" s="148" t="s">
        <v>507</v>
      </c>
      <c r="J494" s="176" t="s">
        <v>17</v>
      </c>
      <c r="K494" s="163" t="str">
        <f>IF(tbTransactions[[#This Row],[Sub-Type]]="Transfer","Neutral",IF(tbTransactions[[#This Row],[Qty]]&lt;0,"Debit",IF(tbTransactions[[#This Row],[Qty]]&gt;0,"Credit","Neutral")))</f>
        <v>Neutral</v>
      </c>
      <c r="L494" s="163" t="s">
        <v>32</v>
      </c>
      <c r="M494" s="171" t="s">
        <v>35</v>
      </c>
    </row>
    <row r="495" spans="3:13" ht="30" customHeight="1" x14ac:dyDescent="0.25">
      <c r="C495" s="175">
        <v>493</v>
      </c>
      <c r="D495" s="163">
        <v>44449</v>
      </c>
      <c r="E495" s="171">
        <v>-0.3</v>
      </c>
      <c r="F495" s="171">
        <v>3.05</v>
      </c>
      <c r="G495" s="172">
        <v>1</v>
      </c>
      <c r="H495" s="171">
        <f>tbTransactions[[#This Row],[Qty]]*tbTransactions[[#This Row],[Unit Cost]]*tbTransactions[[#This Row],[Exchange Rate]]</f>
        <v>-0.91499999999999992</v>
      </c>
      <c r="I495" s="148" t="s">
        <v>507</v>
      </c>
      <c r="J495" s="176" t="s">
        <v>17</v>
      </c>
      <c r="K495" s="163" t="str">
        <f>IF(tbTransactions[[#This Row],[Sub-Type]]="Transfer","Neutral",IF(tbTransactions[[#This Row],[Qty]]&lt;0,"Debit",IF(tbTransactions[[#This Row],[Qty]]&gt;0,"Credit","Neutral")))</f>
        <v>Debit</v>
      </c>
      <c r="L495" s="163" t="s">
        <v>12</v>
      </c>
      <c r="M495" s="171" t="s">
        <v>35</v>
      </c>
    </row>
    <row r="496" spans="3:13" ht="30" customHeight="1" x14ac:dyDescent="0.25">
      <c r="C496" s="175">
        <v>494</v>
      </c>
      <c r="D496" s="163">
        <v>44449</v>
      </c>
      <c r="E496" s="171">
        <v>2.3807840300000001E-2</v>
      </c>
      <c r="F496" s="171">
        <v>0</v>
      </c>
      <c r="G496" s="172">
        <v>1</v>
      </c>
      <c r="H496" s="171">
        <f>tbTransactions[[#This Row],[Qty]]*tbTransactions[[#This Row],[Unit Cost]]*tbTransactions[[#This Row],[Exchange Rate]]</f>
        <v>0</v>
      </c>
      <c r="I496" s="148" t="s">
        <v>511</v>
      </c>
      <c r="J496" s="176" t="s">
        <v>20</v>
      </c>
      <c r="K496" s="163" t="str">
        <f>IF(tbTransactions[[#This Row],[Sub-Type]]="Transfer","Neutral",IF(tbTransactions[[#This Row],[Qty]]&lt;0,"Debit",IF(tbTransactions[[#This Row],[Qty]]&gt;0,"Credit","Neutral")))</f>
        <v>Credit</v>
      </c>
      <c r="L496" s="163" t="s">
        <v>518</v>
      </c>
      <c r="M496" s="171" t="s">
        <v>465</v>
      </c>
    </row>
    <row r="497" spans="3:13" ht="30" customHeight="1" x14ac:dyDescent="0.25">
      <c r="C497" s="175">
        <v>495</v>
      </c>
      <c r="D497" s="163">
        <v>44449</v>
      </c>
      <c r="E497" s="171">
        <v>-2.643E-3</v>
      </c>
      <c r="F497" s="171">
        <v>4158</v>
      </c>
      <c r="G497" s="172">
        <v>1</v>
      </c>
      <c r="H497" s="171">
        <f>tbTransactions[[#This Row],[Qty]]*tbTransactions[[#This Row],[Unit Cost]]*tbTransactions[[#This Row],[Exchange Rate]]</f>
        <v>-10.989594</v>
      </c>
      <c r="I497" s="148" t="s">
        <v>759</v>
      </c>
      <c r="J497" s="176" t="s">
        <v>22</v>
      </c>
      <c r="K497" s="163" t="str">
        <f>IF(tbTransactions[[#This Row],[Sub-Type]]="Transfer","Neutral",IF(tbTransactions[[#This Row],[Qty]]&lt;0,"Debit",IF(tbTransactions[[#This Row],[Qty]]&gt;0,"Credit","Neutral")))</f>
        <v>Debit</v>
      </c>
      <c r="L497" s="163" t="s">
        <v>12</v>
      </c>
      <c r="M497" s="171" t="s">
        <v>566</v>
      </c>
    </row>
    <row r="498" spans="3:13" ht="30" customHeight="1" x14ac:dyDescent="0.25">
      <c r="C498" s="175">
        <v>496</v>
      </c>
      <c r="D498" s="163">
        <v>44449</v>
      </c>
      <c r="E498" s="171">
        <v>-2.6373000000000001E-2</v>
      </c>
      <c r="F498" s="171">
        <v>4158</v>
      </c>
      <c r="G498" s="172">
        <v>1</v>
      </c>
      <c r="H498" s="171">
        <f>tbTransactions[[#This Row],[Qty]]*tbTransactions[[#This Row],[Unit Cost]]*tbTransactions[[#This Row],[Exchange Rate]]</f>
        <v>-109.658934</v>
      </c>
      <c r="I498" s="148" t="s">
        <v>759</v>
      </c>
      <c r="J498" s="176" t="s">
        <v>22</v>
      </c>
      <c r="K498" s="163" t="str">
        <f>IF(tbTransactions[[#This Row],[Sub-Type]]="Transfer","Neutral",IF(tbTransactions[[#This Row],[Qty]]&lt;0,"Debit",IF(tbTransactions[[#This Row],[Qty]]&gt;0,"Credit","Neutral")))</f>
        <v>Debit</v>
      </c>
      <c r="L498" s="163" t="s">
        <v>12</v>
      </c>
      <c r="M498" s="171" t="s">
        <v>566</v>
      </c>
    </row>
    <row r="499" spans="3:13" ht="30" customHeight="1" x14ac:dyDescent="0.25">
      <c r="C499" s="175">
        <v>497</v>
      </c>
      <c r="D499" s="163">
        <v>44450</v>
      </c>
      <c r="E499" s="171">
        <v>2.7303147600000001E-2</v>
      </c>
      <c r="F499" s="171">
        <v>0</v>
      </c>
      <c r="G499" s="172">
        <v>1</v>
      </c>
      <c r="H499" s="171">
        <f>tbTransactions[[#This Row],[Qty]]*tbTransactions[[#This Row],[Unit Cost]]*tbTransactions[[#This Row],[Exchange Rate]]</f>
        <v>0</v>
      </c>
      <c r="I499" s="148" t="s">
        <v>511</v>
      </c>
      <c r="J499" s="176" t="s">
        <v>20</v>
      </c>
      <c r="K499" s="163" t="str">
        <f>IF(tbTransactions[[#This Row],[Sub-Type]]="Transfer","Neutral",IF(tbTransactions[[#This Row],[Qty]]&lt;0,"Debit",IF(tbTransactions[[#This Row],[Qty]]&gt;0,"Credit","Neutral")))</f>
        <v>Credit</v>
      </c>
      <c r="L499" s="163" t="s">
        <v>518</v>
      </c>
      <c r="M499" s="171" t="s">
        <v>465</v>
      </c>
    </row>
    <row r="500" spans="3:13" ht="30" customHeight="1" x14ac:dyDescent="0.25">
      <c r="C500" s="175">
        <v>498</v>
      </c>
      <c r="D500" s="163">
        <v>44450</v>
      </c>
      <c r="E500" s="171">
        <v>1.0500247000000001E-2</v>
      </c>
      <c r="F500" s="171">
        <v>0</v>
      </c>
      <c r="G500" s="172">
        <v>1</v>
      </c>
      <c r="H500" s="171">
        <f>tbTransactions[[#This Row],[Qty]]*tbTransactions[[#This Row],[Unit Cost]]*tbTransactions[[#This Row],[Exchange Rate]]</f>
        <v>0</v>
      </c>
      <c r="I500" s="148" t="s">
        <v>542</v>
      </c>
      <c r="J500" s="176" t="s">
        <v>22</v>
      </c>
      <c r="K500" s="163" t="str">
        <f>IF(tbTransactions[[#This Row],[Sub-Type]]="Transfer","Neutral",IF(tbTransactions[[#This Row],[Qty]]&lt;0,"Debit",IF(tbTransactions[[#This Row],[Qty]]&gt;0,"Credit","Neutral")))</f>
        <v>Credit</v>
      </c>
      <c r="L500" s="163" t="s">
        <v>518</v>
      </c>
      <c r="M500" s="171" t="s">
        <v>556</v>
      </c>
    </row>
    <row r="501" spans="3:13" ht="30" customHeight="1" x14ac:dyDescent="0.25">
      <c r="C501" s="175">
        <v>499</v>
      </c>
      <c r="D501" s="163">
        <v>44450</v>
      </c>
      <c r="E501" s="171">
        <v>0.1128</v>
      </c>
      <c r="F501" s="171">
        <v>0</v>
      </c>
      <c r="G501" s="172">
        <v>1</v>
      </c>
      <c r="H501" s="171">
        <f>tbTransactions[[#This Row],[Qty]]*tbTransactions[[#This Row],[Unit Cost]]*tbTransactions[[#This Row],[Exchange Rate]]</f>
        <v>0</v>
      </c>
      <c r="I501" s="148" t="s">
        <v>431</v>
      </c>
      <c r="J501" s="176" t="s">
        <v>18</v>
      </c>
      <c r="K501" s="163" t="str">
        <f>IF(tbTransactions[[#This Row],[Sub-Type]]="Transfer","Neutral",IF(tbTransactions[[#This Row],[Qty]]&lt;0,"Debit",IF(tbTransactions[[#This Row],[Qty]]&gt;0,"Credit","Neutral")))</f>
        <v>Credit</v>
      </c>
      <c r="L501" s="163" t="s">
        <v>518</v>
      </c>
      <c r="M501" s="171" t="s">
        <v>40</v>
      </c>
    </row>
    <row r="502" spans="3:13" ht="30" customHeight="1" x14ac:dyDescent="0.25">
      <c r="C502" s="175">
        <v>500</v>
      </c>
      <c r="D502" s="163">
        <v>44450</v>
      </c>
      <c r="E502" s="171">
        <v>-1.6689999999999999E-3</v>
      </c>
      <c r="F502" s="171">
        <v>6.5483E-2</v>
      </c>
      <c r="G502" s="172">
        <v>1</v>
      </c>
      <c r="H502" s="171">
        <f>tbTransactions[[#This Row],[Qty]]*tbTransactions[[#This Row],[Unit Cost]]*tbTransactions[[#This Row],[Exchange Rate]]</f>
        <v>-1.0929112699999999E-4</v>
      </c>
      <c r="I502" s="148" t="s">
        <v>531</v>
      </c>
      <c r="J502" s="176" t="s">
        <v>440</v>
      </c>
      <c r="K502" s="163" t="str">
        <f>IF(tbTransactions[[#This Row],[Sub-Type]]="Transfer","Neutral",IF(tbTransactions[[#This Row],[Qty]]&lt;0,"Debit",IF(tbTransactions[[#This Row],[Qty]]&gt;0,"Credit","Neutral")))</f>
        <v>Debit</v>
      </c>
      <c r="L502" s="163" t="s">
        <v>12</v>
      </c>
      <c r="M502" s="171" t="s">
        <v>567</v>
      </c>
    </row>
    <row r="503" spans="3:13" ht="30" customHeight="1" x14ac:dyDescent="0.25">
      <c r="C503" s="175">
        <v>501</v>
      </c>
      <c r="D503" s="163">
        <v>44450</v>
      </c>
      <c r="E503" s="171">
        <v>-19.18</v>
      </c>
      <c r="F503" s="171">
        <v>1</v>
      </c>
      <c r="G503" s="172">
        <v>1</v>
      </c>
      <c r="H503" s="171">
        <f>tbTransactions[[#This Row],[Qty]]*tbTransactions[[#This Row],[Unit Cost]]*tbTransactions[[#This Row],[Exchange Rate]]</f>
        <v>-19.18</v>
      </c>
      <c r="I503" s="148" t="s">
        <v>422</v>
      </c>
      <c r="J503" s="176" t="s">
        <v>411</v>
      </c>
      <c r="K503" s="163" t="str">
        <f>IF(tbTransactions[[#This Row],[Sub-Type]]="Transfer","Neutral",IF(tbTransactions[[#This Row],[Qty]]&lt;0,"Debit",IF(tbTransactions[[#This Row],[Qty]]&gt;0,"Credit","Neutral")))</f>
        <v>Debit</v>
      </c>
      <c r="L503" s="163" t="s">
        <v>12</v>
      </c>
      <c r="M503" s="171" t="s">
        <v>457</v>
      </c>
    </row>
    <row r="504" spans="3:13" ht="30" customHeight="1" x14ac:dyDescent="0.25">
      <c r="C504" s="175">
        <v>502</v>
      </c>
      <c r="D504" s="163">
        <v>44450</v>
      </c>
      <c r="E504" s="171">
        <v>-480.82</v>
      </c>
      <c r="F504" s="171">
        <v>1</v>
      </c>
      <c r="G504" s="172">
        <v>1</v>
      </c>
      <c r="H504" s="171">
        <f>tbTransactions[[#This Row],[Qty]]*tbTransactions[[#This Row],[Unit Cost]]*tbTransactions[[#This Row],[Exchange Rate]]</f>
        <v>-480.82</v>
      </c>
      <c r="I504" s="148" t="s">
        <v>422</v>
      </c>
      <c r="J504" s="176" t="s">
        <v>411</v>
      </c>
      <c r="K504" s="163" t="str">
        <f>IF(tbTransactions[[#This Row],[Sub-Type]]="Transfer","Neutral",IF(tbTransactions[[#This Row],[Qty]]&lt;0,"Debit",IF(tbTransactions[[#This Row],[Qty]]&gt;0,"Credit","Neutral")))</f>
        <v>Debit</v>
      </c>
      <c r="L504" s="163" t="s">
        <v>500</v>
      </c>
      <c r="M504" s="171" t="s">
        <v>457</v>
      </c>
    </row>
    <row r="505" spans="3:13" ht="30" customHeight="1" x14ac:dyDescent="0.25">
      <c r="C505" s="175">
        <v>503</v>
      </c>
      <c r="D505" s="163">
        <v>44450</v>
      </c>
      <c r="E505" s="171">
        <v>7297.7124999999996</v>
      </c>
      <c r="F505" s="171">
        <v>6.5886399334037907E-2</v>
      </c>
      <c r="G505" s="172">
        <v>1</v>
      </c>
      <c r="H505" s="171">
        <f>tbTransactions[[#This Row],[Qty]]*tbTransactions[[#This Row],[Unit Cost]]*tbTransactions[[#This Row],[Exchange Rate]]</f>
        <v>480.82000000000011</v>
      </c>
      <c r="I505" s="148" t="s">
        <v>422</v>
      </c>
      <c r="J505" s="176" t="s">
        <v>440</v>
      </c>
      <c r="K505" s="163" t="str">
        <f>IF(tbTransactions[[#This Row],[Sub-Type]]="Transfer","Neutral",IF(tbTransactions[[#This Row],[Qty]]&lt;0,"Debit",IF(tbTransactions[[#This Row],[Qty]]&gt;0,"Credit","Neutral")))</f>
        <v>Credit</v>
      </c>
      <c r="L505" s="163" t="s">
        <v>505</v>
      </c>
      <c r="M505" s="171" t="s">
        <v>457</v>
      </c>
    </row>
    <row r="506" spans="3:13" ht="30" customHeight="1" x14ac:dyDescent="0.25">
      <c r="C506" s="175">
        <v>504</v>
      </c>
      <c r="D506" s="163">
        <v>44450</v>
      </c>
      <c r="E506" s="171">
        <v>-500</v>
      </c>
      <c r="F506" s="171">
        <v>1</v>
      </c>
      <c r="G506" s="172">
        <v>1</v>
      </c>
      <c r="H506" s="171">
        <f>tbTransactions[[#This Row],[Qty]]*tbTransactions[[#This Row],[Unit Cost]]*tbTransactions[[#This Row],[Exchange Rate]]</f>
        <v>-500</v>
      </c>
      <c r="I506" s="148" t="s">
        <v>499</v>
      </c>
      <c r="J506" s="176" t="s">
        <v>411</v>
      </c>
      <c r="K506" s="163" t="str">
        <f>IF(tbTransactions[[#This Row],[Sub-Type]]="Transfer","Neutral",IF(tbTransactions[[#This Row],[Qty]]&lt;0,"Debit",IF(tbTransactions[[#This Row],[Qty]]&gt;0,"Credit","Neutral")))</f>
        <v>Debit</v>
      </c>
      <c r="L506" s="163" t="s">
        <v>502</v>
      </c>
      <c r="M506" s="171" t="s">
        <v>457</v>
      </c>
    </row>
    <row r="507" spans="3:13" ht="30" customHeight="1" x14ac:dyDescent="0.25">
      <c r="C507" s="175">
        <v>505</v>
      </c>
      <c r="D507" s="163">
        <v>44451</v>
      </c>
      <c r="E507" s="171">
        <v>2.6239992600000001E-2</v>
      </c>
      <c r="F507" s="171">
        <v>0</v>
      </c>
      <c r="G507" s="172">
        <v>1</v>
      </c>
      <c r="H507" s="171">
        <f>tbTransactions[[#This Row],[Qty]]*tbTransactions[[#This Row],[Unit Cost]]*tbTransactions[[#This Row],[Exchange Rate]]</f>
        <v>0</v>
      </c>
      <c r="I507" s="148" t="s">
        <v>511</v>
      </c>
      <c r="J507" s="176" t="s">
        <v>20</v>
      </c>
      <c r="K507" s="163" t="str">
        <f>IF(tbTransactions[[#This Row],[Sub-Type]]="Transfer","Neutral",IF(tbTransactions[[#This Row],[Qty]]&lt;0,"Debit",IF(tbTransactions[[#This Row],[Qty]]&gt;0,"Credit","Neutral")))</f>
        <v>Credit</v>
      </c>
      <c r="L507" s="163" t="s">
        <v>518</v>
      </c>
      <c r="M507" s="171" t="s">
        <v>465</v>
      </c>
    </row>
    <row r="508" spans="3:13" ht="30" customHeight="1" x14ac:dyDescent="0.25">
      <c r="C508" s="175">
        <v>506</v>
      </c>
      <c r="D508" s="163">
        <v>44451</v>
      </c>
      <c r="E508" s="171">
        <v>4.7359999999999998E-3</v>
      </c>
      <c r="F508" s="171">
        <v>0</v>
      </c>
      <c r="G508" s="172">
        <v>1</v>
      </c>
      <c r="H508" s="171">
        <f>tbTransactions[[#This Row],[Qty]]*tbTransactions[[#This Row],[Unit Cost]]*tbTransactions[[#This Row],[Exchange Rate]]</f>
        <v>0</v>
      </c>
      <c r="I508" s="148" t="s">
        <v>507</v>
      </c>
      <c r="J508" s="176" t="s">
        <v>17</v>
      </c>
      <c r="K508" s="163" t="str">
        <f>IF(tbTransactions[[#This Row],[Sub-Type]]="Transfer","Neutral",IF(tbTransactions[[#This Row],[Qty]]&lt;0,"Debit",IF(tbTransactions[[#This Row],[Qty]]&gt;0,"Credit","Neutral")))</f>
        <v>Credit</v>
      </c>
      <c r="L508" s="163" t="s">
        <v>518</v>
      </c>
      <c r="M508" s="171" t="s">
        <v>427</v>
      </c>
    </row>
    <row r="509" spans="3:13" ht="30" customHeight="1" x14ac:dyDescent="0.25">
      <c r="C509" s="175">
        <v>507</v>
      </c>
      <c r="D509" s="163">
        <v>44452</v>
      </c>
      <c r="E509" s="171">
        <v>-19.18</v>
      </c>
      <c r="F509" s="171">
        <v>1</v>
      </c>
      <c r="G509" s="172">
        <v>1</v>
      </c>
      <c r="H509" s="171">
        <f>tbTransactions[[#This Row],[Qty]]*tbTransactions[[#This Row],[Unit Cost]]*tbTransactions[[#This Row],[Exchange Rate]]</f>
        <v>-19.18</v>
      </c>
      <c r="I509" s="148" t="s">
        <v>422</v>
      </c>
      <c r="J509" s="176" t="s">
        <v>411</v>
      </c>
      <c r="K509" s="163" t="str">
        <f>IF(tbTransactions[[#This Row],[Sub-Type]]="Transfer","Neutral",IF(tbTransactions[[#This Row],[Qty]]&lt;0,"Debit",IF(tbTransactions[[#This Row],[Qty]]&gt;0,"Credit","Neutral")))</f>
        <v>Debit</v>
      </c>
      <c r="L509" s="163" t="s">
        <v>12</v>
      </c>
      <c r="M509" s="171" t="s">
        <v>457</v>
      </c>
    </row>
    <row r="510" spans="3:13" ht="30" customHeight="1" x14ac:dyDescent="0.25">
      <c r="C510" s="175">
        <v>508</v>
      </c>
      <c r="D510" s="163">
        <v>44452</v>
      </c>
      <c r="E510" s="171">
        <v>-480.82</v>
      </c>
      <c r="F510" s="171">
        <v>1</v>
      </c>
      <c r="G510" s="172">
        <v>1</v>
      </c>
      <c r="H510" s="171">
        <f>tbTransactions[[#This Row],[Qty]]*tbTransactions[[#This Row],[Unit Cost]]*tbTransactions[[#This Row],[Exchange Rate]]</f>
        <v>-480.82</v>
      </c>
      <c r="I510" s="148" t="s">
        <v>422</v>
      </c>
      <c r="J510" s="176" t="s">
        <v>411</v>
      </c>
      <c r="K510" s="163" t="str">
        <f>IF(tbTransactions[[#This Row],[Sub-Type]]="Transfer","Neutral",IF(tbTransactions[[#This Row],[Qty]]&lt;0,"Debit",IF(tbTransactions[[#This Row],[Qty]]&gt;0,"Credit","Neutral")))</f>
        <v>Debit</v>
      </c>
      <c r="L510" s="163" t="s">
        <v>500</v>
      </c>
      <c r="M510" s="171" t="s">
        <v>457</v>
      </c>
    </row>
    <row r="511" spans="3:13" ht="30" customHeight="1" x14ac:dyDescent="0.25">
      <c r="C511" s="175">
        <v>509</v>
      </c>
      <c r="D511" s="163">
        <v>44452</v>
      </c>
      <c r="E511" s="171">
        <v>7527.4814194800001</v>
      </c>
      <c r="F511" s="171">
        <v>6.3875282210024406E-2</v>
      </c>
      <c r="G511" s="172">
        <v>1</v>
      </c>
      <c r="H511" s="171">
        <f>tbTransactions[[#This Row],[Qty]]*tbTransactions[[#This Row],[Unit Cost]]*tbTransactions[[#This Row],[Exchange Rate]]</f>
        <v>480.82000000000011</v>
      </c>
      <c r="I511" s="148" t="s">
        <v>422</v>
      </c>
      <c r="J511" s="176" t="s">
        <v>440</v>
      </c>
      <c r="K511" s="163" t="str">
        <f>IF(tbTransactions[[#This Row],[Sub-Type]]="Transfer","Neutral",IF(tbTransactions[[#This Row],[Qty]]&lt;0,"Debit",IF(tbTransactions[[#This Row],[Qty]]&gt;0,"Credit","Neutral")))</f>
        <v>Credit</v>
      </c>
      <c r="L511" s="163" t="s">
        <v>505</v>
      </c>
      <c r="M511" s="171" t="s">
        <v>457</v>
      </c>
    </row>
    <row r="512" spans="3:13" ht="30" customHeight="1" x14ac:dyDescent="0.25">
      <c r="C512" s="175">
        <v>510</v>
      </c>
      <c r="D512" s="163">
        <v>44452</v>
      </c>
      <c r="E512" s="171">
        <v>-500</v>
      </c>
      <c r="F512" s="171">
        <v>1</v>
      </c>
      <c r="G512" s="172">
        <v>1</v>
      </c>
      <c r="H512" s="171">
        <f>tbTransactions[[#This Row],[Qty]]*tbTransactions[[#This Row],[Unit Cost]]*tbTransactions[[#This Row],[Exchange Rate]]</f>
        <v>-500</v>
      </c>
      <c r="I512" s="148" t="s">
        <v>499</v>
      </c>
      <c r="J512" s="176" t="s">
        <v>411</v>
      </c>
      <c r="K512" s="163" t="str">
        <f>IF(tbTransactions[[#This Row],[Sub-Type]]="Transfer","Neutral",IF(tbTransactions[[#This Row],[Qty]]&lt;0,"Debit",IF(tbTransactions[[#This Row],[Qty]]&gt;0,"Credit","Neutral")))</f>
        <v>Debit</v>
      </c>
      <c r="L512" s="163" t="s">
        <v>502</v>
      </c>
      <c r="M512" s="171" t="s">
        <v>457</v>
      </c>
    </row>
    <row r="513" spans="3:13" ht="30" customHeight="1" x14ac:dyDescent="0.25">
      <c r="C513" s="175">
        <v>511</v>
      </c>
      <c r="D513" s="163">
        <v>44452</v>
      </c>
      <c r="E513" s="171">
        <v>-14825.193908630001</v>
      </c>
      <c r="F513" s="171">
        <v>6.3700000000000007E-2</v>
      </c>
      <c r="G513" s="172">
        <v>1</v>
      </c>
      <c r="H513" s="171">
        <f>tbTransactions[[#This Row],[Qty]]*tbTransactions[[#This Row],[Unit Cost]]*tbTransactions[[#This Row],[Exchange Rate]]</f>
        <v>-944.36485197973116</v>
      </c>
      <c r="I513" s="148" t="s">
        <v>422</v>
      </c>
      <c r="J513" s="176" t="s">
        <v>440</v>
      </c>
      <c r="K513" s="163" t="str">
        <f>IF(tbTransactions[[#This Row],[Sub-Type]]="Transfer","Neutral",IF(tbTransactions[[#This Row],[Qty]]&lt;0,"Debit",IF(tbTransactions[[#This Row],[Qty]]&gt;0,"Credit","Neutral")))</f>
        <v>Neutral</v>
      </c>
      <c r="L513" s="163" t="s">
        <v>32</v>
      </c>
      <c r="M513" s="171" t="s">
        <v>492</v>
      </c>
    </row>
    <row r="514" spans="3:13" ht="30" customHeight="1" x14ac:dyDescent="0.25">
      <c r="C514" s="175">
        <v>512</v>
      </c>
      <c r="D514" s="163">
        <v>44452</v>
      </c>
      <c r="E514" s="171">
        <v>14825.193908630001</v>
      </c>
      <c r="F514" s="171">
        <v>6.3700000000000007E-2</v>
      </c>
      <c r="G514" s="172">
        <v>1</v>
      </c>
      <c r="H514" s="171">
        <f>tbTransactions[[#This Row],[Qty]]*tbTransactions[[#This Row],[Unit Cost]]*tbTransactions[[#This Row],[Exchange Rate]]</f>
        <v>944.36485197973116</v>
      </c>
      <c r="I514" s="148" t="s">
        <v>759</v>
      </c>
      <c r="J514" s="176" t="s">
        <v>440</v>
      </c>
      <c r="K514" s="163" t="str">
        <f>IF(tbTransactions[[#This Row],[Sub-Type]]="Transfer","Neutral",IF(tbTransactions[[#This Row],[Qty]]&lt;0,"Debit",IF(tbTransactions[[#This Row],[Qty]]&gt;0,"Credit","Neutral")))</f>
        <v>Neutral</v>
      </c>
      <c r="L514" s="163" t="s">
        <v>32</v>
      </c>
      <c r="M514" s="171" t="s">
        <v>492</v>
      </c>
    </row>
    <row r="515" spans="3:13" ht="30" customHeight="1" x14ac:dyDescent="0.25">
      <c r="C515" s="175">
        <v>513</v>
      </c>
      <c r="D515" s="163">
        <v>44452</v>
      </c>
      <c r="E515" s="171">
        <v>-52.704939430000003</v>
      </c>
      <c r="F515" s="171">
        <v>6.3700000000000007E-2</v>
      </c>
      <c r="G515" s="172">
        <v>1</v>
      </c>
      <c r="H515" s="171">
        <f>tbTransactions[[#This Row],[Qty]]*tbTransactions[[#This Row],[Unit Cost]]*tbTransactions[[#This Row],[Exchange Rate]]</f>
        <v>-3.3573046416910004</v>
      </c>
      <c r="I515" s="148" t="s">
        <v>759</v>
      </c>
      <c r="J515" s="176" t="s">
        <v>440</v>
      </c>
      <c r="K515" s="163" t="str">
        <f>IF(tbTransactions[[#This Row],[Sub-Type]]="Transfer","Neutral",IF(tbTransactions[[#This Row],[Qty]]&lt;0,"Debit",IF(tbTransactions[[#This Row],[Qty]]&gt;0,"Credit","Neutral")))</f>
        <v>Debit</v>
      </c>
      <c r="L515" s="163" t="s">
        <v>12</v>
      </c>
      <c r="M515" s="171" t="s">
        <v>492</v>
      </c>
    </row>
    <row r="516" spans="3:13" ht="30" customHeight="1" x14ac:dyDescent="0.25">
      <c r="C516" s="175">
        <v>514</v>
      </c>
      <c r="D516" s="163">
        <v>44452</v>
      </c>
      <c r="E516" s="171">
        <v>-1.2772E-2</v>
      </c>
      <c r="F516" s="171">
        <v>4100</v>
      </c>
      <c r="G516" s="172">
        <v>1</v>
      </c>
      <c r="H516" s="171">
        <f>tbTransactions[[#This Row],[Qty]]*tbTransactions[[#This Row],[Unit Cost]]*tbTransactions[[#This Row],[Exchange Rate]]</f>
        <v>-52.365200000000002</v>
      </c>
      <c r="I516" s="148" t="s">
        <v>759</v>
      </c>
      <c r="J516" s="176" t="s">
        <v>22</v>
      </c>
      <c r="K516" s="163" t="str">
        <f>IF(tbTransactions[[#This Row],[Sub-Type]]="Transfer","Neutral",IF(tbTransactions[[#This Row],[Qty]]&lt;0,"Debit",IF(tbTransactions[[#This Row],[Qty]]&gt;0,"Credit","Neutral")))</f>
        <v>Debit</v>
      </c>
      <c r="L516" s="163" t="s">
        <v>12</v>
      </c>
      <c r="M516" s="171" t="s">
        <v>568</v>
      </c>
    </row>
    <row r="517" spans="3:13" ht="30" customHeight="1" x14ac:dyDescent="0.25">
      <c r="C517" s="175">
        <v>515</v>
      </c>
      <c r="D517" s="163">
        <v>44452</v>
      </c>
      <c r="E517" s="171">
        <v>-1.1050000000000001E-2</v>
      </c>
      <c r="F517" s="171">
        <v>4100</v>
      </c>
      <c r="G517" s="172">
        <v>1</v>
      </c>
      <c r="H517" s="171">
        <f>tbTransactions[[#This Row],[Qty]]*tbTransactions[[#This Row],[Unit Cost]]*tbTransactions[[#This Row],[Exchange Rate]]</f>
        <v>-45.305</v>
      </c>
      <c r="I517" s="148" t="s">
        <v>759</v>
      </c>
      <c r="J517" s="176" t="s">
        <v>22</v>
      </c>
      <c r="K517" s="163" t="str">
        <f>IF(tbTransactions[[#This Row],[Sub-Type]]="Transfer","Neutral",IF(tbTransactions[[#This Row],[Qty]]&lt;0,"Debit",IF(tbTransactions[[#This Row],[Qty]]&gt;0,"Credit","Neutral")))</f>
        <v>Debit</v>
      </c>
      <c r="L517" s="163" t="s">
        <v>12</v>
      </c>
      <c r="M517" s="171" t="s">
        <v>568</v>
      </c>
    </row>
    <row r="518" spans="3:13" ht="30" customHeight="1" x14ac:dyDescent="0.25">
      <c r="C518" s="175">
        <v>516</v>
      </c>
      <c r="D518" s="163">
        <v>44452</v>
      </c>
      <c r="E518" s="171">
        <v>-3256</v>
      </c>
      <c r="F518" s="171">
        <v>6.3782000000000005E-2</v>
      </c>
      <c r="G518" s="172">
        <v>1</v>
      </c>
      <c r="H518" s="171">
        <f>tbTransactions[[#This Row],[Qty]]*tbTransactions[[#This Row],[Unit Cost]]*tbTransactions[[#This Row],[Exchange Rate]]</f>
        <v>-207.67419200000001</v>
      </c>
      <c r="I518" s="148" t="s">
        <v>531</v>
      </c>
      <c r="J518" s="176" t="s">
        <v>440</v>
      </c>
      <c r="K518" s="163" t="str">
        <f>IF(tbTransactions[[#This Row],[Sub-Type]]="Transfer","Neutral",IF(tbTransactions[[#This Row],[Qty]]&lt;0,"Debit",IF(tbTransactions[[#This Row],[Qty]]&gt;0,"Credit","Neutral")))</f>
        <v>Neutral</v>
      </c>
      <c r="L518" s="163" t="s">
        <v>32</v>
      </c>
      <c r="M518" s="171" t="s">
        <v>568</v>
      </c>
    </row>
    <row r="519" spans="3:13" ht="30" customHeight="1" x14ac:dyDescent="0.25">
      <c r="C519" s="175">
        <v>517</v>
      </c>
      <c r="D519" s="163">
        <v>44452</v>
      </c>
      <c r="E519" s="171">
        <v>3256</v>
      </c>
      <c r="F519" s="171">
        <v>6.3782000000000005E-2</v>
      </c>
      <c r="G519" s="172">
        <v>1</v>
      </c>
      <c r="H519" s="171">
        <f>tbTransactions[[#This Row],[Qty]]*tbTransactions[[#This Row],[Unit Cost]]*tbTransactions[[#This Row],[Exchange Rate]]</f>
        <v>207.67419200000001</v>
      </c>
      <c r="I519" s="148" t="s">
        <v>569</v>
      </c>
      <c r="J519" s="176" t="s">
        <v>440</v>
      </c>
      <c r="K519" s="163" t="str">
        <f>IF(tbTransactions[[#This Row],[Sub-Type]]="Transfer","Neutral",IF(tbTransactions[[#This Row],[Qty]]&lt;0,"Debit",IF(tbTransactions[[#This Row],[Qty]]&gt;0,"Credit","Neutral")))</f>
        <v>Neutral</v>
      </c>
      <c r="L519" s="163" t="s">
        <v>32</v>
      </c>
      <c r="M519" s="171" t="s">
        <v>568</v>
      </c>
    </row>
    <row r="520" spans="3:13" ht="30" customHeight="1" x14ac:dyDescent="0.25">
      <c r="C520" s="175">
        <v>518</v>
      </c>
      <c r="D520" s="163">
        <v>44452</v>
      </c>
      <c r="E520" s="171">
        <v>-14772</v>
      </c>
      <c r="F520" s="171">
        <v>6.3782000000000005E-2</v>
      </c>
      <c r="G520" s="172">
        <v>1</v>
      </c>
      <c r="H520" s="171">
        <f>tbTransactions[[#This Row],[Qty]]*tbTransactions[[#This Row],[Unit Cost]]*tbTransactions[[#This Row],[Exchange Rate]]</f>
        <v>-942.18770400000005</v>
      </c>
      <c r="I520" s="148" t="s">
        <v>759</v>
      </c>
      <c r="J520" s="176" t="s">
        <v>440</v>
      </c>
      <c r="K520" s="163" t="str">
        <f>IF(tbTransactions[[#This Row],[Sub-Type]]="Transfer","Neutral",IF(tbTransactions[[#This Row],[Qty]]&lt;0,"Debit",IF(tbTransactions[[#This Row],[Qty]]&gt;0,"Credit","Neutral")))</f>
        <v>Neutral</v>
      </c>
      <c r="L520" s="163" t="s">
        <v>32</v>
      </c>
      <c r="M520" s="171" t="s">
        <v>568</v>
      </c>
    </row>
    <row r="521" spans="3:13" ht="30" customHeight="1" x14ac:dyDescent="0.25">
      <c r="C521" s="175">
        <v>519</v>
      </c>
      <c r="D521" s="163">
        <v>44452</v>
      </c>
      <c r="E521" s="171">
        <v>14772</v>
      </c>
      <c r="F521" s="171">
        <v>6.3782000000000005E-2</v>
      </c>
      <c r="G521" s="172">
        <v>1</v>
      </c>
      <c r="H521" s="171">
        <f>tbTransactions[[#This Row],[Qty]]*tbTransactions[[#This Row],[Unit Cost]]*tbTransactions[[#This Row],[Exchange Rate]]</f>
        <v>942.18770400000005</v>
      </c>
      <c r="I521" s="148" t="s">
        <v>569</v>
      </c>
      <c r="J521" s="176" t="s">
        <v>440</v>
      </c>
      <c r="K521" s="163" t="str">
        <f>IF(tbTransactions[[#This Row],[Sub-Type]]="Transfer","Neutral",IF(tbTransactions[[#This Row],[Qty]]&lt;0,"Debit",IF(tbTransactions[[#This Row],[Qty]]&gt;0,"Credit","Neutral")))</f>
        <v>Neutral</v>
      </c>
      <c r="L521" s="163" t="s">
        <v>32</v>
      </c>
      <c r="M521" s="171" t="s">
        <v>568</v>
      </c>
    </row>
    <row r="522" spans="3:13" ht="30" customHeight="1" x14ac:dyDescent="0.25">
      <c r="C522" s="175">
        <v>520</v>
      </c>
      <c r="D522" s="163">
        <v>44452</v>
      </c>
      <c r="E522" s="171">
        <v>2.6754086699999999E-2</v>
      </c>
      <c r="F522" s="171">
        <v>0</v>
      </c>
      <c r="G522" s="172">
        <v>1</v>
      </c>
      <c r="H522" s="171">
        <f>tbTransactions[[#This Row],[Qty]]*tbTransactions[[#This Row],[Unit Cost]]*tbTransactions[[#This Row],[Exchange Rate]]</f>
        <v>0</v>
      </c>
      <c r="I522" s="148" t="s">
        <v>511</v>
      </c>
      <c r="J522" s="176" t="s">
        <v>20</v>
      </c>
      <c r="K522" s="163" t="str">
        <f>IF(tbTransactions[[#This Row],[Sub-Type]]="Transfer","Neutral",IF(tbTransactions[[#This Row],[Qty]]&lt;0,"Debit",IF(tbTransactions[[#This Row],[Qty]]&gt;0,"Credit","Neutral")))</f>
        <v>Credit</v>
      </c>
      <c r="L522" s="163" t="s">
        <v>518</v>
      </c>
      <c r="M522" s="171" t="s">
        <v>465</v>
      </c>
    </row>
    <row r="523" spans="3:13" ht="30" customHeight="1" x14ac:dyDescent="0.25">
      <c r="C523" s="175">
        <v>521</v>
      </c>
      <c r="D523" s="163">
        <v>44453</v>
      </c>
      <c r="E523" s="171">
        <v>-500</v>
      </c>
      <c r="F523" s="171">
        <v>1</v>
      </c>
      <c r="G523" s="172">
        <v>1</v>
      </c>
      <c r="H523" s="171">
        <f>tbTransactions[[#This Row],[Qty]]*tbTransactions[[#This Row],[Unit Cost]]*tbTransactions[[#This Row],[Exchange Rate]]</f>
        <v>-500</v>
      </c>
      <c r="I523" s="148" t="s">
        <v>499</v>
      </c>
      <c r="J523" s="176" t="s">
        <v>411</v>
      </c>
      <c r="K523" s="163" t="str">
        <f>IF(tbTransactions[[#This Row],[Sub-Type]]="Transfer","Neutral",IF(tbTransactions[[#This Row],[Qty]]&lt;0,"Debit",IF(tbTransactions[[#This Row],[Qty]]&gt;0,"Credit","Neutral")))</f>
        <v>Debit</v>
      </c>
      <c r="L523" s="163" t="s">
        <v>502</v>
      </c>
      <c r="M523" s="171" t="s">
        <v>570</v>
      </c>
    </row>
    <row r="524" spans="3:13" ht="30" customHeight="1" x14ac:dyDescent="0.25">
      <c r="C524" s="175">
        <v>522</v>
      </c>
      <c r="D524" s="163">
        <v>44453</v>
      </c>
      <c r="E524" s="171">
        <v>500</v>
      </c>
      <c r="F524" s="171">
        <v>1</v>
      </c>
      <c r="G524" s="172">
        <v>1</v>
      </c>
      <c r="H524" s="171">
        <f>tbTransactions[[#This Row],[Qty]]*tbTransactions[[#This Row],[Unit Cost]]*tbTransactions[[#This Row],[Exchange Rate]]</f>
        <v>500</v>
      </c>
      <c r="I524" s="148" t="s">
        <v>422</v>
      </c>
      <c r="J524" s="176" t="s">
        <v>411</v>
      </c>
      <c r="K524" s="163" t="str">
        <f>IF(tbTransactions[[#This Row],[Sub-Type]]="Transfer","Neutral",IF(tbTransactions[[#This Row],[Qty]]&lt;0,"Debit",IF(tbTransactions[[#This Row],[Qty]]&gt;0,"Credit","Neutral")))</f>
        <v>Credit</v>
      </c>
      <c r="L524" s="163" t="s">
        <v>500</v>
      </c>
      <c r="M524" s="171" t="s">
        <v>570</v>
      </c>
    </row>
    <row r="525" spans="3:13" ht="30" customHeight="1" x14ac:dyDescent="0.25">
      <c r="C525" s="175">
        <v>523</v>
      </c>
      <c r="D525" s="163">
        <v>44453</v>
      </c>
      <c r="E525" s="171">
        <v>-19.18</v>
      </c>
      <c r="F525" s="171">
        <v>1</v>
      </c>
      <c r="G525" s="172">
        <v>1</v>
      </c>
      <c r="H525" s="171">
        <f>tbTransactions[[#This Row],[Qty]]*tbTransactions[[#This Row],[Unit Cost]]*tbTransactions[[#This Row],[Exchange Rate]]</f>
        <v>-19.18</v>
      </c>
      <c r="I525" s="148" t="s">
        <v>422</v>
      </c>
      <c r="J525" s="176" t="s">
        <v>411</v>
      </c>
      <c r="K525" s="163" t="str">
        <f>IF(tbTransactions[[#This Row],[Sub-Type]]="Transfer","Neutral",IF(tbTransactions[[#This Row],[Qty]]&lt;0,"Debit",IF(tbTransactions[[#This Row],[Qty]]&gt;0,"Credit","Neutral")))</f>
        <v>Debit</v>
      </c>
      <c r="L525" s="163" t="s">
        <v>12</v>
      </c>
      <c r="M525" s="171" t="s">
        <v>570</v>
      </c>
    </row>
    <row r="526" spans="3:13" ht="30" customHeight="1" x14ac:dyDescent="0.25">
      <c r="C526" s="175">
        <v>524</v>
      </c>
      <c r="D526" s="163">
        <v>44453</v>
      </c>
      <c r="E526" s="171">
        <v>181.41844800000001</v>
      </c>
      <c r="F526" s="171">
        <v>2.6503368610010374</v>
      </c>
      <c r="G526" s="172">
        <v>1</v>
      </c>
      <c r="H526" s="171">
        <f>tbTransactions[[#This Row],[Qty]]*tbTransactions[[#This Row],[Unit Cost]]*tbTransactions[[#This Row],[Exchange Rate]]</f>
        <v>480.81999999999994</v>
      </c>
      <c r="I526" s="148" t="s">
        <v>422</v>
      </c>
      <c r="J526" s="176" t="s">
        <v>8</v>
      </c>
      <c r="K526" s="163" t="str">
        <f>IF(tbTransactions[[#This Row],[Sub-Type]]="Transfer","Neutral",IF(tbTransactions[[#This Row],[Qty]]&lt;0,"Debit",IF(tbTransactions[[#This Row],[Qty]]&gt;0,"Credit","Neutral")))</f>
        <v>Credit</v>
      </c>
      <c r="L526" s="163" t="s">
        <v>505</v>
      </c>
      <c r="M526" s="171" t="s">
        <v>570</v>
      </c>
    </row>
    <row r="527" spans="3:13" ht="30" customHeight="1" x14ac:dyDescent="0.25">
      <c r="C527" s="175">
        <v>525</v>
      </c>
      <c r="D527" s="163">
        <v>44453</v>
      </c>
      <c r="E527" s="171">
        <v>-480.82</v>
      </c>
      <c r="F527" s="171">
        <v>1</v>
      </c>
      <c r="G527" s="172">
        <v>1</v>
      </c>
      <c r="H527" s="171">
        <f>tbTransactions[[#This Row],[Qty]]*tbTransactions[[#This Row],[Unit Cost]]*tbTransactions[[#This Row],[Exchange Rate]]</f>
        <v>-480.82</v>
      </c>
      <c r="I527" s="148" t="s">
        <v>422</v>
      </c>
      <c r="J527" s="176" t="s">
        <v>411</v>
      </c>
      <c r="K527" s="163" t="str">
        <f>IF(tbTransactions[[#This Row],[Sub-Type]]="Transfer","Neutral",IF(tbTransactions[[#This Row],[Qty]]&lt;0,"Debit",IF(tbTransactions[[#This Row],[Qty]]&gt;0,"Credit","Neutral")))</f>
        <v>Debit</v>
      </c>
      <c r="L527" s="163" t="s">
        <v>501</v>
      </c>
      <c r="M527" s="171" t="s">
        <v>570</v>
      </c>
    </row>
    <row r="528" spans="3:13" ht="30" customHeight="1" x14ac:dyDescent="0.25">
      <c r="C528" s="175">
        <v>526</v>
      </c>
      <c r="D528" s="163">
        <v>44453</v>
      </c>
      <c r="E528" s="171">
        <v>2.5112044699999999E-2</v>
      </c>
      <c r="F528" s="171">
        <v>0</v>
      </c>
      <c r="G528" s="172">
        <v>1</v>
      </c>
      <c r="H528" s="171">
        <f>tbTransactions[[#This Row],[Qty]]*tbTransactions[[#This Row],[Unit Cost]]*tbTransactions[[#This Row],[Exchange Rate]]</f>
        <v>0</v>
      </c>
      <c r="I528" s="148" t="s">
        <v>511</v>
      </c>
      <c r="J528" s="176" t="s">
        <v>20</v>
      </c>
      <c r="K528" s="163" t="str">
        <f>IF(tbTransactions[[#This Row],[Sub-Type]]="Transfer","Neutral",IF(tbTransactions[[#This Row],[Qty]]&lt;0,"Debit",IF(tbTransactions[[#This Row],[Qty]]&gt;0,"Credit","Neutral")))</f>
        <v>Credit</v>
      </c>
      <c r="L528" s="163" t="s">
        <v>518</v>
      </c>
      <c r="M528" s="171" t="s">
        <v>465</v>
      </c>
    </row>
    <row r="529" spans="3:13" ht="30" customHeight="1" x14ac:dyDescent="0.25">
      <c r="C529" s="175">
        <v>527</v>
      </c>
      <c r="D529" s="163">
        <v>44454</v>
      </c>
      <c r="E529" s="171">
        <v>6.6E-3</v>
      </c>
      <c r="F529" s="171">
        <v>0</v>
      </c>
      <c r="G529" s="172">
        <v>1</v>
      </c>
      <c r="H529" s="171">
        <f>tbTransactions[[#This Row],[Qty]]*tbTransactions[[#This Row],[Unit Cost]]*tbTransactions[[#This Row],[Exchange Rate]]</f>
        <v>0</v>
      </c>
      <c r="I529" s="148" t="s">
        <v>422</v>
      </c>
      <c r="J529" s="176" t="s">
        <v>8</v>
      </c>
      <c r="K529" s="163" t="str">
        <f>IF(tbTransactions[[#This Row],[Sub-Type]]="Transfer","Neutral",IF(tbTransactions[[#This Row],[Qty]]&lt;0,"Debit",IF(tbTransactions[[#This Row],[Qty]]&gt;0,"Credit","Neutral")))</f>
        <v>Credit</v>
      </c>
      <c r="L529" s="163" t="s">
        <v>518</v>
      </c>
      <c r="M529" s="171" t="s">
        <v>572</v>
      </c>
    </row>
    <row r="530" spans="3:13" ht="30" customHeight="1" x14ac:dyDescent="0.25">
      <c r="C530" s="175">
        <v>528</v>
      </c>
      <c r="D530" s="163">
        <v>44454</v>
      </c>
      <c r="E530" s="171">
        <v>-500</v>
      </c>
      <c r="F530" s="171">
        <v>1</v>
      </c>
      <c r="G530" s="172">
        <v>1</v>
      </c>
      <c r="H530" s="171">
        <f>tbTransactions[[#This Row],[Qty]]*tbTransactions[[#This Row],[Unit Cost]]*tbTransactions[[#This Row],[Exchange Rate]]</f>
        <v>-500</v>
      </c>
      <c r="I530" s="148" t="s">
        <v>499</v>
      </c>
      <c r="J530" s="176" t="s">
        <v>411</v>
      </c>
      <c r="K530" s="163" t="str">
        <f>IF(tbTransactions[[#This Row],[Sub-Type]]="Transfer","Neutral",IF(tbTransactions[[#This Row],[Qty]]&lt;0,"Debit",IF(tbTransactions[[#This Row],[Qty]]&gt;0,"Credit","Neutral")))</f>
        <v>Debit</v>
      </c>
      <c r="L530" s="163" t="s">
        <v>502</v>
      </c>
      <c r="M530" s="171" t="s">
        <v>570</v>
      </c>
    </row>
    <row r="531" spans="3:13" ht="30" customHeight="1" x14ac:dyDescent="0.25">
      <c r="C531" s="175">
        <v>529</v>
      </c>
      <c r="D531" s="163">
        <v>44454</v>
      </c>
      <c r="E531" s="171">
        <v>500</v>
      </c>
      <c r="F531" s="171">
        <v>1</v>
      </c>
      <c r="G531" s="172">
        <v>1</v>
      </c>
      <c r="H531" s="171">
        <f>tbTransactions[[#This Row],[Qty]]*tbTransactions[[#This Row],[Unit Cost]]*tbTransactions[[#This Row],[Exchange Rate]]</f>
        <v>500</v>
      </c>
      <c r="I531" s="148" t="s">
        <v>422</v>
      </c>
      <c r="J531" s="176" t="s">
        <v>411</v>
      </c>
      <c r="K531" s="163" t="str">
        <f>IF(tbTransactions[[#This Row],[Sub-Type]]="Transfer","Neutral",IF(tbTransactions[[#This Row],[Qty]]&lt;0,"Debit",IF(tbTransactions[[#This Row],[Qty]]&gt;0,"Credit","Neutral")))</f>
        <v>Credit</v>
      </c>
      <c r="L531" s="163" t="s">
        <v>500</v>
      </c>
      <c r="M531" s="171" t="s">
        <v>570</v>
      </c>
    </row>
    <row r="532" spans="3:13" ht="30" customHeight="1" x14ac:dyDescent="0.25">
      <c r="C532" s="175">
        <v>530</v>
      </c>
      <c r="D532" s="163">
        <v>44454</v>
      </c>
      <c r="E532" s="171">
        <v>-19.18</v>
      </c>
      <c r="F532" s="171">
        <v>1</v>
      </c>
      <c r="G532" s="172">
        <v>1</v>
      </c>
      <c r="H532" s="171">
        <f>tbTransactions[[#This Row],[Qty]]*tbTransactions[[#This Row],[Unit Cost]]*tbTransactions[[#This Row],[Exchange Rate]]</f>
        <v>-19.18</v>
      </c>
      <c r="I532" s="148" t="s">
        <v>422</v>
      </c>
      <c r="J532" s="176" t="s">
        <v>411</v>
      </c>
      <c r="K532" s="163" t="str">
        <f>IF(tbTransactions[[#This Row],[Sub-Type]]="Transfer","Neutral",IF(tbTransactions[[#This Row],[Qty]]&lt;0,"Debit",IF(tbTransactions[[#This Row],[Qty]]&gt;0,"Credit","Neutral")))</f>
        <v>Debit</v>
      </c>
      <c r="L532" s="163" t="s">
        <v>12</v>
      </c>
      <c r="M532" s="171" t="s">
        <v>570</v>
      </c>
    </row>
    <row r="533" spans="3:13" ht="30" customHeight="1" x14ac:dyDescent="0.25">
      <c r="C533" s="175">
        <v>531</v>
      </c>
      <c r="D533" s="163">
        <v>44454</v>
      </c>
      <c r="E533" s="171">
        <v>186.82740000000001</v>
      </c>
      <c r="F533" s="171">
        <v>2.5736053705184569</v>
      </c>
      <c r="G533" s="172">
        <v>1</v>
      </c>
      <c r="H533" s="171">
        <f>tbTransactions[[#This Row],[Qty]]*tbTransactions[[#This Row],[Unit Cost]]*tbTransactions[[#This Row],[Exchange Rate]]</f>
        <v>480.82</v>
      </c>
      <c r="I533" s="148" t="s">
        <v>422</v>
      </c>
      <c r="J533" s="176" t="s">
        <v>8</v>
      </c>
      <c r="K533" s="163" t="str">
        <f>IF(tbTransactions[[#This Row],[Sub-Type]]="Transfer","Neutral",IF(tbTransactions[[#This Row],[Qty]]&lt;0,"Debit",IF(tbTransactions[[#This Row],[Qty]]&gt;0,"Credit","Neutral")))</f>
        <v>Credit</v>
      </c>
      <c r="L533" s="163" t="s">
        <v>505</v>
      </c>
      <c r="M533" s="171" t="s">
        <v>570</v>
      </c>
    </row>
    <row r="534" spans="3:13" ht="30" customHeight="1" x14ac:dyDescent="0.25">
      <c r="C534" s="175">
        <v>532</v>
      </c>
      <c r="D534" s="163">
        <v>44454</v>
      </c>
      <c r="E534" s="171">
        <v>2.4583832E-2</v>
      </c>
      <c r="F534" s="171">
        <v>0</v>
      </c>
      <c r="G534" s="172">
        <v>1</v>
      </c>
      <c r="H534" s="171">
        <f>tbTransactions[[#This Row],[Qty]]*tbTransactions[[#This Row],[Unit Cost]]*tbTransactions[[#This Row],[Exchange Rate]]</f>
        <v>0</v>
      </c>
      <c r="I534" s="148" t="s">
        <v>511</v>
      </c>
      <c r="J534" s="176" t="s">
        <v>20</v>
      </c>
      <c r="K534" s="163" t="str">
        <f>IF(tbTransactions[[#This Row],[Sub-Type]]="Transfer","Neutral",IF(tbTransactions[[#This Row],[Qty]]&lt;0,"Debit",IF(tbTransactions[[#This Row],[Qty]]&gt;0,"Credit","Neutral")))</f>
        <v>Credit</v>
      </c>
      <c r="L534" s="163" t="s">
        <v>518</v>
      </c>
      <c r="M534" s="171" t="s">
        <v>465</v>
      </c>
    </row>
    <row r="535" spans="3:13" ht="30" customHeight="1" x14ac:dyDescent="0.25">
      <c r="C535" s="175">
        <v>533</v>
      </c>
      <c r="D535" s="163">
        <v>44455</v>
      </c>
      <c r="E535" s="171">
        <v>1.88</v>
      </c>
      <c r="F535" s="171">
        <v>0</v>
      </c>
      <c r="G535" s="172">
        <v>1</v>
      </c>
      <c r="H535" s="171">
        <f>tbTransactions[[#This Row],[Qty]]*tbTransactions[[#This Row],[Unit Cost]]*tbTransactions[[#This Row],[Exchange Rate]]</f>
        <v>0</v>
      </c>
      <c r="I535" s="148" t="s">
        <v>554</v>
      </c>
      <c r="J535" s="176" t="s">
        <v>552</v>
      </c>
      <c r="K535" s="163" t="str">
        <f>IF(tbTransactions[[#This Row],[Sub-Type]]="Transfer","Neutral",IF(tbTransactions[[#This Row],[Qty]]&lt;0,"Debit",IF(tbTransactions[[#This Row],[Qty]]&gt;0,"Credit","Neutral")))</f>
        <v>Credit</v>
      </c>
      <c r="L535" s="163" t="s">
        <v>518</v>
      </c>
      <c r="M535" s="171" t="s">
        <v>577</v>
      </c>
    </row>
    <row r="536" spans="3:13" ht="30" customHeight="1" x14ac:dyDescent="0.25">
      <c r="C536" s="175">
        <v>534</v>
      </c>
      <c r="D536" s="163">
        <v>44455</v>
      </c>
      <c r="E536" s="171">
        <v>2.7304938500000001E-2</v>
      </c>
      <c r="F536" s="171">
        <v>0</v>
      </c>
      <c r="G536" s="172">
        <v>1</v>
      </c>
      <c r="H536" s="171">
        <f>tbTransactions[[#This Row],[Qty]]*tbTransactions[[#This Row],[Unit Cost]]*tbTransactions[[#This Row],[Exchange Rate]]</f>
        <v>0</v>
      </c>
      <c r="I536" s="148" t="s">
        <v>511</v>
      </c>
      <c r="J536" s="176" t="s">
        <v>20</v>
      </c>
      <c r="K536" s="163" t="str">
        <f>IF(tbTransactions[[#This Row],[Sub-Type]]="Transfer","Neutral",IF(tbTransactions[[#This Row],[Qty]]&lt;0,"Debit",IF(tbTransactions[[#This Row],[Qty]]&gt;0,"Credit","Neutral")))</f>
        <v>Credit</v>
      </c>
      <c r="L536" s="163" t="s">
        <v>518</v>
      </c>
      <c r="M536" s="171" t="s">
        <v>465</v>
      </c>
    </row>
    <row r="537" spans="3:13" ht="30" customHeight="1" x14ac:dyDescent="0.25">
      <c r="C537" s="175">
        <v>535</v>
      </c>
      <c r="D537" s="163">
        <v>44455</v>
      </c>
      <c r="E537" s="171">
        <v>-385</v>
      </c>
      <c r="F537" s="171">
        <v>1</v>
      </c>
      <c r="G537" s="172">
        <v>1</v>
      </c>
      <c r="H537" s="171">
        <f>tbTransactions[[#This Row],[Qty]]*tbTransactions[[#This Row],[Unit Cost]]*tbTransactions[[#This Row],[Exchange Rate]]</f>
        <v>-385</v>
      </c>
      <c r="I537" s="148" t="s">
        <v>499</v>
      </c>
      <c r="J537" s="176" t="s">
        <v>411</v>
      </c>
      <c r="K537" s="163" t="str">
        <f>IF(tbTransactions[[#This Row],[Sub-Type]]="Transfer","Neutral",IF(tbTransactions[[#This Row],[Qty]]&lt;0,"Debit",IF(tbTransactions[[#This Row],[Qty]]&gt;0,"Credit","Neutral")))</f>
        <v>Debit</v>
      </c>
      <c r="L537" s="163" t="s">
        <v>502</v>
      </c>
      <c r="M537" s="171" t="s">
        <v>575</v>
      </c>
    </row>
    <row r="538" spans="3:13" ht="30" customHeight="1" x14ac:dyDescent="0.25">
      <c r="C538" s="175">
        <v>536</v>
      </c>
      <c r="D538" s="163">
        <v>44455</v>
      </c>
      <c r="E538" s="171">
        <v>385</v>
      </c>
      <c r="F538" s="171">
        <v>1</v>
      </c>
      <c r="G538" s="172">
        <v>1</v>
      </c>
      <c r="H538" s="171">
        <f>tbTransactions[[#This Row],[Qty]]*tbTransactions[[#This Row],[Unit Cost]]*tbTransactions[[#This Row],[Exchange Rate]]</f>
        <v>385</v>
      </c>
      <c r="I538" s="148" t="s">
        <v>422</v>
      </c>
      <c r="J538" s="176" t="s">
        <v>411</v>
      </c>
      <c r="K538" s="163" t="str">
        <f>IF(tbTransactions[[#This Row],[Sub-Type]]="Transfer","Neutral",IF(tbTransactions[[#This Row],[Qty]]&lt;0,"Debit",IF(tbTransactions[[#This Row],[Qty]]&gt;0,"Credit","Neutral")))</f>
        <v>Credit</v>
      </c>
      <c r="L538" s="163" t="s">
        <v>500</v>
      </c>
      <c r="M538" s="171" t="s">
        <v>575</v>
      </c>
    </row>
    <row r="539" spans="3:13" ht="30" customHeight="1" x14ac:dyDescent="0.25">
      <c r="C539" s="175">
        <v>537</v>
      </c>
      <c r="D539" s="163">
        <v>44455</v>
      </c>
      <c r="E539" s="171">
        <v>7405.4211671499997</v>
      </c>
      <c r="F539" s="171">
        <v>4.9994455635057992E-2</v>
      </c>
      <c r="G539" s="172">
        <v>1</v>
      </c>
      <c r="H539" s="171">
        <f>tbTransactions[[#This Row],[Qty]]*tbTransactions[[#This Row],[Unit Cost]]*tbTransactions[[#This Row],[Exchange Rate]]</f>
        <v>370.23</v>
      </c>
      <c r="I539" s="148" t="s">
        <v>422</v>
      </c>
      <c r="J539" s="176" t="s">
        <v>573</v>
      </c>
      <c r="K539" s="163" t="str">
        <f>IF(tbTransactions[[#This Row],[Sub-Type]]="Transfer","Neutral",IF(tbTransactions[[#This Row],[Qty]]&lt;0,"Debit",IF(tbTransactions[[#This Row],[Qty]]&gt;0,"Credit","Neutral")))</f>
        <v>Credit</v>
      </c>
      <c r="L539" s="163" t="s">
        <v>505</v>
      </c>
      <c r="M539" s="171" t="s">
        <v>575</v>
      </c>
    </row>
    <row r="540" spans="3:13" ht="30" customHeight="1" x14ac:dyDescent="0.25">
      <c r="C540" s="175">
        <v>538</v>
      </c>
      <c r="D540" s="163">
        <v>44455</v>
      </c>
      <c r="E540" s="171">
        <v>-370.23</v>
      </c>
      <c r="F540" s="171">
        <v>1</v>
      </c>
      <c r="G540" s="172">
        <v>1</v>
      </c>
      <c r="H540" s="171">
        <f>tbTransactions[[#This Row],[Qty]]*tbTransactions[[#This Row],[Unit Cost]]*tbTransactions[[#This Row],[Exchange Rate]]</f>
        <v>-370.23</v>
      </c>
      <c r="I540" s="148" t="s">
        <v>422</v>
      </c>
      <c r="J540" s="176" t="s">
        <v>411</v>
      </c>
      <c r="K540" s="163" t="str">
        <f>IF(tbTransactions[[#This Row],[Sub-Type]]="Transfer","Neutral",IF(tbTransactions[[#This Row],[Qty]]&lt;0,"Debit",IF(tbTransactions[[#This Row],[Qty]]&gt;0,"Credit","Neutral")))</f>
        <v>Debit</v>
      </c>
      <c r="L540" s="163" t="s">
        <v>501</v>
      </c>
      <c r="M540" s="171" t="s">
        <v>575</v>
      </c>
    </row>
    <row r="541" spans="3:13" ht="30" customHeight="1" x14ac:dyDescent="0.25">
      <c r="C541" s="175">
        <v>539</v>
      </c>
      <c r="D541" s="163">
        <v>44455</v>
      </c>
      <c r="E541" s="171">
        <v>-14.77</v>
      </c>
      <c r="F541" s="171">
        <v>1</v>
      </c>
      <c r="G541" s="172">
        <v>1</v>
      </c>
      <c r="H541" s="171">
        <f>tbTransactions[[#This Row],[Qty]]*tbTransactions[[#This Row],[Unit Cost]]*tbTransactions[[#This Row],[Exchange Rate]]</f>
        <v>-14.77</v>
      </c>
      <c r="I541" s="148" t="s">
        <v>422</v>
      </c>
      <c r="J541" s="176" t="s">
        <v>411</v>
      </c>
      <c r="K541" s="163" t="str">
        <f>IF(tbTransactions[[#This Row],[Sub-Type]]="Transfer","Neutral",IF(tbTransactions[[#This Row],[Qty]]&lt;0,"Debit",IF(tbTransactions[[#This Row],[Qty]]&gt;0,"Credit","Neutral")))</f>
        <v>Debit</v>
      </c>
      <c r="L541" s="163" t="s">
        <v>12</v>
      </c>
      <c r="M541" s="171" t="s">
        <v>575</v>
      </c>
    </row>
    <row r="542" spans="3:13" ht="30" customHeight="1" x14ac:dyDescent="0.25">
      <c r="C542" s="175">
        <v>540</v>
      </c>
      <c r="D542" s="163">
        <v>44455</v>
      </c>
      <c r="E542" s="171">
        <v>2.8332E-2</v>
      </c>
      <c r="F542" s="171">
        <v>0</v>
      </c>
      <c r="G542" s="172">
        <v>1</v>
      </c>
      <c r="H542" s="171">
        <f>tbTransactions[[#This Row],[Qty]]*tbTransactions[[#This Row],[Unit Cost]]*tbTransactions[[#This Row],[Exchange Rate]]</f>
        <v>0</v>
      </c>
      <c r="I542" s="148" t="s">
        <v>422</v>
      </c>
      <c r="J542" s="176" t="s">
        <v>8</v>
      </c>
      <c r="K542" s="163" t="str">
        <f>IF(tbTransactions[[#This Row],[Sub-Type]]="Transfer","Neutral",IF(tbTransactions[[#This Row],[Qty]]&lt;0,"Debit",IF(tbTransactions[[#This Row],[Qty]]&gt;0,"Credit","Neutral")))</f>
        <v>Credit</v>
      </c>
      <c r="L542" s="163" t="s">
        <v>518</v>
      </c>
      <c r="M542" s="171" t="s">
        <v>572</v>
      </c>
    </row>
    <row r="543" spans="3:13" ht="30" customHeight="1" x14ac:dyDescent="0.25">
      <c r="C543" s="175">
        <v>541</v>
      </c>
      <c r="D543" s="163">
        <v>44456</v>
      </c>
      <c r="E543" s="171">
        <v>3.0675729700000001E-2</v>
      </c>
      <c r="F543" s="171">
        <v>0</v>
      </c>
      <c r="G543" s="172">
        <v>1</v>
      </c>
      <c r="H543" s="171">
        <f>tbTransactions[[#This Row],[Qty]]*tbTransactions[[#This Row],[Unit Cost]]*tbTransactions[[#This Row],[Exchange Rate]]</f>
        <v>0</v>
      </c>
      <c r="I543" s="148" t="s">
        <v>511</v>
      </c>
      <c r="J543" s="176" t="s">
        <v>20</v>
      </c>
      <c r="K543" s="163" t="str">
        <f>IF(tbTransactions[[#This Row],[Sub-Type]]="Transfer","Neutral",IF(tbTransactions[[#This Row],[Qty]]&lt;0,"Debit",IF(tbTransactions[[#This Row],[Qty]]&gt;0,"Credit","Neutral")))</f>
        <v>Credit</v>
      </c>
      <c r="L543" s="163" t="s">
        <v>518</v>
      </c>
      <c r="M543" s="171" t="s">
        <v>465</v>
      </c>
    </row>
    <row r="544" spans="3:13" ht="30" customHeight="1" x14ac:dyDescent="0.25">
      <c r="C544" s="175">
        <v>542</v>
      </c>
      <c r="D544" s="163">
        <v>44456</v>
      </c>
      <c r="E544" s="171">
        <v>6.1209999999999997E-3</v>
      </c>
      <c r="F544" s="171">
        <v>0</v>
      </c>
      <c r="G544" s="172">
        <v>1</v>
      </c>
      <c r="H544" s="171">
        <f>tbTransactions[[#This Row],[Qty]]*tbTransactions[[#This Row],[Unit Cost]]*tbTransactions[[#This Row],[Exchange Rate]]</f>
        <v>0</v>
      </c>
      <c r="I544" s="148" t="s">
        <v>507</v>
      </c>
      <c r="J544" s="176" t="s">
        <v>17</v>
      </c>
      <c r="K544" s="163" t="str">
        <f>IF(tbTransactions[[#This Row],[Sub-Type]]="Transfer","Neutral",IF(tbTransactions[[#This Row],[Qty]]&lt;0,"Debit",IF(tbTransactions[[#This Row],[Qty]]&gt;0,"Credit","Neutral")))</f>
        <v>Credit</v>
      </c>
      <c r="L544" s="163" t="s">
        <v>518</v>
      </c>
      <c r="M544" s="171" t="s">
        <v>427</v>
      </c>
    </row>
    <row r="545" spans="3:13" ht="30" customHeight="1" x14ac:dyDescent="0.25">
      <c r="C545" s="175">
        <v>543</v>
      </c>
      <c r="D545" s="163">
        <v>44456</v>
      </c>
      <c r="E545" s="171">
        <v>3.9572999999999997E-2</v>
      </c>
      <c r="F545" s="171">
        <v>0</v>
      </c>
      <c r="G545" s="172">
        <v>1</v>
      </c>
      <c r="H545" s="171">
        <f>tbTransactions[[#This Row],[Qty]]*tbTransactions[[#This Row],[Unit Cost]]*tbTransactions[[#This Row],[Exchange Rate]]</f>
        <v>0</v>
      </c>
      <c r="I545" s="148" t="s">
        <v>422</v>
      </c>
      <c r="J545" s="176" t="s">
        <v>8</v>
      </c>
      <c r="K545" s="163" t="str">
        <f>IF(tbTransactions[[#This Row],[Sub-Type]]="Transfer","Neutral",IF(tbTransactions[[#This Row],[Qty]]&lt;0,"Debit",IF(tbTransactions[[#This Row],[Qty]]&gt;0,"Credit","Neutral")))</f>
        <v>Credit</v>
      </c>
      <c r="L545" s="163" t="s">
        <v>518</v>
      </c>
      <c r="M545" s="171" t="s">
        <v>572</v>
      </c>
    </row>
    <row r="546" spans="3:13" ht="30" customHeight="1" x14ac:dyDescent="0.25">
      <c r="C546" s="175">
        <v>544</v>
      </c>
      <c r="D546" s="163">
        <v>44457</v>
      </c>
      <c r="E546" s="171">
        <v>2.2907822299999998E-2</v>
      </c>
      <c r="F546" s="171">
        <v>0</v>
      </c>
      <c r="G546" s="172">
        <v>1</v>
      </c>
      <c r="H546" s="171">
        <f>tbTransactions[[#This Row],[Qty]]*tbTransactions[[#This Row],[Unit Cost]]*tbTransactions[[#This Row],[Exchange Rate]]</f>
        <v>0</v>
      </c>
      <c r="I546" s="148" t="s">
        <v>511</v>
      </c>
      <c r="J546" s="176" t="s">
        <v>20</v>
      </c>
      <c r="K546" s="163" t="str">
        <f>IF(tbTransactions[[#This Row],[Sub-Type]]="Transfer","Neutral",IF(tbTransactions[[#This Row],[Qty]]&lt;0,"Debit",IF(tbTransactions[[#This Row],[Qty]]&gt;0,"Credit","Neutral")))</f>
        <v>Credit</v>
      </c>
      <c r="L546" s="163" t="s">
        <v>518</v>
      </c>
      <c r="M546" s="171" t="s">
        <v>465</v>
      </c>
    </row>
    <row r="547" spans="3:13" ht="30" customHeight="1" x14ac:dyDescent="0.25">
      <c r="C547" s="175">
        <v>545</v>
      </c>
      <c r="D547" s="163">
        <v>44457</v>
      </c>
      <c r="E547" s="171">
        <v>1.5097943000000001E-2</v>
      </c>
      <c r="F547" s="171">
        <v>0</v>
      </c>
      <c r="G547" s="172">
        <v>1</v>
      </c>
      <c r="H547" s="171">
        <f>tbTransactions[[#This Row],[Qty]]*tbTransactions[[#This Row],[Unit Cost]]*tbTransactions[[#This Row],[Exchange Rate]]</f>
        <v>0</v>
      </c>
      <c r="I547" s="148" t="s">
        <v>542</v>
      </c>
      <c r="J547" s="176" t="s">
        <v>22</v>
      </c>
      <c r="K547" s="163" t="str">
        <f>IF(tbTransactions[[#This Row],[Sub-Type]]="Transfer","Neutral",IF(tbTransactions[[#This Row],[Qty]]&lt;0,"Debit",IF(tbTransactions[[#This Row],[Qty]]&gt;0,"Credit","Neutral")))</f>
        <v>Credit</v>
      </c>
      <c r="L547" s="163" t="s">
        <v>518</v>
      </c>
      <c r="M547" s="171" t="s">
        <v>556</v>
      </c>
    </row>
    <row r="548" spans="3:13" ht="30" customHeight="1" x14ac:dyDescent="0.25">
      <c r="C548" s="175">
        <v>546</v>
      </c>
      <c r="D548" s="163">
        <v>44457</v>
      </c>
      <c r="E548" s="171">
        <v>0.122499</v>
      </c>
      <c r="F548" s="171">
        <v>0</v>
      </c>
      <c r="G548" s="172">
        <v>1</v>
      </c>
      <c r="H548" s="171">
        <f>tbTransactions[[#This Row],[Qty]]*tbTransactions[[#This Row],[Unit Cost]]*tbTransactions[[#This Row],[Exchange Rate]]</f>
        <v>0</v>
      </c>
      <c r="I548" s="148" t="s">
        <v>431</v>
      </c>
      <c r="J548" s="176" t="s">
        <v>18</v>
      </c>
      <c r="K548" s="163" t="str">
        <f>IF(tbTransactions[[#This Row],[Sub-Type]]="Transfer","Neutral",IF(tbTransactions[[#This Row],[Qty]]&lt;0,"Debit",IF(tbTransactions[[#This Row],[Qty]]&gt;0,"Credit","Neutral")))</f>
        <v>Credit</v>
      </c>
      <c r="L548" s="163" t="s">
        <v>518</v>
      </c>
      <c r="M548" s="171" t="s">
        <v>40</v>
      </c>
    </row>
    <row r="549" spans="3:13" ht="30" customHeight="1" x14ac:dyDescent="0.25">
      <c r="C549" s="175">
        <v>547</v>
      </c>
      <c r="D549" s="163">
        <v>44457</v>
      </c>
      <c r="E549" s="171">
        <v>3.9577000000000001E-2</v>
      </c>
      <c r="F549" s="171">
        <v>0</v>
      </c>
      <c r="G549" s="172">
        <v>1</v>
      </c>
      <c r="H549" s="171">
        <f>tbTransactions[[#This Row],[Qty]]*tbTransactions[[#This Row],[Unit Cost]]*tbTransactions[[#This Row],[Exchange Rate]]</f>
        <v>0</v>
      </c>
      <c r="I549" s="148" t="s">
        <v>422</v>
      </c>
      <c r="J549" s="176" t="s">
        <v>8</v>
      </c>
      <c r="K549" s="163" t="str">
        <f>IF(tbTransactions[[#This Row],[Sub-Type]]="Transfer","Neutral",IF(tbTransactions[[#This Row],[Qty]]&lt;0,"Debit",IF(tbTransactions[[#This Row],[Qty]]&gt;0,"Credit","Neutral")))</f>
        <v>Credit</v>
      </c>
      <c r="L549" s="163" t="s">
        <v>518</v>
      </c>
      <c r="M549" s="171" t="s">
        <v>572</v>
      </c>
    </row>
    <row r="550" spans="3:13" ht="30" customHeight="1" x14ac:dyDescent="0.25">
      <c r="C550" s="175">
        <v>548</v>
      </c>
      <c r="D550" s="163">
        <v>44458</v>
      </c>
      <c r="E550" s="171">
        <v>2.3405923499999998E-2</v>
      </c>
      <c r="F550" s="171">
        <v>0</v>
      </c>
      <c r="G550" s="172">
        <v>1</v>
      </c>
      <c r="H550" s="171">
        <f>tbTransactions[[#This Row],[Qty]]*tbTransactions[[#This Row],[Unit Cost]]*tbTransactions[[#This Row],[Exchange Rate]]</f>
        <v>0</v>
      </c>
      <c r="I550" s="148" t="s">
        <v>511</v>
      </c>
      <c r="J550" s="176" t="s">
        <v>20</v>
      </c>
      <c r="K550" s="163" t="str">
        <f>IF(tbTransactions[[#This Row],[Sub-Type]]="Transfer","Neutral",IF(tbTransactions[[#This Row],[Qty]]&lt;0,"Debit",IF(tbTransactions[[#This Row],[Qty]]&gt;0,"Credit","Neutral")))</f>
        <v>Credit</v>
      </c>
      <c r="L550" s="163" t="s">
        <v>518</v>
      </c>
      <c r="M550" s="171" t="s">
        <v>465</v>
      </c>
    </row>
    <row r="551" spans="3:13" ht="30" customHeight="1" x14ac:dyDescent="0.25">
      <c r="C551" s="175">
        <v>549</v>
      </c>
      <c r="D551" s="163">
        <v>44458</v>
      </c>
      <c r="E551" s="171">
        <v>-47.014699999999998</v>
      </c>
      <c r="F551" s="171">
        <v>29.95</v>
      </c>
      <c r="G551" s="172">
        <v>1</v>
      </c>
      <c r="H551" s="171">
        <f>tbTransactions[[#This Row],[Qty]]*tbTransactions[[#This Row],[Unit Cost]]*tbTransactions[[#This Row],[Exchange Rate]]</f>
        <v>-1408.0902649999998</v>
      </c>
      <c r="I551" s="148" t="s">
        <v>759</v>
      </c>
      <c r="J551" s="176" t="s">
        <v>467</v>
      </c>
      <c r="K551" s="163" t="str">
        <f>IF(tbTransactions[[#This Row],[Sub-Type]]="Transfer","Neutral",IF(tbTransactions[[#This Row],[Qty]]&lt;0,"Debit",IF(tbTransactions[[#This Row],[Qty]]&gt;0,"Credit","Neutral")))</f>
        <v>Neutral</v>
      </c>
      <c r="L551" s="163" t="s">
        <v>32</v>
      </c>
      <c r="M551" s="171" t="s">
        <v>579</v>
      </c>
    </row>
    <row r="552" spans="3:13" ht="30" customHeight="1" x14ac:dyDescent="0.25">
      <c r="C552" s="175">
        <v>550</v>
      </c>
      <c r="D552" s="163">
        <v>44458</v>
      </c>
      <c r="E552" s="171">
        <v>0.324349</v>
      </c>
      <c r="F552" s="171">
        <v>4298</v>
      </c>
      <c r="G552" s="172">
        <v>1</v>
      </c>
      <c r="H552" s="171">
        <f>tbTransactions[[#This Row],[Qty]]*tbTransactions[[#This Row],[Unit Cost]]*tbTransactions[[#This Row],[Exchange Rate]]</f>
        <v>1394.0520019999999</v>
      </c>
      <c r="I552" s="148" t="s">
        <v>759</v>
      </c>
      <c r="J552" s="176" t="s">
        <v>22</v>
      </c>
      <c r="K552" s="163" t="str">
        <f>IF(tbTransactions[[#This Row],[Sub-Type]]="Transfer","Neutral",IF(tbTransactions[[#This Row],[Qty]]&lt;0,"Debit",IF(tbTransactions[[#This Row],[Qty]]&gt;0,"Credit","Neutral")))</f>
        <v>Neutral</v>
      </c>
      <c r="L552" s="163" t="s">
        <v>32</v>
      </c>
      <c r="M552" s="171" t="s">
        <v>579</v>
      </c>
    </row>
    <row r="553" spans="3:13" ht="30" customHeight="1" x14ac:dyDescent="0.25">
      <c r="C553" s="175">
        <v>551</v>
      </c>
      <c r="D553" s="163">
        <v>44458</v>
      </c>
      <c r="E553" s="171">
        <v>-7.6114642005922304E-3</v>
      </c>
      <c r="F553" s="171">
        <v>4298</v>
      </c>
      <c r="G553" s="172">
        <v>1</v>
      </c>
      <c r="H553" s="171">
        <f>tbTransactions[[#This Row],[Qty]]*tbTransactions[[#This Row],[Unit Cost]]*tbTransactions[[#This Row],[Exchange Rate]]</f>
        <v>-32.714073134145409</v>
      </c>
      <c r="I553" s="148" t="s">
        <v>759</v>
      </c>
      <c r="J553" s="176" t="s">
        <v>22</v>
      </c>
      <c r="K553" s="163" t="str">
        <f>IF(tbTransactions[[#This Row],[Sub-Type]]="Transfer","Neutral",IF(tbTransactions[[#This Row],[Qty]]&lt;0,"Debit",IF(tbTransactions[[#This Row],[Qty]]&gt;0,"Credit","Neutral")))</f>
        <v>Debit</v>
      </c>
      <c r="L553" s="163" t="s">
        <v>12</v>
      </c>
      <c r="M553" s="171" t="s">
        <v>579</v>
      </c>
    </row>
    <row r="554" spans="3:13" ht="30" customHeight="1" x14ac:dyDescent="0.25">
      <c r="C554" s="175">
        <v>552</v>
      </c>
      <c r="D554" s="163">
        <v>44458</v>
      </c>
      <c r="E554" s="171">
        <v>3.1259768700000001</v>
      </c>
      <c r="F554" s="171">
        <v>0</v>
      </c>
      <c r="G554" s="172">
        <v>1</v>
      </c>
      <c r="H554" s="171">
        <f>tbTransactions[[#This Row],[Qty]]*tbTransactions[[#This Row],[Unit Cost]]*tbTransactions[[#This Row],[Exchange Rate]]</f>
        <v>0</v>
      </c>
      <c r="I554" s="148" t="s">
        <v>422</v>
      </c>
      <c r="J554" s="176" t="s">
        <v>578</v>
      </c>
      <c r="K554" s="163" t="str">
        <f>IF(tbTransactions[[#This Row],[Sub-Type]]="Transfer","Neutral",IF(tbTransactions[[#This Row],[Qty]]&lt;0,"Debit",IF(tbTransactions[[#This Row],[Qty]]&gt;0,"Credit","Neutral")))</f>
        <v>Credit</v>
      </c>
      <c r="L554" s="163" t="s">
        <v>516</v>
      </c>
      <c r="M554" s="171" t="s">
        <v>477</v>
      </c>
    </row>
    <row r="555" spans="3:13" ht="30" customHeight="1" x14ac:dyDescent="0.25">
      <c r="C555" s="175">
        <v>553</v>
      </c>
      <c r="D555" s="163">
        <v>44458</v>
      </c>
      <c r="E555" s="171">
        <v>3.1279324399999999</v>
      </c>
      <c r="F555" s="171">
        <v>0</v>
      </c>
      <c r="G555" s="172">
        <v>1</v>
      </c>
      <c r="H555" s="171">
        <f>tbTransactions[[#This Row],[Qty]]*tbTransactions[[#This Row],[Unit Cost]]*tbTransactions[[#This Row],[Exchange Rate]]</f>
        <v>0</v>
      </c>
      <c r="I555" s="148" t="s">
        <v>422</v>
      </c>
      <c r="J555" s="176" t="s">
        <v>578</v>
      </c>
      <c r="K555" s="163" t="str">
        <f>IF(tbTransactions[[#This Row],[Sub-Type]]="Transfer","Neutral",IF(tbTransactions[[#This Row],[Qty]]&lt;0,"Debit",IF(tbTransactions[[#This Row],[Qty]]&gt;0,"Credit","Neutral")))</f>
        <v>Credit</v>
      </c>
      <c r="L555" s="163" t="s">
        <v>516</v>
      </c>
      <c r="M555" s="171" t="s">
        <v>477</v>
      </c>
    </row>
    <row r="556" spans="3:13" ht="30" customHeight="1" x14ac:dyDescent="0.25">
      <c r="C556" s="175">
        <v>554</v>
      </c>
      <c r="D556" s="163">
        <v>44458</v>
      </c>
      <c r="E556" s="171">
        <v>3.1279324399999999</v>
      </c>
      <c r="F556" s="171">
        <v>0</v>
      </c>
      <c r="G556" s="172">
        <v>1</v>
      </c>
      <c r="H556" s="171">
        <f>tbTransactions[[#This Row],[Qty]]*tbTransactions[[#This Row],[Unit Cost]]*tbTransactions[[#This Row],[Exchange Rate]]</f>
        <v>0</v>
      </c>
      <c r="I556" s="148" t="s">
        <v>422</v>
      </c>
      <c r="J556" s="176" t="s">
        <v>578</v>
      </c>
      <c r="K556" s="163" t="str">
        <f>IF(tbTransactions[[#This Row],[Sub-Type]]="Transfer","Neutral",IF(tbTransactions[[#This Row],[Qty]]&lt;0,"Debit",IF(tbTransactions[[#This Row],[Qty]]&gt;0,"Credit","Neutral")))</f>
        <v>Credit</v>
      </c>
      <c r="L556" s="163" t="s">
        <v>516</v>
      </c>
      <c r="M556" s="171" t="s">
        <v>477</v>
      </c>
    </row>
    <row r="557" spans="3:13" ht="30" customHeight="1" x14ac:dyDescent="0.25">
      <c r="C557" s="175">
        <v>555</v>
      </c>
      <c r="D557" s="163">
        <v>44458</v>
      </c>
      <c r="E557" s="171">
        <v>-3000</v>
      </c>
      <c r="F557" s="171">
        <v>1</v>
      </c>
      <c r="G557" s="172">
        <v>1</v>
      </c>
      <c r="H557" s="171">
        <f>tbTransactions[[#This Row],[Qty]]*tbTransactions[[#This Row],[Unit Cost]]*tbTransactions[[#This Row],[Exchange Rate]]</f>
        <v>-3000</v>
      </c>
      <c r="I557" s="148" t="s">
        <v>499</v>
      </c>
      <c r="J557" s="176" t="s">
        <v>411</v>
      </c>
      <c r="K557" s="163" t="str">
        <f>IF(tbTransactions[[#This Row],[Sub-Type]]="Transfer","Neutral",IF(tbTransactions[[#This Row],[Qty]]&lt;0,"Debit",IF(tbTransactions[[#This Row],[Qty]]&gt;0,"Credit","Neutral")))</f>
        <v>Debit</v>
      </c>
      <c r="L557" s="163" t="s">
        <v>502</v>
      </c>
      <c r="M557" s="171" t="s">
        <v>454</v>
      </c>
    </row>
    <row r="558" spans="3:13" ht="30" customHeight="1" x14ac:dyDescent="0.25">
      <c r="C558" s="175">
        <v>556</v>
      </c>
      <c r="D558" s="163">
        <v>44458</v>
      </c>
      <c r="E558" s="171">
        <v>3000</v>
      </c>
      <c r="F558" s="171">
        <v>1</v>
      </c>
      <c r="G558" s="172">
        <v>1</v>
      </c>
      <c r="H558" s="171">
        <f>tbTransactions[[#This Row],[Qty]]*tbTransactions[[#This Row],[Unit Cost]]*tbTransactions[[#This Row],[Exchange Rate]]</f>
        <v>3000</v>
      </c>
      <c r="I558" s="148" t="s">
        <v>504</v>
      </c>
      <c r="J558" s="176" t="s">
        <v>411</v>
      </c>
      <c r="K558" s="163" t="str">
        <f>IF(tbTransactions[[#This Row],[Sub-Type]]="Transfer","Neutral",IF(tbTransactions[[#This Row],[Qty]]&lt;0,"Debit",IF(tbTransactions[[#This Row],[Qty]]&gt;0,"Credit","Neutral")))</f>
        <v>Credit</v>
      </c>
      <c r="L558" s="163" t="s">
        <v>500</v>
      </c>
      <c r="M558" s="171" t="s">
        <v>454</v>
      </c>
    </row>
    <row r="559" spans="3:13" ht="30" customHeight="1" x14ac:dyDescent="0.25">
      <c r="C559" s="175">
        <v>557</v>
      </c>
      <c r="D559" s="163">
        <v>44458</v>
      </c>
      <c r="E559" s="171">
        <v>3.9580999999999998E-2</v>
      </c>
      <c r="F559" s="171">
        <v>0</v>
      </c>
      <c r="G559" s="172">
        <v>1</v>
      </c>
      <c r="H559" s="171">
        <f>tbTransactions[[#This Row],[Qty]]*tbTransactions[[#This Row],[Unit Cost]]*tbTransactions[[#This Row],[Exchange Rate]]</f>
        <v>0</v>
      </c>
      <c r="I559" s="148" t="s">
        <v>422</v>
      </c>
      <c r="J559" s="176" t="s">
        <v>8</v>
      </c>
      <c r="K559" s="163" t="str">
        <f>IF(tbTransactions[[#This Row],[Sub-Type]]="Transfer","Neutral",IF(tbTransactions[[#This Row],[Qty]]&lt;0,"Debit",IF(tbTransactions[[#This Row],[Qty]]&gt;0,"Credit","Neutral")))</f>
        <v>Credit</v>
      </c>
      <c r="L559" s="163" t="s">
        <v>518</v>
      </c>
      <c r="M559" s="171" t="s">
        <v>572</v>
      </c>
    </row>
    <row r="560" spans="3:13" ht="30" customHeight="1" x14ac:dyDescent="0.25">
      <c r="C560" s="175">
        <v>558</v>
      </c>
      <c r="D560" s="163">
        <v>44459</v>
      </c>
      <c r="E560" s="171">
        <v>2.4670000000000001</v>
      </c>
      <c r="F560" s="171">
        <v>0</v>
      </c>
      <c r="G560" s="172">
        <v>1</v>
      </c>
      <c r="H560" s="171">
        <f>tbTransactions[[#This Row],[Qty]]*tbTransactions[[#This Row],[Unit Cost]]*tbTransactions[[#This Row],[Exchange Rate]]</f>
        <v>0</v>
      </c>
      <c r="I560" s="148" t="s">
        <v>534</v>
      </c>
      <c r="J560" s="176" t="s">
        <v>423</v>
      </c>
      <c r="K560" s="163" t="str">
        <f>IF(tbTransactions[[#This Row],[Sub-Type]]="Transfer","Neutral",IF(tbTransactions[[#This Row],[Qty]]&lt;0,"Debit",IF(tbTransactions[[#This Row],[Qty]]&gt;0,"Credit","Neutral")))</f>
        <v>Credit</v>
      </c>
      <c r="L560" s="171" t="s">
        <v>518</v>
      </c>
      <c r="M560" s="171" t="s">
        <v>584</v>
      </c>
    </row>
    <row r="561" spans="3:13" ht="30" customHeight="1" x14ac:dyDescent="0.25">
      <c r="C561" s="175">
        <v>559</v>
      </c>
      <c r="D561" s="163">
        <v>44459</v>
      </c>
      <c r="E561" s="171">
        <v>1089</v>
      </c>
      <c r="F561" s="171">
        <v>2.78</v>
      </c>
      <c r="G561" s="172">
        <v>1</v>
      </c>
      <c r="H561" s="171">
        <f>tbTransactions[[#This Row],[Qty]]*tbTransactions[[#This Row],[Unit Cost]]*tbTransactions[[#This Row],[Exchange Rate]]</f>
        <v>3027.4199999999996</v>
      </c>
      <c r="I561" s="148" t="s">
        <v>504</v>
      </c>
      <c r="J561" s="176" t="s">
        <v>17</v>
      </c>
      <c r="K561" s="163" t="str">
        <f>IF(tbTransactions[[#This Row],[Sub-Type]]="Transfer","Neutral",IF(tbTransactions[[#This Row],[Qty]]&lt;0,"Debit",IF(tbTransactions[[#This Row],[Qty]]&gt;0,"Credit","Neutral")))</f>
        <v>Credit</v>
      </c>
      <c r="L561" s="163" t="s">
        <v>505</v>
      </c>
      <c r="M561" s="171" t="s">
        <v>454</v>
      </c>
    </row>
    <row r="562" spans="3:13" ht="30" customHeight="1" x14ac:dyDescent="0.25">
      <c r="C562" s="175">
        <v>560</v>
      </c>
      <c r="D562" s="163">
        <v>44459</v>
      </c>
      <c r="E562" s="171">
        <v>-3027.42</v>
      </c>
      <c r="F562" s="171">
        <v>1</v>
      </c>
      <c r="G562" s="172">
        <v>1</v>
      </c>
      <c r="H562" s="171">
        <f>tbTransactions[[#This Row],[Qty]]*tbTransactions[[#This Row],[Unit Cost]]*tbTransactions[[#This Row],[Exchange Rate]]</f>
        <v>-3027.42</v>
      </c>
      <c r="I562" s="148" t="s">
        <v>504</v>
      </c>
      <c r="J562" s="176" t="s">
        <v>411</v>
      </c>
      <c r="K562" s="163" t="str">
        <f>IF(tbTransactions[[#This Row],[Sub-Type]]="Transfer","Neutral",IF(tbTransactions[[#This Row],[Qty]]&lt;0,"Debit",IF(tbTransactions[[#This Row],[Qty]]&gt;0,"Credit","Neutral")))</f>
        <v>Debit</v>
      </c>
      <c r="L562" s="163" t="s">
        <v>501</v>
      </c>
      <c r="M562" s="171" t="s">
        <v>454</v>
      </c>
    </row>
    <row r="563" spans="3:13" ht="30" customHeight="1" x14ac:dyDescent="0.25">
      <c r="C563" s="175">
        <v>561</v>
      </c>
      <c r="D563" s="163">
        <v>44459</v>
      </c>
      <c r="E563" s="171">
        <v>-3.5079999999999998E-3</v>
      </c>
      <c r="F563" s="171">
        <v>3976.92</v>
      </c>
      <c r="G563" s="172">
        <v>1</v>
      </c>
      <c r="H563" s="171">
        <f>tbTransactions[[#This Row],[Qty]]*tbTransactions[[#This Row],[Unit Cost]]*tbTransactions[[#This Row],[Exchange Rate]]</f>
        <v>-13.951035359999999</v>
      </c>
      <c r="I563" s="148" t="s">
        <v>759</v>
      </c>
      <c r="J563" s="176" t="s">
        <v>22</v>
      </c>
      <c r="K563" s="163" t="str">
        <f>IF(tbTransactions[[#This Row],[Sub-Type]]="Transfer","Neutral",IF(tbTransactions[[#This Row],[Qty]]&lt;0,"Debit",IF(tbTransactions[[#This Row],[Qty]]&gt;0,"Credit","Neutral")))</f>
        <v>Debit</v>
      </c>
      <c r="L563" s="163" t="s">
        <v>12</v>
      </c>
      <c r="M563" s="171" t="s">
        <v>580</v>
      </c>
    </row>
    <row r="564" spans="3:13" ht="30" customHeight="1" x14ac:dyDescent="0.25">
      <c r="C564" s="175">
        <v>562</v>
      </c>
      <c r="D564" s="163">
        <v>44459</v>
      </c>
      <c r="E564" s="171">
        <v>-0.33</v>
      </c>
      <c r="F564" s="171">
        <v>3976.92</v>
      </c>
      <c r="G564" s="172">
        <v>1</v>
      </c>
      <c r="H564" s="171">
        <f>tbTransactions[[#This Row],[Qty]]*tbTransactions[[#This Row],[Unit Cost]]*tbTransactions[[#This Row],[Exchange Rate]]</f>
        <v>-1312.3836000000001</v>
      </c>
      <c r="I564" s="148" t="s">
        <v>759</v>
      </c>
      <c r="J564" s="176" t="s">
        <v>22</v>
      </c>
      <c r="K564" s="163" t="str">
        <f>IF(tbTransactions[[#This Row],[Sub-Type]]="Transfer","Neutral",IF(tbTransactions[[#This Row],[Qty]]&lt;0,"Debit",IF(tbTransactions[[#This Row],[Qty]]&gt;0,"Credit","Neutral")))</f>
        <v>Neutral</v>
      </c>
      <c r="L564" s="163" t="s">
        <v>32</v>
      </c>
      <c r="M564" s="171" t="s">
        <v>580</v>
      </c>
    </row>
    <row r="565" spans="3:13" ht="30" customHeight="1" x14ac:dyDescent="0.25">
      <c r="C565" s="175">
        <v>563</v>
      </c>
      <c r="D565" s="163">
        <v>44459</v>
      </c>
      <c r="E565" s="171">
        <v>0.33</v>
      </c>
      <c r="F565" s="171">
        <v>3976.92</v>
      </c>
      <c r="G565" s="172">
        <v>1</v>
      </c>
      <c r="H565" s="171">
        <f>tbTransactions[[#This Row],[Qty]]*tbTransactions[[#This Row],[Unit Cost]]*tbTransactions[[#This Row],[Exchange Rate]]</f>
        <v>1312.3836000000001</v>
      </c>
      <c r="I565" s="148" t="s">
        <v>581</v>
      </c>
      <c r="J565" s="176" t="s">
        <v>22</v>
      </c>
      <c r="K565" s="163" t="str">
        <f>IF(tbTransactions[[#This Row],[Sub-Type]]="Transfer","Neutral",IF(tbTransactions[[#This Row],[Qty]]&lt;0,"Debit",IF(tbTransactions[[#This Row],[Qty]]&gt;0,"Credit","Neutral")))</f>
        <v>Neutral</v>
      </c>
      <c r="L565" s="163" t="s">
        <v>32</v>
      </c>
      <c r="M565" s="171" t="s">
        <v>580</v>
      </c>
    </row>
    <row r="566" spans="3:13" ht="30" customHeight="1" x14ac:dyDescent="0.25">
      <c r="C566" s="175">
        <v>564</v>
      </c>
      <c r="D566" s="163">
        <v>44459</v>
      </c>
      <c r="E566" s="171">
        <v>-500</v>
      </c>
      <c r="F566" s="171">
        <v>1</v>
      </c>
      <c r="G566" s="172">
        <v>1</v>
      </c>
      <c r="H566" s="171">
        <f>tbTransactions[[#This Row],[Qty]]*tbTransactions[[#This Row],[Unit Cost]]*tbTransactions[[#This Row],[Exchange Rate]]</f>
        <v>-500</v>
      </c>
      <c r="I566" s="148" t="s">
        <v>499</v>
      </c>
      <c r="J566" s="176" t="s">
        <v>411</v>
      </c>
      <c r="K566" s="163" t="str">
        <f>IF(tbTransactions[[#This Row],[Sub-Type]]="Transfer","Neutral",IF(tbTransactions[[#This Row],[Qty]]&lt;0,"Debit",IF(tbTransactions[[#This Row],[Qty]]&gt;0,"Credit","Neutral")))</f>
        <v>Debit</v>
      </c>
      <c r="L566" s="163" t="s">
        <v>502</v>
      </c>
      <c r="M566" s="171" t="s">
        <v>570</v>
      </c>
    </row>
    <row r="567" spans="3:13" ht="30" customHeight="1" x14ac:dyDescent="0.25">
      <c r="C567" s="175">
        <v>565</v>
      </c>
      <c r="D567" s="163">
        <v>44459</v>
      </c>
      <c r="E567" s="171">
        <v>500</v>
      </c>
      <c r="F567" s="171">
        <v>1</v>
      </c>
      <c r="G567" s="172">
        <v>1</v>
      </c>
      <c r="H567" s="171">
        <f>tbTransactions[[#This Row],[Qty]]*tbTransactions[[#This Row],[Unit Cost]]*tbTransactions[[#This Row],[Exchange Rate]]</f>
        <v>500</v>
      </c>
      <c r="I567" s="148" t="s">
        <v>422</v>
      </c>
      <c r="J567" s="176" t="s">
        <v>411</v>
      </c>
      <c r="K567" s="163" t="str">
        <f>IF(tbTransactions[[#This Row],[Sub-Type]]="Transfer","Neutral",IF(tbTransactions[[#This Row],[Qty]]&lt;0,"Debit",IF(tbTransactions[[#This Row],[Qty]]&gt;0,"Credit","Neutral")))</f>
        <v>Credit</v>
      </c>
      <c r="L567" s="163" t="s">
        <v>500</v>
      </c>
      <c r="M567" s="171" t="s">
        <v>570</v>
      </c>
    </row>
    <row r="568" spans="3:13" ht="30" customHeight="1" x14ac:dyDescent="0.25">
      <c r="C568" s="175">
        <v>566</v>
      </c>
      <c r="D568" s="163">
        <v>44459</v>
      </c>
      <c r="E568" s="171">
        <v>-480.82</v>
      </c>
      <c r="F568" s="171">
        <v>1</v>
      </c>
      <c r="G568" s="172">
        <v>1</v>
      </c>
      <c r="H568" s="171">
        <f>tbTransactions[[#This Row],[Qty]]*tbTransactions[[#This Row],[Unit Cost]]*tbTransactions[[#This Row],[Exchange Rate]]</f>
        <v>-480.82</v>
      </c>
      <c r="I568" s="148" t="s">
        <v>422</v>
      </c>
      <c r="J568" s="176" t="s">
        <v>411</v>
      </c>
      <c r="K568" s="163" t="str">
        <f>IF(tbTransactions[[#This Row],[Sub-Type]]="Transfer","Neutral",IF(tbTransactions[[#This Row],[Qty]]&lt;0,"Debit",IF(tbTransactions[[#This Row],[Qty]]&gt;0,"Credit","Neutral")))</f>
        <v>Debit</v>
      </c>
      <c r="L568" s="163" t="s">
        <v>501</v>
      </c>
      <c r="M568" s="171" t="s">
        <v>570</v>
      </c>
    </row>
    <row r="569" spans="3:13" ht="30" customHeight="1" x14ac:dyDescent="0.25">
      <c r="C569" s="175">
        <v>567</v>
      </c>
      <c r="D569" s="163">
        <v>44459</v>
      </c>
      <c r="E569" s="171">
        <v>-19.18</v>
      </c>
      <c r="F569" s="171">
        <v>1</v>
      </c>
      <c r="G569" s="172">
        <v>1</v>
      </c>
      <c r="H569" s="171">
        <f>tbTransactions[[#This Row],[Qty]]*tbTransactions[[#This Row],[Unit Cost]]*tbTransactions[[#This Row],[Exchange Rate]]</f>
        <v>-19.18</v>
      </c>
      <c r="I569" s="148" t="s">
        <v>422</v>
      </c>
      <c r="J569" s="176" t="s">
        <v>411</v>
      </c>
      <c r="K569" s="163" t="str">
        <f>IF(tbTransactions[[#This Row],[Sub-Type]]="Transfer","Neutral",IF(tbTransactions[[#This Row],[Qty]]&lt;0,"Debit",IF(tbTransactions[[#This Row],[Qty]]&gt;0,"Credit","Neutral")))</f>
        <v>Debit</v>
      </c>
      <c r="L569" s="163" t="s">
        <v>12</v>
      </c>
      <c r="M569" s="171" t="s">
        <v>570</v>
      </c>
    </row>
    <row r="570" spans="3:13" ht="30" customHeight="1" x14ac:dyDescent="0.25">
      <c r="C570" s="175">
        <v>568</v>
      </c>
      <c r="D570" s="163">
        <v>44459</v>
      </c>
      <c r="E570" s="171">
        <v>226.77180999999999</v>
      </c>
      <c r="F570" s="171">
        <v>2.1202811760421194</v>
      </c>
      <c r="G570" s="172">
        <v>1</v>
      </c>
      <c r="H570" s="171">
        <f>tbTransactions[[#This Row],[Qty]]*tbTransactions[[#This Row],[Unit Cost]]*tbTransactions[[#This Row],[Exchange Rate]]</f>
        <v>480.82000000000005</v>
      </c>
      <c r="I570" s="148" t="s">
        <v>422</v>
      </c>
      <c r="J570" s="176" t="s">
        <v>8</v>
      </c>
      <c r="K570" s="163" t="str">
        <f>IF(tbTransactions[[#This Row],[Sub-Type]]="Transfer","Neutral",IF(tbTransactions[[#This Row],[Qty]]&lt;0,"Debit",IF(tbTransactions[[#This Row],[Qty]]&gt;0,"Credit","Neutral")))</f>
        <v>Credit</v>
      </c>
      <c r="L570" s="163" t="s">
        <v>505</v>
      </c>
      <c r="M570" s="171" t="s">
        <v>570</v>
      </c>
    </row>
    <row r="571" spans="3:13" ht="30" customHeight="1" x14ac:dyDescent="0.25">
      <c r="C571" s="175">
        <v>569</v>
      </c>
      <c r="D571" s="163">
        <v>44459</v>
      </c>
      <c r="E571" s="171">
        <v>-198</v>
      </c>
      <c r="F571" s="171">
        <v>193.5</v>
      </c>
      <c r="G571" s="172">
        <v>1</v>
      </c>
      <c r="H571" s="171">
        <f>tbTransactions[[#This Row],[Qty]]*tbTransactions[[#This Row],[Unit Cost]]*tbTransactions[[#This Row],[Exchange Rate]]</f>
        <v>-38313</v>
      </c>
      <c r="I571" s="148" t="s">
        <v>714</v>
      </c>
      <c r="J571" s="176" t="s">
        <v>41</v>
      </c>
      <c r="K571" s="163" t="str">
        <f>IF(tbTransactions[[#This Row],[Sub-Type]]="Transfer","Neutral",IF(tbTransactions[[#This Row],[Qty]]&lt;0,"Debit",IF(tbTransactions[[#This Row],[Qty]]&gt;0,"Credit","Neutral")))</f>
        <v>Debit</v>
      </c>
      <c r="L571" s="163" t="s">
        <v>506</v>
      </c>
      <c r="M571" s="171" t="s">
        <v>582</v>
      </c>
    </row>
    <row r="572" spans="3:13" ht="30" customHeight="1" x14ac:dyDescent="0.25">
      <c r="C572" s="175">
        <v>570</v>
      </c>
      <c r="D572" s="163">
        <v>44459</v>
      </c>
      <c r="E572" s="171">
        <v>38313</v>
      </c>
      <c r="F572" s="171">
        <v>1</v>
      </c>
      <c r="G572" s="172">
        <v>1</v>
      </c>
      <c r="H572" s="171">
        <f>tbTransactions[[#This Row],[Qty]]*tbTransactions[[#This Row],[Unit Cost]]*tbTransactions[[#This Row],[Exchange Rate]]</f>
        <v>38313</v>
      </c>
      <c r="I572" s="148" t="s">
        <v>714</v>
      </c>
      <c r="J572" s="176" t="s">
        <v>411</v>
      </c>
      <c r="K572" s="163" t="str">
        <f>IF(tbTransactions[[#This Row],[Sub-Type]]="Transfer","Neutral",IF(tbTransactions[[#This Row],[Qty]]&lt;0,"Debit",IF(tbTransactions[[#This Row],[Qty]]&gt;0,"Credit","Neutral")))</f>
        <v>Credit</v>
      </c>
      <c r="L572" s="163" t="s">
        <v>500</v>
      </c>
      <c r="M572" s="171" t="s">
        <v>582</v>
      </c>
    </row>
    <row r="573" spans="3:13" ht="30" customHeight="1" x14ac:dyDescent="0.25">
      <c r="C573" s="175">
        <v>571</v>
      </c>
      <c r="D573" s="163">
        <v>44459</v>
      </c>
      <c r="E573" s="171">
        <v>2.7782401799999999E-2</v>
      </c>
      <c r="F573" s="171">
        <v>0</v>
      </c>
      <c r="G573" s="172">
        <v>1</v>
      </c>
      <c r="H573" s="171">
        <f>tbTransactions[[#This Row],[Qty]]*tbTransactions[[#This Row],[Unit Cost]]*tbTransactions[[#This Row],[Exchange Rate]]</f>
        <v>0</v>
      </c>
      <c r="I573" s="148" t="s">
        <v>511</v>
      </c>
      <c r="J573" s="176" t="s">
        <v>20</v>
      </c>
      <c r="K573" s="163" t="str">
        <f>IF(tbTransactions[[#This Row],[Sub-Type]]="Transfer","Neutral",IF(tbTransactions[[#This Row],[Qty]]&lt;0,"Debit",IF(tbTransactions[[#This Row],[Qty]]&gt;0,"Credit","Neutral")))</f>
        <v>Credit</v>
      </c>
      <c r="L573" s="163" t="s">
        <v>518</v>
      </c>
      <c r="M573" s="171" t="s">
        <v>465</v>
      </c>
    </row>
    <row r="574" spans="3:13" ht="30" customHeight="1" x14ac:dyDescent="0.25">
      <c r="C574" s="175">
        <v>572</v>
      </c>
      <c r="D574" s="163">
        <v>44460</v>
      </c>
      <c r="E574" s="171">
        <v>2.9899999999999999E-2</v>
      </c>
      <c r="F574" s="171">
        <v>0</v>
      </c>
      <c r="G574" s="172">
        <v>1</v>
      </c>
      <c r="H574" s="171">
        <f>tbTransactions[[#This Row],[Qty]]*tbTransactions[[#This Row],[Unit Cost]]*tbTransactions[[#This Row],[Exchange Rate]]</f>
        <v>0</v>
      </c>
      <c r="I574" s="148" t="s">
        <v>485</v>
      </c>
      <c r="J574" s="176" t="s">
        <v>24</v>
      </c>
      <c r="K574" s="163" t="str">
        <f>IF(tbTransactions[[#This Row],[Sub-Type]]="Transfer","Neutral",IF(tbTransactions[[#This Row],[Qty]]&lt;0,"Debit",IF(tbTransactions[[#This Row],[Qty]]&gt;0,"Credit","Neutral")))</f>
        <v>Credit</v>
      </c>
      <c r="L574" s="163" t="s">
        <v>530</v>
      </c>
      <c r="M574" s="171" t="s">
        <v>592</v>
      </c>
    </row>
    <row r="575" spans="3:13" ht="30" customHeight="1" x14ac:dyDescent="0.25">
      <c r="C575" s="175">
        <v>573</v>
      </c>
      <c r="D575" s="163">
        <v>44460</v>
      </c>
      <c r="E575" s="171">
        <v>-1.1897E-2</v>
      </c>
      <c r="F575" s="171">
        <v>3914.6</v>
      </c>
      <c r="G575" s="172">
        <v>1</v>
      </c>
      <c r="H575" s="171">
        <f>tbTransactions[[#This Row],[Qty]]*tbTransactions[[#This Row],[Unit Cost]]*tbTransactions[[#This Row],[Exchange Rate]]</f>
        <v>-46.571996199999994</v>
      </c>
      <c r="I575" s="148" t="s">
        <v>759</v>
      </c>
      <c r="J575" s="176" t="s">
        <v>22</v>
      </c>
      <c r="K575" s="163" t="str">
        <f>IF(tbTransactions[[#This Row],[Sub-Type]]="Transfer","Neutral",IF(tbTransactions[[#This Row],[Qty]]&lt;0,"Debit",IF(tbTransactions[[#This Row],[Qty]]&gt;0,"Credit","Neutral")))</f>
        <v>Debit</v>
      </c>
      <c r="L575" s="163" t="s">
        <v>12</v>
      </c>
      <c r="M575" s="171" t="s">
        <v>583</v>
      </c>
    </row>
    <row r="576" spans="3:13" ht="30" customHeight="1" x14ac:dyDescent="0.25">
      <c r="C576" s="175">
        <v>574</v>
      </c>
      <c r="D576" s="163">
        <v>44460</v>
      </c>
      <c r="E576" s="171">
        <v>-7.058E-3</v>
      </c>
      <c r="F576" s="171">
        <v>3914.6</v>
      </c>
      <c r="G576" s="172">
        <v>1</v>
      </c>
      <c r="H576" s="171">
        <f>tbTransactions[[#This Row],[Qty]]*tbTransactions[[#This Row],[Unit Cost]]*tbTransactions[[#This Row],[Exchange Rate]]</f>
        <v>-27.629246800000001</v>
      </c>
      <c r="I576" s="148" t="s">
        <v>759</v>
      </c>
      <c r="J576" s="176" t="s">
        <v>22</v>
      </c>
      <c r="K576" s="163" t="str">
        <f>IF(tbTransactions[[#This Row],[Sub-Type]]="Transfer","Neutral",IF(tbTransactions[[#This Row],[Qty]]&lt;0,"Debit",IF(tbTransactions[[#This Row],[Qty]]&gt;0,"Credit","Neutral")))</f>
        <v>Debit</v>
      </c>
      <c r="L576" s="163" t="s">
        <v>12</v>
      </c>
      <c r="M576" s="171" t="s">
        <v>585</v>
      </c>
    </row>
    <row r="577" spans="3:13" ht="30" customHeight="1" x14ac:dyDescent="0.25">
      <c r="C577" s="175">
        <v>575</v>
      </c>
      <c r="D577" s="163">
        <v>44460</v>
      </c>
      <c r="E577" s="171">
        <v>-152.107</v>
      </c>
      <c r="F577" s="171">
        <v>1.28</v>
      </c>
      <c r="G577" s="172">
        <v>1</v>
      </c>
      <c r="H577" s="171">
        <f>tbTransactions[[#This Row],[Qty]]*tbTransactions[[#This Row],[Unit Cost]]*tbTransactions[[#This Row],[Exchange Rate]]</f>
        <v>-194.69695999999999</v>
      </c>
      <c r="I577" s="148" t="s">
        <v>527</v>
      </c>
      <c r="J577" s="176" t="s">
        <v>496</v>
      </c>
      <c r="K577" s="163" t="str">
        <f>IF(tbTransactions[[#This Row],[Sub-Type]]="Transfer","Neutral",IF(tbTransactions[[#This Row],[Qty]]&lt;0,"Debit",IF(tbTransactions[[#This Row],[Qty]]&gt;0,"Credit","Neutral")))</f>
        <v>Neutral</v>
      </c>
      <c r="L577" s="163" t="s">
        <v>32</v>
      </c>
      <c r="M577" s="171" t="s">
        <v>585</v>
      </c>
    </row>
    <row r="578" spans="3:13" ht="30" customHeight="1" x14ac:dyDescent="0.25">
      <c r="C578" s="175">
        <v>576</v>
      </c>
      <c r="D578" s="163">
        <v>44460</v>
      </c>
      <c r="E578" s="171">
        <v>152.107</v>
      </c>
      <c r="F578" s="171">
        <v>1.28</v>
      </c>
      <c r="G578" s="172">
        <v>1</v>
      </c>
      <c r="H578" s="171">
        <f>tbTransactions[[#This Row],[Qty]]*tbTransactions[[#This Row],[Unit Cost]]*tbTransactions[[#This Row],[Exchange Rate]]</f>
        <v>194.69695999999999</v>
      </c>
      <c r="I578" s="148" t="s">
        <v>759</v>
      </c>
      <c r="J578" s="176" t="s">
        <v>496</v>
      </c>
      <c r="K578" s="163" t="str">
        <f>IF(tbTransactions[[#This Row],[Sub-Type]]="Transfer","Neutral",IF(tbTransactions[[#This Row],[Qty]]&lt;0,"Debit",IF(tbTransactions[[#This Row],[Qty]]&gt;0,"Credit","Neutral")))</f>
        <v>Neutral</v>
      </c>
      <c r="L578" s="163" t="s">
        <v>32</v>
      </c>
      <c r="M578" s="171" t="s">
        <v>585</v>
      </c>
    </row>
    <row r="579" spans="3:13" ht="30" customHeight="1" x14ac:dyDescent="0.25">
      <c r="C579" s="175">
        <v>577</v>
      </c>
      <c r="D579" s="163">
        <v>44460</v>
      </c>
      <c r="E579" s="171">
        <v>-2.898E-3</v>
      </c>
      <c r="F579" s="171">
        <v>3925.42</v>
      </c>
      <c r="G579" s="172">
        <v>1</v>
      </c>
      <c r="H579" s="171">
        <f>tbTransactions[[#This Row],[Qty]]*tbTransactions[[#This Row],[Unit Cost]]*tbTransactions[[#This Row],[Exchange Rate]]</f>
        <v>-11.37586716</v>
      </c>
      <c r="I579" s="148" t="s">
        <v>759</v>
      </c>
      <c r="J579" s="176" t="s">
        <v>22</v>
      </c>
      <c r="K579" s="163" t="str">
        <f>IF(tbTransactions[[#This Row],[Sub-Type]]="Transfer","Neutral",IF(tbTransactions[[#This Row],[Qty]]&lt;0,"Debit",IF(tbTransactions[[#This Row],[Qty]]&gt;0,"Credit","Neutral")))</f>
        <v>Debit</v>
      </c>
      <c r="L579" s="163" t="s">
        <v>12</v>
      </c>
      <c r="M579" s="171" t="s">
        <v>587</v>
      </c>
    </row>
    <row r="580" spans="3:13" ht="30" customHeight="1" x14ac:dyDescent="0.25">
      <c r="C580" s="175">
        <v>578</v>
      </c>
      <c r="D580" s="163">
        <v>44460</v>
      </c>
      <c r="E580" s="171">
        <v>-152.107</v>
      </c>
      <c r="F580" s="171">
        <v>1.28</v>
      </c>
      <c r="G580" s="172">
        <v>1</v>
      </c>
      <c r="H580" s="171">
        <f>tbTransactions[[#This Row],[Qty]]*tbTransactions[[#This Row],[Unit Cost]]*tbTransactions[[#This Row],[Exchange Rate]]</f>
        <v>-194.69695999999999</v>
      </c>
      <c r="I580" s="148" t="s">
        <v>759</v>
      </c>
      <c r="J580" s="176" t="s">
        <v>496</v>
      </c>
      <c r="K580" s="163" t="str">
        <f>IF(tbTransactions[[#This Row],[Sub-Type]]="Transfer","Neutral",IF(tbTransactions[[#This Row],[Qty]]&lt;0,"Debit",IF(tbTransactions[[#This Row],[Qty]]&gt;0,"Credit","Neutral")))</f>
        <v>Neutral</v>
      </c>
      <c r="L580" s="163" t="s">
        <v>32</v>
      </c>
      <c r="M580" s="171" t="s">
        <v>587</v>
      </c>
    </row>
    <row r="581" spans="3:13" ht="30" customHeight="1" x14ac:dyDescent="0.25">
      <c r="C581" s="175">
        <v>579</v>
      </c>
      <c r="D581" s="163">
        <v>44460</v>
      </c>
      <c r="E581" s="171">
        <v>152.107</v>
      </c>
      <c r="F581" s="171">
        <v>1.28</v>
      </c>
      <c r="G581" s="172">
        <v>1</v>
      </c>
      <c r="H581" s="171">
        <f>tbTransactions[[#This Row],[Qty]]*tbTransactions[[#This Row],[Unit Cost]]*tbTransactions[[#This Row],[Exchange Rate]]</f>
        <v>194.69695999999999</v>
      </c>
      <c r="I581" s="148" t="s">
        <v>586</v>
      </c>
      <c r="J581" s="176" t="s">
        <v>496</v>
      </c>
      <c r="K581" s="163" t="str">
        <f>IF(tbTransactions[[#This Row],[Sub-Type]]="Transfer","Neutral",IF(tbTransactions[[#This Row],[Qty]]&lt;0,"Debit",IF(tbTransactions[[#This Row],[Qty]]&gt;0,"Credit","Neutral")))</f>
        <v>Neutral</v>
      </c>
      <c r="L581" s="163" t="s">
        <v>32</v>
      </c>
      <c r="M581" s="171" t="s">
        <v>587</v>
      </c>
    </row>
    <row r="582" spans="3:13" ht="30" customHeight="1" x14ac:dyDescent="0.25">
      <c r="C582" s="175">
        <v>580</v>
      </c>
      <c r="D582" s="163">
        <v>44460</v>
      </c>
      <c r="E582" s="171">
        <v>-2.4678750365306299</v>
      </c>
      <c r="F582" s="171">
        <v>1.49</v>
      </c>
      <c r="G582" s="172">
        <v>1</v>
      </c>
      <c r="H582" s="171">
        <f>tbTransactions[[#This Row],[Qty]]*tbTransactions[[#This Row],[Unit Cost]]*tbTransactions[[#This Row],[Exchange Rate]]</f>
        <v>-3.6771338044306385</v>
      </c>
      <c r="I582" s="148" t="s">
        <v>534</v>
      </c>
      <c r="J582" s="176" t="s">
        <v>423</v>
      </c>
      <c r="K582" s="163" t="str">
        <f>IF(tbTransactions[[#This Row],[Sub-Type]]="Transfer","Neutral",IF(tbTransactions[[#This Row],[Qty]]&lt;0,"Debit",IF(tbTransactions[[#This Row],[Qty]]&gt;0,"Credit","Neutral")))</f>
        <v>Neutral</v>
      </c>
      <c r="L582" s="163" t="s">
        <v>32</v>
      </c>
      <c r="M582" s="171" t="s">
        <v>588</v>
      </c>
    </row>
    <row r="583" spans="3:13" ht="30" customHeight="1" x14ac:dyDescent="0.25">
      <c r="C583" s="175">
        <v>581</v>
      </c>
      <c r="D583" s="163">
        <v>44460</v>
      </c>
      <c r="E583" s="171">
        <v>2.4678750365306299</v>
      </c>
      <c r="F583" s="171">
        <v>1.49</v>
      </c>
      <c r="G583" s="172">
        <v>1</v>
      </c>
      <c r="H583" s="171">
        <f>tbTransactions[[#This Row],[Qty]]*tbTransactions[[#This Row],[Unit Cost]]*tbTransactions[[#This Row],[Exchange Rate]]</f>
        <v>3.6771338044306385</v>
      </c>
      <c r="I583" s="148" t="s">
        <v>759</v>
      </c>
      <c r="J583" s="176" t="s">
        <v>423</v>
      </c>
      <c r="K583" s="163" t="str">
        <f>IF(tbTransactions[[#This Row],[Sub-Type]]="Transfer","Neutral",IF(tbTransactions[[#This Row],[Qty]]&lt;0,"Debit",IF(tbTransactions[[#This Row],[Qty]]&gt;0,"Credit","Neutral")))</f>
        <v>Neutral</v>
      </c>
      <c r="L583" s="163" t="s">
        <v>32</v>
      </c>
      <c r="M583" s="171" t="s">
        <v>588</v>
      </c>
    </row>
    <row r="584" spans="3:13" ht="30" customHeight="1" x14ac:dyDescent="0.25">
      <c r="C584" s="175">
        <v>582</v>
      </c>
      <c r="D584" s="163">
        <v>44460</v>
      </c>
      <c r="E584" s="171">
        <v>-2.4678750365306299</v>
      </c>
      <c r="F584" s="171">
        <v>1.49</v>
      </c>
      <c r="G584" s="172">
        <v>1</v>
      </c>
      <c r="H584" s="171">
        <f>tbTransactions[[#This Row],[Qty]]*tbTransactions[[#This Row],[Unit Cost]]*tbTransactions[[#This Row],[Exchange Rate]]</f>
        <v>-3.6771338044306385</v>
      </c>
      <c r="I584" s="148" t="s">
        <v>759</v>
      </c>
      <c r="J584" s="176" t="s">
        <v>423</v>
      </c>
      <c r="K584" s="163" t="str">
        <f>IF(tbTransactions[[#This Row],[Sub-Type]]="Transfer","Neutral",IF(tbTransactions[[#This Row],[Qty]]&lt;0,"Debit",IF(tbTransactions[[#This Row],[Qty]]&gt;0,"Credit","Neutral")))</f>
        <v>Neutral</v>
      </c>
      <c r="L584" s="163" t="s">
        <v>32</v>
      </c>
      <c r="M584" s="171" t="s">
        <v>589</v>
      </c>
    </row>
    <row r="585" spans="3:13" ht="30" customHeight="1" x14ac:dyDescent="0.25">
      <c r="C585" s="175">
        <v>583</v>
      </c>
      <c r="D585" s="163">
        <v>44460</v>
      </c>
      <c r="E585" s="171">
        <v>2.4678750365306299</v>
      </c>
      <c r="F585" s="171">
        <v>1.49</v>
      </c>
      <c r="G585" s="172">
        <v>1</v>
      </c>
      <c r="H585" s="171">
        <f>tbTransactions[[#This Row],[Qty]]*tbTransactions[[#This Row],[Unit Cost]]*tbTransactions[[#This Row],[Exchange Rate]]</f>
        <v>3.6771338044306385</v>
      </c>
      <c r="I585" s="148" t="s">
        <v>581</v>
      </c>
      <c r="J585" s="176" t="s">
        <v>423</v>
      </c>
      <c r="K585" s="163" t="str">
        <f>IF(tbTransactions[[#This Row],[Sub-Type]]="Transfer","Neutral",IF(tbTransactions[[#This Row],[Qty]]&lt;0,"Debit",IF(tbTransactions[[#This Row],[Qty]]&gt;0,"Credit","Neutral")))</f>
        <v>Neutral</v>
      </c>
      <c r="L585" s="163" t="s">
        <v>32</v>
      </c>
      <c r="M585" s="171" t="s">
        <v>589</v>
      </c>
    </row>
    <row r="586" spans="3:13" ht="30" customHeight="1" x14ac:dyDescent="0.25">
      <c r="C586" s="175">
        <v>584</v>
      </c>
      <c r="D586" s="163">
        <v>44460</v>
      </c>
      <c r="E586" s="171">
        <v>-2.215E-3</v>
      </c>
      <c r="F586" s="171">
        <v>3864.42</v>
      </c>
      <c r="G586" s="172">
        <v>1</v>
      </c>
      <c r="H586" s="171">
        <f>tbTransactions[[#This Row],[Qty]]*tbTransactions[[#This Row],[Unit Cost]]*tbTransactions[[#This Row],[Exchange Rate]]</f>
        <v>-8.5596902999999998</v>
      </c>
      <c r="I586" s="148" t="s">
        <v>759</v>
      </c>
      <c r="J586" s="176" t="s">
        <v>22</v>
      </c>
      <c r="K586" s="163" t="str">
        <f>IF(tbTransactions[[#This Row],[Sub-Type]]="Transfer","Neutral",IF(tbTransactions[[#This Row],[Qty]]&lt;0,"Debit",IF(tbTransactions[[#This Row],[Qty]]&gt;0,"Credit","Neutral")))</f>
        <v>Debit</v>
      </c>
      <c r="L586" s="163" t="s">
        <v>12</v>
      </c>
      <c r="M586" s="171" t="s">
        <v>589</v>
      </c>
    </row>
    <row r="587" spans="3:13" ht="30" customHeight="1" x14ac:dyDescent="0.25">
      <c r="C587" s="175">
        <v>585</v>
      </c>
      <c r="D587" s="163">
        <v>44460</v>
      </c>
      <c r="E587" s="171">
        <v>5.1900000000000002E-2</v>
      </c>
      <c r="F587" s="171">
        <v>0</v>
      </c>
      <c r="G587" s="172">
        <v>1</v>
      </c>
      <c r="H587" s="171">
        <f>tbTransactions[[#This Row],[Qty]]*tbTransactions[[#This Row],[Unit Cost]]*tbTransactions[[#This Row],[Exchange Rate]]</f>
        <v>0</v>
      </c>
      <c r="I587" s="148" t="s">
        <v>422</v>
      </c>
      <c r="J587" s="176" t="s">
        <v>8</v>
      </c>
      <c r="K587" s="163" t="str">
        <f>IF(tbTransactions[[#This Row],[Sub-Type]]="Transfer","Neutral",IF(tbTransactions[[#This Row],[Qty]]&lt;0,"Debit",IF(tbTransactions[[#This Row],[Qty]]&gt;0,"Credit","Neutral")))</f>
        <v>Credit</v>
      </c>
      <c r="L587" s="163" t="s">
        <v>518</v>
      </c>
      <c r="M587" s="171" t="s">
        <v>572</v>
      </c>
    </row>
    <row r="588" spans="3:13" ht="30" customHeight="1" x14ac:dyDescent="0.25">
      <c r="C588" s="175">
        <v>586</v>
      </c>
      <c r="D588" s="163">
        <v>44460</v>
      </c>
      <c r="E588" s="171">
        <v>2.12005387E-2</v>
      </c>
      <c r="F588" s="171">
        <v>0</v>
      </c>
      <c r="G588" s="172">
        <v>1</v>
      </c>
      <c r="H588" s="171">
        <f>tbTransactions[[#This Row],[Qty]]*tbTransactions[[#This Row],[Unit Cost]]*tbTransactions[[#This Row],[Exchange Rate]]</f>
        <v>0</v>
      </c>
      <c r="I588" s="148" t="s">
        <v>511</v>
      </c>
      <c r="J588" s="176" t="s">
        <v>20</v>
      </c>
      <c r="K588" s="163" t="str">
        <f>IF(tbTransactions[[#This Row],[Sub-Type]]="Transfer","Neutral",IF(tbTransactions[[#This Row],[Qty]]&lt;0,"Debit",IF(tbTransactions[[#This Row],[Qty]]&gt;0,"Credit","Neutral")))</f>
        <v>Credit</v>
      </c>
      <c r="L588" s="163" t="s">
        <v>518</v>
      </c>
      <c r="M588" s="171" t="s">
        <v>465</v>
      </c>
    </row>
    <row r="589" spans="3:13" ht="30" customHeight="1" x14ac:dyDescent="0.25">
      <c r="C589" s="175">
        <v>587</v>
      </c>
      <c r="D589" s="163">
        <v>44460</v>
      </c>
      <c r="E589" s="171">
        <v>-3000</v>
      </c>
      <c r="F589" s="171">
        <v>1</v>
      </c>
      <c r="G589" s="172">
        <v>1</v>
      </c>
      <c r="H589" s="171">
        <f>tbTransactions[[#This Row],[Qty]]*tbTransactions[[#This Row],[Unit Cost]]*tbTransactions[[#This Row],[Exchange Rate]]</f>
        <v>-3000</v>
      </c>
      <c r="I589" s="148" t="s">
        <v>499</v>
      </c>
      <c r="J589" s="176" t="s">
        <v>411</v>
      </c>
      <c r="K589" s="163" t="str">
        <f>IF(tbTransactions[[#This Row],[Sub-Type]]="Transfer","Neutral",IF(tbTransactions[[#This Row],[Qty]]&lt;0,"Debit",IF(tbTransactions[[#This Row],[Qty]]&gt;0,"Credit","Neutral")))</f>
        <v>Debit</v>
      </c>
      <c r="L589" s="163" t="s">
        <v>502</v>
      </c>
      <c r="M589" s="171" t="s">
        <v>439</v>
      </c>
    </row>
    <row r="590" spans="3:13" ht="30" customHeight="1" x14ac:dyDescent="0.25">
      <c r="C590" s="175">
        <v>588</v>
      </c>
      <c r="D590" s="163">
        <v>44460</v>
      </c>
      <c r="E590" s="171">
        <v>3000</v>
      </c>
      <c r="F590" s="171">
        <v>1</v>
      </c>
      <c r="G590" s="172">
        <v>1</v>
      </c>
      <c r="H590" s="171">
        <f>tbTransactions[[#This Row],[Qty]]*tbTransactions[[#This Row],[Unit Cost]]*tbTransactions[[#This Row],[Exchange Rate]]</f>
        <v>3000</v>
      </c>
      <c r="I590" s="148" t="s">
        <v>504</v>
      </c>
      <c r="J590" s="176" t="s">
        <v>411</v>
      </c>
      <c r="K590" s="163" t="str">
        <f>IF(tbTransactions[[#This Row],[Sub-Type]]="Transfer","Neutral",IF(tbTransactions[[#This Row],[Qty]]&lt;0,"Debit",IF(tbTransactions[[#This Row],[Qty]]&gt;0,"Credit","Neutral")))</f>
        <v>Credit</v>
      </c>
      <c r="L590" s="163" t="s">
        <v>500</v>
      </c>
      <c r="M590" s="171" t="s">
        <v>439</v>
      </c>
    </row>
    <row r="591" spans="3:13" ht="30" customHeight="1" x14ac:dyDescent="0.25">
      <c r="C591" s="175">
        <v>589</v>
      </c>
      <c r="D591" s="163">
        <v>44461</v>
      </c>
      <c r="E591" s="171">
        <v>-7.8799999999999999E-3</v>
      </c>
      <c r="F591" s="171">
        <v>3713.16</v>
      </c>
      <c r="G591" s="172">
        <v>1</v>
      </c>
      <c r="H591" s="171">
        <f>tbTransactions[[#This Row],[Qty]]*tbTransactions[[#This Row],[Unit Cost]]*tbTransactions[[#This Row],[Exchange Rate]]</f>
        <v>-29.259700799999997</v>
      </c>
      <c r="I591" s="148" t="s">
        <v>759</v>
      </c>
      <c r="J591" s="176" t="s">
        <v>22</v>
      </c>
      <c r="K591" s="163" t="str">
        <f>IF(tbTransactions[[#This Row],[Sub-Type]]="Transfer","Neutral",IF(tbTransactions[[#This Row],[Qty]]&lt;0,"Debit",IF(tbTransactions[[#This Row],[Qty]]&gt;0,"Credit","Neutral")))</f>
        <v>Debit</v>
      </c>
      <c r="L591" s="163" t="s">
        <v>12</v>
      </c>
      <c r="M591" s="171" t="s">
        <v>590</v>
      </c>
    </row>
    <row r="592" spans="3:13" ht="30" customHeight="1" x14ac:dyDescent="0.25">
      <c r="C592" s="175">
        <v>590</v>
      </c>
      <c r="D592" s="163">
        <v>44461</v>
      </c>
      <c r="E592" s="171">
        <v>-63.622</v>
      </c>
      <c r="F592" s="171">
        <v>29.03</v>
      </c>
      <c r="G592" s="172">
        <v>1</v>
      </c>
      <c r="H592" s="171">
        <f>tbTransactions[[#This Row],[Qty]]*tbTransactions[[#This Row],[Unit Cost]]*tbTransactions[[#This Row],[Exchange Rate]]</f>
        <v>-1846.9466600000001</v>
      </c>
      <c r="I592" s="148" t="s">
        <v>485</v>
      </c>
      <c r="J592" s="176" t="s">
        <v>24</v>
      </c>
      <c r="K592" s="163" t="str">
        <f>IF(tbTransactions[[#This Row],[Sub-Type]]="Transfer","Neutral",IF(tbTransactions[[#This Row],[Qty]]&lt;0,"Debit",IF(tbTransactions[[#This Row],[Qty]]&gt;0,"Credit","Neutral")))</f>
        <v>Neutral</v>
      </c>
      <c r="L592" s="163" t="s">
        <v>32</v>
      </c>
      <c r="M592" s="171" t="s">
        <v>590</v>
      </c>
    </row>
    <row r="593" spans="3:13" ht="30" customHeight="1" x14ac:dyDescent="0.25">
      <c r="C593" s="175">
        <v>591</v>
      </c>
      <c r="D593" s="163">
        <v>44461</v>
      </c>
      <c r="E593" s="171">
        <v>63.622</v>
      </c>
      <c r="F593" s="171">
        <v>29.03</v>
      </c>
      <c r="G593" s="172">
        <v>1</v>
      </c>
      <c r="H593" s="171">
        <f>tbTransactions[[#This Row],[Qty]]*tbTransactions[[#This Row],[Unit Cost]]*tbTransactions[[#This Row],[Exchange Rate]]</f>
        <v>1846.9466600000001</v>
      </c>
      <c r="I593" s="148" t="s">
        <v>759</v>
      </c>
      <c r="J593" s="176" t="s">
        <v>24</v>
      </c>
      <c r="K593" s="163" t="str">
        <f>IF(tbTransactions[[#This Row],[Sub-Type]]="Transfer","Neutral",IF(tbTransactions[[#This Row],[Qty]]&lt;0,"Debit",IF(tbTransactions[[#This Row],[Qty]]&gt;0,"Credit","Neutral")))</f>
        <v>Neutral</v>
      </c>
      <c r="L593" s="163" t="s">
        <v>32</v>
      </c>
      <c r="M593" s="171" t="s">
        <v>590</v>
      </c>
    </row>
    <row r="594" spans="3:13" ht="30" customHeight="1" x14ac:dyDescent="0.25">
      <c r="C594" s="175">
        <v>592</v>
      </c>
      <c r="D594" s="163">
        <v>44461</v>
      </c>
      <c r="E594" s="171">
        <v>0.492145</v>
      </c>
      <c r="F594" s="171">
        <v>3713.46</v>
      </c>
      <c r="G594" s="172">
        <v>1</v>
      </c>
      <c r="H594" s="171">
        <f>tbTransactions[[#This Row],[Qty]]*tbTransactions[[#This Row],[Unit Cost]]*tbTransactions[[#This Row],[Exchange Rate]]</f>
        <v>1827.5607717</v>
      </c>
      <c r="I594" s="148" t="s">
        <v>759</v>
      </c>
      <c r="J594" s="176" t="s">
        <v>22</v>
      </c>
      <c r="K594" s="163" t="str">
        <f>IF(tbTransactions[[#This Row],[Sub-Type]]="Transfer","Neutral",IF(tbTransactions[[#This Row],[Qty]]&lt;0,"Debit",IF(tbTransactions[[#This Row],[Qty]]&gt;0,"Credit","Neutral")))</f>
        <v>Credit</v>
      </c>
      <c r="L594" s="163" t="s">
        <v>603</v>
      </c>
      <c r="M594" s="171" t="s">
        <v>648</v>
      </c>
    </row>
    <row r="595" spans="3:13" ht="30" customHeight="1" x14ac:dyDescent="0.25">
      <c r="C595" s="175">
        <v>593</v>
      </c>
      <c r="D595" s="163">
        <v>44461</v>
      </c>
      <c r="E595" s="171">
        <v>-63.622</v>
      </c>
      <c r="F595" s="171">
        <v>29.07</v>
      </c>
      <c r="G595" s="172">
        <v>1</v>
      </c>
      <c r="H595" s="171">
        <f>tbTransactions[[#This Row],[Qty]]*tbTransactions[[#This Row],[Unit Cost]]*tbTransactions[[#This Row],[Exchange Rate]]</f>
        <v>-1849.49154</v>
      </c>
      <c r="I595" s="148" t="s">
        <v>759</v>
      </c>
      <c r="J595" s="176" t="s">
        <v>24</v>
      </c>
      <c r="K595" s="163" t="str">
        <f>IF(tbTransactions[[#This Row],[Sub-Type]]="Transfer","Neutral",IF(tbTransactions[[#This Row],[Qty]]&lt;0,"Debit",IF(tbTransactions[[#This Row],[Qty]]&gt;0,"Credit","Neutral")))</f>
        <v>Debit</v>
      </c>
      <c r="L595" s="163" t="s">
        <v>603</v>
      </c>
      <c r="M595" s="171" t="s">
        <v>648</v>
      </c>
    </row>
    <row r="596" spans="3:13" ht="30" customHeight="1" x14ac:dyDescent="0.25">
      <c r="C596" s="175">
        <v>594</v>
      </c>
      <c r="D596" s="163">
        <v>44461</v>
      </c>
      <c r="E596" s="171">
        <v>-5.4996049311254996E-3</v>
      </c>
      <c r="F596" s="171">
        <v>3713.46</v>
      </c>
      <c r="G596" s="172">
        <v>1</v>
      </c>
      <c r="H596" s="171">
        <f>tbTransactions[[#This Row],[Qty]]*tbTransactions[[#This Row],[Unit Cost]]*tbTransactions[[#This Row],[Exchange Rate]]</f>
        <v>-20.4225629275373</v>
      </c>
      <c r="I596" s="148" t="s">
        <v>759</v>
      </c>
      <c r="J596" s="176" t="s">
        <v>22</v>
      </c>
      <c r="K596" s="163" t="str">
        <f>IF(tbTransactions[[#This Row],[Sub-Type]]="Transfer","Neutral",IF(tbTransactions[[#This Row],[Qty]]&lt;0,"Debit",IF(tbTransactions[[#This Row],[Qty]]&gt;0,"Credit","Neutral")))</f>
        <v>Debit</v>
      </c>
      <c r="L596" s="163" t="s">
        <v>12</v>
      </c>
      <c r="M596" s="171" t="s">
        <v>648</v>
      </c>
    </row>
    <row r="597" spans="3:13" ht="30" customHeight="1" x14ac:dyDescent="0.25">
      <c r="C597" s="175">
        <v>595</v>
      </c>
      <c r="D597" s="163">
        <v>44461</v>
      </c>
      <c r="E597" s="171">
        <v>-7.6900000000000004E-4</v>
      </c>
      <c r="F597" s="171">
        <v>3713.46</v>
      </c>
      <c r="G597" s="172">
        <v>1</v>
      </c>
      <c r="H597" s="171">
        <f>tbTransactions[[#This Row],[Qty]]*tbTransactions[[#This Row],[Unit Cost]]*tbTransactions[[#This Row],[Exchange Rate]]</f>
        <v>-2.8556507400000002</v>
      </c>
      <c r="I597" s="148" t="s">
        <v>759</v>
      </c>
      <c r="J597" s="176" t="s">
        <v>22</v>
      </c>
      <c r="K597" s="163" t="str">
        <f>IF(tbTransactions[[#This Row],[Sub-Type]]="Transfer","Neutral",IF(tbTransactions[[#This Row],[Qty]]&lt;0,"Debit",IF(tbTransactions[[#This Row],[Qty]]&gt;0,"Credit","Neutral")))</f>
        <v>Debit</v>
      </c>
      <c r="L597" s="163" t="s">
        <v>12</v>
      </c>
      <c r="M597" s="171" t="s">
        <v>591</v>
      </c>
    </row>
    <row r="598" spans="3:13" ht="30" customHeight="1" x14ac:dyDescent="0.25">
      <c r="C598" s="175">
        <v>596</v>
      </c>
      <c r="D598" s="163">
        <v>44461</v>
      </c>
      <c r="E598" s="171">
        <v>-0.5</v>
      </c>
      <c r="F598" s="171">
        <v>3713.46</v>
      </c>
      <c r="G598" s="172">
        <v>1</v>
      </c>
      <c r="H598" s="171">
        <f>tbTransactions[[#This Row],[Qty]]*tbTransactions[[#This Row],[Unit Cost]]*tbTransactions[[#This Row],[Exchange Rate]]</f>
        <v>-1856.73</v>
      </c>
      <c r="I598" s="148" t="s">
        <v>759</v>
      </c>
      <c r="J598" s="176" t="s">
        <v>22</v>
      </c>
      <c r="K598" s="163" t="str">
        <f>IF(tbTransactions[[#This Row],[Sub-Type]]="Transfer","Neutral",IF(tbTransactions[[#This Row],[Qty]]&lt;0,"Debit",IF(tbTransactions[[#This Row],[Qty]]&gt;0,"Credit","Neutral")))</f>
        <v>Neutral</v>
      </c>
      <c r="L598" s="163" t="s">
        <v>32</v>
      </c>
      <c r="M598" s="171" t="s">
        <v>591</v>
      </c>
    </row>
    <row r="599" spans="3:13" ht="30" customHeight="1" x14ac:dyDescent="0.25">
      <c r="C599" s="175">
        <v>597</v>
      </c>
      <c r="D599" s="163">
        <v>44461</v>
      </c>
      <c r="E599" s="171">
        <v>0.5</v>
      </c>
      <c r="F599" s="171">
        <v>3713.46</v>
      </c>
      <c r="G599" s="172">
        <v>1</v>
      </c>
      <c r="H599" s="171">
        <f>tbTransactions[[#This Row],[Qty]]*tbTransactions[[#This Row],[Unit Cost]]*tbTransactions[[#This Row],[Exchange Rate]]</f>
        <v>1856.73</v>
      </c>
      <c r="I599" s="148" t="s">
        <v>586</v>
      </c>
      <c r="J599" s="176" t="s">
        <v>22</v>
      </c>
      <c r="K599" s="163" t="str">
        <f>IF(tbTransactions[[#This Row],[Sub-Type]]="Transfer","Neutral",IF(tbTransactions[[#This Row],[Qty]]&lt;0,"Debit",IF(tbTransactions[[#This Row],[Qty]]&gt;0,"Credit","Neutral")))</f>
        <v>Neutral</v>
      </c>
      <c r="L599" s="163" t="s">
        <v>32</v>
      </c>
      <c r="M599" s="171" t="s">
        <v>591</v>
      </c>
    </row>
    <row r="600" spans="3:13" ht="30" customHeight="1" x14ac:dyDescent="0.25">
      <c r="C600" s="175">
        <v>598</v>
      </c>
      <c r="D600" s="163">
        <v>44461</v>
      </c>
      <c r="E600" s="171">
        <v>1.7836999999999999E-4</v>
      </c>
      <c r="F600" s="171">
        <v>29.03</v>
      </c>
      <c r="G600" s="172">
        <v>1</v>
      </c>
      <c r="H600" s="171">
        <f>tbTransactions[[#This Row],[Qty]]*tbTransactions[[#This Row],[Unit Cost]]*tbTransactions[[#This Row],[Exchange Rate]]</f>
        <v>5.1780810999999998E-3</v>
      </c>
      <c r="I600" s="148" t="s">
        <v>759</v>
      </c>
      <c r="J600" s="176" t="s">
        <v>24</v>
      </c>
      <c r="K600" s="163" t="str">
        <f>IF(tbTransactions[[#This Row],[Sub-Type]]="Transfer","Neutral",IF(tbTransactions[[#This Row],[Qty]]&lt;0,"Debit",IF(tbTransactions[[#This Row],[Qty]]&gt;0,"Credit","Neutral")))</f>
        <v>Credit</v>
      </c>
      <c r="L600" s="163" t="s">
        <v>29</v>
      </c>
      <c r="M600" s="171"/>
    </row>
    <row r="601" spans="3:13" ht="30" customHeight="1" x14ac:dyDescent="0.25">
      <c r="C601" s="175">
        <v>599</v>
      </c>
      <c r="D601" s="163">
        <v>44461</v>
      </c>
      <c r="E601" s="171">
        <v>6.3959000000000002E-2</v>
      </c>
      <c r="F601" s="171">
        <v>0</v>
      </c>
      <c r="G601" s="172">
        <v>1</v>
      </c>
      <c r="H601" s="171">
        <f>tbTransactions[[#This Row],[Qty]]*tbTransactions[[#This Row],[Unit Cost]]*tbTransactions[[#This Row],[Exchange Rate]]</f>
        <v>0</v>
      </c>
      <c r="I601" s="148" t="s">
        <v>422</v>
      </c>
      <c r="J601" s="176" t="s">
        <v>8</v>
      </c>
      <c r="K601" s="163" t="str">
        <f>IF(tbTransactions[[#This Row],[Sub-Type]]="Transfer","Neutral",IF(tbTransactions[[#This Row],[Qty]]&lt;0,"Debit",IF(tbTransactions[[#This Row],[Qty]]&gt;0,"Credit","Neutral")))</f>
        <v>Credit</v>
      </c>
      <c r="L601" s="163" t="s">
        <v>518</v>
      </c>
      <c r="M601" s="171" t="s">
        <v>572</v>
      </c>
    </row>
    <row r="602" spans="3:13" ht="30" customHeight="1" x14ac:dyDescent="0.25">
      <c r="C602" s="175">
        <v>600</v>
      </c>
      <c r="D602" s="163">
        <v>44461</v>
      </c>
      <c r="E602" s="171">
        <v>2.28841763E-2</v>
      </c>
      <c r="F602" s="171">
        <v>0</v>
      </c>
      <c r="G602" s="172">
        <v>1</v>
      </c>
      <c r="H602" s="171">
        <f>tbTransactions[[#This Row],[Qty]]*tbTransactions[[#This Row],[Unit Cost]]*tbTransactions[[#This Row],[Exchange Rate]]</f>
        <v>0</v>
      </c>
      <c r="I602" s="148" t="s">
        <v>511</v>
      </c>
      <c r="J602" s="176" t="s">
        <v>20</v>
      </c>
      <c r="K602" s="163" t="str">
        <f>IF(tbTransactions[[#This Row],[Sub-Type]]="Transfer","Neutral",IF(tbTransactions[[#This Row],[Qty]]&lt;0,"Debit",IF(tbTransactions[[#This Row],[Qty]]&gt;0,"Credit","Neutral")))</f>
        <v>Credit</v>
      </c>
      <c r="L602" s="163" t="s">
        <v>518</v>
      </c>
      <c r="M602" s="171" t="s">
        <v>465</v>
      </c>
    </row>
    <row r="603" spans="3:13" ht="30" customHeight="1" x14ac:dyDescent="0.25">
      <c r="C603" s="175">
        <v>601</v>
      </c>
      <c r="D603" s="163">
        <v>44461</v>
      </c>
      <c r="E603" s="171">
        <v>7.4200000000000004E-3</v>
      </c>
      <c r="F603" s="171">
        <v>0</v>
      </c>
      <c r="G603" s="172">
        <v>1</v>
      </c>
      <c r="H603" s="171">
        <f>tbTransactions[[#This Row],[Qty]]*tbTransactions[[#This Row],[Unit Cost]]*tbTransactions[[#This Row],[Exchange Rate]]</f>
        <v>0</v>
      </c>
      <c r="I603" s="148" t="s">
        <v>507</v>
      </c>
      <c r="J603" s="176" t="s">
        <v>17</v>
      </c>
      <c r="K603" s="163" t="str">
        <f>IF(tbTransactions[[#This Row],[Sub-Type]]="Transfer","Neutral",IF(tbTransactions[[#This Row],[Qty]]&lt;0,"Debit",IF(tbTransactions[[#This Row],[Qty]]&gt;0,"Credit","Neutral")))</f>
        <v>Credit</v>
      </c>
      <c r="L603" s="163" t="s">
        <v>518</v>
      </c>
      <c r="M603" s="171" t="s">
        <v>427</v>
      </c>
    </row>
    <row r="604" spans="3:13" ht="30" customHeight="1" x14ac:dyDescent="0.25">
      <c r="C604" s="175">
        <v>602</v>
      </c>
      <c r="D604" s="163">
        <v>44462</v>
      </c>
      <c r="E604" s="171">
        <v>-198.40012424653</v>
      </c>
      <c r="F604" s="171">
        <v>1.54</v>
      </c>
      <c r="G604" s="172">
        <v>1</v>
      </c>
      <c r="H604" s="171">
        <f>tbTransactions[[#This Row],[Qty]]*tbTransactions[[#This Row],[Unit Cost]]*tbTransactions[[#This Row],[Exchange Rate]]</f>
        <v>-305.53619133965623</v>
      </c>
      <c r="I604" s="148" t="s">
        <v>759</v>
      </c>
      <c r="J604" s="176" t="s">
        <v>423</v>
      </c>
      <c r="K604" s="163" t="str">
        <f>IF(tbTransactions[[#This Row],[Sub-Type]]="Transfer","Neutral",IF(tbTransactions[[#This Row],[Qty]]&lt;0,"Debit",IF(tbTransactions[[#This Row],[Qty]]&gt;0,"Credit","Neutral")))</f>
        <v>Neutral</v>
      </c>
      <c r="L604" s="163" t="s">
        <v>32</v>
      </c>
      <c r="M604" s="171" t="s">
        <v>599</v>
      </c>
    </row>
    <row r="605" spans="3:13" ht="30" customHeight="1" x14ac:dyDescent="0.25">
      <c r="C605" s="175">
        <v>603</v>
      </c>
      <c r="D605" s="163">
        <v>44462</v>
      </c>
      <c r="E605" s="171">
        <v>198.40012424653</v>
      </c>
      <c r="F605" s="171">
        <v>1.54</v>
      </c>
      <c r="G605" s="172">
        <v>1</v>
      </c>
      <c r="H605" s="171">
        <f>tbTransactions[[#This Row],[Qty]]*tbTransactions[[#This Row],[Unit Cost]]*tbTransactions[[#This Row],[Exchange Rate]]</f>
        <v>305.53619133965623</v>
      </c>
      <c r="I605" s="148" t="s">
        <v>581</v>
      </c>
      <c r="J605" s="176" t="s">
        <v>423</v>
      </c>
      <c r="K605" s="163" t="str">
        <f>IF(tbTransactions[[#This Row],[Sub-Type]]="Transfer","Neutral",IF(tbTransactions[[#This Row],[Qty]]&lt;0,"Debit",IF(tbTransactions[[#This Row],[Qty]]&gt;0,"Credit","Neutral")))</f>
        <v>Neutral</v>
      </c>
      <c r="L605" s="163" t="s">
        <v>32</v>
      </c>
      <c r="M605" s="171" t="s">
        <v>599</v>
      </c>
    </row>
    <row r="606" spans="3:13" ht="30" customHeight="1" x14ac:dyDescent="0.25">
      <c r="C606" s="175">
        <v>604</v>
      </c>
      <c r="D606" s="163">
        <v>44462</v>
      </c>
      <c r="E606" s="171">
        <v>-6.1339999999999997E-3</v>
      </c>
      <c r="F606" s="171">
        <v>3947.92</v>
      </c>
      <c r="G606" s="172">
        <v>1</v>
      </c>
      <c r="H606" s="171">
        <f>tbTransactions[[#This Row],[Qty]]*tbTransactions[[#This Row],[Unit Cost]]*tbTransactions[[#This Row],[Exchange Rate]]</f>
        <v>-24.216541279999998</v>
      </c>
      <c r="I606" s="148" t="s">
        <v>759</v>
      </c>
      <c r="J606" s="176" t="s">
        <v>22</v>
      </c>
      <c r="K606" s="163" t="str">
        <f>IF(tbTransactions[[#This Row],[Sub-Type]]="Transfer","Neutral",IF(tbTransactions[[#This Row],[Qty]]&lt;0,"Debit",IF(tbTransactions[[#This Row],[Qty]]&gt;0,"Credit","Neutral")))</f>
        <v>Debit</v>
      </c>
      <c r="L606" s="163" t="s">
        <v>12</v>
      </c>
      <c r="M606" s="171" t="s">
        <v>599</v>
      </c>
    </row>
    <row r="607" spans="3:13" ht="30" customHeight="1" x14ac:dyDescent="0.25">
      <c r="C607" s="175">
        <v>605</v>
      </c>
      <c r="D607" s="163">
        <v>44462</v>
      </c>
      <c r="E607" s="171">
        <v>-7.3999999999999996E-5</v>
      </c>
      <c r="F607" s="171">
        <v>1.53</v>
      </c>
      <c r="G607" s="172">
        <v>1</v>
      </c>
      <c r="H607" s="171">
        <f>tbTransactions[[#This Row],[Qty]]*tbTransactions[[#This Row],[Unit Cost]]*tbTransactions[[#This Row],[Exchange Rate]]</f>
        <v>-1.1321999999999999E-4</v>
      </c>
      <c r="I607" s="148" t="s">
        <v>759</v>
      </c>
      <c r="J607" s="176" t="s">
        <v>423</v>
      </c>
      <c r="K607" s="163" t="str">
        <f>IF(tbTransactions[[#This Row],[Sub-Type]]="Transfer","Neutral",IF(tbTransactions[[#This Row],[Qty]]&lt;0,"Debit",IF(tbTransactions[[#This Row],[Qty]]&gt;0,"Credit","Neutral")))</f>
        <v>Debit</v>
      </c>
      <c r="L607" s="163" t="s">
        <v>12</v>
      </c>
      <c r="M607" s="171" t="s">
        <v>593</v>
      </c>
    </row>
    <row r="608" spans="3:13" ht="30" customHeight="1" x14ac:dyDescent="0.25">
      <c r="C608" s="175">
        <v>606</v>
      </c>
      <c r="D608" s="163">
        <v>44462</v>
      </c>
      <c r="E608" s="171">
        <v>-0.33</v>
      </c>
      <c r="F608" s="171">
        <v>3936.87</v>
      </c>
      <c r="G608" s="172">
        <v>1</v>
      </c>
      <c r="H608" s="171">
        <f>tbTransactions[[#This Row],[Qty]]*tbTransactions[[#This Row],[Unit Cost]]*tbTransactions[[#This Row],[Exchange Rate]]</f>
        <v>-1299.1671000000001</v>
      </c>
      <c r="I608" s="148" t="s">
        <v>581</v>
      </c>
      <c r="J608" s="176" t="s">
        <v>22</v>
      </c>
      <c r="K608" s="163" t="str">
        <f>IF(tbTransactions[[#This Row],[Sub-Type]]="Transfer","Neutral",IF(tbTransactions[[#This Row],[Qty]]&lt;0,"Debit",IF(tbTransactions[[#This Row],[Qty]]&gt;0,"Credit","Neutral")))</f>
        <v>Neutral</v>
      </c>
      <c r="L608" s="163" t="s">
        <v>32</v>
      </c>
      <c r="M608" s="171" t="s">
        <v>593</v>
      </c>
    </row>
    <row r="609" spans="3:13" ht="30" customHeight="1" x14ac:dyDescent="0.25">
      <c r="C609" s="175">
        <v>607</v>
      </c>
      <c r="D609" s="163">
        <v>44462</v>
      </c>
      <c r="E609" s="171">
        <v>0.33</v>
      </c>
      <c r="F609" s="171">
        <v>3936.87</v>
      </c>
      <c r="G609" s="172">
        <v>1</v>
      </c>
      <c r="H609" s="171">
        <f>tbTransactions[[#This Row],[Qty]]*tbTransactions[[#This Row],[Unit Cost]]*tbTransactions[[#This Row],[Exchange Rate]]</f>
        <v>1299.1671000000001</v>
      </c>
      <c r="I609" s="148" t="s">
        <v>594</v>
      </c>
      <c r="J609" s="176" t="s">
        <v>22</v>
      </c>
      <c r="K609" s="163" t="str">
        <f>IF(tbTransactions[[#This Row],[Sub-Type]]="Transfer","Neutral",IF(tbTransactions[[#This Row],[Qty]]&lt;0,"Debit",IF(tbTransactions[[#This Row],[Qty]]&gt;0,"Credit","Neutral")))</f>
        <v>Neutral</v>
      </c>
      <c r="L609" s="163" t="s">
        <v>32</v>
      </c>
      <c r="M609" s="171" t="s">
        <v>593</v>
      </c>
    </row>
    <row r="610" spans="3:13" ht="30" customHeight="1" x14ac:dyDescent="0.25">
      <c r="C610" s="175">
        <v>608</v>
      </c>
      <c r="D610" s="163">
        <v>44462</v>
      </c>
      <c r="E610" s="171">
        <v>-198.30099999999999</v>
      </c>
      <c r="F610" s="171">
        <v>1.53</v>
      </c>
      <c r="G610" s="172">
        <v>1</v>
      </c>
      <c r="H610" s="171">
        <f>tbTransactions[[#This Row],[Qty]]*tbTransactions[[#This Row],[Unit Cost]]*tbTransactions[[#This Row],[Exchange Rate]]</f>
        <v>-303.40053</v>
      </c>
      <c r="I610" s="148" t="s">
        <v>581</v>
      </c>
      <c r="J610" s="176" t="s">
        <v>423</v>
      </c>
      <c r="K610" s="163" t="str">
        <f>IF(tbTransactions[[#This Row],[Sub-Type]]="Transfer","Neutral",IF(tbTransactions[[#This Row],[Qty]]&lt;0,"Debit",IF(tbTransactions[[#This Row],[Qty]]&gt;0,"Credit","Neutral")))</f>
        <v>Neutral</v>
      </c>
      <c r="L610" s="163" t="s">
        <v>32</v>
      </c>
      <c r="M610" s="171" t="s">
        <v>595</v>
      </c>
    </row>
    <row r="611" spans="3:13" ht="30" customHeight="1" x14ac:dyDescent="0.25">
      <c r="C611" s="175">
        <v>609</v>
      </c>
      <c r="D611" s="163">
        <v>44462</v>
      </c>
      <c r="E611" s="171">
        <v>198.30099999999999</v>
      </c>
      <c r="F611" s="171">
        <v>1.53</v>
      </c>
      <c r="G611" s="172">
        <v>1</v>
      </c>
      <c r="H611" s="171">
        <f>tbTransactions[[#This Row],[Qty]]*tbTransactions[[#This Row],[Unit Cost]]*tbTransactions[[#This Row],[Exchange Rate]]</f>
        <v>303.40053</v>
      </c>
      <c r="I611" s="148" t="s">
        <v>594</v>
      </c>
      <c r="J611" s="176" t="s">
        <v>423</v>
      </c>
      <c r="K611" s="163" t="str">
        <f>IF(tbTransactions[[#This Row],[Sub-Type]]="Transfer","Neutral",IF(tbTransactions[[#This Row],[Qty]]&lt;0,"Debit",IF(tbTransactions[[#This Row],[Qty]]&gt;0,"Credit","Neutral")))</f>
        <v>Neutral</v>
      </c>
      <c r="L611" s="163" t="s">
        <v>32</v>
      </c>
      <c r="M611" s="171" t="s">
        <v>595</v>
      </c>
    </row>
    <row r="612" spans="3:13" ht="30" customHeight="1" x14ac:dyDescent="0.25">
      <c r="C612" s="175">
        <v>610</v>
      </c>
      <c r="D612" s="163">
        <v>44462</v>
      </c>
      <c r="E612" s="171">
        <v>-2.6999999999999999E-5</v>
      </c>
      <c r="F612" s="171">
        <v>1.53</v>
      </c>
      <c r="G612" s="172">
        <v>1</v>
      </c>
      <c r="H612" s="171">
        <f>tbTransactions[[#This Row],[Qty]]*tbTransactions[[#This Row],[Unit Cost]]*tbTransactions[[#This Row],[Exchange Rate]]</f>
        <v>-4.1309999999999996E-5</v>
      </c>
      <c r="I612" s="148" t="s">
        <v>581</v>
      </c>
      <c r="J612" s="176" t="s">
        <v>423</v>
      </c>
      <c r="K612" s="163" t="str">
        <f>IF(tbTransactions[[#This Row],[Sub-Type]]="Transfer","Neutral",IF(tbTransactions[[#This Row],[Qty]]&lt;0,"Debit",IF(tbTransactions[[#This Row],[Qty]]&gt;0,"Credit","Neutral")))</f>
        <v>Debit</v>
      </c>
      <c r="L612" s="163" t="s">
        <v>12</v>
      </c>
      <c r="M612" s="171" t="s">
        <v>595</v>
      </c>
    </row>
    <row r="613" spans="3:13" ht="30" customHeight="1" x14ac:dyDescent="0.25">
      <c r="C613" s="175">
        <v>611</v>
      </c>
      <c r="D613" s="163">
        <v>44462</v>
      </c>
      <c r="E613" s="171">
        <v>3.1266491899999999E-2</v>
      </c>
      <c r="F613" s="171">
        <v>0</v>
      </c>
      <c r="G613" s="172">
        <v>1</v>
      </c>
      <c r="H613" s="171">
        <f>tbTransactions[[#This Row],[Qty]]*tbTransactions[[#This Row],[Unit Cost]]*tbTransactions[[#This Row],[Exchange Rate]]</f>
        <v>0</v>
      </c>
      <c r="I613" s="148" t="s">
        <v>511</v>
      </c>
      <c r="J613" s="176" t="s">
        <v>20</v>
      </c>
      <c r="K613" s="163" t="str">
        <f>IF(tbTransactions[[#This Row],[Sub-Type]]="Transfer","Neutral",IF(tbTransactions[[#This Row],[Qty]]&lt;0,"Debit",IF(tbTransactions[[#This Row],[Qty]]&gt;0,"Credit","Neutral")))</f>
        <v>Credit</v>
      </c>
      <c r="L613" s="163" t="s">
        <v>518</v>
      </c>
      <c r="M613" s="171" t="s">
        <v>465</v>
      </c>
    </row>
    <row r="614" spans="3:13" ht="30" customHeight="1" x14ac:dyDescent="0.25">
      <c r="C614" s="175">
        <v>612</v>
      </c>
      <c r="D614" s="163">
        <v>44462</v>
      </c>
      <c r="E614" s="171">
        <v>6.3963999999999993E-2</v>
      </c>
      <c r="F614" s="171">
        <v>0</v>
      </c>
      <c r="G614" s="172">
        <v>1</v>
      </c>
      <c r="H614" s="171">
        <f>tbTransactions[[#This Row],[Qty]]*tbTransactions[[#This Row],[Unit Cost]]*tbTransactions[[#This Row],[Exchange Rate]]</f>
        <v>0</v>
      </c>
      <c r="I614" s="148" t="s">
        <v>422</v>
      </c>
      <c r="J614" s="176" t="s">
        <v>8</v>
      </c>
      <c r="K614" s="163" t="str">
        <f>IF(tbTransactions[[#This Row],[Sub-Type]]="Transfer","Neutral",IF(tbTransactions[[#This Row],[Qty]]&lt;0,"Debit",IF(tbTransactions[[#This Row],[Qty]]&gt;0,"Credit","Neutral")))</f>
        <v>Credit</v>
      </c>
      <c r="L614" s="163" t="s">
        <v>518</v>
      </c>
      <c r="M614" s="171" t="s">
        <v>572</v>
      </c>
    </row>
    <row r="615" spans="3:13" ht="30" customHeight="1" x14ac:dyDescent="0.25">
      <c r="C615" s="175">
        <v>613</v>
      </c>
      <c r="D615" s="163">
        <v>44462</v>
      </c>
      <c r="E615" s="171">
        <v>0.17187897999999999</v>
      </c>
      <c r="F615" s="171">
        <v>4010</v>
      </c>
      <c r="G615" s="172">
        <v>1</v>
      </c>
      <c r="H615" s="171">
        <f>tbTransactions[[#This Row],[Qty]]*tbTransactions[[#This Row],[Unit Cost]]*tbTransactions[[#This Row],[Exchange Rate]]</f>
        <v>689.23470979999991</v>
      </c>
      <c r="I615" s="148" t="s">
        <v>504</v>
      </c>
      <c r="J615" s="176" t="s">
        <v>22</v>
      </c>
      <c r="K615" s="163" t="str">
        <f>IF(tbTransactions[[#This Row],[Sub-Type]]="Transfer","Neutral",IF(tbTransactions[[#This Row],[Qty]]&lt;0,"Debit",IF(tbTransactions[[#This Row],[Qty]]&gt;0,"Credit","Neutral")))</f>
        <v>Credit</v>
      </c>
      <c r="L615" s="163" t="s">
        <v>505</v>
      </c>
      <c r="M615" s="171" t="s">
        <v>439</v>
      </c>
    </row>
    <row r="616" spans="3:13" ht="30" customHeight="1" x14ac:dyDescent="0.25">
      <c r="C616" s="175">
        <v>614</v>
      </c>
      <c r="D616" s="163">
        <v>44462</v>
      </c>
      <c r="E616" s="171">
        <v>-689.23470980000002</v>
      </c>
      <c r="F616" s="171">
        <v>1</v>
      </c>
      <c r="G616" s="172">
        <v>1</v>
      </c>
      <c r="H616" s="171">
        <f>tbTransactions[[#This Row],[Qty]]*tbTransactions[[#This Row],[Unit Cost]]*tbTransactions[[#This Row],[Exchange Rate]]</f>
        <v>-689.23470980000002</v>
      </c>
      <c r="I616" s="148" t="s">
        <v>504</v>
      </c>
      <c r="J616" s="176" t="s">
        <v>411</v>
      </c>
      <c r="K616" s="163" t="str">
        <f>IF(tbTransactions[[#This Row],[Sub-Type]]="Transfer","Neutral",IF(tbTransactions[[#This Row],[Qty]]&lt;0,"Debit",IF(tbTransactions[[#This Row],[Qty]]&gt;0,"Credit","Neutral")))</f>
        <v>Debit</v>
      </c>
      <c r="L616" s="163" t="s">
        <v>501</v>
      </c>
      <c r="M616" s="171" t="s">
        <v>439</v>
      </c>
    </row>
    <row r="617" spans="3:13" ht="30" customHeight="1" x14ac:dyDescent="0.25">
      <c r="C617" s="175">
        <v>615</v>
      </c>
      <c r="D617" s="163">
        <v>44462</v>
      </c>
      <c r="E617" s="171">
        <v>-1086.82199999</v>
      </c>
      <c r="F617" s="171">
        <v>2.83</v>
      </c>
      <c r="G617" s="172">
        <v>1</v>
      </c>
      <c r="H617" s="171">
        <f>tbTransactions[[#This Row],[Qty]]*tbTransactions[[#This Row],[Unit Cost]]*tbTransactions[[#This Row],[Exchange Rate]]</f>
        <v>-3075.7062599717001</v>
      </c>
      <c r="I617" s="148" t="s">
        <v>504</v>
      </c>
      <c r="J617" s="176" t="s">
        <v>17</v>
      </c>
      <c r="K617" s="163" t="str">
        <f>IF(tbTransactions[[#This Row],[Sub-Type]]="Transfer","Neutral",IF(tbTransactions[[#This Row],[Qty]]&lt;0,"Debit",IF(tbTransactions[[#This Row],[Qty]]&gt;0,"Credit","Neutral")))</f>
        <v>Debit</v>
      </c>
      <c r="L617" s="163" t="s">
        <v>506</v>
      </c>
      <c r="M617" s="171" t="s">
        <v>576</v>
      </c>
    </row>
    <row r="618" spans="3:13" ht="30" customHeight="1" x14ac:dyDescent="0.25">
      <c r="C618" s="175">
        <v>616</v>
      </c>
      <c r="D618" s="163">
        <v>44462</v>
      </c>
      <c r="E618" s="171">
        <v>3075.7062599717001</v>
      </c>
      <c r="F618" s="171">
        <v>1</v>
      </c>
      <c r="G618" s="172">
        <v>1</v>
      </c>
      <c r="H618" s="171">
        <f>tbTransactions[[#This Row],[Qty]]*tbTransactions[[#This Row],[Unit Cost]]*tbTransactions[[#This Row],[Exchange Rate]]</f>
        <v>3075.7062599717001</v>
      </c>
      <c r="I618" s="148" t="s">
        <v>504</v>
      </c>
      <c r="J618" s="176" t="s">
        <v>411</v>
      </c>
      <c r="K618" s="163" t="str">
        <f>IF(tbTransactions[[#This Row],[Sub-Type]]="Transfer","Neutral",IF(tbTransactions[[#This Row],[Qty]]&lt;0,"Debit",IF(tbTransactions[[#This Row],[Qty]]&gt;0,"Credit","Neutral")))</f>
        <v>Credit</v>
      </c>
      <c r="L618" s="163" t="s">
        <v>500</v>
      </c>
      <c r="M618" s="171" t="s">
        <v>576</v>
      </c>
    </row>
    <row r="619" spans="3:13" ht="30" customHeight="1" x14ac:dyDescent="0.25">
      <c r="C619" s="175">
        <v>617</v>
      </c>
      <c r="D619" s="163">
        <v>44462</v>
      </c>
      <c r="E619" s="171">
        <v>2.3E-2</v>
      </c>
      <c r="F619" s="171">
        <v>4067</v>
      </c>
      <c r="G619" s="172">
        <v>1</v>
      </c>
      <c r="H619" s="171">
        <f>tbTransactions[[#This Row],[Qty]]*tbTransactions[[#This Row],[Unit Cost]]*tbTransactions[[#This Row],[Exchange Rate]]</f>
        <v>93.540999999999997</v>
      </c>
      <c r="I619" s="148" t="s">
        <v>504</v>
      </c>
      <c r="J619" s="176" t="s">
        <v>22</v>
      </c>
      <c r="K619" s="163" t="str">
        <f>IF(tbTransactions[[#This Row],[Sub-Type]]="Transfer","Neutral",IF(tbTransactions[[#This Row],[Qty]]&lt;0,"Debit",IF(tbTransactions[[#This Row],[Qty]]&gt;0,"Credit","Neutral")))</f>
        <v>Credit</v>
      </c>
      <c r="L619" s="163" t="s">
        <v>505</v>
      </c>
      <c r="M619" s="171" t="s">
        <v>439</v>
      </c>
    </row>
    <row r="620" spans="3:13" ht="30" customHeight="1" x14ac:dyDescent="0.25">
      <c r="C620" s="175">
        <v>618</v>
      </c>
      <c r="D620" s="163">
        <v>44462</v>
      </c>
      <c r="E620" s="171">
        <v>-93.540999999999997</v>
      </c>
      <c r="F620" s="171">
        <v>1</v>
      </c>
      <c r="G620" s="172">
        <v>1</v>
      </c>
      <c r="H620" s="171">
        <f>tbTransactions[[#This Row],[Qty]]*tbTransactions[[#This Row],[Unit Cost]]*tbTransactions[[#This Row],[Exchange Rate]]</f>
        <v>-93.540999999999997</v>
      </c>
      <c r="I620" s="148" t="s">
        <v>504</v>
      </c>
      <c r="J620" s="176" t="s">
        <v>411</v>
      </c>
      <c r="K620" s="163" t="str">
        <f>IF(tbTransactions[[#This Row],[Sub-Type]]="Transfer","Neutral",IF(tbTransactions[[#This Row],[Qty]]&lt;0,"Debit",IF(tbTransactions[[#This Row],[Qty]]&gt;0,"Credit","Neutral")))</f>
        <v>Debit</v>
      </c>
      <c r="L620" s="163" t="s">
        <v>501</v>
      </c>
      <c r="M620" s="171" t="s">
        <v>439</v>
      </c>
    </row>
    <row r="621" spans="3:13" ht="30" customHeight="1" x14ac:dyDescent="0.25">
      <c r="C621" s="175">
        <v>619</v>
      </c>
      <c r="D621" s="163">
        <v>44462</v>
      </c>
      <c r="E621" s="171">
        <v>1.30420034</v>
      </c>
      <c r="F621" s="171">
        <v>4068.2860000000001</v>
      </c>
      <c r="G621" s="172">
        <v>1</v>
      </c>
      <c r="H621" s="171">
        <f>tbTransactions[[#This Row],[Qty]]*tbTransactions[[#This Row],[Unit Cost]]*tbTransactions[[#This Row],[Exchange Rate]]</f>
        <v>5305.8599844172395</v>
      </c>
      <c r="I621" s="148" t="s">
        <v>504</v>
      </c>
      <c r="J621" s="176" t="s">
        <v>22</v>
      </c>
      <c r="K621" s="163" t="str">
        <f>IF(tbTransactions[[#This Row],[Sub-Type]]="Transfer","Neutral",IF(tbTransactions[[#This Row],[Qty]]&lt;0,"Debit",IF(tbTransactions[[#This Row],[Qty]]&gt;0,"Credit","Neutral")))</f>
        <v>Credit</v>
      </c>
      <c r="L621" s="163" t="s">
        <v>505</v>
      </c>
      <c r="M621" s="171" t="s">
        <v>439</v>
      </c>
    </row>
    <row r="622" spans="3:13" ht="30" customHeight="1" x14ac:dyDescent="0.25">
      <c r="C622" s="175">
        <v>620</v>
      </c>
      <c r="D622" s="163">
        <v>44462</v>
      </c>
      <c r="E622" s="171">
        <v>-5305.8599844172404</v>
      </c>
      <c r="F622" s="171">
        <v>1</v>
      </c>
      <c r="G622" s="172">
        <v>1</v>
      </c>
      <c r="H622" s="171">
        <f>tbTransactions[[#This Row],[Qty]]*tbTransactions[[#This Row],[Unit Cost]]*tbTransactions[[#This Row],[Exchange Rate]]</f>
        <v>-5305.8599844172404</v>
      </c>
      <c r="I622" s="148" t="s">
        <v>504</v>
      </c>
      <c r="J622" s="176" t="s">
        <v>411</v>
      </c>
      <c r="K622" s="163" t="str">
        <f>IF(tbTransactions[[#This Row],[Sub-Type]]="Transfer","Neutral",IF(tbTransactions[[#This Row],[Qty]]&lt;0,"Debit",IF(tbTransactions[[#This Row],[Qty]]&gt;0,"Credit","Neutral")))</f>
        <v>Debit</v>
      </c>
      <c r="L622" s="163" t="s">
        <v>501</v>
      </c>
      <c r="M622" s="171" t="s">
        <v>439</v>
      </c>
    </row>
    <row r="623" spans="3:13" ht="30" customHeight="1" x14ac:dyDescent="0.25">
      <c r="C623" s="175">
        <v>621</v>
      </c>
      <c r="D623" s="163">
        <v>44462</v>
      </c>
      <c r="E623" s="171">
        <v>-5.0000000000000001E-3</v>
      </c>
      <c r="F623" s="171">
        <v>4005.19</v>
      </c>
      <c r="G623" s="172">
        <v>1</v>
      </c>
      <c r="H623" s="171">
        <f>tbTransactions[[#This Row],[Qty]]*tbTransactions[[#This Row],[Unit Cost]]*tbTransactions[[#This Row],[Exchange Rate]]</f>
        <v>-20.025950000000002</v>
      </c>
      <c r="I623" s="148" t="s">
        <v>504</v>
      </c>
      <c r="J623" s="176" t="s">
        <v>22</v>
      </c>
      <c r="K623" s="163" t="str">
        <f>IF(tbTransactions[[#This Row],[Sub-Type]]="Transfer","Neutral",IF(tbTransactions[[#This Row],[Qty]]&lt;0,"Debit",IF(tbTransactions[[#This Row],[Qty]]&gt;0,"Credit","Neutral")))</f>
        <v>Debit</v>
      </c>
      <c r="L623" s="163" t="s">
        <v>12</v>
      </c>
      <c r="M623" s="171" t="s">
        <v>596</v>
      </c>
    </row>
    <row r="624" spans="3:13" ht="30" customHeight="1" x14ac:dyDescent="0.25">
      <c r="C624" s="175">
        <v>622</v>
      </c>
      <c r="D624" s="163">
        <v>44462</v>
      </c>
      <c r="E624" s="171">
        <v>-1.4960811700000001</v>
      </c>
      <c r="F624" s="171">
        <v>4005.19</v>
      </c>
      <c r="G624" s="172">
        <v>1</v>
      </c>
      <c r="H624" s="171">
        <f>tbTransactions[[#This Row],[Qty]]*tbTransactions[[#This Row],[Unit Cost]]*tbTransactions[[#This Row],[Exchange Rate]]</f>
        <v>-5992.0893412723008</v>
      </c>
      <c r="I624" s="148" t="s">
        <v>504</v>
      </c>
      <c r="J624" s="176" t="s">
        <v>22</v>
      </c>
      <c r="K624" s="163" t="str">
        <f>IF(tbTransactions[[#This Row],[Sub-Type]]="Transfer","Neutral",IF(tbTransactions[[#This Row],[Qty]]&lt;0,"Debit",IF(tbTransactions[[#This Row],[Qty]]&gt;0,"Credit","Neutral")))</f>
        <v>Neutral</v>
      </c>
      <c r="L624" s="163" t="s">
        <v>32</v>
      </c>
      <c r="M624" s="171" t="s">
        <v>596</v>
      </c>
    </row>
    <row r="625" spans="3:13" ht="30" customHeight="1" x14ac:dyDescent="0.25">
      <c r="C625" s="175">
        <v>623</v>
      </c>
      <c r="D625" s="163">
        <v>44462</v>
      </c>
      <c r="E625" s="171">
        <v>1.4960811700000001</v>
      </c>
      <c r="F625" s="171">
        <v>4005.19</v>
      </c>
      <c r="G625" s="172">
        <v>1</v>
      </c>
      <c r="H625" s="171">
        <f>tbTransactions[[#This Row],[Qty]]*tbTransactions[[#This Row],[Unit Cost]]*tbTransactions[[#This Row],[Exchange Rate]]</f>
        <v>5992.0893412723008</v>
      </c>
      <c r="I625" s="148" t="s">
        <v>586</v>
      </c>
      <c r="J625" s="176" t="s">
        <v>22</v>
      </c>
      <c r="K625" s="163" t="str">
        <f>IF(tbTransactions[[#This Row],[Sub-Type]]="Transfer","Neutral",IF(tbTransactions[[#This Row],[Qty]]&lt;0,"Debit",IF(tbTransactions[[#This Row],[Qty]]&gt;0,"Credit","Neutral")))</f>
        <v>Neutral</v>
      </c>
      <c r="L625" s="163" t="s">
        <v>32</v>
      </c>
      <c r="M625" s="171" t="s">
        <v>596</v>
      </c>
    </row>
    <row r="626" spans="3:13" ht="30" customHeight="1" x14ac:dyDescent="0.25">
      <c r="C626" s="175">
        <v>624</v>
      </c>
      <c r="D626" s="163">
        <v>44462</v>
      </c>
      <c r="E626" s="171">
        <v>-156.29</v>
      </c>
      <c r="F626" s="171">
        <v>1.28</v>
      </c>
      <c r="G626" s="172">
        <v>1</v>
      </c>
      <c r="H626" s="171">
        <f>tbTransactions[[#This Row],[Qty]]*tbTransactions[[#This Row],[Unit Cost]]*tbTransactions[[#This Row],[Exchange Rate]]</f>
        <v>-200.05119999999999</v>
      </c>
      <c r="I626" s="148" t="s">
        <v>586</v>
      </c>
      <c r="J626" s="176" t="s">
        <v>496</v>
      </c>
      <c r="K626" s="163" t="str">
        <f>IF(tbTransactions[[#This Row],[Sub-Type]]="Transfer","Neutral",IF(tbTransactions[[#This Row],[Qty]]&lt;0,"Debit",IF(tbTransactions[[#This Row],[Qty]]&gt;0,"Credit","Neutral")))</f>
        <v>Neutral</v>
      </c>
      <c r="L626" s="163" t="s">
        <v>32</v>
      </c>
      <c r="M626" s="171" t="s">
        <v>647</v>
      </c>
    </row>
    <row r="627" spans="3:13" ht="30" customHeight="1" x14ac:dyDescent="0.25">
      <c r="C627" s="175">
        <v>625</v>
      </c>
      <c r="D627" s="163">
        <v>44462</v>
      </c>
      <c r="E627" s="171">
        <v>4.8272000000000002E-2</v>
      </c>
      <c r="F627" s="171">
        <v>3998.48</v>
      </c>
      <c r="G627" s="172">
        <v>1</v>
      </c>
      <c r="H627" s="171">
        <f>tbTransactions[[#This Row],[Qty]]*tbTransactions[[#This Row],[Unit Cost]]*tbTransactions[[#This Row],[Exchange Rate]]</f>
        <v>193.01462656000001</v>
      </c>
      <c r="I627" s="148" t="s">
        <v>586</v>
      </c>
      <c r="J627" s="176" t="s">
        <v>22</v>
      </c>
      <c r="K627" s="163" t="str">
        <f>IF(tbTransactions[[#This Row],[Sub-Type]]="Transfer","Neutral",IF(tbTransactions[[#This Row],[Qty]]&lt;0,"Debit",IF(tbTransactions[[#This Row],[Qty]]&gt;0,"Credit","Neutral")))</f>
        <v>Neutral</v>
      </c>
      <c r="L627" s="163" t="s">
        <v>32</v>
      </c>
      <c r="M627" s="171" t="s">
        <v>647</v>
      </c>
    </row>
    <row r="628" spans="3:13" ht="30" customHeight="1" x14ac:dyDescent="0.25">
      <c r="C628" s="175">
        <v>626</v>
      </c>
      <c r="D628" s="163">
        <v>44462</v>
      </c>
      <c r="E628" s="171">
        <v>-9.8270000000000007E-3</v>
      </c>
      <c r="F628" s="171">
        <v>3998.48</v>
      </c>
      <c r="G628" s="172">
        <v>1</v>
      </c>
      <c r="H628" s="171">
        <f>tbTransactions[[#This Row],[Qty]]*tbTransactions[[#This Row],[Unit Cost]]*tbTransactions[[#This Row],[Exchange Rate]]</f>
        <v>-39.29306296</v>
      </c>
      <c r="I628" s="148" t="s">
        <v>586</v>
      </c>
      <c r="J628" s="176" t="s">
        <v>22</v>
      </c>
      <c r="K628" s="163" t="str">
        <f>IF(tbTransactions[[#This Row],[Sub-Type]]="Transfer","Neutral",IF(tbTransactions[[#This Row],[Qty]]&lt;0,"Debit",IF(tbTransactions[[#This Row],[Qty]]&gt;0,"Credit","Neutral")))</f>
        <v>Debit</v>
      </c>
      <c r="L628" s="163" t="s">
        <v>12</v>
      </c>
      <c r="M628" s="171" t="s">
        <v>597</v>
      </c>
    </row>
    <row r="629" spans="3:13" ht="30" customHeight="1" x14ac:dyDescent="0.25">
      <c r="C629" s="175">
        <v>627</v>
      </c>
      <c r="D629" s="163">
        <v>44462</v>
      </c>
      <c r="E629" s="171">
        <v>-2</v>
      </c>
      <c r="F629" s="171">
        <v>3973.39</v>
      </c>
      <c r="G629" s="172">
        <v>1</v>
      </c>
      <c r="H629" s="171">
        <f>tbTransactions[[#This Row],[Qty]]*tbTransactions[[#This Row],[Unit Cost]]*tbTransactions[[#This Row],[Exchange Rate]]</f>
        <v>-7946.78</v>
      </c>
      <c r="I629" s="148" t="s">
        <v>586</v>
      </c>
      <c r="J629" s="176" t="s">
        <v>22</v>
      </c>
      <c r="K629" s="163" t="str">
        <f>IF(tbTransactions[[#This Row],[Sub-Type]]="Transfer","Neutral",IF(tbTransactions[[#This Row],[Qty]]&lt;0,"Debit",IF(tbTransactions[[#This Row],[Qty]]&gt;0,"Credit","Neutral")))</f>
        <v>Neutral</v>
      </c>
      <c r="L629" s="163" t="s">
        <v>32</v>
      </c>
      <c r="M629" s="171" t="s">
        <v>598</v>
      </c>
    </row>
    <row r="630" spans="3:13" ht="30" customHeight="1" x14ac:dyDescent="0.25">
      <c r="C630" s="175">
        <v>628</v>
      </c>
      <c r="D630" s="163">
        <v>44462</v>
      </c>
      <c r="E630" s="171">
        <v>2</v>
      </c>
      <c r="F630" s="171">
        <v>3973.39</v>
      </c>
      <c r="G630" s="172">
        <v>1</v>
      </c>
      <c r="H630" s="171">
        <f>tbTransactions[[#This Row],[Qty]]*tbTransactions[[#This Row],[Unit Cost]]*tbTransactions[[#This Row],[Exchange Rate]]</f>
        <v>7946.78</v>
      </c>
      <c r="I630" s="148" t="s">
        <v>594</v>
      </c>
      <c r="J630" s="176" t="s">
        <v>22</v>
      </c>
      <c r="K630" s="163" t="str">
        <f>IF(tbTransactions[[#This Row],[Sub-Type]]="Transfer","Neutral",IF(tbTransactions[[#This Row],[Qty]]&lt;0,"Debit",IF(tbTransactions[[#This Row],[Qty]]&gt;0,"Credit","Neutral")))</f>
        <v>Neutral</v>
      </c>
      <c r="L630" s="163" t="s">
        <v>32</v>
      </c>
      <c r="M630" s="171" t="s">
        <v>598</v>
      </c>
    </row>
    <row r="631" spans="3:13" ht="30" customHeight="1" x14ac:dyDescent="0.25">
      <c r="C631" s="175">
        <v>629</v>
      </c>
      <c r="D631" s="163">
        <v>44462</v>
      </c>
      <c r="E631" s="171">
        <v>-4.5659999999999997E-3</v>
      </c>
      <c r="F631" s="171">
        <v>3973.39</v>
      </c>
      <c r="G631" s="172">
        <v>1</v>
      </c>
      <c r="H631" s="171">
        <f>tbTransactions[[#This Row],[Qty]]*tbTransactions[[#This Row],[Unit Cost]]*tbTransactions[[#This Row],[Exchange Rate]]</f>
        <v>-18.142498739999997</v>
      </c>
      <c r="I631" s="148" t="s">
        <v>586</v>
      </c>
      <c r="J631" s="176" t="s">
        <v>22</v>
      </c>
      <c r="K631" s="163" t="str">
        <f>IF(tbTransactions[[#This Row],[Sub-Type]]="Transfer","Neutral",IF(tbTransactions[[#This Row],[Qty]]&lt;0,"Debit",IF(tbTransactions[[#This Row],[Qty]]&gt;0,"Credit","Neutral")))</f>
        <v>Debit</v>
      </c>
      <c r="L631" s="163" t="s">
        <v>12</v>
      </c>
      <c r="M631" s="171" t="s">
        <v>598</v>
      </c>
    </row>
    <row r="632" spans="3:13" ht="30" customHeight="1" x14ac:dyDescent="0.25">
      <c r="C632" s="175">
        <v>630</v>
      </c>
      <c r="D632" s="163">
        <v>44462</v>
      </c>
      <c r="E632" s="171">
        <v>-0.57999999999999996</v>
      </c>
      <c r="F632" s="171">
        <v>3964.85</v>
      </c>
      <c r="G632" s="172">
        <v>1</v>
      </c>
      <c r="H632" s="171">
        <f>tbTransactions[[#This Row],[Qty]]*tbTransactions[[#This Row],[Unit Cost]]*tbTransactions[[#This Row],[Exchange Rate]]</f>
        <v>-2299.6129999999998</v>
      </c>
      <c r="I632" s="148" t="s">
        <v>594</v>
      </c>
      <c r="J632" s="176" t="s">
        <v>22</v>
      </c>
      <c r="K632" s="163" t="str">
        <f>IF(tbTransactions[[#This Row],[Sub-Type]]="Transfer","Neutral",IF(tbTransactions[[#This Row],[Qty]]&lt;0,"Debit",IF(tbTransactions[[#This Row],[Qty]]&gt;0,"Credit","Neutral")))</f>
        <v>Debit</v>
      </c>
      <c r="L632" s="163" t="s">
        <v>603</v>
      </c>
      <c r="M632" s="171" t="s">
        <v>636</v>
      </c>
    </row>
    <row r="633" spans="3:13" ht="30" customHeight="1" x14ac:dyDescent="0.25">
      <c r="C633" s="175">
        <v>631</v>
      </c>
      <c r="D633" s="163">
        <v>44462</v>
      </c>
      <c r="E633" s="171">
        <v>1776.65</v>
      </c>
      <c r="F633" s="171">
        <v>1.28</v>
      </c>
      <c r="G633" s="172">
        <v>1</v>
      </c>
      <c r="H633" s="171">
        <f>tbTransactions[[#This Row],[Qty]]*tbTransactions[[#This Row],[Unit Cost]]*tbTransactions[[#This Row],[Exchange Rate]]</f>
        <v>2274.1120000000001</v>
      </c>
      <c r="I633" s="148" t="s">
        <v>594</v>
      </c>
      <c r="J633" s="176" t="s">
        <v>602</v>
      </c>
      <c r="K633" s="163" t="str">
        <f>IF(tbTransactions[[#This Row],[Sub-Type]]="Transfer","Neutral",IF(tbTransactions[[#This Row],[Qty]]&lt;0,"Debit",IF(tbTransactions[[#This Row],[Qty]]&gt;0,"Credit","Neutral")))</f>
        <v>Credit</v>
      </c>
      <c r="L633" s="163" t="s">
        <v>603</v>
      </c>
      <c r="M633" s="171" t="s">
        <v>636</v>
      </c>
    </row>
    <row r="634" spans="3:13" ht="30" customHeight="1" x14ac:dyDescent="0.25">
      <c r="C634" s="175">
        <v>632</v>
      </c>
      <c r="D634" s="163">
        <v>44462</v>
      </c>
      <c r="E634" s="171">
        <v>-6.1649000000000002E-2</v>
      </c>
      <c r="F634" s="171">
        <v>1.53</v>
      </c>
      <c r="G634" s="172">
        <v>1</v>
      </c>
      <c r="H634" s="171">
        <f>tbTransactions[[#This Row],[Qty]]*tbTransactions[[#This Row],[Unit Cost]]*tbTransactions[[#This Row],[Exchange Rate]]</f>
        <v>-9.4322970000000006E-2</v>
      </c>
      <c r="I634" s="148" t="s">
        <v>594</v>
      </c>
      <c r="J634" s="176" t="s">
        <v>423</v>
      </c>
      <c r="K634" s="163" t="str">
        <f>IF(tbTransactions[[#This Row],[Sub-Type]]="Transfer","Neutral",IF(tbTransactions[[#This Row],[Qty]]&lt;0,"Debit",IF(tbTransactions[[#This Row],[Qty]]&gt;0,"Credit","Neutral")))</f>
        <v>Debit</v>
      </c>
      <c r="L634" s="163" t="s">
        <v>12</v>
      </c>
      <c r="M634" s="171" t="s">
        <v>636</v>
      </c>
    </row>
    <row r="635" spans="3:13" ht="30" customHeight="1" x14ac:dyDescent="0.25">
      <c r="C635" s="175">
        <v>633</v>
      </c>
      <c r="D635" s="163">
        <v>44463</v>
      </c>
      <c r="E635" s="171">
        <v>-1776.65</v>
      </c>
      <c r="F635" s="171">
        <v>1.28</v>
      </c>
      <c r="G635" s="172">
        <v>1</v>
      </c>
      <c r="H635" s="171">
        <f>tbTransactions[[#This Row],[Qty]]*tbTransactions[[#This Row],[Unit Cost]]*tbTransactions[[#This Row],[Exchange Rate]]</f>
        <v>-2274.1120000000001</v>
      </c>
      <c r="I635" s="148" t="s">
        <v>594</v>
      </c>
      <c r="J635" s="176" t="s">
        <v>602</v>
      </c>
      <c r="K635" s="163" t="str">
        <f>IF(tbTransactions[[#This Row],[Sub-Type]]="Transfer","Neutral",IF(tbTransactions[[#This Row],[Qty]]&lt;0,"Debit",IF(tbTransactions[[#This Row],[Qty]]&gt;0,"Credit","Neutral")))</f>
        <v>Debit</v>
      </c>
      <c r="L635" s="163" t="s">
        <v>603</v>
      </c>
      <c r="M635" s="171" t="s">
        <v>646</v>
      </c>
    </row>
    <row r="636" spans="3:13" ht="30" customHeight="1" x14ac:dyDescent="0.25">
      <c r="C636" s="175">
        <v>634</v>
      </c>
      <c r="D636" s="163">
        <v>44463</v>
      </c>
      <c r="E636" s="171">
        <v>0.63484200000000002</v>
      </c>
      <c r="F636" s="171">
        <v>3538.55</v>
      </c>
      <c r="G636" s="172">
        <v>1</v>
      </c>
      <c r="H636" s="171">
        <f>tbTransactions[[#This Row],[Qty]]*tbTransactions[[#This Row],[Unit Cost]]*tbTransactions[[#This Row],[Exchange Rate]]</f>
        <v>2246.4201591000001</v>
      </c>
      <c r="I636" s="148" t="s">
        <v>594</v>
      </c>
      <c r="J636" s="176" t="s">
        <v>22</v>
      </c>
      <c r="K636" s="163" t="str">
        <f>IF(tbTransactions[[#This Row],[Sub-Type]]="Transfer","Neutral",IF(tbTransactions[[#This Row],[Qty]]&lt;0,"Debit",IF(tbTransactions[[#This Row],[Qty]]&gt;0,"Credit","Neutral")))</f>
        <v>Credit</v>
      </c>
      <c r="L636" s="163" t="s">
        <v>603</v>
      </c>
      <c r="M636" s="171" t="s">
        <v>646</v>
      </c>
    </row>
    <row r="637" spans="3:13" ht="30" customHeight="1" x14ac:dyDescent="0.25">
      <c r="C637" s="175">
        <v>635</v>
      </c>
      <c r="D637" s="163">
        <v>44463</v>
      </c>
      <c r="E637" s="171">
        <v>-7.1652930000000001</v>
      </c>
      <c r="F637" s="171">
        <v>1.36</v>
      </c>
      <c r="G637" s="172">
        <v>1</v>
      </c>
      <c r="H637" s="171">
        <f>tbTransactions[[#This Row],[Qty]]*tbTransactions[[#This Row],[Unit Cost]]*tbTransactions[[#This Row],[Exchange Rate]]</f>
        <v>-9.74479848</v>
      </c>
      <c r="I637" s="148" t="s">
        <v>594</v>
      </c>
      <c r="J637" s="176" t="s">
        <v>423</v>
      </c>
      <c r="K637" s="163" t="str">
        <f>IF(tbTransactions[[#This Row],[Sub-Type]]="Transfer","Neutral",IF(tbTransactions[[#This Row],[Qty]]&lt;0,"Debit",IF(tbTransactions[[#This Row],[Qty]]&gt;0,"Credit","Neutral")))</f>
        <v>Debit</v>
      </c>
      <c r="L637" s="163" t="s">
        <v>12</v>
      </c>
      <c r="M637" s="171" t="s">
        <v>615</v>
      </c>
    </row>
    <row r="638" spans="3:13" ht="30" customHeight="1" x14ac:dyDescent="0.25">
      <c r="C638" s="175">
        <v>636</v>
      </c>
      <c r="D638" s="163">
        <v>44463</v>
      </c>
      <c r="E638" s="171">
        <v>-8.9909529999999993</v>
      </c>
      <c r="F638" s="171">
        <v>1.36</v>
      </c>
      <c r="G638" s="172">
        <v>1</v>
      </c>
      <c r="H638" s="171">
        <f>tbTransactions[[#This Row],[Qty]]*tbTransactions[[#This Row],[Unit Cost]]*tbTransactions[[#This Row],[Exchange Rate]]</f>
        <v>-12.227696079999999</v>
      </c>
      <c r="I638" s="148" t="s">
        <v>594</v>
      </c>
      <c r="J638" s="176" t="s">
        <v>423</v>
      </c>
      <c r="K638" s="163" t="str">
        <f>IF(tbTransactions[[#This Row],[Sub-Type]]="Transfer","Neutral",IF(tbTransactions[[#This Row],[Qty]]&lt;0,"Debit",IF(tbTransactions[[#This Row],[Qty]]&gt;0,"Credit","Neutral")))</f>
        <v>Debit</v>
      </c>
      <c r="L638" s="163" t="s">
        <v>12</v>
      </c>
      <c r="M638" s="171" t="s">
        <v>614</v>
      </c>
    </row>
    <row r="639" spans="3:13" ht="30" customHeight="1" x14ac:dyDescent="0.25">
      <c r="C639" s="175">
        <v>637</v>
      </c>
      <c r="D639" s="163">
        <v>44463</v>
      </c>
      <c r="E639" s="171">
        <v>2.45877691E-2</v>
      </c>
      <c r="F639" s="171">
        <v>0</v>
      </c>
      <c r="G639" s="172">
        <v>1</v>
      </c>
      <c r="H639" s="171">
        <f>tbTransactions[[#This Row],[Qty]]*tbTransactions[[#This Row],[Unit Cost]]*tbTransactions[[#This Row],[Exchange Rate]]</f>
        <v>0</v>
      </c>
      <c r="I639" s="148" t="s">
        <v>511</v>
      </c>
      <c r="J639" s="176" t="s">
        <v>20</v>
      </c>
      <c r="K639" s="163" t="str">
        <f>IF(tbTransactions[[#This Row],[Sub-Type]]="Transfer","Neutral",IF(tbTransactions[[#This Row],[Qty]]&lt;0,"Debit",IF(tbTransactions[[#This Row],[Qty]]&gt;0,"Credit","Neutral")))</f>
        <v>Credit</v>
      </c>
      <c r="L639" s="163" t="s">
        <v>518</v>
      </c>
      <c r="M639" s="171" t="s">
        <v>465</v>
      </c>
    </row>
    <row r="640" spans="3:13" ht="30" customHeight="1" x14ac:dyDescent="0.25">
      <c r="C640" s="175">
        <v>638</v>
      </c>
      <c r="D640" s="163">
        <v>44463</v>
      </c>
      <c r="E640" s="171">
        <v>3.9585000000000002E-2</v>
      </c>
      <c r="F640" s="171">
        <v>0</v>
      </c>
      <c r="G640" s="172">
        <v>1</v>
      </c>
      <c r="H640" s="171">
        <f>tbTransactions[[#This Row],[Qty]]*tbTransactions[[#This Row],[Unit Cost]]*tbTransactions[[#This Row],[Exchange Rate]]</f>
        <v>0</v>
      </c>
      <c r="I640" s="148" t="s">
        <v>422</v>
      </c>
      <c r="J640" s="176" t="s">
        <v>8</v>
      </c>
      <c r="K640" s="163" t="str">
        <f>IF(tbTransactions[[#This Row],[Sub-Type]]="Transfer","Neutral",IF(tbTransactions[[#This Row],[Qty]]&lt;0,"Debit",IF(tbTransactions[[#This Row],[Qty]]&gt;0,"Credit","Neutral")))</f>
        <v>Credit</v>
      </c>
      <c r="L640" s="163" t="s">
        <v>518</v>
      </c>
      <c r="M640" s="171" t="s">
        <v>572</v>
      </c>
    </row>
    <row r="641" spans="3:13" ht="30" customHeight="1" x14ac:dyDescent="0.25">
      <c r="C641" s="175">
        <v>639</v>
      </c>
      <c r="D641" s="163">
        <v>44464</v>
      </c>
      <c r="E641" s="171">
        <v>2.40357304E-2</v>
      </c>
      <c r="F641" s="171">
        <v>0</v>
      </c>
      <c r="G641" s="172">
        <v>1</v>
      </c>
      <c r="H641" s="171">
        <f>tbTransactions[[#This Row],[Qty]]*tbTransactions[[#This Row],[Unit Cost]]*tbTransactions[[#This Row],[Exchange Rate]]</f>
        <v>0</v>
      </c>
      <c r="I641" s="148" t="s">
        <v>511</v>
      </c>
      <c r="J641" s="176" t="s">
        <v>20</v>
      </c>
      <c r="K641" s="163" t="str">
        <f>IF(tbTransactions[[#This Row],[Sub-Type]]="Transfer","Neutral",IF(tbTransactions[[#This Row],[Qty]]&lt;0,"Debit",IF(tbTransactions[[#This Row],[Qty]]&gt;0,"Credit","Neutral")))</f>
        <v>Credit</v>
      </c>
      <c r="L641" s="163" t="s">
        <v>518</v>
      </c>
      <c r="M641" s="171" t="s">
        <v>465</v>
      </c>
    </row>
    <row r="642" spans="3:13" ht="30" customHeight="1" x14ac:dyDescent="0.25">
      <c r="C642" s="175">
        <v>640</v>
      </c>
      <c r="D642" s="163">
        <v>44464</v>
      </c>
      <c r="E642" s="171">
        <v>6.3980999999999996E-2</v>
      </c>
      <c r="F642" s="171">
        <v>0</v>
      </c>
      <c r="G642" s="172">
        <v>1</v>
      </c>
      <c r="H642" s="171">
        <f>tbTransactions[[#This Row],[Qty]]*tbTransactions[[#This Row],[Unit Cost]]*tbTransactions[[#This Row],[Exchange Rate]]</f>
        <v>0</v>
      </c>
      <c r="I642" s="148" t="s">
        <v>422</v>
      </c>
      <c r="J642" s="176" t="s">
        <v>8</v>
      </c>
      <c r="K642" s="163" t="str">
        <f>IF(tbTransactions[[#This Row],[Sub-Type]]="Transfer","Neutral",IF(tbTransactions[[#This Row],[Qty]]&lt;0,"Debit",IF(tbTransactions[[#This Row],[Qty]]&gt;0,"Credit","Neutral")))</f>
        <v>Credit</v>
      </c>
      <c r="L642" s="163" t="s">
        <v>518</v>
      </c>
      <c r="M642" s="171" t="s">
        <v>572</v>
      </c>
    </row>
    <row r="643" spans="3:13" ht="30" customHeight="1" x14ac:dyDescent="0.25">
      <c r="C643" s="175">
        <v>641</v>
      </c>
      <c r="D643" s="163">
        <v>44464</v>
      </c>
      <c r="E643" s="171">
        <v>1.5486919E-2</v>
      </c>
      <c r="F643" s="171">
        <v>0</v>
      </c>
      <c r="G643" s="172">
        <v>1</v>
      </c>
      <c r="H643" s="171">
        <f>tbTransactions[[#This Row],[Qty]]*tbTransactions[[#This Row],[Unit Cost]]*tbTransactions[[#This Row],[Exchange Rate]]</f>
        <v>0</v>
      </c>
      <c r="I643" s="148" t="s">
        <v>542</v>
      </c>
      <c r="J643" s="176" t="s">
        <v>22</v>
      </c>
      <c r="K643" s="163" t="str">
        <f>IF(tbTransactions[[#This Row],[Sub-Type]]="Transfer","Neutral",IF(tbTransactions[[#This Row],[Qty]]&lt;0,"Debit",IF(tbTransactions[[#This Row],[Qty]]&gt;0,"Credit","Neutral")))</f>
        <v>Credit</v>
      </c>
      <c r="L643" s="163" t="s">
        <v>518</v>
      </c>
      <c r="M643" s="171" t="s">
        <v>556</v>
      </c>
    </row>
    <row r="644" spans="3:13" ht="30" customHeight="1" x14ac:dyDescent="0.25">
      <c r="C644" s="175">
        <v>642</v>
      </c>
      <c r="D644" s="163">
        <v>44465</v>
      </c>
      <c r="E644" s="171">
        <v>-495</v>
      </c>
      <c r="F644" s="171">
        <v>1</v>
      </c>
      <c r="G644" s="172">
        <v>1</v>
      </c>
      <c r="H644" s="171">
        <f>tbTransactions[[#This Row],[Qty]]*tbTransactions[[#This Row],[Unit Cost]]*tbTransactions[[#This Row],[Exchange Rate]]</f>
        <v>-495</v>
      </c>
      <c r="I644" s="148" t="s">
        <v>499</v>
      </c>
      <c r="J644" s="176" t="s">
        <v>411</v>
      </c>
      <c r="K644" s="163" t="str">
        <f>IF(tbTransactions[[#This Row],[Sub-Type]]="Transfer","Neutral",IF(tbTransactions[[#This Row],[Qty]]&lt;0,"Debit",IF(tbTransactions[[#This Row],[Qty]]&gt;0,"Credit","Neutral")))</f>
        <v>Debit</v>
      </c>
      <c r="L644" s="163" t="s">
        <v>502</v>
      </c>
      <c r="M644" s="171" t="s">
        <v>628</v>
      </c>
    </row>
    <row r="645" spans="3:13" ht="30" customHeight="1" x14ac:dyDescent="0.25">
      <c r="C645" s="175">
        <v>643</v>
      </c>
      <c r="D645" s="163">
        <v>44465</v>
      </c>
      <c r="E645" s="171">
        <v>-5</v>
      </c>
      <c r="F645" s="171">
        <v>1</v>
      </c>
      <c r="G645" s="172">
        <v>1</v>
      </c>
      <c r="H645" s="171">
        <f>tbTransactions[[#This Row],[Qty]]*tbTransactions[[#This Row],[Unit Cost]]*tbTransactions[[#This Row],[Exchange Rate]]</f>
        <v>-5</v>
      </c>
      <c r="I645" s="148" t="s">
        <v>499</v>
      </c>
      <c r="J645" s="176" t="s">
        <v>411</v>
      </c>
      <c r="K645" s="163" t="str">
        <f>IF(tbTransactions[[#This Row],[Sub-Type]]="Transfer","Neutral",IF(tbTransactions[[#This Row],[Qty]]&lt;0,"Debit",IF(tbTransactions[[#This Row],[Qty]]&gt;0,"Credit","Neutral")))</f>
        <v>Debit</v>
      </c>
      <c r="L645" s="163" t="s">
        <v>12</v>
      </c>
      <c r="M645" s="171" t="s">
        <v>628</v>
      </c>
    </row>
    <row r="646" spans="3:13" ht="30" customHeight="1" x14ac:dyDescent="0.25">
      <c r="C646" s="175">
        <v>644</v>
      </c>
      <c r="D646" s="163">
        <v>44465</v>
      </c>
      <c r="E646" s="171">
        <v>391.15</v>
      </c>
      <c r="F646" s="171">
        <v>1.2654991691167072</v>
      </c>
      <c r="G646" s="172">
        <v>1</v>
      </c>
      <c r="H646" s="171">
        <f>tbTransactions[[#This Row],[Qty]]*tbTransactions[[#This Row],[Unit Cost]]*tbTransactions[[#This Row],[Exchange Rate]]</f>
        <v>495</v>
      </c>
      <c r="I646" s="148" t="s">
        <v>594</v>
      </c>
      <c r="J646" s="176" t="s">
        <v>602</v>
      </c>
      <c r="K646" s="163" t="str">
        <f>IF(tbTransactions[[#This Row],[Sub-Type]]="Transfer","Neutral",IF(tbTransactions[[#This Row],[Qty]]&lt;0,"Debit",IF(tbTransactions[[#This Row],[Qty]]&gt;0,"Credit","Neutral")))</f>
        <v>Credit</v>
      </c>
      <c r="L646" s="163" t="s">
        <v>505</v>
      </c>
      <c r="M646" s="171" t="s">
        <v>628</v>
      </c>
    </row>
    <row r="647" spans="3:13" ht="30" customHeight="1" x14ac:dyDescent="0.25">
      <c r="C647" s="175">
        <v>645</v>
      </c>
      <c r="D647" s="163">
        <v>44465</v>
      </c>
      <c r="E647" s="171">
        <v>-1.13E-4</v>
      </c>
      <c r="F647" s="171">
        <v>1.46</v>
      </c>
      <c r="G647" s="172">
        <v>1</v>
      </c>
      <c r="H647" s="171">
        <f>tbTransactions[[#This Row],[Qty]]*tbTransactions[[#This Row],[Unit Cost]]*tbTransactions[[#This Row],[Exchange Rate]]</f>
        <v>-1.6497999999999998E-4</v>
      </c>
      <c r="I647" s="148" t="s">
        <v>594</v>
      </c>
      <c r="J647" s="176" t="s">
        <v>423</v>
      </c>
      <c r="K647" s="163" t="str">
        <f>IF(tbTransactions[[#This Row],[Sub-Type]]="Transfer","Neutral",IF(tbTransactions[[#This Row],[Qty]]&lt;0,"Debit",IF(tbTransactions[[#This Row],[Qty]]&gt;0,"Credit","Neutral")))</f>
        <v>Debit</v>
      </c>
      <c r="L647" s="163" t="s">
        <v>12</v>
      </c>
      <c r="M647" s="171" t="s">
        <v>615</v>
      </c>
    </row>
    <row r="648" spans="3:13" ht="30" customHeight="1" x14ac:dyDescent="0.25">
      <c r="C648" s="175">
        <v>646</v>
      </c>
      <c r="D648" s="163">
        <v>44465</v>
      </c>
      <c r="E648" s="171">
        <v>-1.13E-4</v>
      </c>
      <c r="F648" s="171">
        <v>1.46</v>
      </c>
      <c r="G648" s="172">
        <v>1</v>
      </c>
      <c r="H648" s="171">
        <f>tbTransactions[[#This Row],[Qty]]*tbTransactions[[#This Row],[Unit Cost]]*tbTransactions[[#This Row],[Exchange Rate]]</f>
        <v>-1.6497999999999998E-4</v>
      </c>
      <c r="I648" s="148" t="s">
        <v>594</v>
      </c>
      <c r="J648" s="176" t="s">
        <v>423</v>
      </c>
      <c r="K648" s="163" t="str">
        <f>IF(tbTransactions[[#This Row],[Sub-Type]]="Transfer","Neutral",IF(tbTransactions[[#This Row],[Qty]]&lt;0,"Debit",IF(tbTransactions[[#This Row],[Qty]]&gt;0,"Credit","Neutral")))</f>
        <v>Debit</v>
      </c>
      <c r="L648" s="163" t="s">
        <v>12</v>
      </c>
      <c r="M648" s="171" t="s">
        <v>615</v>
      </c>
    </row>
    <row r="649" spans="3:13" ht="30" customHeight="1" x14ac:dyDescent="0.25">
      <c r="C649" s="175">
        <v>647</v>
      </c>
      <c r="D649" s="163">
        <v>44465</v>
      </c>
      <c r="E649" s="171">
        <v>2.4041585800000001E-2</v>
      </c>
      <c r="F649" s="171">
        <v>0</v>
      </c>
      <c r="G649" s="172">
        <v>1</v>
      </c>
      <c r="H649" s="171">
        <f>tbTransactions[[#This Row],[Qty]]*tbTransactions[[#This Row],[Unit Cost]]*tbTransactions[[#This Row],[Exchange Rate]]</f>
        <v>0</v>
      </c>
      <c r="I649" s="148" t="s">
        <v>511</v>
      </c>
      <c r="J649" s="176" t="s">
        <v>20</v>
      </c>
      <c r="K649" s="163" t="str">
        <f>IF(tbTransactions[[#This Row],[Sub-Type]]="Transfer","Neutral",IF(tbTransactions[[#This Row],[Qty]]&lt;0,"Debit",IF(tbTransactions[[#This Row],[Qty]]&gt;0,"Credit","Neutral")))</f>
        <v>Credit</v>
      </c>
      <c r="L649" s="163" t="s">
        <v>518</v>
      </c>
      <c r="M649" s="171" t="s">
        <v>465</v>
      </c>
    </row>
    <row r="650" spans="3:13" ht="30" customHeight="1" x14ac:dyDescent="0.25">
      <c r="C650" s="175">
        <v>648</v>
      </c>
      <c r="D650" s="163">
        <v>44465</v>
      </c>
      <c r="E650" s="171">
        <v>6.3990000000000005E-2</v>
      </c>
      <c r="F650" s="171">
        <v>0</v>
      </c>
      <c r="G650" s="172">
        <v>1</v>
      </c>
      <c r="H650" s="171">
        <f>tbTransactions[[#This Row],[Qty]]*tbTransactions[[#This Row],[Unit Cost]]*tbTransactions[[#This Row],[Exchange Rate]]</f>
        <v>0</v>
      </c>
      <c r="I650" s="148" t="s">
        <v>422</v>
      </c>
      <c r="J650" s="176" t="s">
        <v>8</v>
      </c>
      <c r="K650" s="163" t="str">
        <f>IF(tbTransactions[[#This Row],[Sub-Type]]="Transfer","Neutral",IF(tbTransactions[[#This Row],[Qty]]&lt;0,"Debit",IF(tbTransactions[[#This Row],[Qty]]&gt;0,"Credit","Neutral")))</f>
        <v>Credit</v>
      </c>
      <c r="L650" s="163" t="s">
        <v>518</v>
      </c>
      <c r="M650" s="171" t="s">
        <v>572</v>
      </c>
    </row>
    <row r="651" spans="3:13" ht="30" customHeight="1" x14ac:dyDescent="0.25">
      <c r="C651" s="175">
        <v>649</v>
      </c>
      <c r="D651" s="163">
        <v>44465</v>
      </c>
      <c r="E651" s="171">
        <v>1.73E-4</v>
      </c>
      <c r="F651" s="171">
        <v>1.46</v>
      </c>
      <c r="G651" s="172">
        <v>1</v>
      </c>
      <c r="H651" s="171">
        <f>tbTransactions[[#This Row],[Qty]]*tbTransactions[[#This Row],[Unit Cost]]*tbTransactions[[#This Row],[Exchange Rate]]</f>
        <v>2.5258000000000002E-4</v>
      </c>
      <c r="I651" s="148" t="s">
        <v>594</v>
      </c>
      <c r="J651" s="176" t="s">
        <v>423</v>
      </c>
      <c r="K651" s="163" t="str">
        <f>IF(tbTransactions[[#This Row],[Sub-Type]]="Transfer","Neutral",IF(tbTransactions[[#This Row],[Qty]]&lt;0,"Debit",IF(tbTransactions[[#This Row],[Qty]]&gt;0,"Credit","Neutral")))</f>
        <v>Credit</v>
      </c>
      <c r="L651" s="163" t="s">
        <v>12</v>
      </c>
      <c r="M651" s="171" t="s">
        <v>635</v>
      </c>
    </row>
    <row r="652" spans="3:13" ht="30" customHeight="1" x14ac:dyDescent="0.25">
      <c r="C652" s="175">
        <v>650</v>
      </c>
      <c r="D652" s="163">
        <v>44465</v>
      </c>
      <c r="E652" s="171">
        <v>-0.6</v>
      </c>
      <c r="F652" s="171">
        <v>3871</v>
      </c>
      <c r="G652" s="172">
        <v>1</v>
      </c>
      <c r="H652" s="171">
        <f>tbTransactions[[#This Row],[Qty]]*tbTransactions[[#This Row],[Unit Cost]]*tbTransactions[[#This Row],[Exchange Rate]]</f>
        <v>-2322.6</v>
      </c>
      <c r="I652" s="148" t="s">
        <v>594</v>
      </c>
      <c r="J652" s="176" t="s">
        <v>22</v>
      </c>
      <c r="K652" s="163" t="str">
        <f>IF(tbTransactions[[#This Row],[Sub-Type]]="Transfer","Neutral",IF(tbTransactions[[#This Row],[Qty]]&lt;0,"Debit",IF(tbTransactions[[#This Row],[Qty]]&gt;0,"Credit","Neutral")))</f>
        <v>Debit</v>
      </c>
      <c r="L652" s="163" t="s">
        <v>603</v>
      </c>
      <c r="M652" s="171" t="s">
        <v>636</v>
      </c>
    </row>
    <row r="653" spans="3:13" ht="30" customHeight="1" x14ac:dyDescent="0.25">
      <c r="C653" s="175">
        <v>651</v>
      </c>
      <c r="D653" s="163">
        <v>44465</v>
      </c>
      <c r="E653" s="171">
        <v>1820</v>
      </c>
      <c r="F653" s="171">
        <v>1.27</v>
      </c>
      <c r="G653" s="172">
        <v>1</v>
      </c>
      <c r="H653" s="171">
        <f>tbTransactions[[#This Row],[Qty]]*tbTransactions[[#This Row],[Unit Cost]]*tbTransactions[[#This Row],[Exchange Rate]]</f>
        <v>2311.4</v>
      </c>
      <c r="I653" s="148" t="s">
        <v>594</v>
      </c>
      <c r="J653" s="176" t="s">
        <v>602</v>
      </c>
      <c r="K653" s="163" t="str">
        <f>IF(tbTransactions[[#This Row],[Sub-Type]]="Transfer","Neutral",IF(tbTransactions[[#This Row],[Qty]]&lt;0,"Debit",IF(tbTransactions[[#This Row],[Qty]]&gt;0,"Credit","Neutral")))</f>
        <v>Credit</v>
      </c>
      <c r="L653" s="163" t="s">
        <v>603</v>
      </c>
      <c r="M653" s="171" t="s">
        <v>636</v>
      </c>
    </row>
    <row r="654" spans="3:13" ht="30" customHeight="1" x14ac:dyDescent="0.25">
      <c r="C654" s="175">
        <v>652</v>
      </c>
      <c r="D654" s="163">
        <v>44465</v>
      </c>
      <c r="E654" s="171">
        <v>2.34E-4</v>
      </c>
      <c r="F654" s="171">
        <v>1.45</v>
      </c>
      <c r="G654" s="172">
        <v>1</v>
      </c>
      <c r="H654" s="171">
        <f>tbTransactions[[#This Row],[Qty]]*tbTransactions[[#This Row],[Unit Cost]]*tbTransactions[[#This Row],[Exchange Rate]]</f>
        <v>3.3930000000000001E-4</v>
      </c>
      <c r="I654" s="148" t="s">
        <v>594</v>
      </c>
      <c r="J654" s="176" t="s">
        <v>423</v>
      </c>
      <c r="K654" s="163" t="str">
        <f>IF(tbTransactions[[#This Row],[Sub-Type]]="Transfer","Neutral",IF(tbTransactions[[#This Row],[Qty]]&lt;0,"Debit",IF(tbTransactions[[#This Row],[Qty]]&gt;0,"Credit","Neutral")))</f>
        <v>Credit</v>
      </c>
      <c r="L654" s="163" t="s">
        <v>12</v>
      </c>
      <c r="M654" s="171" t="s">
        <v>636</v>
      </c>
    </row>
    <row r="655" spans="3:13" ht="30" customHeight="1" x14ac:dyDescent="0.25">
      <c r="C655" s="175">
        <v>653</v>
      </c>
      <c r="D655" s="163">
        <v>44466</v>
      </c>
      <c r="E655" s="171">
        <v>2.24531312E-2</v>
      </c>
      <c r="F655" s="171">
        <v>0</v>
      </c>
      <c r="G655" s="172">
        <v>1</v>
      </c>
      <c r="H655" s="171">
        <f>tbTransactions[[#This Row],[Qty]]*tbTransactions[[#This Row],[Unit Cost]]*tbTransactions[[#This Row],[Exchange Rate]]</f>
        <v>0</v>
      </c>
      <c r="I655" s="148" t="s">
        <v>511</v>
      </c>
      <c r="J655" s="176" t="s">
        <v>20</v>
      </c>
      <c r="K655" s="163" t="str">
        <f>IF(tbTransactions[[#This Row],[Sub-Type]]="Transfer","Neutral",IF(tbTransactions[[#This Row],[Qty]]&lt;0,"Debit",IF(tbTransactions[[#This Row],[Qty]]&gt;0,"Credit","Neutral")))</f>
        <v>Credit</v>
      </c>
      <c r="L655" s="163" t="s">
        <v>518</v>
      </c>
      <c r="M655" s="171" t="s">
        <v>465</v>
      </c>
    </row>
    <row r="656" spans="3:13" ht="30" customHeight="1" x14ac:dyDescent="0.25">
      <c r="C656" s="175">
        <v>654</v>
      </c>
      <c r="D656" s="163">
        <v>44466</v>
      </c>
      <c r="E656" s="171">
        <v>6.3996999999999998E-2</v>
      </c>
      <c r="F656" s="171">
        <v>0</v>
      </c>
      <c r="G656" s="172">
        <v>1</v>
      </c>
      <c r="H656" s="171">
        <f>tbTransactions[[#This Row],[Qty]]*tbTransactions[[#This Row],[Unit Cost]]*tbTransactions[[#This Row],[Exchange Rate]]</f>
        <v>0</v>
      </c>
      <c r="I656" s="148" t="s">
        <v>422</v>
      </c>
      <c r="J656" s="176" t="s">
        <v>8</v>
      </c>
      <c r="K656" s="163" t="str">
        <f>IF(tbTransactions[[#This Row],[Sub-Type]]="Transfer","Neutral",IF(tbTransactions[[#This Row],[Qty]]&lt;0,"Debit",IF(tbTransactions[[#This Row],[Qty]]&gt;0,"Credit","Neutral")))</f>
        <v>Credit</v>
      </c>
      <c r="L656" s="163" t="s">
        <v>518</v>
      </c>
      <c r="M656" s="171" t="s">
        <v>572</v>
      </c>
    </row>
    <row r="657" spans="3:13" ht="30" customHeight="1" x14ac:dyDescent="0.25">
      <c r="C657" s="175">
        <v>655</v>
      </c>
      <c r="D657" s="163">
        <v>44466</v>
      </c>
      <c r="E657" s="171">
        <v>1.0883780000000001</v>
      </c>
      <c r="F657" s="171">
        <v>0</v>
      </c>
      <c r="G657" s="172">
        <v>1</v>
      </c>
      <c r="H657" s="171">
        <f>tbTransactions[[#This Row],[Qty]]*tbTransactions[[#This Row],[Unit Cost]]*tbTransactions[[#This Row],[Exchange Rate]]</f>
        <v>0</v>
      </c>
      <c r="I657" s="148" t="s">
        <v>507</v>
      </c>
      <c r="J657" s="176" t="s">
        <v>17</v>
      </c>
      <c r="K657" s="163" t="str">
        <f>IF(tbTransactions[[#This Row],[Sub-Type]]="Transfer","Neutral",IF(tbTransactions[[#This Row],[Qty]]&lt;0,"Debit",IF(tbTransactions[[#This Row],[Qty]]&gt;0,"Credit","Neutral")))</f>
        <v>Credit</v>
      </c>
      <c r="L657" s="163" t="s">
        <v>518</v>
      </c>
      <c r="M657" s="171" t="s">
        <v>427</v>
      </c>
    </row>
    <row r="658" spans="3:13" ht="30" customHeight="1" x14ac:dyDescent="0.25">
      <c r="C658" s="175">
        <v>656</v>
      </c>
      <c r="D658" s="163">
        <v>44467</v>
      </c>
      <c r="E658" s="171">
        <v>1.6000000000000001E-4</v>
      </c>
      <c r="F658" s="171">
        <v>1.34</v>
      </c>
      <c r="G658" s="172">
        <v>1</v>
      </c>
      <c r="H658" s="171">
        <f>tbTransactions[[#This Row],[Qty]]*tbTransactions[[#This Row],[Unit Cost]]*tbTransactions[[#This Row],[Exchange Rate]]</f>
        <v>2.1440000000000003E-4</v>
      </c>
      <c r="I658" s="148" t="s">
        <v>594</v>
      </c>
      <c r="J658" s="176" t="s">
        <v>423</v>
      </c>
      <c r="K658" s="163" t="str">
        <f>IF(tbTransactions[[#This Row],[Sub-Type]]="Transfer","Neutral",IF(tbTransactions[[#This Row],[Qty]]&lt;0,"Debit",IF(tbTransactions[[#This Row],[Qty]]&gt;0,"Credit","Neutral")))</f>
        <v>Credit</v>
      </c>
      <c r="L658" s="163" t="s">
        <v>12</v>
      </c>
      <c r="M658" s="171" t="s">
        <v>642</v>
      </c>
    </row>
    <row r="659" spans="3:13" ht="30" customHeight="1" x14ac:dyDescent="0.25">
      <c r="C659" s="175">
        <v>657</v>
      </c>
      <c r="D659" s="163">
        <v>44467</v>
      </c>
      <c r="E659" s="171">
        <v>3.0428762299999999E-2</v>
      </c>
      <c r="F659" s="171">
        <v>0</v>
      </c>
      <c r="G659" s="172">
        <v>1</v>
      </c>
      <c r="H659" s="171">
        <f>tbTransactions[[#This Row],[Qty]]*tbTransactions[[#This Row],[Unit Cost]]*tbTransactions[[#This Row],[Exchange Rate]]</f>
        <v>0</v>
      </c>
      <c r="I659" s="148" t="s">
        <v>511</v>
      </c>
      <c r="J659" s="176" t="s">
        <v>20</v>
      </c>
      <c r="K659" s="163" t="str">
        <f>IF(tbTransactions[[#This Row],[Sub-Type]]="Transfer","Neutral",IF(tbTransactions[[#This Row],[Qty]]&lt;0,"Debit",IF(tbTransactions[[#This Row],[Qty]]&gt;0,"Credit","Neutral")))</f>
        <v>Credit</v>
      </c>
      <c r="L659" s="163" t="s">
        <v>518</v>
      </c>
      <c r="M659" s="171" t="s">
        <v>465</v>
      </c>
    </row>
    <row r="660" spans="3:13" ht="30" customHeight="1" x14ac:dyDescent="0.25">
      <c r="C660" s="175">
        <v>658</v>
      </c>
      <c r="D660" s="163">
        <v>44467</v>
      </c>
      <c r="E660" s="171">
        <v>6.4003000000000004E-2</v>
      </c>
      <c r="F660" s="171">
        <v>0</v>
      </c>
      <c r="G660" s="172">
        <v>1</v>
      </c>
      <c r="H660" s="171">
        <f>tbTransactions[[#This Row],[Qty]]*tbTransactions[[#This Row],[Unit Cost]]*tbTransactions[[#This Row],[Exchange Rate]]</f>
        <v>0</v>
      </c>
      <c r="I660" s="148" t="s">
        <v>422</v>
      </c>
      <c r="J660" s="176" t="s">
        <v>8</v>
      </c>
      <c r="K660" s="163" t="str">
        <f>IF(tbTransactions[[#This Row],[Sub-Type]]="Transfer","Neutral",IF(tbTransactions[[#This Row],[Qty]]&lt;0,"Debit",IF(tbTransactions[[#This Row],[Qty]]&gt;0,"Credit","Neutral")))</f>
        <v>Credit</v>
      </c>
      <c r="L660" s="163" t="s">
        <v>518</v>
      </c>
      <c r="M660" s="171" t="s">
        <v>572</v>
      </c>
    </row>
    <row r="661" spans="3:13" ht="30" customHeight="1" x14ac:dyDescent="0.25">
      <c r="C661" s="175">
        <v>659</v>
      </c>
      <c r="D661" s="163">
        <v>44467</v>
      </c>
      <c r="E661" s="171">
        <v>-3.4727000000000001E-5</v>
      </c>
      <c r="F661" s="171">
        <v>1.34</v>
      </c>
      <c r="G661" s="172">
        <v>1</v>
      </c>
      <c r="H661" s="171">
        <f>tbTransactions[[#This Row],[Qty]]*tbTransactions[[#This Row],[Unit Cost]]*tbTransactions[[#This Row],[Exchange Rate]]</f>
        <v>-4.6534180000000004E-5</v>
      </c>
      <c r="I661" s="148" t="s">
        <v>594</v>
      </c>
      <c r="J661" s="176" t="s">
        <v>423</v>
      </c>
      <c r="K661" s="163" t="str">
        <f>IF(tbTransactions[[#This Row],[Sub-Type]]="Transfer","Neutral",IF(tbTransactions[[#This Row],[Qty]]&lt;0,"Debit",IF(tbTransactions[[#This Row],[Qty]]&gt;0,"Credit","Neutral")))</f>
        <v>Debit</v>
      </c>
      <c r="L661" s="163" t="s">
        <v>12</v>
      </c>
      <c r="M661" s="171" t="s">
        <v>615</v>
      </c>
    </row>
    <row r="662" spans="3:13" ht="30" customHeight="1" x14ac:dyDescent="0.25">
      <c r="C662" s="175">
        <v>660</v>
      </c>
      <c r="D662" s="163">
        <v>44467</v>
      </c>
      <c r="E662" s="171">
        <v>-7.2900000000000005E-4</v>
      </c>
      <c r="F662" s="171">
        <v>1.33</v>
      </c>
      <c r="G662" s="172">
        <v>1</v>
      </c>
      <c r="H662" s="171">
        <f>tbTransactions[[#This Row],[Qty]]*tbTransactions[[#This Row],[Unit Cost]]*tbTransactions[[#This Row],[Exchange Rate]]</f>
        <v>-9.6957000000000011E-4</v>
      </c>
      <c r="I662" s="148" t="s">
        <v>594</v>
      </c>
      <c r="J662" s="176" t="s">
        <v>423</v>
      </c>
      <c r="K662" s="163" t="str">
        <f>IF(tbTransactions[[#This Row],[Sub-Type]]="Transfer","Neutral",IF(tbTransactions[[#This Row],[Qty]]&lt;0,"Debit",IF(tbTransactions[[#This Row],[Qty]]&gt;0,"Credit","Neutral")))</f>
        <v>Debit</v>
      </c>
      <c r="L662" s="163" t="s">
        <v>12</v>
      </c>
      <c r="M662" s="171" t="s">
        <v>646</v>
      </c>
    </row>
    <row r="663" spans="3:13" ht="30" customHeight="1" x14ac:dyDescent="0.25">
      <c r="C663" s="175">
        <v>661</v>
      </c>
      <c r="D663" s="163">
        <v>44467</v>
      </c>
      <c r="E663" s="171">
        <v>-2211.8592389999999</v>
      </c>
      <c r="F663" s="171">
        <v>1.27</v>
      </c>
      <c r="G663" s="172">
        <v>1</v>
      </c>
      <c r="H663" s="171">
        <f>tbTransactions[[#This Row],[Qty]]*tbTransactions[[#This Row],[Unit Cost]]*tbTransactions[[#This Row],[Exchange Rate]]</f>
        <v>-2809.0612335299998</v>
      </c>
      <c r="I663" s="148" t="s">
        <v>594</v>
      </c>
      <c r="J663" s="176" t="s">
        <v>602</v>
      </c>
      <c r="K663" s="163" t="str">
        <f>IF(tbTransactions[[#This Row],[Sub-Type]]="Transfer","Neutral",IF(tbTransactions[[#This Row],[Qty]]&lt;0,"Debit",IF(tbTransactions[[#This Row],[Qty]]&gt;0,"Credit","Neutral")))</f>
        <v>Debit</v>
      </c>
      <c r="L663" s="163" t="s">
        <v>603</v>
      </c>
      <c r="M663" s="171" t="s">
        <v>646</v>
      </c>
    </row>
    <row r="664" spans="3:13" ht="30" customHeight="1" x14ac:dyDescent="0.25">
      <c r="C664" s="175">
        <v>662</v>
      </c>
      <c r="D664" s="163">
        <v>44467</v>
      </c>
      <c r="E664" s="171">
        <v>0.78615520364667402</v>
      </c>
      <c r="F664" s="171">
        <v>3547.36</v>
      </c>
      <c r="G664" s="172">
        <v>1</v>
      </c>
      <c r="H664" s="171">
        <f>tbTransactions[[#This Row],[Qty]]*tbTransactions[[#This Row],[Unit Cost]]*tbTransactions[[#This Row],[Exchange Rate]]</f>
        <v>2788.7755232080658</v>
      </c>
      <c r="I664" s="148" t="s">
        <v>594</v>
      </c>
      <c r="J664" s="176" t="s">
        <v>22</v>
      </c>
      <c r="K664" s="163" t="str">
        <f>IF(tbTransactions[[#This Row],[Sub-Type]]="Transfer","Neutral",IF(tbTransactions[[#This Row],[Qty]]&lt;0,"Debit",IF(tbTransactions[[#This Row],[Qty]]&gt;0,"Credit","Neutral")))</f>
        <v>Credit</v>
      </c>
      <c r="L664" s="163" t="s">
        <v>603</v>
      </c>
      <c r="M664" s="171" t="s">
        <v>646</v>
      </c>
    </row>
    <row r="665" spans="3:13" ht="30" customHeight="1" x14ac:dyDescent="0.25">
      <c r="C665" s="175">
        <v>663</v>
      </c>
      <c r="D665" s="163">
        <v>44468</v>
      </c>
      <c r="E665" s="171">
        <v>2.9104655699999999E-2</v>
      </c>
      <c r="F665" s="171">
        <v>0</v>
      </c>
      <c r="G665" s="172">
        <v>1</v>
      </c>
      <c r="H665" s="171">
        <f>tbTransactions[[#This Row],[Qty]]*tbTransactions[[#This Row],[Unit Cost]]*tbTransactions[[#This Row],[Exchange Rate]]</f>
        <v>0</v>
      </c>
      <c r="I665" s="148" t="s">
        <v>511</v>
      </c>
      <c r="J665" s="176" t="s">
        <v>20</v>
      </c>
      <c r="K665" s="163" t="str">
        <f>IF(tbTransactions[[#This Row],[Sub-Type]]="Transfer","Neutral",IF(tbTransactions[[#This Row],[Qty]]&lt;0,"Debit",IF(tbTransactions[[#This Row],[Qty]]&gt;0,"Credit","Neutral")))</f>
        <v>Credit</v>
      </c>
      <c r="L665" s="163" t="s">
        <v>518</v>
      </c>
      <c r="M665" s="171" t="s">
        <v>465</v>
      </c>
    </row>
    <row r="666" spans="3:13" ht="30" customHeight="1" x14ac:dyDescent="0.25">
      <c r="C666" s="175">
        <v>664</v>
      </c>
      <c r="D666" s="163">
        <v>44468</v>
      </c>
      <c r="E666" s="171">
        <v>6.4010999999999998E-2</v>
      </c>
      <c r="F666" s="171">
        <v>0</v>
      </c>
      <c r="G666" s="172">
        <v>1</v>
      </c>
      <c r="H666" s="171">
        <f>tbTransactions[[#This Row],[Qty]]*tbTransactions[[#This Row],[Unit Cost]]*tbTransactions[[#This Row],[Exchange Rate]]</f>
        <v>0</v>
      </c>
      <c r="I666" s="148" t="s">
        <v>422</v>
      </c>
      <c r="J666" s="176" t="s">
        <v>8</v>
      </c>
      <c r="K666" s="163" t="str">
        <f>IF(tbTransactions[[#This Row],[Sub-Type]]="Transfer","Neutral",IF(tbTransactions[[#This Row],[Qty]]&lt;0,"Debit",IF(tbTransactions[[#This Row],[Qty]]&gt;0,"Credit","Neutral")))</f>
        <v>Credit</v>
      </c>
      <c r="L666" s="163" t="s">
        <v>518</v>
      </c>
      <c r="M666" s="171" t="s">
        <v>572</v>
      </c>
    </row>
    <row r="667" spans="3:13" ht="30" customHeight="1" x14ac:dyDescent="0.25">
      <c r="C667" s="175">
        <v>665</v>
      </c>
      <c r="D667" s="163">
        <v>44469</v>
      </c>
      <c r="E667" s="171">
        <v>2.4756064299999998E-2</v>
      </c>
      <c r="F667" s="171">
        <v>0</v>
      </c>
      <c r="G667" s="172">
        <v>1</v>
      </c>
      <c r="H667" s="171">
        <f>tbTransactions[[#This Row],[Qty]]*tbTransactions[[#This Row],[Unit Cost]]*tbTransactions[[#This Row],[Exchange Rate]]</f>
        <v>0</v>
      </c>
      <c r="I667" s="148" t="s">
        <v>511</v>
      </c>
      <c r="J667" s="176" t="s">
        <v>20</v>
      </c>
      <c r="K667" s="163" t="str">
        <f>IF(tbTransactions[[#This Row],[Sub-Type]]="Transfer","Neutral",IF(tbTransactions[[#This Row],[Qty]]&lt;0,"Debit",IF(tbTransactions[[#This Row],[Qty]]&gt;0,"Credit","Neutral")))</f>
        <v>Credit</v>
      </c>
      <c r="L667" s="163" t="s">
        <v>518</v>
      </c>
      <c r="M667" s="171" t="s">
        <v>465</v>
      </c>
    </row>
    <row r="668" spans="3:13" ht="30" customHeight="1" x14ac:dyDescent="0.25">
      <c r="C668" s="175">
        <v>666</v>
      </c>
      <c r="D668" s="163">
        <v>44469</v>
      </c>
      <c r="E668" s="171">
        <v>6.4017000000000004E-2</v>
      </c>
      <c r="F668" s="171">
        <v>0</v>
      </c>
      <c r="G668" s="172">
        <v>1</v>
      </c>
      <c r="H668" s="171">
        <f>tbTransactions[[#This Row],[Qty]]*tbTransactions[[#This Row],[Unit Cost]]*tbTransactions[[#This Row],[Exchange Rate]]</f>
        <v>0</v>
      </c>
      <c r="I668" s="148" t="s">
        <v>422</v>
      </c>
      <c r="J668" s="176" t="s">
        <v>8</v>
      </c>
      <c r="K668" s="163" t="str">
        <f>IF(tbTransactions[[#This Row],[Sub-Type]]="Transfer","Neutral",IF(tbTransactions[[#This Row],[Qty]]&lt;0,"Debit",IF(tbTransactions[[#This Row],[Qty]]&gt;0,"Credit","Neutral")))</f>
        <v>Credit</v>
      </c>
      <c r="L668" s="163" t="s">
        <v>518</v>
      </c>
      <c r="M668" s="171" t="s">
        <v>572</v>
      </c>
    </row>
    <row r="669" spans="3:13" ht="30" customHeight="1" x14ac:dyDescent="0.25">
      <c r="C669" s="175">
        <v>667</v>
      </c>
      <c r="D669" s="163">
        <v>44470</v>
      </c>
      <c r="E669" s="171">
        <v>-0.68</v>
      </c>
      <c r="F669" s="171">
        <v>4062.69</v>
      </c>
      <c r="G669" s="172">
        <v>1</v>
      </c>
      <c r="H669" s="171">
        <f>tbTransactions[[#This Row],[Qty]]*tbTransactions[[#This Row],[Unit Cost]]*tbTransactions[[#This Row],[Exchange Rate]]</f>
        <v>-2762.6292000000003</v>
      </c>
      <c r="I669" s="148" t="s">
        <v>594</v>
      </c>
      <c r="J669" s="176" t="s">
        <v>22</v>
      </c>
      <c r="K669" s="163" t="str">
        <f>IF(tbTransactions[[#This Row],[Sub-Type]]="Transfer","Neutral",IF(tbTransactions[[#This Row],[Qty]]&lt;0,"Debit",IF(tbTransactions[[#This Row],[Qty]]&gt;0,"Credit","Neutral")))</f>
        <v>Debit</v>
      </c>
      <c r="L669" s="163" t="s">
        <v>603</v>
      </c>
      <c r="M669" s="171" t="s">
        <v>636</v>
      </c>
    </row>
    <row r="670" spans="3:13" ht="30" customHeight="1" x14ac:dyDescent="0.25">
      <c r="C670" s="175">
        <v>668</v>
      </c>
      <c r="D670" s="163">
        <v>44470</v>
      </c>
      <c r="E670" s="171">
        <v>2172.625927</v>
      </c>
      <c r="F670" s="171">
        <v>1.27</v>
      </c>
      <c r="G670" s="172">
        <v>1</v>
      </c>
      <c r="H670" s="171">
        <f>tbTransactions[[#This Row],[Qty]]*tbTransactions[[#This Row],[Unit Cost]]*tbTransactions[[#This Row],[Exchange Rate]]</f>
        <v>2759.2349272900001</v>
      </c>
      <c r="I670" s="148" t="s">
        <v>594</v>
      </c>
      <c r="J670" s="176" t="s">
        <v>602</v>
      </c>
      <c r="K670" s="163" t="str">
        <f>IF(tbTransactions[[#This Row],[Sub-Type]]="Transfer","Neutral",IF(tbTransactions[[#This Row],[Qty]]&lt;0,"Debit",IF(tbTransactions[[#This Row],[Qty]]&gt;0,"Credit","Neutral")))</f>
        <v>Credit</v>
      </c>
      <c r="L670" s="163" t="s">
        <v>603</v>
      </c>
      <c r="M670" s="171" t="s">
        <v>636</v>
      </c>
    </row>
    <row r="671" spans="3:13" ht="30" customHeight="1" x14ac:dyDescent="0.25">
      <c r="C671" s="175">
        <v>669</v>
      </c>
      <c r="D671" s="163">
        <v>44470</v>
      </c>
      <c r="E671" s="171">
        <v>-4.9625254139999998E-3</v>
      </c>
      <c r="F671" s="171">
        <v>1.58</v>
      </c>
      <c r="G671" s="172">
        <v>1</v>
      </c>
      <c r="H671" s="171">
        <f>tbTransactions[[#This Row],[Qty]]*tbTransactions[[#This Row],[Unit Cost]]*tbTransactions[[#This Row],[Exchange Rate]]</f>
        <v>-7.84079015412E-3</v>
      </c>
      <c r="I671" s="148" t="s">
        <v>594</v>
      </c>
      <c r="J671" s="176" t="s">
        <v>423</v>
      </c>
      <c r="K671" s="163" t="str">
        <f>IF(tbTransactions[[#This Row],[Sub-Type]]="Transfer","Neutral",IF(tbTransactions[[#This Row],[Qty]]&lt;0,"Debit",IF(tbTransactions[[#This Row],[Qty]]&gt;0,"Credit","Neutral")))</f>
        <v>Debit</v>
      </c>
      <c r="L671" s="163" t="s">
        <v>12</v>
      </c>
      <c r="M671" s="171" t="s">
        <v>636</v>
      </c>
    </row>
    <row r="672" spans="3:13" ht="30" customHeight="1" x14ac:dyDescent="0.25">
      <c r="C672" s="175">
        <v>670</v>
      </c>
      <c r="D672" s="163">
        <v>44470</v>
      </c>
      <c r="E672" s="171">
        <v>2.1268601500000001E-2</v>
      </c>
      <c r="F672" s="171">
        <v>0</v>
      </c>
      <c r="G672" s="172">
        <v>1</v>
      </c>
      <c r="H672" s="171">
        <f>tbTransactions[[#This Row],[Qty]]*tbTransactions[[#This Row],[Unit Cost]]*tbTransactions[[#This Row],[Exchange Rate]]</f>
        <v>0</v>
      </c>
      <c r="I672" s="148" t="s">
        <v>511</v>
      </c>
      <c r="J672" s="176" t="s">
        <v>20</v>
      </c>
      <c r="K672" s="163" t="str">
        <f>IF(tbTransactions[[#This Row],[Sub-Type]]="Transfer","Neutral",IF(tbTransactions[[#This Row],[Qty]]&lt;0,"Debit",IF(tbTransactions[[#This Row],[Qty]]&gt;0,"Credit","Neutral")))</f>
        <v>Credit</v>
      </c>
      <c r="L672" s="163" t="s">
        <v>518</v>
      </c>
      <c r="M672" s="171" t="s">
        <v>465</v>
      </c>
    </row>
    <row r="673" spans="3:13" ht="30" customHeight="1" x14ac:dyDescent="0.25">
      <c r="C673" s="175">
        <v>671</v>
      </c>
      <c r="D673" s="163">
        <v>44470</v>
      </c>
      <c r="E673" s="171">
        <v>6.4022999999999997E-2</v>
      </c>
      <c r="F673" s="171">
        <v>0</v>
      </c>
      <c r="G673" s="172">
        <v>1</v>
      </c>
      <c r="H673" s="171">
        <f>tbTransactions[[#This Row],[Qty]]*tbTransactions[[#This Row],[Unit Cost]]*tbTransactions[[#This Row],[Exchange Rate]]</f>
        <v>0</v>
      </c>
      <c r="I673" s="148" t="s">
        <v>422</v>
      </c>
      <c r="J673" s="176" t="s">
        <v>8</v>
      </c>
      <c r="K673" s="163" t="str">
        <f>IF(tbTransactions[[#This Row],[Sub-Type]]="Transfer","Neutral",IF(tbTransactions[[#This Row],[Qty]]&lt;0,"Debit",IF(tbTransactions[[#This Row],[Qty]]&gt;0,"Credit","Neutral")))</f>
        <v>Credit</v>
      </c>
      <c r="L673" s="163" t="s">
        <v>518</v>
      </c>
      <c r="M673" s="171" t="s">
        <v>572</v>
      </c>
    </row>
    <row r="674" spans="3:13" ht="30" customHeight="1" x14ac:dyDescent="0.25">
      <c r="C674" s="175">
        <v>672</v>
      </c>
      <c r="D674" s="163">
        <v>44471</v>
      </c>
      <c r="E674" s="171">
        <v>2.3610897299999999E-2</v>
      </c>
      <c r="F674" s="171">
        <v>0</v>
      </c>
      <c r="G674" s="172">
        <v>1</v>
      </c>
      <c r="H674" s="171">
        <f>tbTransactions[[#This Row],[Qty]]*tbTransactions[[#This Row],[Unit Cost]]*tbTransactions[[#This Row],[Exchange Rate]]</f>
        <v>0</v>
      </c>
      <c r="I674" s="148" t="s">
        <v>511</v>
      </c>
      <c r="J674" s="176" t="s">
        <v>20</v>
      </c>
      <c r="K674" s="163" t="str">
        <f>IF(tbTransactions[[#This Row],[Sub-Type]]="Transfer","Neutral",IF(tbTransactions[[#This Row],[Qty]]&lt;0,"Debit",IF(tbTransactions[[#This Row],[Qty]]&gt;0,"Credit","Neutral")))</f>
        <v>Credit</v>
      </c>
      <c r="L674" s="163" t="s">
        <v>518</v>
      </c>
      <c r="M674" s="171" t="s">
        <v>465</v>
      </c>
    </row>
    <row r="675" spans="3:13" ht="30" customHeight="1" x14ac:dyDescent="0.25">
      <c r="C675" s="175">
        <v>673</v>
      </c>
      <c r="D675" s="163">
        <v>44471</v>
      </c>
      <c r="E675" s="171">
        <v>6.4022999999999997E-2</v>
      </c>
      <c r="F675" s="171">
        <v>0</v>
      </c>
      <c r="G675" s="172">
        <v>1</v>
      </c>
      <c r="H675" s="171">
        <f>tbTransactions[[#This Row],[Qty]]*tbTransactions[[#This Row],[Unit Cost]]*tbTransactions[[#This Row],[Exchange Rate]]</f>
        <v>0</v>
      </c>
      <c r="I675" s="148" t="s">
        <v>422</v>
      </c>
      <c r="J675" s="176" t="s">
        <v>8</v>
      </c>
      <c r="K675" s="163" t="str">
        <f>IF(tbTransactions[[#This Row],[Sub-Type]]="Transfer","Neutral",IF(tbTransactions[[#This Row],[Qty]]&lt;0,"Debit",IF(tbTransactions[[#This Row],[Qty]]&gt;0,"Credit","Neutral")))</f>
        <v>Credit</v>
      </c>
      <c r="L675" s="163" t="s">
        <v>518</v>
      </c>
      <c r="M675" s="171" t="s">
        <v>572</v>
      </c>
    </row>
    <row r="676" spans="3:13" ht="30" customHeight="1" x14ac:dyDescent="0.25">
      <c r="C676" s="175">
        <v>674</v>
      </c>
      <c r="D676" s="163">
        <v>44471</v>
      </c>
      <c r="E676" s="171">
        <v>0.95625800000000005</v>
      </c>
      <c r="F676" s="171">
        <v>0</v>
      </c>
      <c r="G676" s="172">
        <v>1</v>
      </c>
      <c r="H676" s="171">
        <f>tbTransactions[[#This Row],[Qty]]*tbTransactions[[#This Row],[Unit Cost]]*tbTransactions[[#This Row],[Exchange Rate]]</f>
        <v>0</v>
      </c>
      <c r="I676" s="148" t="s">
        <v>507</v>
      </c>
      <c r="J676" s="176" t="s">
        <v>17</v>
      </c>
      <c r="K676" s="163" t="str">
        <f>IF(tbTransactions[[#This Row],[Sub-Type]]="Transfer","Neutral",IF(tbTransactions[[#This Row],[Qty]]&lt;0,"Debit",IF(tbTransactions[[#This Row],[Qty]]&gt;0,"Credit","Neutral")))</f>
        <v>Credit</v>
      </c>
      <c r="L676" s="163" t="s">
        <v>518</v>
      </c>
      <c r="M676" s="171" t="s">
        <v>427</v>
      </c>
    </row>
    <row r="677" spans="3:13" ht="30" customHeight="1" x14ac:dyDescent="0.25">
      <c r="C677" s="175">
        <v>675</v>
      </c>
      <c r="D677" s="163">
        <v>44471</v>
      </c>
      <c r="E677" s="171">
        <v>1.541999E-2</v>
      </c>
      <c r="F677" s="171">
        <v>0</v>
      </c>
      <c r="G677" s="172">
        <v>1</v>
      </c>
      <c r="H677" s="171">
        <f>tbTransactions[[#This Row],[Qty]]*tbTransactions[[#This Row],[Unit Cost]]*tbTransactions[[#This Row],[Exchange Rate]]</f>
        <v>0</v>
      </c>
      <c r="I677" s="148" t="s">
        <v>542</v>
      </c>
      <c r="J677" s="176" t="s">
        <v>22</v>
      </c>
      <c r="K677" s="163" t="str">
        <f>IF(tbTransactions[[#This Row],[Sub-Type]]="Transfer","Neutral",IF(tbTransactions[[#This Row],[Qty]]&lt;0,"Debit",IF(tbTransactions[[#This Row],[Qty]]&gt;0,"Credit","Neutral")))</f>
        <v>Credit</v>
      </c>
      <c r="L677" s="163" t="s">
        <v>518</v>
      </c>
      <c r="M677" s="171" t="s">
        <v>556</v>
      </c>
    </row>
    <row r="678" spans="3:13" ht="30" customHeight="1" x14ac:dyDescent="0.25">
      <c r="C678" s="175">
        <v>676</v>
      </c>
      <c r="D678" s="163">
        <v>44472</v>
      </c>
      <c r="E678" s="171">
        <v>2.8564204900000001E-2</v>
      </c>
      <c r="F678" s="171">
        <v>0</v>
      </c>
      <c r="G678" s="172">
        <v>1</v>
      </c>
      <c r="H678" s="171">
        <f>tbTransactions[[#This Row],[Qty]]*tbTransactions[[#This Row],[Unit Cost]]*tbTransactions[[#This Row],[Exchange Rate]]</f>
        <v>0</v>
      </c>
      <c r="I678" s="148" t="s">
        <v>511</v>
      </c>
      <c r="J678" s="176" t="s">
        <v>20</v>
      </c>
      <c r="K678" s="163" t="str">
        <f>IF(tbTransactions[[#This Row],[Sub-Type]]="Transfer","Neutral",IF(tbTransactions[[#This Row],[Qty]]&lt;0,"Debit",IF(tbTransactions[[#This Row],[Qty]]&gt;0,"Credit","Neutral")))</f>
        <v>Credit</v>
      </c>
      <c r="L678" s="163" t="s">
        <v>518</v>
      </c>
      <c r="M678" s="171" t="s">
        <v>465</v>
      </c>
    </row>
    <row r="679" spans="3:13" ht="30" customHeight="1" x14ac:dyDescent="0.25">
      <c r="C679" s="175">
        <v>677</v>
      </c>
      <c r="D679" s="163">
        <v>44472</v>
      </c>
      <c r="E679" s="171">
        <v>6.4035999999999996E-2</v>
      </c>
      <c r="F679" s="171">
        <v>0</v>
      </c>
      <c r="G679" s="172">
        <v>1</v>
      </c>
      <c r="H679" s="171">
        <f>tbTransactions[[#This Row],[Qty]]*tbTransactions[[#This Row],[Unit Cost]]*tbTransactions[[#This Row],[Exchange Rate]]</f>
        <v>0</v>
      </c>
      <c r="I679" s="148" t="s">
        <v>422</v>
      </c>
      <c r="J679" s="176" t="s">
        <v>8</v>
      </c>
      <c r="K679" s="163" t="str">
        <f>IF(tbTransactions[[#This Row],[Sub-Type]]="Transfer","Neutral",IF(tbTransactions[[#This Row],[Qty]]&lt;0,"Debit",IF(tbTransactions[[#This Row],[Qty]]&gt;0,"Credit","Neutral")))</f>
        <v>Credit</v>
      </c>
      <c r="L679" s="163" t="s">
        <v>518</v>
      </c>
      <c r="M679" s="171" t="s">
        <v>572</v>
      </c>
    </row>
    <row r="680" spans="3:13" ht="30" customHeight="1" x14ac:dyDescent="0.25">
      <c r="C680" s="175">
        <v>678</v>
      </c>
      <c r="D680" s="163">
        <v>44472</v>
      </c>
      <c r="E680" s="171">
        <v>-596.03083900000001</v>
      </c>
      <c r="F680" s="171">
        <v>2.46</v>
      </c>
      <c r="G680" s="172">
        <v>1</v>
      </c>
      <c r="H680" s="171">
        <f>tbTransactions[[#This Row],[Qty]]*tbTransactions[[#This Row],[Unit Cost]]*tbTransactions[[#This Row],[Exchange Rate]]</f>
        <v>-1466.2358639399999</v>
      </c>
      <c r="I680" s="148" t="s">
        <v>422</v>
      </c>
      <c r="J680" s="176" t="s">
        <v>8</v>
      </c>
      <c r="K680" s="163" t="str">
        <f>IF(tbTransactions[[#This Row],[Sub-Type]]="Transfer","Neutral",IF(tbTransactions[[#This Row],[Qty]]&lt;0,"Debit",IF(tbTransactions[[#This Row],[Qty]]&gt;0,"Credit","Neutral")))</f>
        <v>Debit</v>
      </c>
      <c r="L680" s="163" t="s">
        <v>603</v>
      </c>
      <c r="M680" s="171" t="s">
        <v>657</v>
      </c>
    </row>
    <row r="681" spans="3:13" ht="30" customHeight="1" x14ac:dyDescent="0.25">
      <c r="C681" s="175">
        <v>679</v>
      </c>
      <c r="D681" s="163">
        <v>44472</v>
      </c>
      <c r="E681" s="171">
        <v>0.32705824999999999</v>
      </c>
      <c r="F681" s="171">
        <v>4383.82</v>
      </c>
      <c r="G681" s="172">
        <v>1</v>
      </c>
      <c r="H681" s="171">
        <f>tbTransactions[[#This Row],[Qty]]*tbTransactions[[#This Row],[Unit Cost]]*tbTransactions[[#This Row],[Exchange Rate]]</f>
        <v>1433.7644975149999</v>
      </c>
      <c r="I681" s="148" t="s">
        <v>422</v>
      </c>
      <c r="J681" s="176" t="s">
        <v>22</v>
      </c>
      <c r="K681" s="163" t="str">
        <f>IF(tbTransactions[[#This Row],[Sub-Type]]="Transfer","Neutral",IF(tbTransactions[[#This Row],[Qty]]&lt;0,"Debit",IF(tbTransactions[[#This Row],[Qty]]&gt;0,"Credit","Neutral")))</f>
        <v>Credit</v>
      </c>
      <c r="L681" s="163" t="s">
        <v>603</v>
      </c>
      <c r="M681" s="171" t="s">
        <v>657</v>
      </c>
    </row>
    <row r="682" spans="3:13" ht="30" customHeight="1" x14ac:dyDescent="0.25">
      <c r="C682" s="175">
        <v>680</v>
      </c>
      <c r="D682" s="163">
        <v>44472</v>
      </c>
      <c r="E682" s="171">
        <v>-7405.4211671499997</v>
      </c>
      <c r="F682" s="171">
        <v>3.8837999999999998E-2</v>
      </c>
      <c r="G682" s="172">
        <v>1</v>
      </c>
      <c r="H682" s="171">
        <f>tbTransactions[[#This Row],[Qty]]*tbTransactions[[#This Row],[Unit Cost]]*tbTransactions[[#This Row],[Exchange Rate]]</f>
        <v>-287.6117472897717</v>
      </c>
      <c r="I682" s="148" t="s">
        <v>422</v>
      </c>
      <c r="J682" s="176" t="s">
        <v>573</v>
      </c>
      <c r="K682" s="163" t="str">
        <f>IF(tbTransactions[[#This Row],[Sub-Type]]="Transfer","Neutral",IF(tbTransactions[[#This Row],[Qty]]&lt;0,"Debit",IF(tbTransactions[[#This Row],[Qty]]&gt;0,"Credit","Neutral")))</f>
        <v>Debit</v>
      </c>
      <c r="L682" s="163" t="s">
        <v>603</v>
      </c>
      <c r="M682" s="171" t="s">
        <v>658</v>
      </c>
    </row>
    <row r="683" spans="3:13" ht="30" customHeight="1" x14ac:dyDescent="0.25">
      <c r="C683" s="175">
        <v>681</v>
      </c>
      <c r="D683" s="163">
        <v>44472</v>
      </c>
      <c r="E683" s="171">
        <v>6.4146309999999998E-2</v>
      </c>
      <c r="F683" s="171">
        <v>4388.57</v>
      </c>
      <c r="G683" s="172">
        <v>1</v>
      </c>
      <c r="H683" s="171">
        <f>tbTransactions[[#This Row],[Qty]]*tbTransactions[[#This Row],[Unit Cost]]*tbTransactions[[#This Row],[Exchange Rate]]</f>
        <v>281.51057167669995</v>
      </c>
      <c r="I683" s="148" t="s">
        <v>422</v>
      </c>
      <c r="J683" s="176" t="s">
        <v>22</v>
      </c>
      <c r="K683" s="163" t="str">
        <f>IF(tbTransactions[[#This Row],[Sub-Type]]="Transfer","Neutral",IF(tbTransactions[[#This Row],[Qty]]&lt;0,"Debit",IF(tbTransactions[[#This Row],[Qty]]&gt;0,"Credit","Neutral")))</f>
        <v>Credit</v>
      </c>
      <c r="L683" s="163" t="s">
        <v>603</v>
      </c>
      <c r="M683" s="171" t="s">
        <v>658</v>
      </c>
    </row>
    <row r="684" spans="3:13" ht="30" customHeight="1" x14ac:dyDescent="0.25">
      <c r="C684" s="175">
        <v>682</v>
      </c>
      <c r="D684" s="163">
        <v>44472</v>
      </c>
      <c r="E684" s="171">
        <v>6.4029000000000003E-2</v>
      </c>
      <c r="F684" s="171">
        <v>2.46</v>
      </c>
      <c r="G684" s="172">
        <v>1</v>
      </c>
      <c r="H684" s="171">
        <f>tbTransactions[[#This Row],[Qty]]*tbTransactions[[#This Row],[Unit Cost]]*tbTransactions[[#This Row],[Exchange Rate]]</f>
        <v>0.15751134</v>
      </c>
      <c r="I684" s="148" t="s">
        <v>422</v>
      </c>
      <c r="J684" s="176" t="s">
        <v>8</v>
      </c>
      <c r="K684" s="163" t="str">
        <f>IF(tbTransactions[[#This Row],[Sub-Type]]="Transfer","Neutral",IF(tbTransactions[[#This Row],[Qty]]&lt;0,"Debit",IF(tbTransactions[[#This Row],[Qty]]&gt;0,"Credit","Neutral")))</f>
        <v>Credit</v>
      </c>
      <c r="L684" s="163" t="s">
        <v>29</v>
      </c>
      <c r="M684" s="171"/>
    </row>
    <row r="685" spans="3:13" ht="30" customHeight="1" x14ac:dyDescent="0.25">
      <c r="C685" s="175">
        <v>683</v>
      </c>
      <c r="D685" s="163">
        <v>44473</v>
      </c>
      <c r="E685" s="171">
        <v>-9.6599999999999995E-4</v>
      </c>
      <c r="F685" s="171">
        <v>4218.37</v>
      </c>
      <c r="G685" s="172">
        <v>1</v>
      </c>
      <c r="H685" s="171">
        <f>tbTransactions[[#This Row],[Qty]]*tbTransactions[[#This Row],[Unit Cost]]*tbTransactions[[#This Row],[Exchange Rate]]</f>
        <v>-4.0749454199999997</v>
      </c>
      <c r="I685" s="148" t="s">
        <v>422</v>
      </c>
      <c r="J685" s="176" t="s">
        <v>22</v>
      </c>
      <c r="K685" s="163" t="str">
        <f>IF(tbTransactions[[#This Row],[Sub-Type]]="Transfer","Neutral",IF(tbTransactions[[#This Row],[Qty]]&lt;0,"Debit",IF(tbTransactions[[#This Row],[Qty]]&gt;0,"Credit","Neutral")))</f>
        <v>Debit</v>
      </c>
      <c r="L685" s="163" t="s">
        <v>12</v>
      </c>
      <c r="M685" s="171" t="s">
        <v>596</v>
      </c>
    </row>
    <row r="686" spans="3:13" ht="30" customHeight="1" x14ac:dyDescent="0.25">
      <c r="C686" s="175">
        <v>684</v>
      </c>
      <c r="D686" s="163">
        <v>44473</v>
      </c>
      <c r="E686" s="171">
        <v>-0.39023856000000001</v>
      </c>
      <c r="F686" s="171">
        <v>4218.37</v>
      </c>
      <c r="G686" s="172">
        <v>1</v>
      </c>
      <c r="H686" s="171">
        <f>tbTransactions[[#This Row],[Qty]]*tbTransactions[[#This Row],[Unit Cost]]*tbTransactions[[#This Row],[Exchange Rate]]</f>
        <v>-1646.1706343472001</v>
      </c>
      <c r="I686" s="148" t="s">
        <v>422</v>
      </c>
      <c r="J686" s="176" t="s">
        <v>22</v>
      </c>
      <c r="K686" s="163" t="str">
        <f>IF(tbTransactions[[#This Row],[Sub-Type]]="Transfer","Neutral",IF(tbTransactions[[#This Row],[Qty]]&lt;0,"Debit",IF(tbTransactions[[#This Row],[Qty]]&gt;0,"Credit","Neutral")))</f>
        <v>Debit</v>
      </c>
      <c r="L686" s="163" t="s">
        <v>603</v>
      </c>
      <c r="M686" s="171" t="s">
        <v>596</v>
      </c>
    </row>
    <row r="687" spans="3:13" ht="30" customHeight="1" x14ac:dyDescent="0.25">
      <c r="C687" s="175">
        <v>685</v>
      </c>
      <c r="D687" s="163">
        <v>44473</v>
      </c>
      <c r="E687" s="171">
        <v>0.39023856000000001</v>
      </c>
      <c r="F687" s="171">
        <v>4218.37</v>
      </c>
      <c r="G687" s="172">
        <v>1</v>
      </c>
      <c r="H687" s="171">
        <f>tbTransactions[[#This Row],[Qty]]*tbTransactions[[#This Row],[Unit Cost]]*tbTransactions[[#This Row],[Exchange Rate]]</f>
        <v>1646.1706343472001</v>
      </c>
      <c r="I687" s="148" t="s">
        <v>586</v>
      </c>
      <c r="J687" s="176" t="s">
        <v>22</v>
      </c>
      <c r="K687" s="163" t="str">
        <f>IF(tbTransactions[[#This Row],[Sub-Type]]="Transfer","Neutral",IF(tbTransactions[[#This Row],[Qty]]&lt;0,"Debit",IF(tbTransactions[[#This Row],[Qty]]&gt;0,"Credit","Neutral")))</f>
        <v>Credit</v>
      </c>
      <c r="L687" s="163" t="s">
        <v>603</v>
      </c>
      <c r="M687" s="171" t="s">
        <v>596</v>
      </c>
    </row>
    <row r="688" spans="3:13" ht="30" customHeight="1" x14ac:dyDescent="0.25">
      <c r="C688" s="175">
        <v>686</v>
      </c>
      <c r="D688" s="163">
        <v>44473</v>
      </c>
      <c r="E688" s="171">
        <v>-0.313</v>
      </c>
      <c r="F688" s="171">
        <v>4217.41</v>
      </c>
      <c r="G688" s="172">
        <v>1</v>
      </c>
      <c r="H688" s="171">
        <f>tbTransactions[[#This Row],[Qty]]*tbTransactions[[#This Row],[Unit Cost]]*tbTransactions[[#This Row],[Exchange Rate]]</f>
        <v>-1320.0493300000001</v>
      </c>
      <c r="I688" s="148" t="s">
        <v>586</v>
      </c>
      <c r="J688" s="176" t="s">
        <v>22</v>
      </c>
      <c r="K688" s="163" t="str">
        <f>IF(tbTransactions[[#This Row],[Sub-Type]]="Transfer","Neutral",IF(tbTransactions[[#This Row],[Qty]]&lt;0,"Debit",IF(tbTransactions[[#This Row],[Qty]]&gt;0,"Credit","Neutral")))</f>
        <v>Debit</v>
      </c>
      <c r="L688" s="163" t="s">
        <v>603</v>
      </c>
      <c r="M688" s="171" t="s">
        <v>598</v>
      </c>
    </row>
    <row r="689" spans="3:13" ht="30" customHeight="1" x14ac:dyDescent="0.25">
      <c r="C689" s="175">
        <v>687</v>
      </c>
      <c r="D689" s="163">
        <v>44473</v>
      </c>
      <c r="E689" s="171">
        <v>0.313</v>
      </c>
      <c r="F689" s="171">
        <v>4217.41</v>
      </c>
      <c r="G689" s="172">
        <v>1</v>
      </c>
      <c r="H689" s="171">
        <f>tbTransactions[[#This Row],[Qty]]*tbTransactions[[#This Row],[Unit Cost]]*tbTransactions[[#This Row],[Exchange Rate]]</f>
        <v>1320.0493300000001</v>
      </c>
      <c r="I689" s="148" t="s">
        <v>594</v>
      </c>
      <c r="J689" s="176" t="s">
        <v>6</v>
      </c>
      <c r="K689" s="163" t="str">
        <f>IF(tbTransactions[[#This Row],[Sub-Type]]="Transfer","Neutral",IF(tbTransactions[[#This Row],[Qty]]&lt;0,"Debit",IF(tbTransactions[[#This Row],[Qty]]&gt;0,"Credit","Neutral")))</f>
        <v>Credit</v>
      </c>
      <c r="L689" s="163" t="s">
        <v>603</v>
      </c>
      <c r="M689" s="171" t="s">
        <v>598</v>
      </c>
    </row>
    <row r="690" spans="3:13" ht="30" customHeight="1" x14ac:dyDescent="0.25">
      <c r="C690" s="175">
        <v>688</v>
      </c>
      <c r="D690" s="163">
        <v>44473</v>
      </c>
      <c r="E690" s="171">
        <v>-2.8010000000000001E-3</v>
      </c>
      <c r="F690" s="171">
        <v>4217.41</v>
      </c>
      <c r="G690" s="172">
        <v>1</v>
      </c>
      <c r="H690" s="171">
        <f>tbTransactions[[#This Row],[Qty]]*tbTransactions[[#This Row],[Unit Cost]]*tbTransactions[[#This Row],[Exchange Rate]]</f>
        <v>-11.81296541</v>
      </c>
      <c r="I690" s="148" t="s">
        <v>586</v>
      </c>
      <c r="J690" s="176" t="s">
        <v>6</v>
      </c>
      <c r="K690" s="163" t="str">
        <f>IF(tbTransactions[[#This Row],[Sub-Type]]="Transfer","Neutral",IF(tbTransactions[[#This Row],[Qty]]&lt;0,"Debit",IF(tbTransactions[[#This Row],[Qty]]&gt;0,"Credit","Neutral")))</f>
        <v>Debit</v>
      </c>
      <c r="L690" s="163" t="s">
        <v>12</v>
      </c>
      <c r="M690" s="171" t="s">
        <v>598</v>
      </c>
    </row>
    <row r="691" spans="3:13" ht="30" customHeight="1" x14ac:dyDescent="0.25">
      <c r="C691" s="175">
        <v>689</v>
      </c>
      <c r="D691" s="163">
        <v>44473</v>
      </c>
      <c r="E691" s="171">
        <v>2.2339402000000001E-2</v>
      </c>
      <c r="F691" s="171">
        <v>0</v>
      </c>
      <c r="G691" s="172">
        <v>1</v>
      </c>
      <c r="H691" s="171">
        <f>tbTransactions[[#This Row],[Qty]]*tbTransactions[[#This Row],[Unit Cost]]*tbTransactions[[#This Row],[Exchange Rate]]</f>
        <v>0</v>
      </c>
      <c r="I691" s="148" t="s">
        <v>511</v>
      </c>
      <c r="J691" s="176" t="s">
        <v>20</v>
      </c>
      <c r="K691" s="163" t="str">
        <f>IF(tbTransactions[[#This Row],[Sub-Type]]="Transfer","Neutral",IF(tbTransactions[[#This Row],[Qty]]&lt;0,"Debit",IF(tbTransactions[[#This Row],[Qty]]&gt;0,"Credit","Neutral")))</f>
        <v>Credit</v>
      </c>
      <c r="L691" s="163" t="s">
        <v>518</v>
      </c>
      <c r="M691" s="171" t="s">
        <v>465</v>
      </c>
    </row>
    <row r="692" spans="3:13" ht="30" customHeight="1" x14ac:dyDescent="0.25">
      <c r="C692" s="175">
        <v>690</v>
      </c>
      <c r="D692" s="163">
        <v>44474</v>
      </c>
      <c r="E692" s="171">
        <v>2.9061172600000001E-2</v>
      </c>
      <c r="F692" s="171">
        <v>0</v>
      </c>
      <c r="G692" s="172">
        <v>1</v>
      </c>
      <c r="H692" s="171">
        <f>tbTransactions[[#This Row],[Qty]]*tbTransactions[[#This Row],[Unit Cost]]*tbTransactions[[#This Row],[Exchange Rate]]</f>
        <v>0</v>
      </c>
      <c r="I692" s="148" t="s">
        <v>511</v>
      </c>
      <c r="J692" s="176" t="s">
        <v>20</v>
      </c>
      <c r="K692" s="163" t="str">
        <f>IF(tbTransactions[[#This Row],[Sub-Type]]="Transfer","Neutral",IF(tbTransactions[[#This Row],[Qty]]&lt;0,"Debit",IF(tbTransactions[[#This Row],[Qty]]&gt;0,"Credit","Neutral")))</f>
        <v>Credit</v>
      </c>
      <c r="L692" s="163" t="s">
        <v>518</v>
      </c>
      <c r="M692" s="171" t="s">
        <v>465</v>
      </c>
    </row>
    <row r="693" spans="3:13" ht="30" customHeight="1" x14ac:dyDescent="0.25">
      <c r="C693" s="175">
        <v>691</v>
      </c>
      <c r="D693" s="163">
        <v>44474</v>
      </c>
      <c r="E693" s="171">
        <v>-0.7</v>
      </c>
      <c r="F693" s="171">
        <v>4411.9799999999996</v>
      </c>
      <c r="G693" s="172">
        <v>1</v>
      </c>
      <c r="H693" s="171">
        <f>tbTransactions[[#This Row],[Qty]]*tbTransactions[[#This Row],[Unit Cost]]*tbTransactions[[#This Row],[Exchange Rate]]</f>
        <v>-3088.3859999999995</v>
      </c>
      <c r="I693" s="148" t="s">
        <v>594</v>
      </c>
      <c r="J693" s="176" t="s">
        <v>22</v>
      </c>
      <c r="K693" s="163" t="str">
        <f>IF(tbTransactions[[#This Row],[Sub-Type]]="Transfer","Neutral",IF(tbTransactions[[#This Row],[Qty]]&lt;0,"Debit",IF(tbTransactions[[#This Row],[Qty]]&gt;0,"Credit","Neutral")))</f>
        <v>Debit</v>
      </c>
      <c r="L693" s="163" t="s">
        <v>603</v>
      </c>
      <c r="M693" s="171" t="s">
        <v>636</v>
      </c>
    </row>
    <row r="694" spans="3:13" ht="30" customHeight="1" x14ac:dyDescent="0.25">
      <c r="C694" s="175">
        <v>692</v>
      </c>
      <c r="D694" s="163">
        <v>44474</v>
      </c>
      <c r="E694" s="171">
        <v>2454.5608299999999</v>
      </c>
      <c r="F694" s="171">
        <v>1.26</v>
      </c>
      <c r="G694" s="172">
        <v>1</v>
      </c>
      <c r="H694" s="171">
        <f>tbTransactions[[#This Row],[Qty]]*tbTransactions[[#This Row],[Unit Cost]]*tbTransactions[[#This Row],[Exchange Rate]]</f>
        <v>3092.7466457999999</v>
      </c>
      <c r="I694" s="148" t="s">
        <v>594</v>
      </c>
      <c r="J694" s="176" t="s">
        <v>602</v>
      </c>
      <c r="K694" s="163" t="str">
        <f>IF(tbTransactions[[#This Row],[Sub-Type]]="Transfer","Neutral",IF(tbTransactions[[#This Row],[Qty]]&lt;0,"Debit",IF(tbTransactions[[#This Row],[Qty]]&gt;0,"Credit","Neutral")))</f>
        <v>Credit</v>
      </c>
      <c r="L694" s="163" t="s">
        <v>603</v>
      </c>
      <c r="M694" s="171" t="s">
        <v>636</v>
      </c>
    </row>
    <row r="695" spans="3:13" ht="30" customHeight="1" x14ac:dyDescent="0.25">
      <c r="C695" s="175">
        <v>693</v>
      </c>
      <c r="D695" s="163">
        <v>44474</v>
      </c>
      <c r="E695" s="171">
        <v>-5.9950000000000003E-3</v>
      </c>
      <c r="F695" s="171">
        <v>1.66</v>
      </c>
      <c r="G695" s="172">
        <v>1</v>
      </c>
      <c r="H695" s="171">
        <f>tbTransactions[[#This Row],[Qty]]*tbTransactions[[#This Row],[Unit Cost]]*tbTransactions[[#This Row],[Exchange Rate]]</f>
        <v>-9.9517000000000008E-3</v>
      </c>
      <c r="I695" s="148" t="s">
        <v>594</v>
      </c>
      <c r="J695" s="176" t="s">
        <v>423</v>
      </c>
      <c r="K695" s="163" t="str">
        <f>IF(tbTransactions[[#This Row],[Sub-Type]]="Transfer","Neutral",IF(tbTransactions[[#This Row],[Qty]]&lt;0,"Debit",IF(tbTransactions[[#This Row],[Qty]]&gt;0,"Credit","Neutral")))</f>
        <v>Debit</v>
      </c>
      <c r="L695" s="163" t="s">
        <v>12</v>
      </c>
      <c r="M695" s="171" t="s">
        <v>636</v>
      </c>
    </row>
    <row r="696" spans="3:13" ht="30" customHeight="1" x14ac:dyDescent="0.25">
      <c r="C696" s="175">
        <v>694</v>
      </c>
      <c r="D696" s="163">
        <v>44475</v>
      </c>
      <c r="E696" s="171">
        <v>-2.0460000000000001E-3</v>
      </c>
      <c r="F696" s="171">
        <v>1.55</v>
      </c>
      <c r="G696" s="172">
        <v>1</v>
      </c>
      <c r="H696" s="171">
        <f>tbTransactions[[#This Row],[Qty]]*tbTransactions[[#This Row],[Unit Cost]]*tbTransactions[[#This Row],[Exchange Rate]]</f>
        <v>-3.1713000000000002E-3</v>
      </c>
      <c r="I696" s="148" t="s">
        <v>594</v>
      </c>
      <c r="J696" s="176" t="s">
        <v>423</v>
      </c>
      <c r="K696" s="163" t="str">
        <f>IF(tbTransactions[[#This Row],[Sub-Type]]="Transfer","Neutral",IF(tbTransactions[[#This Row],[Qty]]&lt;0,"Debit",IF(tbTransactions[[#This Row],[Qty]]&gt;0,"Credit","Neutral")))</f>
        <v>Debit</v>
      </c>
      <c r="L696" s="163" t="s">
        <v>12</v>
      </c>
      <c r="M696" s="171" t="s">
        <v>646</v>
      </c>
    </row>
    <row r="697" spans="3:13" ht="30" customHeight="1" x14ac:dyDescent="0.25">
      <c r="C697" s="175">
        <v>695</v>
      </c>
      <c r="D697" s="163">
        <v>44475</v>
      </c>
      <c r="E697" s="171">
        <v>-2454</v>
      </c>
      <c r="F697" s="171">
        <v>1.26</v>
      </c>
      <c r="G697" s="172">
        <v>1</v>
      </c>
      <c r="H697" s="171">
        <f>tbTransactions[[#This Row],[Qty]]*tbTransactions[[#This Row],[Unit Cost]]*tbTransactions[[#This Row],[Exchange Rate]]</f>
        <v>-3092.04</v>
      </c>
      <c r="I697" s="148" t="s">
        <v>594</v>
      </c>
      <c r="J697" s="176" t="s">
        <v>602</v>
      </c>
      <c r="K697" s="163" t="str">
        <f>IF(tbTransactions[[#This Row],[Sub-Type]]="Transfer","Neutral",IF(tbTransactions[[#This Row],[Qty]]&lt;0,"Debit",IF(tbTransactions[[#This Row],[Qty]]&gt;0,"Credit","Neutral")))</f>
        <v>Debit</v>
      </c>
      <c r="L697" s="163" t="s">
        <v>603</v>
      </c>
      <c r="M697" s="171" t="s">
        <v>646</v>
      </c>
    </row>
    <row r="698" spans="3:13" ht="30" customHeight="1" x14ac:dyDescent="0.25">
      <c r="C698" s="175">
        <v>696</v>
      </c>
      <c r="D698" s="163">
        <v>44475</v>
      </c>
      <c r="E698" s="171">
        <v>0.72296554213196296</v>
      </c>
      <c r="F698" s="171">
        <v>4258</v>
      </c>
      <c r="G698" s="172">
        <v>1</v>
      </c>
      <c r="H698" s="171">
        <f>tbTransactions[[#This Row],[Qty]]*tbTransactions[[#This Row],[Unit Cost]]*tbTransactions[[#This Row],[Exchange Rate]]</f>
        <v>3078.3872783978982</v>
      </c>
      <c r="I698" s="148" t="s">
        <v>594</v>
      </c>
      <c r="J698" s="176" t="s">
        <v>22</v>
      </c>
      <c r="K698" s="163" t="str">
        <f>IF(tbTransactions[[#This Row],[Sub-Type]]="Transfer","Neutral",IF(tbTransactions[[#This Row],[Qty]]&lt;0,"Debit",IF(tbTransactions[[#This Row],[Qty]]&gt;0,"Credit","Neutral")))</f>
        <v>Credit</v>
      </c>
      <c r="L698" s="163" t="s">
        <v>603</v>
      </c>
      <c r="M698" s="171" t="s">
        <v>646</v>
      </c>
    </row>
    <row r="699" spans="3:13" ht="30" customHeight="1" x14ac:dyDescent="0.25">
      <c r="C699" s="175">
        <v>697</v>
      </c>
      <c r="D699" s="163">
        <v>44475</v>
      </c>
      <c r="E699" s="171">
        <v>4.67476E-3</v>
      </c>
      <c r="F699" s="171">
        <v>1.64</v>
      </c>
      <c r="G699" s="172">
        <v>1</v>
      </c>
      <c r="H699" s="171">
        <f>tbTransactions[[#This Row],[Qty]]*tbTransactions[[#This Row],[Unit Cost]]*tbTransactions[[#This Row],[Exchange Rate]]</f>
        <v>7.6666063999999996E-3</v>
      </c>
      <c r="I699" s="148" t="s">
        <v>594</v>
      </c>
      <c r="J699" s="176" t="s">
        <v>423</v>
      </c>
      <c r="K699" s="163" t="str">
        <f>IF(tbTransactions[[#This Row],[Sub-Type]]="Transfer","Neutral",IF(tbTransactions[[#This Row],[Qty]]&lt;0,"Debit",IF(tbTransactions[[#This Row],[Qty]]&gt;0,"Credit","Neutral")))</f>
        <v>Credit</v>
      </c>
      <c r="L699" s="163" t="s">
        <v>12</v>
      </c>
      <c r="M699" s="171" t="s">
        <v>636</v>
      </c>
    </row>
    <row r="700" spans="3:13" ht="30" customHeight="1" x14ac:dyDescent="0.25">
      <c r="C700" s="175">
        <v>698</v>
      </c>
      <c r="D700" s="163">
        <v>44475</v>
      </c>
      <c r="E700" s="171">
        <v>2512.8263729999999</v>
      </c>
      <c r="F700" s="171">
        <v>1.26</v>
      </c>
      <c r="G700" s="172">
        <v>1</v>
      </c>
      <c r="H700" s="171">
        <f>tbTransactions[[#This Row],[Qty]]*tbTransactions[[#This Row],[Unit Cost]]*tbTransactions[[#This Row],[Exchange Rate]]</f>
        <v>3166.1612299799999</v>
      </c>
      <c r="I700" s="148" t="s">
        <v>594</v>
      </c>
      <c r="J700" s="176" t="s">
        <v>602</v>
      </c>
      <c r="K700" s="163" t="str">
        <f>IF(tbTransactions[[#This Row],[Sub-Type]]="Transfer","Neutral",IF(tbTransactions[[#This Row],[Qty]]&lt;0,"Debit",IF(tbTransactions[[#This Row],[Qty]]&gt;0,"Credit","Neutral")))</f>
        <v>Credit</v>
      </c>
      <c r="L700" s="163" t="s">
        <v>603</v>
      </c>
      <c r="M700" s="171" t="s">
        <v>636</v>
      </c>
    </row>
    <row r="701" spans="3:13" ht="30" customHeight="1" x14ac:dyDescent="0.25">
      <c r="C701" s="175">
        <v>699</v>
      </c>
      <c r="D701" s="163">
        <v>44475</v>
      </c>
      <c r="E701" s="171">
        <v>-0.7</v>
      </c>
      <c r="F701" s="171">
        <v>4529</v>
      </c>
      <c r="G701" s="172">
        <v>1</v>
      </c>
      <c r="H701" s="171">
        <f>tbTransactions[[#This Row],[Qty]]*tbTransactions[[#This Row],[Unit Cost]]*tbTransactions[[#This Row],[Exchange Rate]]</f>
        <v>-3170.2999999999997</v>
      </c>
      <c r="I701" s="148" t="s">
        <v>594</v>
      </c>
      <c r="J701" s="176" t="s">
        <v>22</v>
      </c>
      <c r="K701" s="163" t="str">
        <f>IF(tbTransactions[[#This Row],[Sub-Type]]="Transfer","Neutral",IF(tbTransactions[[#This Row],[Qty]]&lt;0,"Debit",IF(tbTransactions[[#This Row],[Qty]]&gt;0,"Credit","Neutral")))</f>
        <v>Debit</v>
      </c>
      <c r="L701" s="163" t="s">
        <v>603</v>
      </c>
      <c r="M701" s="171" t="s">
        <v>636</v>
      </c>
    </row>
    <row r="702" spans="3:13" ht="30" customHeight="1" x14ac:dyDescent="0.25">
      <c r="C702" s="175">
        <v>700</v>
      </c>
      <c r="D702" s="163">
        <v>44475</v>
      </c>
      <c r="E702" s="171">
        <v>2.2640498500000002E-2</v>
      </c>
      <c r="F702" s="171">
        <v>0</v>
      </c>
      <c r="G702" s="172">
        <v>1</v>
      </c>
      <c r="H702" s="171">
        <f>tbTransactions[[#This Row],[Qty]]*tbTransactions[[#This Row],[Unit Cost]]*tbTransactions[[#This Row],[Exchange Rate]]</f>
        <v>0</v>
      </c>
      <c r="I702" s="148" t="s">
        <v>511</v>
      </c>
      <c r="J702" s="176" t="s">
        <v>20</v>
      </c>
      <c r="K702" s="163" t="str">
        <f>IF(tbTransactions[[#This Row],[Sub-Type]]="Transfer","Neutral",IF(tbTransactions[[#This Row],[Qty]]&lt;0,"Debit",IF(tbTransactions[[#This Row],[Qty]]&gt;0,"Credit","Neutral")))</f>
        <v>Credit</v>
      </c>
      <c r="L702" s="163" t="s">
        <v>518</v>
      </c>
      <c r="M702" s="171" t="s">
        <v>465</v>
      </c>
    </row>
    <row r="703" spans="3:13" ht="30" customHeight="1" x14ac:dyDescent="0.25">
      <c r="C703" s="175">
        <v>701</v>
      </c>
      <c r="D703" s="163">
        <v>44476</v>
      </c>
      <c r="E703" s="171">
        <v>3.5284591599999998E-2</v>
      </c>
      <c r="F703" s="171">
        <v>0</v>
      </c>
      <c r="G703" s="172">
        <v>1</v>
      </c>
      <c r="H703" s="171">
        <f>tbTransactions[[#This Row],[Qty]]*tbTransactions[[#This Row],[Unit Cost]]*tbTransactions[[#This Row],[Exchange Rate]]</f>
        <v>0</v>
      </c>
      <c r="I703" s="148" t="s">
        <v>511</v>
      </c>
      <c r="J703" s="176" t="s">
        <v>20</v>
      </c>
      <c r="K703" s="163" t="str">
        <f>IF(tbTransactions[[#This Row],[Sub-Type]]="Transfer","Neutral",IF(tbTransactions[[#This Row],[Qty]]&lt;0,"Debit",IF(tbTransactions[[#This Row],[Qty]]&gt;0,"Credit","Neutral")))</f>
        <v>Credit</v>
      </c>
      <c r="L703" s="163" t="s">
        <v>518</v>
      </c>
      <c r="M703" s="171" t="s">
        <v>465</v>
      </c>
    </row>
    <row r="704" spans="3:13" ht="30" customHeight="1" x14ac:dyDescent="0.25">
      <c r="C704" s="175">
        <v>702</v>
      </c>
      <c r="D704" s="163">
        <v>44476</v>
      </c>
      <c r="E704" s="171">
        <v>0.92268300000000003</v>
      </c>
      <c r="F704" s="171">
        <v>0</v>
      </c>
      <c r="G704" s="172">
        <v>1</v>
      </c>
      <c r="H704" s="171">
        <f>tbTransactions[[#This Row],[Qty]]*tbTransactions[[#This Row],[Unit Cost]]*tbTransactions[[#This Row],[Exchange Rate]]</f>
        <v>0</v>
      </c>
      <c r="I704" s="148" t="s">
        <v>507</v>
      </c>
      <c r="J704" s="176" t="s">
        <v>17</v>
      </c>
      <c r="K704" s="163" t="str">
        <f>IF(tbTransactions[[#This Row],[Sub-Type]]="Transfer","Neutral",IF(tbTransactions[[#This Row],[Qty]]&lt;0,"Debit",IF(tbTransactions[[#This Row],[Qty]]&gt;0,"Credit","Neutral")))</f>
        <v>Credit</v>
      </c>
      <c r="L704" s="163" t="s">
        <v>518</v>
      </c>
      <c r="M704" s="171" t="s">
        <v>427</v>
      </c>
    </row>
    <row r="705" spans="3:13" ht="30" customHeight="1" x14ac:dyDescent="0.25">
      <c r="C705" s="175">
        <v>703</v>
      </c>
      <c r="D705" s="163">
        <v>44477</v>
      </c>
      <c r="E705" s="171">
        <v>-99.991395020000027</v>
      </c>
      <c r="F705" s="171">
        <v>0.956349</v>
      </c>
      <c r="G705" s="172">
        <v>1</v>
      </c>
      <c r="H705" s="171">
        <f>tbTransactions[[#This Row],[Qty]]*tbTransactions[[#This Row],[Unit Cost]]*tbTransactions[[#This Row],[Exchange Rate]]</f>
        <v>-95.626670635982009</v>
      </c>
      <c r="I705" s="148" t="s">
        <v>759</v>
      </c>
      <c r="J705" s="176" t="s">
        <v>552</v>
      </c>
      <c r="K705" s="163" t="str">
        <f>IF(tbTransactions[[#This Row],[Sub-Type]]="Transfer","Neutral",IF(tbTransactions[[#This Row],[Qty]]&lt;0,"Debit",IF(tbTransactions[[#This Row],[Qty]]&gt;0,"Credit","Neutral")))</f>
        <v>Debit</v>
      </c>
      <c r="L705" s="163" t="s">
        <v>29</v>
      </c>
      <c r="M705" s="171" t="s">
        <v>668</v>
      </c>
    </row>
    <row r="706" spans="3:13" ht="30" customHeight="1" x14ac:dyDescent="0.25">
      <c r="C706" s="175">
        <v>704</v>
      </c>
      <c r="D706" s="163">
        <v>44477</v>
      </c>
      <c r="E706" s="171">
        <v>1.85321983E-2</v>
      </c>
      <c r="F706" s="171">
        <v>0</v>
      </c>
      <c r="G706" s="172">
        <v>1</v>
      </c>
      <c r="H706" s="171">
        <f>tbTransactions[[#This Row],[Qty]]*tbTransactions[[#This Row],[Unit Cost]]*tbTransactions[[#This Row],[Exchange Rate]]</f>
        <v>0</v>
      </c>
      <c r="I706" s="148" t="s">
        <v>511</v>
      </c>
      <c r="J706" s="176" t="s">
        <v>20</v>
      </c>
      <c r="K706" s="163" t="str">
        <f>IF(tbTransactions[[#This Row],[Sub-Type]]="Transfer","Neutral",IF(tbTransactions[[#This Row],[Qty]]&lt;0,"Debit",IF(tbTransactions[[#This Row],[Qty]]&gt;0,"Credit","Neutral")))</f>
        <v>Credit</v>
      </c>
      <c r="L706" s="163" t="s">
        <v>518</v>
      </c>
      <c r="M706" s="171" t="s">
        <v>465</v>
      </c>
    </row>
    <row r="707" spans="3:13" ht="30" customHeight="1" x14ac:dyDescent="0.25">
      <c r="C707" s="175">
        <v>705</v>
      </c>
      <c r="D707" s="163">
        <v>44478</v>
      </c>
      <c r="E707" s="171">
        <v>2.17790663E-2</v>
      </c>
      <c r="F707" s="171">
        <v>0</v>
      </c>
      <c r="G707" s="172">
        <v>1</v>
      </c>
      <c r="H707" s="171">
        <f>tbTransactions[[#This Row],[Qty]]*tbTransactions[[#This Row],[Unit Cost]]*tbTransactions[[#This Row],[Exchange Rate]]</f>
        <v>0</v>
      </c>
      <c r="I707" s="148" t="s">
        <v>511</v>
      </c>
      <c r="J707" s="176" t="s">
        <v>20</v>
      </c>
      <c r="K707" s="163" t="str">
        <f>IF(tbTransactions[[#This Row],[Sub-Type]]="Transfer","Neutral",IF(tbTransactions[[#This Row],[Qty]]&lt;0,"Debit",IF(tbTransactions[[#This Row],[Qty]]&gt;0,"Credit","Neutral")))</f>
        <v>Credit</v>
      </c>
      <c r="L707" s="163" t="s">
        <v>518</v>
      </c>
      <c r="M707" s="171" t="s">
        <v>465</v>
      </c>
    </row>
    <row r="708" spans="3:13" ht="30" customHeight="1" x14ac:dyDescent="0.25">
      <c r="C708" s="175">
        <v>706</v>
      </c>
      <c r="D708" s="163">
        <v>44478</v>
      </c>
      <c r="E708" s="171">
        <v>1.5320413E-2</v>
      </c>
      <c r="F708" s="171">
        <v>0</v>
      </c>
      <c r="G708" s="172">
        <v>1</v>
      </c>
      <c r="H708" s="171">
        <f>tbTransactions[[#This Row],[Qty]]*tbTransactions[[#This Row],[Unit Cost]]*tbTransactions[[#This Row],[Exchange Rate]]</f>
        <v>0</v>
      </c>
      <c r="I708" s="148" t="s">
        <v>542</v>
      </c>
      <c r="J708" s="176" t="s">
        <v>22</v>
      </c>
      <c r="K708" s="163" t="str">
        <f>IF(tbTransactions[[#This Row],[Sub-Type]]="Transfer","Neutral",IF(tbTransactions[[#This Row],[Qty]]&lt;0,"Debit",IF(tbTransactions[[#This Row],[Qty]]&gt;0,"Credit","Neutral")))</f>
        <v>Credit</v>
      </c>
      <c r="L708" s="163" t="s">
        <v>518</v>
      </c>
      <c r="M708" s="171" t="s">
        <v>556</v>
      </c>
    </row>
    <row r="709" spans="3:13" ht="30" customHeight="1" x14ac:dyDescent="0.25">
      <c r="C709" s="175">
        <v>707</v>
      </c>
      <c r="D709" s="163">
        <v>44479</v>
      </c>
      <c r="E709" s="171">
        <v>1.7744034499999999E-2</v>
      </c>
      <c r="F709" s="171">
        <v>0</v>
      </c>
      <c r="G709" s="172">
        <v>1</v>
      </c>
      <c r="H709" s="171">
        <f>tbTransactions[[#This Row],[Qty]]*tbTransactions[[#This Row],[Unit Cost]]*tbTransactions[[#This Row],[Exchange Rate]]</f>
        <v>0</v>
      </c>
      <c r="I709" s="148" t="s">
        <v>511</v>
      </c>
      <c r="J709" s="176" t="s">
        <v>20</v>
      </c>
      <c r="K709" s="163" t="str">
        <f>IF(tbTransactions[[#This Row],[Sub-Type]]="Transfer","Neutral",IF(tbTransactions[[#This Row],[Qty]]&lt;0,"Debit",IF(tbTransactions[[#This Row],[Qty]]&gt;0,"Credit","Neutral")))</f>
        <v>Credit</v>
      </c>
      <c r="L709" s="163" t="s">
        <v>518</v>
      </c>
      <c r="M709" s="171" t="s">
        <v>465</v>
      </c>
    </row>
    <row r="710" spans="3:13" ht="30" customHeight="1" x14ac:dyDescent="0.25">
      <c r="C710" s="175">
        <v>708</v>
      </c>
      <c r="D710" s="163">
        <v>44480</v>
      </c>
      <c r="E710" s="171">
        <v>2.98089759E-2</v>
      </c>
      <c r="F710" s="171">
        <v>0</v>
      </c>
      <c r="G710" s="172">
        <v>1</v>
      </c>
      <c r="H710" s="171">
        <f>tbTransactions[[#This Row],[Qty]]*tbTransactions[[#This Row],[Unit Cost]]*tbTransactions[[#This Row],[Exchange Rate]]</f>
        <v>0</v>
      </c>
      <c r="I710" s="148" t="s">
        <v>511</v>
      </c>
      <c r="J710" s="176" t="s">
        <v>20</v>
      </c>
      <c r="K710" s="163" t="str">
        <f>IF(tbTransactions[[#This Row],[Sub-Type]]="Transfer","Neutral",IF(tbTransactions[[#This Row],[Qty]]&lt;0,"Debit",IF(tbTransactions[[#This Row],[Qty]]&gt;0,"Credit","Neutral")))</f>
        <v>Credit</v>
      </c>
      <c r="L710" s="163" t="s">
        <v>518</v>
      </c>
      <c r="M710" s="171" t="s">
        <v>465</v>
      </c>
    </row>
    <row r="711" spans="3:13" ht="30" customHeight="1" x14ac:dyDescent="0.25">
      <c r="C711" s="175">
        <v>709</v>
      </c>
      <c r="D711" s="163">
        <v>44481</v>
      </c>
      <c r="E711" s="171">
        <v>-3.2590000000000002E-3</v>
      </c>
      <c r="F711" s="171">
        <v>1.46</v>
      </c>
      <c r="G711" s="172">
        <v>1</v>
      </c>
      <c r="H711" s="171">
        <f>tbTransactions[[#This Row],[Qty]]*tbTransactions[[#This Row],[Unit Cost]]*tbTransactions[[#This Row],[Exchange Rate]]</f>
        <v>-4.7581400000000001E-3</v>
      </c>
      <c r="I711" s="148" t="s">
        <v>594</v>
      </c>
      <c r="J711" s="176" t="s">
        <v>423</v>
      </c>
      <c r="K711" s="163" t="str">
        <f>IF(tbTransactions[[#This Row],[Sub-Type]]="Transfer","Neutral",IF(tbTransactions[[#This Row],[Qty]]&lt;0,"Debit",IF(tbTransactions[[#This Row],[Qty]]&gt;0,"Credit","Neutral")))</f>
        <v>Debit</v>
      </c>
      <c r="L711" s="163" t="s">
        <v>12</v>
      </c>
      <c r="M711" s="171" t="s">
        <v>646</v>
      </c>
    </row>
    <row r="712" spans="3:13" ht="30" customHeight="1" x14ac:dyDescent="0.25">
      <c r="C712" s="175">
        <v>710</v>
      </c>
      <c r="D712" s="163">
        <v>44481</v>
      </c>
      <c r="E712" s="171">
        <v>-2340</v>
      </c>
      <c r="F712" s="171">
        <v>1.25</v>
      </c>
      <c r="G712" s="172">
        <v>1</v>
      </c>
      <c r="H712" s="171">
        <f>tbTransactions[[#This Row],[Qty]]*tbTransactions[[#This Row],[Unit Cost]]*tbTransactions[[#This Row],[Exchange Rate]]</f>
        <v>-2925</v>
      </c>
      <c r="I712" s="148" t="s">
        <v>594</v>
      </c>
      <c r="J712" s="176" t="s">
        <v>602</v>
      </c>
      <c r="K712" s="163" t="str">
        <f>IF(tbTransactions[[#This Row],[Sub-Type]]="Transfer","Neutral",IF(tbTransactions[[#This Row],[Qty]]&lt;0,"Debit",IF(tbTransactions[[#This Row],[Qty]]&gt;0,"Credit","Neutral")))</f>
        <v>Debit</v>
      </c>
      <c r="L712" s="163" t="s">
        <v>603</v>
      </c>
      <c r="M712" s="171" t="s">
        <v>646</v>
      </c>
    </row>
    <row r="713" spans="3:13" ht="30" customHeight="1" x14ac:dyDescent="0.25">
      <c r="C713" s="175">
        <v>711</v>
      </c>
      <c r="D713" s="163">
        <v>44481</v>
      </c>
      <c r="E713" s="171">
        <v>0.67683959047533104</v>
      </c>
      <c r="F713" s="171">
        <v>4304</v>
      </c>
      <c r="G713" s="172">
        <v>1</v>
      </c>
      <c r="H713" s="171">
        <f>tbTransactions[[#This Row],[Qty]]*tbTransactions[[#This Row],[Unit Cost]]*tbTransactions[[#This Row],[Exchange Rate]]</f>
        <v>2913.1175974058247</v>
      </c>
      <c r="I713" s="148" t="s">
        <v>594</v>
      </c>
      <c r="J713" s="176" t="s">
        <v>22</v>
      </c>
      <c r="K713" s="163" t="str">
        <f>IF(tbTransactions[[#This Row],[Sub-Type]]="Transfer","Neutral",IF(tbTransactions[[#This Row],[Qty]]&lt;0,"Debit",IF(tbTransactions[[#This Row],[Qty]]&gt;0,"Credit","Neutral")))</f>
        <v>Credit</v>
      </c>
      <c r="L713" s="163" t="s">
        <v>603</v>
      </c>
      <c r="M713" s="171" t="s">
        <v>646</v>
      </c>
    </row>
    <row r="714" spans="3:13" ht="30" customHeight="1" x14ac:dyDescent="0.25">
      <c r="C714" s="175">
        <v>712</v>
      </c>
      <c r="D714" s="163">
        <v>44481</v>
      </c>
      <c r="E714" s="171">
        <v>2.5129520999999998E-2</v>
      </c>
      <c r="F714" s="171">
        <v>0</v>
      </c>
      <c r="G714" s="172">
        <v>1</v>
      </c>
      <c r="H714" s="171">
        <f>tbTransactions[[#This Row],[Qty]]*tbTransactions[[#This Row],[Unit Cost]]*tbTransactions[[#This Row],[Exchange Rate]]</f>
        <v>0</v>
      </c>
      <c r="I714" s="148" t="s">
        <v>511</v>
      </c>
      <c r="J714" s="176" t="s">
        <v>20</v>
      </c>
      <c r="K714" s="163" t="str">
        <f>IF(tbTransactions[[#This Row],[Sub-Type]]="Transfer","Neutral",IF(tbTransactions[[#This Row],[Qty]]&lt;0,"Debit",IF(tbTransactions[[#This Row],[Qty]]&gt;0,"Credit","Neutral")))</f>
        <v>Credit</v>
      </c>
      <c r="L714" s="163" t="s">
        <v>518</v>
      </c>
      <c r="M714" s="171" t="s">
        <v>465</v>
      </c>
    </row>
    <row r="715" spans="3:13" ht="30" customHeight="1" x14ac:dyDescent="0.25">
      <c r="C715" s="175">
        <v>713</v>
      </c>
      <c r="D715" s="163">
        <v>44481</v>
      </c>
      <c r="E715" s="171">
        <v>0.96875</v>
      </c>
      <c r="F715" s="171">
        <v>0</v>
      </c>
      <c r="G715" s="172">
        <v>1</v>
      </c>
      <c r="H715" s="171">
        <f>tbTransactions[[#This Row],[Qty]]*tbTransactions[[#This Row],[Unit Cost]]*tbTransactions[[#This Row],[Exchange Rate]]</f>
        <v>0</v>
      </c>
      <c r="I715" s="148" t="s">
        <v>507</v>
      </c>
      <c r="J715" s="176" t="s">
        <v>17</v>
      </c>
      <c r="K715" s="163" t="str">
        <f>IF(tbTransactions[[#This Row],[Sub-Type]]="Transfer","Neutral",IF(tbTransactions[[#This Row],[Qty]]&lt;0,"Debit",IF(tbTransactions[[#This Row],[Qty]]&gt;0,"Credit","Neutral")))</f>
        <v>Credit</v>
      </c>
      <c r="L715" s="163" t="s">
        <v>518</v>
      </c>
      <c r="M715" s="171" t="s">
        <v>427</v>
      </c>
    </row>
    <row r="716" spans="3:13" ht="30" customHeight="1" x14ac:dyDescent="0.25">
      <c r="C716" s="175">
        <v>714</v>
      </c>
      <c r="D716" s="163">
        <v>44482</v>
      </c>
      <c r="E716" s="171">
        <v>1.54</v>
      </c>
      <c r="F716" s="171">
        <v>-3.506E-3</v>
      </c>
      <c r="G716" s="172">
        <v>1</v>
      </c>
      <c r="H716" s="171">
        <f>tbTransactions[[#This Row],[Qty]]*tbTransactions[[#This Row],[Unit Cost]]*tbTransactions[[#This Row],[Exchange Rate]]</f>
        <v>-5.3992400000000005E-3</v>
      </c>
      <c r="I716" s="148" t="s">
        <v>594</v>
      </c>
      <c r="J716" s="176" t="s">
        <v>423</v>
      </c>
      <c r="K716" s="163" t="str">
        <f>IF(tbTransactions[[#This Row],[Sub-Type]]="Transfer","Neutral",IF(tbTransactions[[#This Row],[Qty]]&lt;0,"Debit",IF(tbTransactions[[#This Row],[Qty]]&gt;0,"Credit","Neutral")))</f>
        <v>Credit</v>
      </c>
      <c r="L716" s="163" t="s">
        <v>12</v>
      </c>
      <c r="M716" s="171" t="s">
        <v>636</v>
      </c>
    </row>
    <row r="717" spans="3:13" ht="30" customHeight="1" x14ac:dyDescent="0.25">
      <c r="C717" s="175">
        <v>715</v>
      </c>
      <c r="D717" s="163">
        <v>44482</v>
      </c>
      <c r="E717" s="171">
        <v>-0.71</v>
      </c>
      <c r="F717" s="171">
        <v>4473</v>
      </c>
      <c r="G717" s="172">
        <v>1</v>
      </c>
      <c r="H717" s="171">
        <f>tbTransactions[[#This Row],[Qty]]*tbTransactions[[#This Row],[Unit Cost]]*tbTransactions[[#This Row],[Exchange Rate]]</f>
        <v>-3175.83</v>
      </c>
      <c r="I717" s="148" t="s">
        <v>594</v>
      </c>
      <c r="J717" s="176" t="s">
        <v>22</v>
      </c>
      <c r="K717" s="163" t="str">
        <f>IF(tbTransactions[[#This Row],[Sub-Type]]="Transfer","Neutral",IF(tbTransactions[[#This Row],[Qty]]&lt;0,"Debit",IF(tbTransactions[[#This Row],[Qty]]&gt;0,"Credit","Neutral")))</f>
        <v>Debit</v>
      </c>
      <c r="L717" s="163" t="s">
        <v>603</v>
      </c>
      <c r="M717" s="171" t="s">
        <v>636</v>
      </c>
    </row>
    <row r="718" spans="3:13" ht="30" customHeight="1" x14ac:dyDescent="0.25">
      <c r="C718" s="175">
        <v>716</v>
      </c>
      <c r="D718" s="163">
        <v>44482</v>
      </c>
      <c r="E718" s="171">
        <v>2542.1299770000001</v>
      </c>
      <c r="F718" s="171">
        <v>1.24</v>
      </c>
      <c r="G718" s="172">
        <v>1</v>
      </c>
      <c r="H718" s="171">
        <f>tbTransactions[[#This Row],[Qty]]*tbTransactions[[#This Row],[Unit Cost]]*tbTransactions[[#This Row],[Exchange Rate]]</f>
        <v>3152.24117148</v>
      </c>
      <c r="I718" s="148" t="s">
        <v>594</v>
      </c>
      <c r="J718" s="176" t="s">
        <v>602</v>
      </c>
      <c r="K718" s="163" t="str">
        <f>IF(tbTransactions[[#This Row],[Sub-Type]]="Transfer","Neutral",IF(tbTransactions[[#This Row],[Qty]]&lt;0,"Debit",IF(tbTransactions[[#This Row],[Qty]]&gt;0,"Credit","Neutral")))</f>
        <v>Credit</v>
      </c>
      <c r="L718" s="163" t="s">
        <v>603</v>
      </c>
      <c r="M718" s="171" t="s">
        <v>636</v>
      </c>
    </row>
    <row r="719" spans="3:13" ht="30" customHeight="1" x14ac:dyDescent="0.25">
      <c r="C719" s="175">
        <v>717</v>
      </c>
      <c r="D719" s="163">
        <v>44482</v>
      </c>
      <c r="E719" s="171">
        <v>3.07507458E-2</v>
      </c>
      <c r="F719" s="171">
        <v>0</v>
      </c>
      <c r="G719" s="172">
        <v>1</v>
      </c>
      <c r="H719" s="171">
        <f>tbTransactions[[#This Row],[Qty]]*tbTransactions[[#This Row],[Unit Cost]]*tbTransactions[[#This Row],[Exchange Rate]]</f>
        <v>0</v>
      </c>
      <c r="I719" s="148" t="s">
        <v>511</v>
      </c>
      <c r="J719" s="176" t="s">
        <v>20</v>
      </c>
      <c r="K719" s="163" t="str">
        <f>IF(tbTransactions[[#This Row],[Sub-Type]]="Transfer","Neutral",IF(tbTransactions[[#This Row],[Qty]]&lt;0,"Debit",IF(tbTransactions[[#This Row],[Qty]]&gt;0,"Credit","Neutral")))</f>
        <v>Credit</v>
      </c>
      <c r="L719" s="163" t="s">
        <v>518</v>
      </c>
      <c r="M719" s="171" t="s">
        <v>465</v>
      </c>
    </row>
    <row r="720" spans="3:13" ht="30" customHeight="1" x14ac:dyDescent="0.25">
      <c r="C720" s="175">
        <v>718</v>
      </c>
      <c r="D720" s="163">
        <v>44483</v>
      </c>
      <c r="E720" s="171">
        <v>-6.4300000000000002E-4</v>
      </c>
      <c r="F720" s="171">
        <v>1.59</v>
      </c>
      <c r="G720" s="172">
        <v>1</v>
      </c>
      <c r="H720" s="171">
        <f>tbTransactions[[#This Row],[Qty]]*tbTransactions[[#This Row],[Unit Cost]]*tbTransactions[[#This Row],[Exchange Rate]]</f>
        <v>-1.0223700000000001E-3</v>
      </c>
      <c r="I720" s="148" t="s">
        <v>594</v>
      </c>
      <c r="J720" s="176" t="s">
        <v>423</v>
      </c>
      <c r="K720" s="163" t="str">
        <f>IF(tbTransactions[[#This Row],[Sub-Type]]="Transfer","Neutral",IF(tbTransactions[[#This Row],[Qty]]&lt;0,"Debit",IF(tbTransactions[[#This Row],[Qty]]&gt;0,"Credit","Neutral")))</f>
        <v>Debit</v>
      </c>
      <c r="L720" s="163" t="s">
        <v>12</v>
      </c>
      <c r="M720" s="171" t="s">
        <v>636</v>
      </c>
    </row>
    <row r="721" spans="3:13" ht="30" customHeight="1" x14ac:dyDescent="0.25">
      <c r="C721" s="175">
        <v>719</v>
      </c>
      <c r="D721" s="163">
        <v>44483</v>
      </c>
      <c r="E721" s="171">
        <v>-0.71</v>
      </c>
      <c r="F721" s="171">
        <v>4643.29</v>
      </c>
      <c r="G721" s="172">
        <v>1</v>
      </c>
      <c r="H721" s="171">
        <f>tbTransactions[[#This Row],[Qty]]*tbTransactions[[#This Row],[Unit Cost]]*tbTransactions[[#This Row],[Exchange Rate]]</f>
        <v>-3296.7358999999997</v>
      </c>
      <c r="I721" s="148" t="s">
        <v>594</v>
      </c>
      <c r="J721" s="176" t="s">
        <v>22</v>
      </c>
      <c r="K721" s="163" t="str">
        <f>IF(tbTransactions[[#This Row],[Sub-Type]]="Transfer","Neutral",IF(tbTransactions[[#This Row],[Qty]]&lt;0,"Debit",IF(tbTransactions[[#This Row],[Qty]]&gt;0,"Credit","Neutral")))</f>
        <v>Debit</v>
      </c>
      <c r="L721" s="163" t="s">
        <v>603</v>
      </c>
      <c r="M721" s="171" t="s">
        <v>636</v>
      </c>
    </row>
    <row r="722" spans="3:13" ht="30" customHeight="1" x14ac:dyDescent="0.25">
      <c r="C722" s="175">
        <v>720</v>
      </c>
      <c r="D722" s="163">
        <v>44483</v>
      </c>
      <c r="E722" s="171">
        <v>2644.314934</v>
      </c>
      <c r="F722" s="171">
        <v>1.24</v>
      </c>
      <c r="G722" s="172">
        <v>1</v>
      </c>
      <c r="H722" s="171">
        <f>tbTransactions[[#This Row],[Qty]]*tbTransactions[[#This Row],[Unit Cost]]*tbTransactions[[#This Row],[Exchange Rate]]</f>
        <v>3278.9505181599998</v>
      </c>
      <c r="I722" s="148" t="s">
        <v>594</v>
      </c>
      <c r="J722" s="176" t="s">
        <v>602</v>
      </c>
      <c r="K722" s="163" t="str">
        <f>IF(tbTransactions[[#This Row],[Sub-Type]]="Transfer","Neutral",IF(tbTransactions[[#This Row],[Qty]]&lt;0,"Debit",IF(tbTransactions[[#This Row],[Qty]]&gt;0,"Credit","Neutral")))</f>
        <v>Credit</v>
      </c>
      <c r="L722" s="163" t="s">
        <v>603</v>
      </c>
      <c r="M722" s="171" t="s">
        <v>636</v>
      </c>
    </row>
    <row r="723" spans="3:13" ht="30" customHeight="1" x14ac:dyDescent="0.25">
      <c r="C723" s="175">
        <v>721</v>
      </c>
      <c r="D723" s="163">
        <v>44483</v>
      </c>
      <c r="E723" s="171">
        <v>2.5570058100000001E-2</v>
      </c>
      <c r="F723" s="171">
        <v>0</v>
      </c>
      <c r="G723" s="172">
        <v>1</v>
      </c>
      <c r="H723" s="171">
        <f>tbTransactions[[#This Row],[Qty]]*tbTransactions[[#This Row],[Unit Cost]]*tbTransactions[[#This Row],[Exchange Rate]]</f>
        <v>0</v>
      </c>
      <c r="I723" s="148" t="s">
        <v>511</v>
      </c>
      <c r="J723" s="176" t="s">
        <v>20</v>
      </c>
      <c r="K723" s="163" t="str">
        <f>IF(tbTransactions[[#This Row],[Sub-Type]]="Transfer","Neutral",IF(tbTransactions[[#This Row],[Qty]]&lt;0,"Debit",IF(tbTransactions[[#This Row],[Qty]]&gt;0,"Credit","Neutral")))</f>
        <v>Credit</v>
      </c>
      <c r="L723" s="163" t="s">
        <v>518</v>
      </c>
      <c r="M723" s="171" t="s">
        <v>465</v>
      </c>
    </row>
    <row r="724" spans="3:13" ht="30" customHeight="1" x14ac:dyDescent="0.25">
      <c r="C724" s="175">
        <v>722</v>
      </c>
      <c r="D724" s="163">
        <v>44483</v>
      </c>
      <c r="E724" s="171">
        <v>2008.3</v>
      </c>
      <c r="F724" s="171">
        <v>1.24</v>
      </c>
      <c r="G724" s="172">
        <v>1</v>
      </c>
      <c r="H724" s="171">
        <f>tbTransactions[[#This Row],[Qty]]*tbTransactions[[#This Row],[Unit Cost]]*tbTransactions[[#This Row],[Exchange Rate]]</f>
        <v>2490.2919999999999</v>
      </c>
      <c r="I724" s="148" t="s">
        <v>594</v>
      </c>
      <c r="J724" s="176" t="s">
        <v>602</v>
      </c>
      <c r="K724" s="163" t="str">
        <f>IF(tbTransactions[[#This Row],[Sub-Type]]="Transfer","Neutral",IF(tbTransactions[[#This Row],[Qty]]&lt;0,"Debit",IF(tbTransactions[[#This Row],[Qty]]&gt;0,"Credit","Neutral")))</f>
        <v>Credit</v>
      </c>
      <c r="L724" s="163" t="s">
        <v>505</v>
      </c>
      <c r="M724" s="171" t="s">
        <v>628</v>
      </c>
    </row>
    <row r="725" spans="3:13" ht="30" customHeight="1" x14ac:dyDescent="0.25">
      <c r="C725" s="175">
        <v>723</v>
      </c>
      <c r="D725" s="163">
        <v>44483</v>
      </c>
      <c r="E725" s="171">
        <v>-2485</v>
      </c>
      <c r="F725" s="171">
        <v>1</v>
      </c>
      <c r="G725" s="172">
        <v>1</v>
      </c>
      <c r="H725" s="171">
        <f>tbTransactions[[#This Row],[Qty]]*tbTransactions[[#This Row],[Unit Cost]]*tbTransactions[[#This Row],[Exchange Rate]]</f>
        <v>-2485</v>
      </c>
      <c r="I725" s="148" t="s">
        <v>499</v>
      </c>
      <c r="J725" s="176" t="s">
        <v>411</v>
      </c>
      <c r="K725" s="163" t="str">
        <f>IF(tbTransactions[[#This Row],[Sub-Type]]="Transfer","Neutral",IF(tbTransactions[[#This Row],[Qty]]&lt;0,"Debit",IF(tbTransactions[[#This Row],[Qty]]&gt;0,"Credit","Neutral")))</f>
        <v>Debit</v>
      </c>
      <c r="L725" s="163" t="s">
        <v>502</v>
      </c>
      <c r="M725" s="171" t="s">
        <v>628</v>
      </c>
    </row>
    <row r="726" spans="3:13" ht="30" customHeight="1" x14ac:dyDescent="0.25">
      <c r="C726" s="175">
        <v>724</v>
      </c>
      <c r="D726" s="163">
        <v>44483</v>
      </c>
      <c r="E726" s="171">
        <v>-15</v>
      </c>
      <c r="F726" s="171">
        <v>1</v>
      </c>
      <c r="G726" s="172">
        <v>1</v>
      </c>
      <c r="H726" s="171">
        <f>tbTransactions[[#This Row],[Qty]]*tbTransactions[[#This Row],[Unit Cost]]*tbTransactions[[#This Row],[Exchange Rate]]</f>
        <v>-15</v>
      </c>
      <c r="I726" s="148" t="s">
        <v>499</v>
      </c>
      <c r="J726" s="176" t="s">
        <v>411</v>
      </c>
      <c r="K726" s="163" t="str">
        <f>IF(tbTransactions[[#This Row],[Sub-Type]]="Transfer","Neutral",IF(tbTransactions[[#This Row],[Qty]]&lt;0,"Debit",IF(tbTransactions[[#This Row],[Qty]]&gt;0,"Credit","Neutral")))</f>
        <v>Debit</v>
      </c>
      <c r="L726" s="163" t="s">
        <v>12</v>
      </c>
      <c r="M726" s="171" t="s">
        <v>628</v>
      </c>
    </row>
    <row r="727" spans="3:13" ht="30" customHeight="1" x14ac:dyDescent="0.25">
      <c r="C727" s="175">
        <v>725</v>
      </c>
      <c r="D727" s="163">
        <v>44483</v>
      </c>
      <c r="E727" s="171">
        <v>-1.3935600000000001E-3</v>
      </c>
      <c r="F727" s="171">
        <v>1.55</v>
      </c>
      <c r="G727" s="172">
        <v>1</v>
      </c>
      <c r="H727" s="171">
        <f>tbTransactions[[#This Row],[Qty]]*tbTransactions[[#This Row],[Unit Cost]]*tbTransactions[[#This Row],[Exchange Rate]]</f>
        <v>-2.1600180000000001E-3</v>
      </c>
      <c r="I727" s="148" t="s">
        <v>594</v>
      </c>
      <c r="J727" s="176" t="s">
        <v>423</v>
      </c>
      <c r="K727" s="163" t="str">
        <f>IF(tbTransactions[[#This Row],[Sub-Type]]="Transfer","Neutral",IF(tbTransactions[[#This Row],[Qty]]&lt;0,"Debit",IF(tbTransactions[[#This Row],[Qty]]&gt;0,"Credit","Neutral")))</f>
        <v>Debit</v>
      </c>
      <c r="L727" s="163" t="s">
        <v>12</v>
      </c>
      <c r="M727" s="171" t="s">
        <v>628</v>
      </c>
    </row>
    <row r="728" spans="3:13" ht="30" customHeight="1" x14ac:dyDescent="0.25">
      <c r="C728" s="175">
        <v>726</v>
      </c>
      <c r="D728" s="163">
        <v>44484</v>
      </c>
      <c r="E728" s="171">
        <v>2.97761938E-2</v>
      </c>
      <c r="F728" s="171">
        <v>0</v>
      </c>
      <c r="G728" s="172">
        <v>1</v>
      </c>
      <c r="H728" s="171">
        <f>tbTransactions[[#This Row],[Qty]]*tbTransactions[[#This Row],[Unit Cost]]*tbTransactions[[#This Row],[Exchange Rate]]</f>
        <v>0</v>
      </c>
      <c r="I728" s="148" t="s">
        <v>511</v>
      </c>
      <c r="J728" s="176" t="s">
        <v>20</v>
      </c>
      <c r="K728" s="163" t="str">
        <f>IF(tbTransactions[[#This Row],[Sub-Type]]="Transfer","Neutral",IF(tbTransactions[[#This Row],[Qty]]&lt;0,"Debit",IF(tbTransactions[[#This Row],[Qty]]&gt;0,"Credit","Neutral")))</f>
        <v>Credit</v>
      </c>
      <c r="L728" s="163" t="s">
        <v>518</v>
      </c>
      <c r="M728" s="171" t="s">
        <v>465</v>
      </c>
    </row>
    <row r="729" spans="3:13" ht="30" customHeight="1" x14ac:dyDescent="0.25">
      <c r="C729" s="175">
        <v>727</v>
      </c>
      <c r="D729" s="163">
        <v>44485</v>
      </c>
      <c r="E729" s="171">
        <v>2009.38</v>
      </c>
      <c r="F729" s="171">
        <v>1.23</v>
      </c>
      <c r="G729" s="172">
        <v>1</v>
      </c>
      <c r="H729" s="171">
        <f>tbTransactions[[#This Row],[Qty]]*tbTransactions[[#This Row],[Unit Cost]]*tbTransactions[[#This Row],[Exchange Rate]]</f>
        <v>2471.5374000000002</v>
      </c>
      <c r="I729" s="148" t="s">
        <v>594</v>
      </c>
      <c r="J729" s="176" t="s">
        <v>602</v>
      </c>
      <c r="K729" s="163" t="str">
        <f>IF(tbTransactions[[#This Row],[Sub-Type]]="Transfer","Neutral",IF(tbTransactions[[#This Row],[Qty]]&lt;0,"Debit",IF(tbTransactions[[#This Row],[Qty]]&gt;0,"Credit","Neutral")))</f>
        <v>Credit</v>
      </c>
      <c r="L729" s="163" t="s">
        <v>505</v>
      </c>
      <c r="M729" s="171" t="s">
        <v>628</v>
      </c>
    </row>
    <row r="730" spans="3:13" ht="30" customHeight="1" x14ac:dyDescent="0.25">
      <c r="C730" s="175">
        <v>728</v>
      </c>
      <c r="D730" s="163">
        <v>44485</v>
      </c>
      <c r="E730" s="171">
        <v>-2485</v>
      </c>
      <c r="F730" s="171">
        <v>1</v>
      </c>
      <c r="G730" s="172">
        <v>1</v>
      </c>
      <c r="H730" s="171">
        <f>tbTransactions[[#This Row],[Qty]]*tbTransactions[[#This Row],[Unit Cost]]*tbTransactions[[#This Row],[Exchange Rate]]</f>
        <v>-2485</v>
      </c>
      <c r="I730" s="148" t="s">
        <v>499</v>
      </c>
      <c r="J730" s="176" t="s">
        <v>411</v>
      </c>
      <c r="K730" s="163" t="str">
        <f>IF(tbTransactions[[#This Row],[Sub-Type]]="Transfer","Neutral",IF(tbTransactions[[#This Row],[Qty]]&lt;0,"Debit",IF(tbTransactions[[#This Row],[Qty]]&gt;0,"Credit","Neutral")))</f>
        <v>Debit</v>
      </c>
      <c r="L730" s="163" t="s">
        <v>502</v>
      </c>
      <c r="M730" s="171" t="s">
        <v>628</v>
      </c>
    </row>
    <row r="731" spans="3:13" ht="30" customHeight="1" x14ac:dyDescent="0.25">
      <c r="C731" s="175">
        <v>729</v>
      </c>
      <c r="D731" s="163">
        <v>44485</v>
      </c>
      <c r="E731" s="171">
        <v>-15</v>
      </c>
      <c r="F731" s="171">
        <v>1</v>
      </c>
      <c r="G731" s="172">
        <v>1</v>
      </c>
      <c r="H731" s="171">
        <f>tbTransactions[[#This Row],[Qty]]*tbTransactions[[#This Row],[Unit Cost]]*tbTransactions[[#This Row],[Exchange Rate]]</f>
        <v>-15</v>
      </c>
      <c r="I731" s="148" t="s">
        <v>499</v>
      </c>
      <c r="J731" s="176" t="s">
        <v>411</v>
      </c>
      <c r="K731" s="163" t="str">
        <f>IF(tbTransactions[[#This Row],[Sub-Type]]="Transfer","Neutral",IF(tbTransactions[[#This Row],[Qty]]&lt;0,"Debit",IF(tbTransactions[[#This Row],[Qty]]&gt;0,"Credit","Neutral")))</f>
        <v>Debit</v>
      </c>
      <c r="L731" s="163" t="s">
        <v>12</v>
      </c>
      <c r="M731" s="171" t="s">
        <v>628</v>
      </c>
    </row>
    <row r="732" spans="3:13" ht="30" customHeight="1" x14ac:dyDescent="0.25">
      <c r="C732" s="175">
        <v>730</v>
      </c>
      <c r="D732" s="163">
        <v>44485</v>
      </c>
      <c r="E732" s="171">
        <v>-1.3935600000000001E-3</v>
      </c>
      <c r="F732" s="171">
        <v>1.9</v>
      </c>
      <c r="G732" s="172">
        <v>1</v>
      </c>
      <c r="H732" s="171">
        <f>tbTransactions[[#This Row],[Qty]]*tbTransactions[[#This Row],[Unit Cost]]*tbTransactions[[#This Row],[Exchange Rate]]</f>
        <v>-2.6477639999999999E-3</v>
      </c>
      <c r="I732" s="148" t="s">
        <v>594</v>
      </c>
      <c r="J732" s="176" t="s">
        <v>423</v>
      </c>
      <c r="K732" s="163" t="str">
        <f>IF(tbTransactions[[#This Row],[Sub-Type]]="Transfer","Neutral",IF(tbTransactions[[#This Row],[Qty]]&lt;0,"Debit",IF(tbTransactions[[#This Row],[Qty]]&gt;0,"Credit","Neutral")))</f>
        <v>Debit</v>
      </c>
      <c r="L732" s="163" t="s">
        <v>12</v>
      </c>
      <c r="M732" s="171" t="s">
        <v>628</v>
      </c>
    </row>
    <row r="733" spans="3:13" ht="30" customHeight="1" x14ac:dyDescent="0.25">
      <c r="C733" s="175">
        <v>731</v>
      </c>
      <c r="D733" s="163">
        <v>44485</v>
      </c>
      <c r="E733" s="171">
        <v>-3.5720000000000001E-3</v>
      </c>
      <c r="F733" s="171">
        <v>1.89</v>
      </c>
      <c r="G733" s="172">
        <v>1</v>
      </c>
      <c r="H733" s="171">
        <f>tbTransactions[[#This Row],[Qty]]*tbTransactions[[#This Row],[Unit Cost]]*tbTransactions[[#This Row],[Exchange Rate]]</f>
        <v>-6.7510799999999996E-3</v>
      </c>
      <c r="I733" s="148" t="s">
        <v>594</v>
      </c>
      <c r="J733" s="176" t="s">
        <v>423</v>
      </c>
      <c r="K733" s="163" t="str">
        <f>IF(tbTransactions[[#This Row],[Sub-Type]]="Transfer","Neutral",IF(tbTransactions[[#This Row],[Qty]]&lt;0,"Debit",IF(tbTransactions[[#This Row],[Qty]]&gt;0,"Credit","Neutral")))</f>
        <v>Debit</v>
      </c>
      <c r="L733" s="163" t="s">
        <v>12</v>
      </c>
      <c r="M733" s="171" t="s">
        <v>646</v>
      </c>
    </row>
    <row r="734" spans="3:13" ht="30" customHeight="1" x14ac:dyDescent="0.25">
      <c r="C734" s="175">
        <v>732</v>
      </c>
      <c r="D734" s="163">
        <v>44485</v>
      </c>
      <c r="E734" s="171">
        <v>1.0771488870000001</v>
      </c>
      <c r="F734" s="171">
        <v>4779.3500000000004</v>
      </c>
      <c r="G734" s="172">
        <v>1</v>
      </c>
      <c r="H734" s="171">
        <f>tbTransactions[[#This Row],[Qty]]*tbTransactions[[#This Row],[Unit Cost]]*tbTransactions[[#This Row],[Exchange Rate]]</f>
        <v>5148.071533083451</v>
      </c>
      <c r="I734" s="148" t="s">
        <v>594</v>
      </c>
      <c r="J734" s="176" t="s">
        <v>22</v>
      </c>
      <c r="K734" s="163" t="str">
        <f>IF(tbTransactions[[#This Row],[Sub-Type]]="Transfer","Neutral",IF(tbTransactions[[#This Row],[Qty]]&lt;0,"Debit",IF(tbTransactions[[#This Row],[Qty]]&gt;0,"Credit","Neutral")))</f>
        <v>Credit</v>
      </c>
      <c r="L734" s="163" t="s">
        <v>603</v>
      </c>
      <c r="M734" s="171" t="s">
        <v>646</v>
      </c>
    </row>
    <row r="735" spans="3:13" ht="30" customHeight="1" x14ac:dyDescent="0.25">
      <c r="C735" s="175">
        <v>733</v>
      </c>
      <c r="D735" s="163">
        <v>44485</v>
      </c>
      <c r="E735" s="171">
        <v>-4179.3134499999996</v>
      </c>
      <c r="F735" s="171">
        <v>1.23</v>
      </c>
      <c r="G735" s="172">
        <v>1</v>
      </c>
      <c r="H735" s="171">
        <f>tbTransactions[[#This Row],[Qty]]*tbTransactions[[#This Row],[Unit Cost]]*tbTransactions[[#This Row],[Exchange Rate]]</f>
        <v>-5140.5555434999997</v>
      </c>
      <c r="I735" s="148" t="s">
        <v>594</v>
      </c>
      <c r="J735" s="176" t="s">
        <v>602</v>
      </c>
      <c r="K735" s="163" t="str">
        <f>IF(tbTransactions[[#This Row],[Sub-Type]]="Transfer","Neutral",IF(tbTransactions[[#This Row],[Qty]]&lt;0,"Debit",IF(tbTransactions[[#This Row],[Qty]]&gt;0,"Credit","Neutral")))</f>
        <v>Debit</v>
      </c>
      <c r="L735" s="163" t="s">
        <v>603</v>
      </c>
      <c r="M735" s="171" t="s">
        <v>646</v>
      </c>
    </row>
    <row r="736" spans="3:13" ht="30" customHeight="1" x14ac:dyDescent="0.25">
      <c r="C736" s="175">
        <v>734</v>
      </c>
      <c r="D736" s="163">
        <v>44485</v>
      </c>
      <c r="E736" s="171">
        <v>3.0761262300000002E-2</v>
      </c>
      <c r="F736" s="171">
        <v>0</v>
      </c>
      <c r="G736" s="172">
        <v>1</v>
      </c>
      <c r="H736" s="171">
        <f>tbTransactions[[#This Row],[Qty]]*tbTransactions[[#This Row],[Unit Cost]]*tbTransactions[[#This Row],[Exchange Rate]]</f>
        <v>0</v>
      </c>
      <c r="I736" s="148" t="s">
        <v>511</v>
      </c>
      <c r="J736" s="176" t="s">
        <v>20</v>
      </c>
      <c r="K736" s="163" t="str">
        <f>IF(tbTransactions[[#This Row],[Sub-Type]]="Transfer","Neutral",IF(tbTransactions[[#This Row],[Qty]]&lt;0,"Debit",IF(tbTransactions[[#This Row],[Qty]]&gt;0,"Credit","Neutral")))</f>
        <v>Credit</v>
      </c>
      <c r="L736" s="163" t="s">
        <v>518</v>
      </c>
      <c r="M736" s="171" t="s">
        <v>465</v>
      </c>
    </row>
    <row r="737" spans="3:13" ht="30" customHeight="1" x14ac:dyDescent="0.25">
      <c r="C737" s="175">
        <v>735</v>
      </c>
      <c r="D737" s="163">
        <v>44485</v>
      </c>
      <c r="E737" s="171">
        <v>1.5168511000000001E-2</v>
      </c>
      <c r="F737" s="171">
        <v>0</v>
      </c>
      <c r="G737" s="172">
        <v>1</v>
      </c>
      <c r="H737" s="171">
        <f>tbTransactions[[#This Row],[Qty]]*tbTransactions[[#This Row],[Unit Cost]]*tbTransactions[[#This Row],[Exchange Rate]]</f>
        <v>0</v>
      </c>
      <c r="I737" s="148" t="s">
        <v>542</v>
      </c>
      <c r="J737" s="176" t="s">
        <v>22</v>
      </c>
      <c r="K737" s="163" t="str">
        <f>IF(tbTransactions[[#This Row],[Sub-Type]]="Transfer","Neutral",IF(tbTransactions[[#This Row],[Qty]]&lt;0,"Debit",IF(tbTransactions[[#This Row],[Qty]]&gt;0,"Credit","Neutral")))</f>
        <v>Credit</v>
      </c>
      <c r="L737" s="163" t="s">
        <v>518</v>
      </c>
      <c r="M737" s="171" t="s">
        <v>556</v>
      </c>
    </row>
    <row r="738" spans="3:13" ht="30" customHeight="1" x14ac:dyDescent="0.25">
      <c r="C738" s="175">
        <v>736</v>
      </c>
      <c r="D738" s="163">
        <v>44486</v>
      </c>
      <c r="E738" s="171">
        <v>-3.5718299999999998E-3</v>
      </c>
      <c r="F738" s="171">
        <v>1.76</v>
      </c>
      <c r="G738" s="172">
        <v>1</v>
      </c>
      <c r="H738" s="171">
        <f>tbTransactions[[#This Row],[Qty]]*tbTransactions[[#This Row],[Unit Cost]]*tbTransactions[[#This Row],[Exchange Rate]]</f>
        <v>-6.2864207999999994E-3</v>
      </c>
      <c r="I738" s="148" t="s">
        <v>594</v>
      </c>
      <c r="J738" s="176" t="s">
        <v>423</v>
      </c>
      <c r="K738" s="163" t="str">
        <f>IF(tbTransactions[[#This Row],[Sub-Type]]="Transfer","Neutral",IF(tbTransactions[[#This Row],[Qty]]&lt;0,"Debit",IF(tbTransactions[[#This Row],[Qty]]&gt;0,"Credit","Neutral")))</f>
        <v>Debit</v>
      </c>
      <c r="L738" s="163" t="s">
        <v>12</v>
      </c>
      <c r="M738" s="171" t="s">
        <v>646</v>
      </c>
    </row>
    <row r="739" spans="3:13" ht="30" customHeight="1" x14ac:dyDescent="0.25">
      <c r="C739" s="175">
        <v>737</v>
      </c>
      <c r="D739" s="163">
        <v>44486</v>
      </c>
      <c r="E739" s="171">
        <v>0.93400000000000005</v>
      </c>
      <c r="F739" s="171">
        <v>4600</v>
      </c>
      <c r="G739" s="172">
        <v>1</v>
      </c>
      <c r="H739" s="171">
        <f>tbTransactions[[#This Row],[Qty]]*tbTransactions[[#This Row],[Unit Cost]]*tbTransactions[[#This Row],[Exchange Rate]]</f>
        <v>4296.4000000000005</v>
      </c>
      <c r="I739" s="148" t="s">
        <v>594</v>
      </c>
      <c r="J739" s="176" t="s">
        <v>22</v>
      </c>
      <c r="K739" s="163" t="str">
        <f>IF(tbTransactions[[#This Row],[Sub-Type]]="Transfer","Neutral",IF(tbTransactions[[#This Row],[Qty]]&lt;0,"Debit",IF(tbTransactions[[#This Row],[Qty]]&gt;0,"Credit","Neutral")))</f>
        <v>Credit</v>
      </c>
      <c r="L739" s="163" t="s">
        <v>603</v>
      </c>
      <c r="M739" s="171" t="s">
        <v>646</v>
      </c>
    </row>
    <row r="740" spans="3:13" ht="30" customHeight="1" x14ac:dyDescent="0.25">
      <c r="C740" s="175">
        <v>738</v>
      </c>
      <c r="D740" s="163">
        <v>44486</v>
      </c>
      <c r="E740" s="171">
        <v>-3472.4381250000001</v>
      </c>
      <c r="F740" s="171">
        <v>1.24</v>
      </c>
      <c r="G740" s="172">
        <v>1</v>
      </c>
      <c r="H740" s="171">
        <f>tbTransactions[[#This Row],[Qty]]*tbTransactions[[#This Row],[Unit Cost]]*tbTransactions[[#This Row],[Exchange Rate]]</f>
        <v>-4305.8232749999997</v>
      </c>
      <c r="I740" s="148" t="s">
        <v>594</v>
      </c>
      <c r="J740" s="176" t="s">
        <v>602</v>
      </c>
      <c r="K740" s="163" t="str">
        <f>IF(tbTransactions[[#This Row],[Sub-Type]]="Transfer","Neutral",IF(tbTransactions[[#This Row],[Qty]]&lt;0,"Debit",IF(tbTransactions[[#This Row],[Qty]]&gt;0,"Credit","Neutral")))</f>
        <v>Debit</v>
      </c>
      <c r="L740" s="163" t="s">
        <v>603</v>
      </c>
      <c r="M740" s="171" t="s">
        <v>646</v>
      </c>
    </row>
    <row r="741" spans="3:13" ht="30" customHeight="1" x14ac:dyDescent="0.25">
      <c r="C741" s="175">
        <v>739</v>
      </c>
      <c r="D741" s="163">
        <v>44486</v>
      </c>
      <c r="E741" s="171">
        <v>1.271795</v>
      </c>
      <c r="F741" s="171">
        <v>0</v>
      </c>
      <c r="G741" s="172">
        <v>1</v>
      </c>
      <c r="H741" s="171">
        <f>tbTransactions[[#This Row],[Qty]]*tbTransactions[[#This Row],[Unit Cost]]*tbTransactions[[#This Row],[Exchange Rate]]</f>
        <v>0</v>
      </c>
      <c r="I741" s="148" t="s">
        <v>507</v>
      </c>
      <c r="J741" s="176" t="s">
        <v>17</v>
      </c>
      <c r="K741" s="163" t="str">
        <f>IF(tbTransactions[[#This Row],[Sub-Type]]="Transfer","Neutral",IF(tbTransactions[[#This Row],[Qty]]&lt;0,"Debit",IF(tbTransactions[[#This Row],[Qty]]&gt;0,"Credit","Neutral")))</f>
        <v>Credit</v>
      </c>
      <c r="L741" s="163" t="s">
        <v>518</v>
      </c>
      <c r="M741" s="171" t="s">
        <v>427</v>
      </c>
    </row>
    <row r="742" spans="3:13" ht="30" customHeight="1" x14ac:dyDescent="0.25">
      <c r="C742" s="175">
        <v>740</v>
      </c>
      <c r="D742" s="163">
        <v>44486</v>
      </c>
      <c r="E742" s="171">
        <v>2.4185471600000001E-2</v>
      </c>
      <c r="F742" s="171">
        <v>0</v>
      </c>
      <c r="G742" s="172">
        <v>1</v>
      </c>
      <c r="H742" s="171">
        <f>tbTransactions[[#This Row],[Qty]]*tbTransactions[[#This Row],[Unit Cost]]*tbTransactions[[#This Row],[Exchange Rate]]</f>
        <v>0</v>
      </c>
      <c r="I742" s="148" t="s">
        <v>511</v>
      </c>
      <c r="J742" s="176" t="s">
        <v>20</v>
      </c>
      <c r="K742" s="163" t="str">
        <f>IF(tbTransactions[[#This Row],[Sub-Type]]="Transfer","Neutral",IF(tbTransactions[[#This Row],[Qty]]&lt;0,"Debit",IF(tbTransactions[[#This Row],[Qty]]&gt;0,"Credit","Neutral")))</f>
        <v>Credit</v>
      </c>
      <c r="L742" s="163" t="s">
        <v>518</v>
      </c>
      <c r="M742" s="171" t="s">
        <v>465</v>
      </c>
    </row>
    <row r="743" spans="3:13" ht="30" customHeight="1" x14ac:dyDescent="0.25">
      <c r="C743" s="175">
        <v>741</v>
      </c>
      <c r="D743" s="163">
        <v>44486</v>
      </c>
      <c r="E743" s="171">
        <v>-3.50607E-3</v>
      </c>
      <c r="F743" s="171">
        <v>1.82</v>
      </c>
      <c r="G743" s="172">
        <v>1</v>
      </c>
      <c r="H743" s="171">
        <f>tbTransactions[[#This Row],[Qty]]*tbTransactions[[#This Row],[Unit Cost]]*tbTransactions[[#This Row],[Exchange Rate]]</f>
        <v>-6.3810474000000001E-3</v>
      </c>
      <c r="I743" s="148" t="s">
        <v>594</v>
      </c>
      <c r="J743" s="176" t="s">
        <v>423</v>
      </c>
      <c r="K743" s="163" t="str">
        <f>IF(tbTransactions[[#This Row],[Sub-Type]]="Transfer","Neutral",IF(tbTransactions[[#This Row],[Qty]]&lt;0,"Debit",IF(tbTransactions[[#This Row],[Qty]]&gt;0,"Credit","Neutral")))</f>
        <v>Debit</v>
      </c>
      <c r="L743" s="163" t="s">
        <v>12</v>
      </c>
      <c r="M743" s="171" t="s">
        <v>636</v>
      </c>
    </row>
    <row r="744" spans="3:13" ht="30" customHeight="1" x14ac:dyDescent="0.25">
      <c r="C744" s="175">
        <v>742</v>
      </c>
      <c r="D744" s="163">
        <v>44486</v>
      </c>
      <c r="E744" s="171">
        <v>-0.93400000000000005</v>
      </c>
      <c r="F744" s="171">
        <v>4783</v>
      </c>
      <c r="G744" s="172">
        <v>1</v>
      </c>
      <c r="H744" s="171">
        <f>tbTransactions[[#This Row],[Qty]]*tbTransactions[[#This Row],[Unit Cost]]*tbTransactions[[#This Row],[Exchange Rate]]</f>
        <v>-4467.3220000000001</v>
      </c>
      <c r="I744" s="148" t="s">
        <v>594</v>
      </c>
      <c r="J744" s="176" t="s">
        <v>22</v>
      </c>
      <c r="K744" s="163" t="str">
        <f>IF(tbTransactions[[#This Row],[Sub-Type]]="Transfer","Neutral",IF(tbTransactions[[#This Row],[Qty]]&lt;0,"Debit",IF(tbTransactions[[#This Row],[Qty]]&gt;0,"Credit","Neutral")))</f>
        <v>Debit</v>
      </c>
      <c r="L744" s="163" t="s">
        <v>603</v>
      </c>
      <c r="M744" s="171" t="s">
        <v>636</v>
      </c>
    </row>
    <row r="745" spans="3:13" ht="30" customHeight="1" x14ac:dyDescent="0.25">
      <c r="C745" s="175">
        <v>743</v>
      </c>
      <c r="D745" s="163">
        <v>44486</v>
      </c>
      <c r="E745" s="171">
        <v>3606.6472210000002</v>
      </c>
      <c r="F745" s="171">
        <v>1.24</v>
      </c>
      <c r="G745" s="172">
        <v>1</v>
      </c>
      <c r="H745" s="171">
        <f>tbTransactions[[#This Row],[Qty]]*tbTransactions[[#This Row],[Unit Cost]]*tbTransactions[[#This Row],[Exchange Rate]]</f>
        <v>4472.24255404</v>
      </c>
      <c r="I745" s="148" t="s">
        <v>594</v>
      </c>
      <c r="J745" s="176" t="s">
        <v>602</v>
      </c>
      <c r="K745" s="163" t="str">
        <f>IF(tbTransactions[[#This Row],[Sub-Type]]="Transfer","Neutral",IF(tbTransactions[[#This Row],[Qty]]&lt;0,"Debit",IF(tbTransactions[[#This Row],[Qty]]&gt;0,"Credit","Neutral")))</f>
        <v>Credit</v>
      </c>
      <c r="L745" s="163" t="s">
        <v>603</v>
      </c>
      <c r="M745" s="171" t="s">
        <v>636</v>
      </c>
    </row>
    <row r="746" spans="3:13" ht="30" customHeight="1" x14ac:dyDescent="0.25">
      <c r="C746" s="175">
        <v>744</v>
      </c>
      <c r="D746" s="163">
        <v>44487</v>
      </c>
      <c r="E746" s="171">
        <v>-9.4700000000000003E-4</v>
      </c>
      <c r="F746" s="171">
        <v>1.84</v>
      </c>
      <c r="G746" s="172">
        <v>1</v>
      </c>
      <c r="H746" s="171">
        <f>tbTransactions[[#This Row],[Qty]]*tbTransactions[[#This Row],[Unit Cost]]*tbTransactions[[#This Row],[Exchange Rate]]</f>
        <v>-1.7424800000000002E-3</v>
      </c>
      <c r="I746" s="148" t="s">
        <v>594</v>
      </c>
      <c r="J746" s="176" t="s">
        <v>423</v>
      </c>
      <c r="K746" s="163" t="str">
        <f>IF(tbTransactions[[#This Row],[Sub-Type]]="Transfer","Neutral",IF(tbTransactions[[#This Row],[Qty]]&lt;0,"Debit",IF(tbTransactions[[#This Row],[Qty]]&gt;0,"Credit","Neutral")))</f>
        <v>Debit</v>
      </c>
      <c r="L746" s="163" t="s">
        <v>12</v>
      </c>
      <c r="M746" s="171" t="s">
        <v>615</v>
      </c>
    </row>
    <row r="747" spans="3:13" ht="30" customHeight="1" x14ac:dyDescent="0.25">
      <c r="C747" s="175">
        <v>745</v>
      </c>
      <c r="D747" s="163">
        <v>44487</v>
      </c>
      <c r="E747" s="171">
        <v>3.0961686499999998E-2</v>
      </c>
      <c r="F747" s="171">
        <v>0</v>
      </c>
      <c r="G747" s="172">
        <v>1</v>
      </c>
      <c r="H747" s="171">
        <f>tbTransactions[[#This Row],[Qty]]*tbTransactions[[#This Row],[Unit Cost]]*tbTransactions[[#This Row],[Exchange Rate]]</f>
        <v>0</v>
      </c>
      <c r="I747" s="148" t="s">
        <v>511</v>
      </c>
      <c r="J747" s="176" t="s">
        <v>20</v>
      </c>
      <c r="K747" s="163" t="str">
        <f>IF(tbTransactions[[#This Row],[Sub-Type]]="Transfer","Neutral",IF(tbTransactions[[#This Row],[Qty]]&lt;0,"Debit",IF(tbTransactions[[#This Row],[Qty]]&gt;0,"Credit","Neutral")))</f>
        <v>Credit</v>
      </c>
      <c r="L747" s="163" t="s">
        <v>518</v>
      </c>
      <c r="M747" s="171" t="s">
        <v>465</v>
      </c>
    </row>
    <row r="748" spans="3:13" ht="30" customHeight="1" x14ac:dyDescent="0.25">
      <c r="C748" s="175">
        <v>746</v>
      </c>
      <c r="D748" s="163">
        <v>44488</v>
      </c>
      <c r="E748" s="171">
        <v>-8.0059045985003997E-3</v>
      </c>
      <c r="F748" s="171">
        <v>4688</v>
      </c>
      <c r="G748" s="172">
        <v>1</v>
      </c>
      <c r="H748" s="171">
        <f>tbTransactions[[#This Row],[Qty]]*tbTransactions[[#This Row],[Unit Cost]]*tbTransactions[[#This Row],[Exchange Rate]]</f>
        <v>-37.531680757769877</v>
      </c>
      <c r="I748" s="148" t="s">
        <v>759</v>
      </c>
      <c r="J748" s="176" t="s">
        <v>22</v>
      </c>
      <c r="K748" s="163" t="str">
        <f>IF(tbTransactions[[#This Row],[Sub-Type]]="Transfer","Neutral",IF(tbTransactions[[#This Row],[Qty]]&lt;0,"Debit",IF(tbTransactions[[#This Row],[Qty]]&gt;0,"Credit","Neutral")))</f>
        <v>Debit</v>
      </c>
      <c r="L748" s="163" t="s">
        <v>12</v>
      </c>
      <c r="M748" s="171" t="s">
        <v>685</v>
      </c>
    </row>
    <row r="749" spans="3:13" ht="30" customHeight="1" x14ac:dyDescent="0.25">
      <c r="C749" s="175">
        <v>747</v>
      </c>
      <c r="D749" s="163">
        <v>44488</v>
      </c>
      <c r="E749" s="171">
        <v>-473.91060498000002</v>
      </c>
      <c r="F749" s="171">
        <v>0.88669100000000001</v>
      </c>
      <c r="G749" s="172">
        <v>1</v>
      </c>
      <c r="H749" s="171">
        <f>tbTransactions[[#This Row],[Qty]]*tbTransactions[[#This Row],[Unit Cost]]*tbTransactions[[#This Row],[Exchange Rate]]</f>
        <v>-420.21226824032118</v>
      </c>
      <c r="I749" s="148" t="s">
        <v>759</v>
      </c>
      <c r="J749" s="176" t="s">
        <v>552</v>
      </c>
      <c r="K749" s="163" t="str">
        <f>IF(tbTransactions[[#This Row],[Sub-Type]]="Transfer","Neutral",IF(tbTransactions[[#This Row],[Qty]]&lt;0,"Debit",IF(tbTransactions[[#This Row],[Qty]]&gt;0,"Credit","Neutral")))</f>
        <v>Debit</v>
      </c>
      <c r="L749" s="163" t="s">
        <v>603</v>
      </c>
      <c r="M749" s="171" t="s">
        <v>685</v>
      </c>
    </row>
    <row r="750" spans="3:13" ht="30" customHeight="1" x14ac:dyDescent="0.25">
      <c r="C750" s="175">
        <v>748</v>
      </c>
      <c r="D750" s="163">
        <v>44488</v>
      </c>
      <c r="E750" s="171">
        <v>8.9620122385274906E-2</v>
      </c>
      <c r="F750" s="171">
        <v>4688</v>
      </c>
      <c r="G750" s="172">
        <v>1</v>
      </c>
      <c r="H750" s="171">
        <f>tbTransactions[[#This Row],[Qty]]*tbTransactions[[#This Row],[Unit Cost]]*tbTransactions[[#This Row],[Exchange Rate]]</f>
        <v>420.13913374216878</v>
      </c>
      <c r="I750" s="148" t="s">
        <v>759</v>
      </c>
      <c r="J750" s="176" t="s">
        <v>22</v>
      </c>
      <c r="K750" s="163" t="str">
        <f>IF(tbTransactions[[#This Row],[Sub-Type]]="Transfer","Neutral",IF(tbTransactions[[#This Row],[Qty]]&lt;0,"Debit",IF(tbTransactions[[#This Row],[Qty]]&gt;0,"Credit","Neutral")))</f>
        <v>Credit</v>
      </c>
      <c r="L750" s="163" t="s">
        <v>603</v>
      </c>
      <c r="M750" s="171" t="s">
        <v>685</v>
      </c>
    </row>
    <row r="751" spans="3:13" ht="30" customHeight="1" x14ac:dyDescent="0.25">
      <c r="C751" s="175">
        <v>749</v>
      </c>
      <c r="D751" s="163">
        <v>44488</v>
      </c>
      <c r="E751" s="171">
        <v>348</v>
      </c>
      <c r="F751" s="171">
        <v>41.0871</v>
      </c>
      <c r="G751" s="172">
        <v>1</v>
      </c>
      <c r="H751" s="171">
        <f>tbTransactions[[#This Row],[Qty]]*tbTransactions[[#This Row],[Unit Cost]]*tbTransactions[[#This Row],[Exchange Rate]]</f>
        <v>14298.310799999999</v>
      </c>
      <c r="I751" s="148" t="s">
        <v>714</v>
      </c>
      <c r="J751" s="176" t="s">
        <v>686</v>
      </c>
      <c r="K751" s="163" t="str">
        <f>IF(tbTransactions[[#This Row],[Sub-Type]]="Transfer","Neutral",IF(tbTransactions[[#This Row],[Qty]]&lt;0,"Debit",IF(tbTransactions[[#This Row],[Qty]]&gt;0,"Credit","Neutral")))</f>
        <v>Credit</v>
      </c>
      <c r="L751" s="163" t="s">
        <v>519</v>
      </c>
      <c r="M751" s="171" t="s">
        <v>697</v>
      </c>
    </row>
    <row r="752" spans="3:13" ht="30" customHeight="1" x14ac:dyDescent="0.25">
      <c r="C752" s="175">
        <v>750</v>
      </c>
      <c r="D752" s="163">
        <v>44488</v>
      </c>
      <c r="E752" s="171">
        <v>-14298.310799999999</v>
      </c>
      <c r="F752" s="171">
        <v>1</v>
      </c>
      <c r="G752" s="172">
        <v>1</v>
      </c>
      <c r="H752" s="171">
        <f>tbTransactions[[#This Row],[Qty]]*tbTransactions[[#This Row],[Unit Cost]]*tbTransactions[[#This Row],[Exchange Rate]]</f>
        <v>-14298.310799999999</v>
      </c>
      <c r="I752" s="148" t="s">
        <v>714</v>
      </c>
      <c r="J752" s="176" t="s">
        <v>408</v>
      </c>
      <c r="K752" s="163" t="str">
        <f>IF(tbTransactions[[#This Row],[Sub-Type]]="Transfer","Neutral",IF(tbTransactions[[#This Row],[Qty]]&lt;0,"Debit",IF(tbTransactions[[#This Row],[Qty]]&gt;0,"Credit","Neutral")))</f>
        <v>Debit</v>
      </c>
      <c r="L752" s="163" t="s">
        <v>519</v>
      </c>
      <c r="M752" s="171" t="s">
        <v>697</v>
      </c>
    </row>
    <row r="753" spans="3:13" ht="30" customHeight="1" x14ac:dyDescent="0.25">
      <c r="C753" s="175">
        <v>751</v>
      </c>
      <c r="D753" s="163">
        <v>44488</v>
      </c>
      <c r="E753" s="171">
        <v>121</v>
      </c>
      <c r="F753" s="171">
        <v>41.29</v>
      </c>
      <c r="G753" s="172">
        <v>1</v>
      </c>
      <c r="H753" s="171">
        <f>tbTransactions[[#This Row],[Qty]]*tbTransactions[[#This Row],[Unit Cost]]*tbTransactions[[#This Row],[Exchange Rate]]</f>
        <v>4996.09</v>
      </c>
      <c r="I753" s="148" t="s">
        <v>714</v>
      </c>
      <c r="J753" s="176" t="s">
        <v>686</v>
      </c>
      <c r="K753" s="163" t="str">
        <f>IF(tbTransactions[[#This Row],[Sub-Type]]="Transfer","Neutral",IF(tbTransactions[[#This Row],[Qty]]&lt;0,"Debit",IF(tbTransactions[[#This Row],[Qty]]&gt;0,"Credit","Neutral")))</f>
        <v>Credit</v>
      </c>
      <c r="L753" s="163" t="s">
        <v>519</v>
      </c>
      <c r="M753" s="171" t="s">
        <v>697</v>
      </c>
    </row>
    <row r="754" spans="3:13" ht="30" customHeight="1" x14ac:dyDescent="0.25">
      <c r="C754" s="175">
        <v>752</v>
      </c>
      <c r="D754" s="163">
        <v>44488</v>
      </c>
      <c r="E754" s="171">
        <v>-4996.09</v>
      </c>
      <c r="F754" s="171">
        <v>1</v>
      </c>
      <c r="G754" s="172">
        <v>1</v>
      </c>
      <c r="H754" s="171">
        <f>tbTransactions[[#This Row],[Qty]]*tbTransactions[[#This Row],[Unit Cost]]*tbTransactions[[#This Row],[Exchange Rate]]</f>
        <v>-4996.09</v>
      </c>
      <c r="I754" s="148" t="s">
        <v>714</v>
      </c>
      <c r="J754" s="176" t="s">
        <v>408</v>
      </c>
      <c r="K754" s="163" t="str">
        <f>IF(tbTransactions[[#This Row],[Sub-Type]]="Transfer","Neutral",IF(tbTransactions[[#This Row],[Qty]]&lt;0,"Debit",IF(tbTransactions[[#This Row],[Qty]]&gt;0,"Credit","Neutral")))</f>
        <v>Debit</v>
      </c>
      <c r="L754" s="163" t="s">
        <v>519</v>
      </c>
      <c r="M754" s="171" t="s">
        <v>697</v>
      </c>
    </row>
    <row r="755" spans="3:13" ht="30" customHeight="1" x14ac:dyDescent="0.25">
      <c r="C755" s="175">
        <v>753</v>
      </c>
      <c r="D755" s="163">
        <v>44828</v>
      </c>
      <c r="E755" s="171">
        <v>1987</v>
      </c>
      <c r="F755" s="171">
        <v>0</v>
      </c>
      <c r="G755" s="172">
        <v>1</v>
      </c>
      <c r="H755" s="171">
        <f>tbTransactions[[#This Row],[Qty]]*tbTransactions[[#This Row],[Unit Cost]]*tbTransactions[[#This Row],[Exchange Rate]]</f>
        <v>0</v>
      </c>
      <c r="I755" s="148" t="s">
        <v>531</v>
      </c>
      <c r="J755" s="176" t="s">
        <v>440</v>
      </c>
      <c r="K755" s="163" t="str">
        <f>IF(tbTransactions[[#This Row],[Sub-Type]]="Transfer","Neutral",IF(tbTransactions[[#This Row],[Qty]]&lt;0,"Debit",IF(tbTransactions[[#This Row],[Qty]]&gt;0,"Credit","Neutral")))</f>
        <v>Credit</v>
      </c>
      <c r="L755" s="163" t="s">
        <v>518</v>
      </c>
      <c r="M755" s="171" t="s">
        <v>544</v>
      </c>
    </row>
    <row r="756" spans="3:13" ht="30" customHeight="1" x14ac:dyDescent="0.25">
      <c r="C756" s="175">
        <v>754</v>
      </c>
      <c r="D756" s="163">
        <v>44489</v>
      </c>
      <c r="E756" s="171">
        <v>-2.3270000000000001E-3</v>
      </c>
      <c r="F756" s="171">
        <v>4779.1400000000003</v>
      </c>
      <c r="G756" s="172">
        <v>1</v>
      </c>
      <c r="H756" s="171">
        <f>tbTransactions[[#This Row],[Qty]]*tbTransactions[[#This Row],[Unit Cost]]*tbTransactions[[#This Row],[Exchange Rate]]</f>
        <v>-11.12105878</v>
      </c>
      <c r="I756" s="148" t="s">
        <v>759</v>
      </c>
      <c r="J756" s="176" t="s">
        <v>22</v>
      </c>
      <c r="K756" s="163" t="str">
        <f>IF(tbTransactions[[#This Row],[Sub-Type]]="Transfer","Neutral",IF(tbTransactions[[#This Row],[Qty]]&lt;0,"Debit",IF(tbTransactions[[#This Row],[Qty]]&gt;0,"Credit","Neutral")))</f>
        <v>Debit</v>
      </c>
      <c r="L756" s="163" t="s">
        <v>12</v>
      </c>
      <c r="M756" s="171" t="s">
        <v>701</v>
      </c>
    </row>
    <row r="757" spans="3:13" ht="30" customHeight="1" x14ac:dyDescent="0.25">
      <c r="C757" s="175">
        <v>755</v>
      </c>
      <c r="D757" s="163">
        <v>44489</v>
      </c>
      <c r="E757" s="171">
        <v>-2.1849999999999999E-3</v>
      </c>
      <c r="F757" s="171">
        <v>4779.1400000000003</v>
      </c>
      <c r="G757" s="172">
        <v>1</v>
      </c>
      <c r="H757" s="171">
        <f>tbTransactions[[#This Row],[Qty]]*tbTransactions[[#This Row],[Unit Cost]]*tbTransactions[[#This Row],[Exchange Rate]]</f>
        <v>-10.4424209</v>
      </c>
      <c r="I757" s="148" t="s">
        <v>759</v>
      </c>
      <c r="J757" s="176" t="s">
        <v>22</v>
      </c>
      <c r="K757" s="163" t="str">
        <f>IF(tbTransactions[[#This Row],[Sub-Type]]="Transfer","Neutral",IF(tbTransactions[[#This Row],[Qty]]&lt;0,"Debit",IF(tbTransactions[[#This Row],[Qty]]&gt;0,"Credit","Neutral")))</f>
        <v>Debit</v>
      </c>
      <c r="L757" s="163" t="s">
        <v>12</v>
      </c>
      <c r="M757" s="171" t="s">
        <v>701</v>
      </c>
    </row>
    <row r="758" spans="3:13" ht="30" customHeight="1" x14ac:dyDescent="0.25">
      <c r="C758" s="175">
        <v>756</v>
      </c>
      <c r="D758" s="163">
        <v>44489</v>
      </c>
      <c r="E758" s="171">
        <v>-4.071E-3</v>
      </c>
      <c r="F758" s="171">
        <v>4779.1400000000003</v>
      </c>
      <c r="G758" s="172">
        <v>1</v>
      </c>
      <c r="H758" s="171">
        <f>tbTransactions[[#This Row],[Qty]]*tbTransactions[[#This Row],[Unit Cost]]*tbTransactions[[#This Row],[Exchange Rate]]</f>
        <v>-19.455878940000002</v>
      </c>
      <c r="I758" s="148" t="s">
        <v>759</v>
      </c>
      <c r="J758" s="176" t="s">
        <v>22</v>
      </c>
      <c r="K758" s="163" t="str">
        <f>IF(tbTransactions[[#This Row],[Sub-Type]]="Transfer","Neutral",IF(tbTransactions[[#This Row],[Qty]]&lt;0,"Debit",IF(tbTransactions[[#This Row],[Qty]]&gt;0,"Credit","Neutral")))</f>
        <v>Debit</v>
      </c>
      <c r="L758" s="163" t="s">
        <v>12</v>
      </c>
      <c r="M758" s="171" t="s">
        <v>713</v>
      </c>
    </row>
    <row r="759" spans="3:13" ht="30" customHeight="1" x14ac:dyDescent="0.25">
      <c r="C759" s="175">
        <v>757</v>
      </c>
      <c r="D759" s="163">
        <v>44489</v>
      </c>
      <c r="E759" s="171">
        <v>-4.3200000000000001E-3</v>
      </c>
      <c r="F759" s="171">
        <v>1.87</v>
      </c>
      <c r="G759" s="172">
        <v>1</v>
      </c>
      <c r="H759" s="171">
        <f>tbTransactions[[#This Row],[Qty]]*tbTransactions[[#This Row],[Unit Cost]]*tbTransactions[[#This Row],[Exchange Rate]]</f>
        <v>-8.0784000000000012E-3</v>
      </c>
      <c r="I759" s="148" t="s">
        <v>594</v>
      </c>
      <c r="J759" s="176" t="s">
        <v>423</v>
      </c>
      <c r="K759" s="163" t="str">
        <f>IF(tbTransactions[[#This Row],[Sub-Type]]="Transfer","Neutral",IF(tbTransactions[[#This Row],[Qty]]&lt;0,"Debit",IF(tbTransactions[[#This Row],[Qty]]&gt;0,"Credit","Neutral")))</f>
        <v>Debit</v>
      </c>
      <c r="L759" s="163" t="s">
        <v>12</v>
      </c>
      <c r="M759" s="171" t="s">
        <v>636</v>
      </c>
    </row>
    <row r="760" spans="3:13" ht="30" customHeight="1" x14ac:dyDescent="0.25">
      <c r="C760" s="175">
        <v>758</v>
      </c>
      <c r="D760" s="163">
        <v>44489</v>
      </c>
      <c r="E760" s="171">
        <v>-0.93459999999999999</v>
      </c>
      <c r="F760" s="171">
        <v>5007.8</v>
      </c>
      <c r="G760" s="172">
        <v>1</v>
      </c>
      <c r="H760" s="171">
        <f>tbTransactions[[#This Row],[Qty]]*tbTransactions[[#This Row],[Unit Cost]]*tbTransactions[[#This Row],[Exchange Rate]]</f>
        <v>-4680.2898800000003</v>
      </c>
      <c r="I760" s="148" t="s">
        <v>594</v>
      </c>
      <c r="J760" s="176" t="s">
        <v>22</v>
      </c>
      <c r="K760" s="163" t="str">
        <f>IF(tbTransactions[[#This Row],[Sub-Type]]="Transfer","Neutral",IF(tbTransactions[[#This Row],[Qty]]&lt;0,"Debit",IF(tbTransactions[[#This Row],[Qty]]&gt;0,"Credit","Neutral")))</f>
        <v>Debit</v>
      </c>
      <c r="L760" s="163" t="s">
        <v>603</v>
      </c>
      <c r="M760" s="171" t="s">
        <v>636</v>
      </c>
    </row>
    <row r="761" spans="3:13" ht="30" customHeight="1" x14ac:dyDescent="0.25">
      <c r="C761" s="175">
        <v>759</v>
      </c>
      <c r="D761" s="163">
        <v>44489</v>
      </c>
      <c r="E761" s="171">
        <v>3775.2753349999998</v>
      </c>
      <c r="F761" s="171">
        <v>1.24</v>
      </c>
      <c r="G761" s="172">
        <v>1</v>
      </c>
      <c r="H761" s="171">
        <f>tbTransactions[[#This Row],[Qty]]*tbTransactions[[#This Row],[Unit Cost]]*tbTransactions[[#This Row],[Exchange Rate]]</f>
        <v>4681.3414154000002</v>
      </c>
      <c r="I761" s="148" t="s">
        <v>594</v>
      </c>
      <c r="J761" s="176" t="s">
        <v>602</v>
      </c>
      <c r="K761" s="163" t="str">
        <f>IF(tbTransactions[[#This Row],[Sub-Type]]="Transfer","Neutral",IF(tbTransactions[[#This Row],[Qty]]&lt;0,"Debit",IF(tbTransactions[[#This Row],[Qty]]&gt;0,"Credit","Neutral")))</f>
        <v>Credit</v>
      </c>
      <c r="L761" s="163" t="s">
        <v>603</v>
      </c>
      <c r="M761" s="171" t="s">
        <v>636</v>
      </c>
    </row>
    <row r="762" spans="3:13" ht="30" customHeight="1" x14ac:dyDescent="0.25">
      <c r="C762" s="175">
        <v>760</v>
      </c>
      <c r="D762" s="163">
        <v>44489</v>
      </c>
      <c r="E762" s="171">
        <v>2.2914281500000001E-2</v>
      </c>
      <c r="F762" s="171">
        <v>0</v>
      </c>
      <c r="G762" s="172">
        <v>1</v>
      </c>
      <c r="H762" s="171">
        <f>tbTransactions[[#This Row],[Qty]]*tbTransactions[[#This Row],[Unit Cost]]*tbTransactions[[#This Row],[Exchange Rate]]</f>
        <v>0</v>
      </c>
      <c r="I762" s="148" t="s">
        <v>511</v>
      </c>
      <c r="J762" s="176" t="s">
        <v>20</v>
      </c>
      <c r="K762" s="163" t="str">
        <f>IF(tbTransactions[[#This Row],[Sub-Type]]="Transfer","Neutral",IF(tbTransactions[[#This Row],[Qty]]&lt;0,"Debit",IF(tbTransactions[[#This Row],[Qty]]&gt;0,"Credit","Neutral")))</f>
        <v>Credit</v>
      </c>
      <c r="L762" s="163" t="s">
        <v>518</v>
      </c>
      <c r="M762" s="171" t="s">
        <v>465</v>
      </c>
    </row>
    <row r="763" spans="3:13" ht="30" customHeight="1" x14ac:dyDescent="0.25">
      <c r="C763" s="175">
        <v>761</v>
      </c>
      <c r="D763" s="163">
        <v>44489</v>
      </c>
      <c r="E763" s="171">
        <v>-223</v>
      </c>
      <c r="F763" s="171">
        <v>43.16</v>
      </c>
      <c r="G763" s="172">
        <v>1</v>
      </c>
      <c r="H763" s="171">
        <f>tbTransactions[[#This Row],[Qty]]*tbTransactions[[#This Row],[Unit Cost]]*tbTransactions[[#This Row],[Exchange Rate]]</f>
        <v>-9624.6799999999985</v>
      </c>
      <c r="I763" s="148" t="s">
        <v>714</v>
      </c>
      <c r="J763" s="176" t="s">
        <v>686</v>
      </c>
      <c r="K763" s="163" t="str">
        <f>IF(tbTransactions[[#This Row],[Sub-Type]]="Transfer","Neutral",IF(tbTransactions[[#This Row],[Qty]]&lt;0,"Debit",IF(tbTransactions[[#This Row],[Qty]]&gt;0,"Credit","Neutral")))</f>
        <v>Debit</v>
      </c>
      <c r="L763" s="163" t="s">
        <v>711</v>
      </c>
      <c r="M763" s="171" t="s">
        <v>712</v>
      </c>
    </row>
    <row r="764" spans="3:13" ht="30" customHeight="1" x14ac:dyDescent="0.25">
      <c r="C764" s="175">
        <v>762</v>
      </c>
      <c r="D764" s="163">
        <v>44489</v>
      </c>
      <c r="E764" s="171">
        <v>-9624.6799999999985</v>
      </c>
      <c r="F764" s="171">
        <v>1</v>
      </c>
      <c r="G764" s="172">
        <v>1</v>
      </c>
      <c r="H764" s="171">
        <f>tbTransactions[[#This Row],[Qty]]*tbTransactions[[#This Row],[Unit Cost]]*tbTransactions[[#This Row],[Exchange Rate]]</f>
        <v>-9624.6799999999985</v>
      </c>
      <c r="I764" s="148" t="s">
        <v>714</v>
      </c>
      <c r="J764" s="176" t="s">
        <v>408</v>
      </c>
      <c r="K764" s="163" t="str">
        <f>IF(tbTransactions[[#This Row],[Sub-Type]]="Transfer","Neutral",IF(tbTransactions[[#This Row],[Qty]]&lt;0,"Debit",IF(tbTransactions[[#This Row],[Qty]]&gt;0,"Credit","Neutral")))</f>
        <v>Debit</v>
      </c>
      <c r="L764" s="163" t="s">
        <v>711</v>
      </c>
      <c r="M764" s="171" t="s">
        <v>712</v>
      </c>
    </row>
    <row r="765" spans="3:13" ht="30" customHeight="1" x14ac:dyDescent="0.25">
      <c r="C765" s="175">
        <v>763</v>
      </c>
      <c r="D765" s="163">
        <v>44490</v>
      </c>
      <c r="E765" s="171">
        <v>3.1170366200000001E-2</v>
      </c>
      <c r="F765" s="171">
        <v>0</v>
      </c>
      <c r="G765" s="172">
        <v>1</v>
      </c>
      <c r="H765" s="171">
        <f>tbTransactions[[#This Row],[Qty]]*tbTransactions[[#This Row],[Unit Cost]]*tbTransactions[[#This Row],[Exchange Rate]]</f>
        <v>0</v>
      </c>
      <c r="I765" s="148" t="s">
        <v>511</v>
      </c>
      <c r="J765" s="176" t="s">
        <v>20</v>
      </c>
      <c r="K765" s="163" t="str">
        <f>IF(tbTransactions[[#This Row],[Sub-Type]]="Transfer","Neutral",IF(tbTransactions[[#This Row],[Qty]]&lt;0,"Debit",IF(tbTransactions[[#This Row],[Qty]]&gt;0,"Credit","Neutral")))</f>
        <v>Credit</v>
      </c>
      <c r="L765" s="163" t="s">
        <v>518</v>
      </c>
      <c r="M765" s="171" t="s">
        <v>465</v>
      </c>
    </row>
    <row r="766" spans="3:13" ht="30" customHeight="1" x14ac:dyDescent="0.25">
      <c r="C766" s="175">
        <v>764</v>
      </c>
      <c r="D766" s="163">
        <v>44490</v>
      </c>
      <c r="E766" s="171">
        <v>246</v>
      </c>
      <c r="F766" s="171">
        <v>41</v>
      </c>
      <c r="G766" s="172">
        <v>1</v>
      </c>
      <c r="H766" s="171">
        <f>tbTransactions[[#This Row],[Qty]]*tbTransactions[[#This Row],[Unit Cost]]*tbTransactions[[#This Row],[Exchange Rate]]</f>
        <v>10086</v>
      </c>
      <c r="I766" s="148" t="s">
        <v>714</v>
      </c>
      <c r="J766" s="176" t="s">
        <v>686</v>
      </c>
      <c r="K766" s="163" t="str">
        <f>IF(tbTransactions[[#This Row],[Sub-Type]]="Transfer","Neutral",IF(tbTransactions[[#This Row],[Qty]]&lt;0,"Debit",IF(tbTransactions[[#This Row],[Qty]]&gt;0,"Credit","Neutral")))</f>
        <v>Credit</v>
      </c>
      <c r="L766" s="163" t="s">
        <v>519</v>
      </c>
      <c r="M766" s="171" t="s">
        <v>697</v>
      </c>
    </row>
    <row r="767" spans="3:13" ht="30" customHeight="1" x14ac:dyDescent="0.25">
      <c r="C767" s="175">
        <v>765</v>
      </c>
      <c r="D767" s="163">
        <v>44490</v>
      </c>
      <c r="E767" s="171">
        <v>-10086</v>
      </c>
      <c r="F767" s="171">
        <v>1</v>
      </c>
      <c r="G767" s="172">
        <v>1</v>
      </c>
      <c r="H767" s="171">
        <f>tbTransactions[[#This Row],[Qty]]*tbTransactions[[#This Row],[Unit Cost]]*tbTransactions[[#This Row],[Exchange Rate]]</f>
        <v>-10086</v>
      </c>
      <c r="I767" s="148" t="s">
        <v>714</v>
      </c>
      <c r="J767" s="176" t="s">
        <v>408</v>
      </c>
      <c r="K767" s="163" t="str">
        <f>IF(tbTransactions[[#This Row],[Sub-Type]]="Transfer","Neutral",IF(tbTransactions[[#This Row],[Qty]]&lt;0,"Debit",IF(tbTransactions[[#This Row],[Qty]]&gt;0,"Credit","Neutral")))</f>
        <v>Debit</v>
      </c>
      <c r="L767" s="163" t="s">
        <v>522</v>
      </c>
      <c r="M767" s="171" t="s">
        <v>697</v>
      </c>
    </row>
    <row r="768" spans="3:13" ht="30" customHeight="1" x14ac:dyDescent="0.25">
      <c r="C768" s="175">
        <v>766</v>
      </c>
      <c r="D768" s="163">
        <v>44491</v>
      </c>
      <c r="E768" s="171">
        <v>-2.1210000000000001E-3</v>
      </c>
      <c r="F768" s="171">
        <v>5079</v>
      </c>
      <c r="G768" s="172">
        <v>1</v>
      </c>
      <c r="H768" s="171">
        <f>tbTransactions[[#This Row],[Qty]]*tbTransactions[[#This Row],[Unit Cost]]*tbTransactions[[#This Row],[Exchange Rate]]</f>
        <v>-10.772559000000001</v>
      </c>
      <c r="I768" s="148" t="s">
        <v>759</v>
      </c>
      <c r="J768" s="176" t="s">
        <v>22</v>
      </c>
      <c r="K768" s="163" t="str">
        <f>IF(tbTransactions[[#This Row],[Sub-Type]]="Transfer","Neutral",IF(tbTransactions[[#This Row],[Qty]]&lt;0,"Debit",IF(tbTransactions[[#This Row],[Qty]]&gt;0,"Credit","Neutral")))</f>
        <v>Debit</v>
      </c>
      <c r="L768" s="163" t="s">
        <v>12</v>
      </c>
      <c r="M768" s="171" t="s">
        <v>713</v>
      </c>
    </row>
    <row r="769" spans="3:13" ht="30" customHeight="1" x14ac:dyDescent="0.25">
      <c r="C769" s="175">
        <v>767</v>
      </c>
      <c r="D769" s="163">
        <v>44491</v>
      </c>
      <c r="E769" s="171">
        <v>1.396749</v>
      </c>
      <c r="F769" s="171">
        <v>0</v>
      </c>
      <c r="G769" s="172">
        <v>1</v>
      </c>
      <c r="H769" s="171">
        <f>tbTransactions[[#This Row],[Qty]]*tbTransactions[[#This Row],[Unit Cost]]*tbTransactions[[#This Row],[Exchange Rate]]</f>
        <v>0</v>
      </c>
      <c r="I769" s="148" t="s">
        <v>507</v>
      </c>
      <c r="J769" s="176" t="s">
        <v>17</v>
      </c>
      <c r="K769" s="163" t="str">
        <f>IF(tbTransactions[[#This Row],[Sub-Type]]="Transfer","Neutral",IF(tbTransactions[[#This Row],[Qty]]&lt;0,"Debit",IF(tbTransactions[[#This Row],[Qty]]&gt;0,"Credit","Neutral")))</f>
        <v>Credit</v>
      </c>
      <c r="L769" s="163" t="s">
        <v>518</v>
      </c>
      <c r="M769" s="171" t="s">
        <v>427</v>
      </c>
    </row>
    <row r="770" spans="3:13" ht="30" customHeight="1" x14ac:dyDescent="0.25">
      <c r="C770" s="175">
        <v>768</v>
      </c>
      <c r="D770" s="163">
        <v>44491</v>
      </c>
      <c r="E770" s="171">
        <v>3.2933002199999999E-2</v>
      </c>
      <c r="F770" s="171">
        <v>0</v>
      </c>
      <c r="G770" s="172">
        <v>1</v>
      </c>
      <c r="H770" s="171">
        <f>tbTransactions[[#This Row],[Qty]]*tbTransactions[[#This Row],[Unit Cost]]*tbTransactions[[#This Row],[Exchange Rate]]</f>
        <v>0</v>
      </c>
      <c r="I770" s="148" t="s">
        <v>511</v>
      </c>
      <c r="J770" s="176" t="s">
        <v>20</v>
      </c>
      <c r="K770" s="163" t="str">
        <f>IF(tbTransactions[[#This Row],[Sub-Type]]="Transfer","Neutral",IF(tbTransactions[[#This Row],[Qty]]&lt;0,"Debit",IF(tbTransactions[[#This Row],[Qty]]&gt;0,"Credit","Neutral")))</f>
        <v>Credit</v>
      </c>
      <c r="L770" s="163" t="s">
        <v>518</v>
      </c>
      <c r="M770" s="171" t="s">
        <v>465</v>
      </c>
    </row>
    <row r="771" spans="3:13" ht="30" customHeight="1" x14ac:dyDescent="0.25">
      <c r="C771" s="175">
        <v>769</v>
      </c>
      <c r="D771" s="163">
        <v>44492</v>
      </c>
      <c r="E771" s="171">
        <v>3.25467932E-2</v>
      </c>
      <c r="F771" s="171">
        <v>0</v>
      </c>
      <c r="G771" s="172">
        <v>1</v>
      </c>
      <c r="H771" s="171">
        <f>tbTransactions[[#This Row],[Qty]]*tbTransactions[[#This Row],[Unit Cost]]*tbTransactions[[#This Row],[Exchange Rate]]</f>
        <v>0</v>
      </c>
      <c r="I771" s="148" t="s">
        <v>511</v>
      </c>
      <c r="J771" s="176" t="s">
        <v>20</v>
      </c>
      <c r="K771" s="163" t="str">
        <f>IF(tbTransactions[[#This Row],[Sub-Type]]="Transfer","Neutral",IF(tbTransactions[[#This Row],[Qty]]&lt;0,"Debit",IF(tbTransactions[[#This Row],[Qty]]&gt;0,"Credit","Neutral")))</f>
        <v>Credit</v>
      </c>
      <c r="L771" s="163" t="s">
        <v>518</v>
      </c>
      <c r="M771" s="171" t="s">
        <v>465</v>
      </c>
    </row>
    <row r="772" spans="3:13" ht="30" customHeight="1" x14ac:dyDescent="0.25">
      <c r="C772" s="175">
        <v>770</v>
      </c>
      <c r="D772" s="163">
        <v>44493</v>
      </c>
      <c r="E772" s="171">
        <v>1.6398112999999999E-2</v>
      </c>
      <c r="F772" s="171">
        <v>0</v>
      </c>
      <c r="G772" s="172">
        <v>1</v>
      </c>
      <c r="H772" s="171">
        <f>tbTransactions[[#This Row],[Qty]]*tbTransactions[[#This Row],[Unit Cost]]*tbTransactions[[#This Row],[Exchange Rate]]</f>
        <v>0</v>
      </c>
      <c r="I772" s="148" t="s">
        <v>542</v>
      </c>
      <c r="J772" s="176" t="s">
        <v>22</v>
      </c>
      <c r="K772" s="163" t="str">
        <f>IF(tbTransactions[[#This Row],[Sub-Type]]="Transfer","Neutral",IF(tbTransactions[[#This Row],[Qty]]&lt;0,"Debit",IF(tbTransactions[[#This Row],[Qty]]&gt;0,"Credit","Neutral")))</f>
        <v>Credit</v>
      </c>
      <c r="L772" s="163" t="s">
        <v>518</v>
      </c>
      <c r="M772" s="171" t="s">
        <v>556</v>
      </c>
    </row>
    <row r="773" spans="3:13" ht="30" customHeight="1" x14ac:dyDescent="0.25">
      <c r="C773" s="175">
        <v>771</v>
      </c>
      <c r="D773" s="163">
        <v>44494</v>
      </c>
      <c r="E773" s="171">
        <v>3.5795647700000002E-2</v>
      </c>
      <c r="F773" s="171">
        <v>0</v>
      </c>
      <c r="G773" s="172">
        <v>1</v>
      </c>
      <c r="H773" s="171">
        <f>tbTransactions[[#This Row],[Qty]]*tbTransactions[[#This Row],[Unit Cost]]*tbTransactions[[#This Row],[Exchange Rate]]</f>
        <v>0</v>
      </c>
      <c r="I773" s="148" t="s">
        <v>511</v>
      </c>
      <c r="J773" s="176" t="s">
        <v>20</v>
      </c>
      <c r="K773" s="163" t="str">
        <f>IF(tbTransactions[[#This Row],[Sub-Type]]="Transfer","Neutral",IF(tbTransactions[[#This Row],[Qty]]&lt;0,"Debit",IF(tbTransactions[[#This Row],[Qty]]&gt;0,"Credit","Neutral")))</f>
        <v>Credit</v>
      </c>
      <c r="L773" s="163" t="s">
        <v>518</v>
      </c>
      <c r="M773" s="171" t="s">
        <v>465</v>
      </c>
    </row>
    <row r="774" spans="3:13" ht="30" customHeight="1" x14ac:dyDescent="0.25">
      <c r="C774" s="175">
        <v>772</v>
      </c>
      <c r="D774" s="163">
        <v>44495</v>
      </c>
      <c r="E774" s="171">
        <v>-1380</v>
      </c>
      <c r="F774" s="171">
        <v>6.85</v>
      </c>
      <c r="G774" s="172">
        <v>1</v>
      </c>
      <c r="H774" s="171">
        <f>tbTransactions[[#This Row],[Qty]]*tbTransactions[[#This Row],[Unit Cost]]*tbTransactions[[#This Row],[Exchange Rate]]</f>
        <v>-9453</v>
      </c>
      <c r="I774" s="148" t="s">
        <v>715</v>
      </c>
      <c r="J774" s="176" t="s">
        <v>47</v>
      </c>
      <c r="K774" s="163" t="str">
        <f>IF(tbTransactions[[#This Row],[Sub-Type]]="Transfer","Neutral",IF(tbTransactions[[#This Row],[Qty]]&lt;0,"Debit",IF(tbTransactions[[#This Row],[Qty]]&gt;0,"Credit","Neutral")))</f>
        <v>Debit</v>
      </c>
      <c r="L774" s="163" t="s">
        <v>711</v>
      </c>
      <c r="M774" s="171" t="s">
        <v>717</v>
      </c>
    </row>
    <row r="775" spans="3:13" ht="30" customHeight="1" x14ac:dyDescent="0.25">
      <c r="C775" s="175">
        <v>773</v>
      </c>
      <c r="D775" s="163">
        <v>44495</v>
      </c>
      <c r="E775" s="171">
        <v>9453</v>
      </c>
      <c r="F775" s="171">
        <v>1</v>
      </c>
      <c r="G775" s="172">
        <v>1</v>
      </c>
      <c r="H775" s="171">
        <f>tbTransactions[[#This Row],[Qty]]*tbTransactions[[#This Row],[Unit Cost]]*tbTransactions[[#This Row],[Exchange Rate]]</f>
        <v>9453</v>
      </c>
      <c r="I775" s="148" t="s">
        <v>715</v>
      </c>
      <c r="J775" s="176" t="s">
        <v>411</v>
      </c>
      <c r="K775" s="163" t="str">
        <f>IF(tbTransactions[[#This Row],[Sub-Type]]="Transfer","Neutral",IF(tbTransactions[[#This Row],[Qty]]&lt;0,"Debit",IF(tbTransactions[[#This Row],[Qty]]&gt;0,"Credit","Neutral")))</f>
        <v>Credit</v>
      </c>
      <c r="L775" s="163" t="s">
        <v>725</v>
      </c>
      <c r="M775" s="171" t="s">
        <v>717</v>
      </c>
    </row>
    <row r="776" spans="3:13" ht="30" customHeight="1" x14ac:dyDescent="0.25">
      <c r="C776" s="175">
        <v>774</v>
      </c>
      <c r="D776" s="163">
        <v>44495</v>
      </c>
      <c r="E776" s="171">
        <v>811</v>
      </c>
      <c r="F776" s="171">
        <v>11.62</v>
      </c>
      <c r="G776" s="172">
        <v>1</v>
      </c>
      <c r="H776" s="171">
        <f>tbTransactions[[#This Row],[Qty]]*tbTransactions[[#This Row],[Unit Cost]]*tbTransactions[[#This Row],[Exchange Rate]]</f>
        <v>9423.82</v>
      </c>
      <c r="I776" s="148" t="s">
        <v>715</v>
      </c>
      <c r="J776" s="176" t="s">
        <v>732</v>
      </c>
      <c r="K776" s="163" t="str">
        <f>IF(tbTransactions[[#This Row],[Sub-Type]]="Transfer","Neutral",IF(tbTransactions[[#This Row],[Qty]]&lt;0,"Debit",IF(tbTransactions[[#This Row],[Qty]]&gt;0,"Credit","Neutral")))</f>
        <v>Credit</v>
      </c>
      <c r="L776" s="163" t="s">
        <v>519</v>
      </c>
      <c r="M776" s="171" t="s">
        <v>733</v>
      </c>
    </row>
    <row r="777" spans="3:13" ht="30" customHeight="1" x14ac:dyDescent="0.25">
      <c r="C777" s="175">
        <v>775</v>
      </c>
      <c r="D777" s="163">
        <v>44495</v>
      </c>
      <c r="E777" s="171">
        <v>-9423.82</v>
      </c>
      <c r="F777" s="171">
        <v>1</v>
      </c>
      <c r="G777" s="172">
        <v>1</v>
      </c>
      <c r="H777" s="171">
        <f>tbTransactions[[#This Row],[Qty]]*tbTransactions[[#This Row],[Unit Cost]]*tbTransactions[[#This Row],[Exchange Rate]]</f>
        <v>-9423.82</v>
      </c>
      <c r="I777" s="148" t="s">
        <v>715</v>
      </c>
      <c r="J777" s="176" t="s">
        <v>411</v>
      </c>
      <c r="K777" s="163" t="str">
        <f>IF(tbTransactions[[#This Row],[Sub-Type]]="Transfer","Neutral",IF(tbTransactions[[#This Row],[Qty]]&lt;0,"Debit",IF(tbTransactions[[#This Row],[Qty]]&gt;0,"Credit","Neutral")))</f>
        <v>Debit</v>
      </c>
      <c r="L777" s="163" t="s">
        <v>522</v>
      </c>
      <c r="M777" s="171" t="s">
        <v>733</v>
      </c>
    </row>
    <row r="778" spans="3:13" ht="30" customHeight="1" x14ac:dyDescent="0.25">
      <c r="C778" s="175">
        <v>776</v>
      </c>
      <c r="D778" s="163">
        <v>44495</v>
      </c>
      <c r="E778" s="171">
        <v>-1.4009999999999999E-3</v>
      </c>
      <c r="F778" s="171">
        <v>2.2599999999999998</v>
      </c>
      <c r="G778" s="172">
        <v>1</v>
      </c>
      <c r="H778" s="171">
        <f>tbTransactions[[#This Row],[Qty]]*tbTransactions[[#This Row],[Unit Cost]]*tbTransactions[[#This Row],[Exchange Rate]]</f>
        <v>-3.1662599999999993E-3</v>
      </c>
      <c r="I778" s="148" t="s">
        <v>594</v>
      </c>
      <c r="J778" s="176" t="s">
        <v>423</v>
      </c>
      <c r="K778" s="163" t="str">
        <f>IF(tbTransactions[[#This Row],[Sub-Type]]="Transfer","Neutral",IF(tbTransactions[[#This Row],[Qty]]&lt;0,"Debit",IF(tbTransactions[[#This Row],[Qty]]&gt;0,"Credit","Neutral")))</f>
        <v>Debit</v>
      </c>
      <c r="L778" s="163" t="s">
        <v>12</v>
      </c>
      <c r="M778" s="171" t="s">
        <v>718</v>
      </c>
    </row>
    <row r="779" spans="3:13" ht="30" customHeight="1" x14ac:dyDescent="0.25">
      <c r="C779" s="175">
        <v>777</v>
      </c>
      <c r="D779" s="163">
        <v>44495</v>
      </c>
      <c r="E779" s="171">
        <v>-2.3609999999999998E-3</v>
      </c>
      <c r="F779" s="171">
        <v>2.2599999999999998</v>
      </c>
      <c r="G779" s="172">
        <v>1</v>
      </c>
      <c r="H779" s="171">
        <f>tbTransactions[[#This Row],[Qty]]*tbTransactions[[#This Row],[Unit Cost]]*tbTransactions[[#This Row],[Exchange Rate]]</f>
        <v>-5.3358599999999987E-3</v>
      </c>
      <c r="I779" s="148" t="s">
        <v>594</v>
      </c>
      <c r="J779" s="176" t="s">
        <v>423</v>
      </c>
      <c r="K779" s="163" t="str">
        <f>IF(tbTransactions[[#This Row],[Sub-Type]]="Transfer","Neutral",IF(tbTransactions[[#This Row],[Qty]]&lt;0,"Debit",IF(tbTransactions[[#This Row],[Qty]]&gt;0,"Credit","Neutral")))</f>
        <v>Debit</v>
      </c>
      <c r="L779" s="163" t="s">
        <v>12</v>
      </c>
      <c r="M779" s="171" t="s">
        <v>719</v>
      </c>
    </row>
    <row r="780" spans="3:13" ht="30" customHeight="1" x14ac:dyDescent="0.25">
      <c r="C780" s="175">
        <v>778</v>
      </c>
      <c r="D780" s="163">
        <v>44495</v>
      </c>
      <c r="E780" s="171">
        <v>-2.3609999999999998E-3</v>
      </c>
      <c r="F780" s="171">
        <v>2.2599999999999998</v>
      </c>
      <c r="G780" s="172">
        <v>1</v>
      </c>
      <c r="H780" s="171">
        <f>tbTransactions[[#This Row],[Qty]]*tbTransactions[[#This Row],[Unit Cost]]*tbTransactions[[#This Row],[Exchange Rate]]</f>
        <v>-5.3358599999999987E-3</v>
      </c>
      <c r="I780" s="148" t="s">
        <v>594</v>
      </c>
      <c r="J780" s="176" t="s">
        <v>423</v>
      </c>
      <c r="K780" s="163" t="str">
        <f>IF(tbTransactions[[#This Row],[Sub-Type]]="Transfer","Neutral",IF(tbTransactions[[#This Row],[Qty]]&lt;0,"Debit",IF(tbTransactions[[#This Row],[Qty]]&gt;0,"Credit","Neutral")))</f>
        <v>Debit</v>
      </c>
      <c r="L780" s="163" t="s">
        <v>12</v>
      </c>
      <c r="M780" s="171" t="s">
        <v>719</v>
      </c>
    </row>
    <row r="781" spans="3:13" ht="30" customHeight="1" x14ac:dyDescent="0.25">
      <c r="C781" s="175">
        <v>779</v>
      </c>
      <c r="D781" s="163">
        <v>44495</v>
      </c>
      <c r="E781" s="171">
        <v>-1.472E-3</v>
      </c>
      <c r="F781" s="171">
        <v>2.2599999999999998</v>
      </c>
      <c r="G781" s="172">
        <v>1</v>
      </c>
      <c r="H781" s="171">
        <f>tbTransactions[[#This Row],[Qty]]*tbTransactions[[#This Row],[Unit Cost]]*tbTransactions[[#This Row],[Exchange Rate]]</f>
        <v>-3.3267199999999996E-3</v>
      </c>
      <c r="I781" s="148" t="s">
        <v>594</v>
      </c>
      <c r="J781" s="176" t="s">
        <v>423</v>
      </c>
      <c r="K781" s="163" t="str">
        <f>IF(tbTransactions[[#This Row],[Sub-Type]]="Transfer","Neutral",IF(tbTransactions[[#This Row],[Qty]]&lt;0,"Debit",IF(tbTransactions[[#This Row],[Qty]]&gt;0,"Credit","Neutral")))</f>
        <v>Debit</v>
      </c>
      <c r="L781" s="163" t="s">
        <v>12</v>
      </c>
      <c r="M781" s="171" t="s">
        <v>720</v>
      </c>
    </row>
    <row r="782" spans="3:13" ht="30" customHeight="1" x14ac:dyDescent="0.25">
      <c r="C782" s="175">
        <v>780</v>
      </c>
      <c r="D782" s="163">
        <v>44495</v>
      </c>
      <c r="E782" s="171">
        <v>-2.209E-3</v>
      </c>
      <c r="F782" s="171">
        <v>2.25</v>
      </c>
      <c r="G782" s="172">
        <v>1</v>
      </c>
      <c r="H782" s="171">
        <f>tbTransactions[[#This Row],[Qty]]*tbTransactions[[#This Row],[Unit Cost]]*tbTransactions[[#This Row],[Exchange Rate]]</f>
        <v>-4.9702499999999998E-3</v>
      </c>
      <c r="I782" s="148" t="s">
        <v>594</v>
      </c>
      <c r="J782" s="176" t="s">
        <v>423</v>
      </c>
      <c r="K782" s="163" t="str">
        <f>IF(tbTransactions[[#This Row],[Sub-Type]]="Transfer","Neutral",IF(tbTransactions[[#This Row],[Qty]]&lt;0,"Debit",IF(tbTransactions[[#This Row],[Qty]]&gt;0,"Credit","Neutral")))</f>
        <v>Debit</v>
      </c>
      <c r="L782" s="163" t="s">
        <v>12</v>
      </c>
      <c r="M782" s="171" t="s">
        <v>721</v>
      </c>
    </row>
    <row r="783" spans="3:13" ht="30" customHeight="1" x14ac:dyDescent="0.25">
      <c r="C783" s="175">
        <v>781</v>
      </c>
      <c r="D783" s="163">
        <v>44495</v>
      </c>
      <c r="E783" s="171">
        <v>-3.506E-3</v>
      </c>
      <c r="F783" s="171">
        <v>2.25</v>
      </c>
      <c r="G783" s="172">
        <v>1</v>
      </c>
      <c r="H783" s="171">
        <f>tbTransactions[[#This Row],[Qty]]*tbTransactions[[#This Row],[Unit Cost]]*tbTransactions[[#This Row],[Exchange Rate]]</f>
        <v>-7.8884999999999997E-3</v>
      </c>
      <c r="I783" s="148" t="s">
        <v>594</v>
      </c>
      <c r="J783" s="176" t="s">
        <v>423</v>
      </c>
      <c r="K783" s="163" t="str">
        <f>IF(tbTransactions[[#This Row],[Sub-Type]]="Transfer","Neutral",IF(tbTransactions[[#This Row],[Qty]]&lt;0,"Debit",IF(tbTransactions[[#This Row],[Qty]]&gt;0,"Credit","Neutral")))</f>
        <v>Debit</v>
      </c>
      <c r="L783" s="163" t="s">
        <v>12</v>
      </c>
      <c r="M783" s="171" t="s">
        <v>636</v>
      </c>
    </row>
    <row r="784" spans="3:13" ht="30" customHeight="1" x14ac:dyDescent="0.25">
      <c r="C784" s="175">
        <v>782</v>
      </c>
      <c r="D784" s="163">
        <v>44495</v>
      </c>
      <c r="E784" s="171">
        <v>-0.2</v>
      </c>
      <c r="F784" s="171">
        <v>5216.8999999999996</v>
      </c>
      <c r="G784" s="172">
        <v>1</v>
      </c>
      <c r="H784" s="171">
        <f>tbTransactions[[#This Row],[Qty]]*tbTransactions[[#This Row],[Unit Cost]]*tbTransactions[[#This Row],[Exchange Rate]]</f>
        <v>-1043.3799999999999</v>
      </c>
      <c r="I784" s="148" t="s">
        <v>594</v>
      </c>
      <c r="J784" s="176" t="s">
        <v>22</v>
      </c>
      <c r="K784" s="163" t="str">
        <f>IF(tbTransactions[[#This Row],[Sub-Type]]="Transfer","Neutral",IF(tbTransactions[[#This Row],[Qty]]&lt;0,"Debit",IF(tbTransactions[[#This Row],[Qty]]&gt;0,"Credit","Neutral")))</f>
        <v>Debit</v>
      </c>
      <c r="L784" s="163" t="s">
        <v>603</v>
      </c>
      <c r="M784" s="171" t="s">
        <v>636</v>
      </c>
    </row>
    <row r="785" spans="3:13" ht="30" customHeight="1" x14ac:dyDescent="0.25">
      <c r="C785" s="175">
        <v>783</v>
      </c>
      <c r="D785" s="163">
        <v>44495</v>
      </c>
      <c r="E785" s="171">
        <v>838.57371499999999</v>
      </c>
      <c r="F785" s="171">
        <v>1.24</v>
      </c>
      <c r="G785" s="172">
        <v>1</v>
      </c>
      <c r="H785" s="171">
        <f>tbTransactions[[#This Row],[Qty]]*tbTransactions[[#This Row],[Unit Cost]]*tbTransactions[[#This Row],[Exchange Rate]]</f>
        <v>1039.8314066</v>
      </c>
      <c r="I785" s="148" t="s">
        <v>594</v>
      </c>
      <c r="J785" s="176" t="s">
        <v>602</v>
      </c>
      <c r="K785" s="163" t="str">
        <f>IF(tbTransactions[[#This Row],[Sub-Type]]="Transfer","Neutral",IF(tbTransactions[[#This Row],[Qty]]&lt;0,"Debit",IF(tbTransactions[[#This Row],[Qty]]&gt;0,"Credit","Neutral")))</f>
        <v>Credit</v>
      </c>
      <c r="L785" s="163" t="s">
        <v>603</v>
      </c>
      <c r="M785" s="171" t="s">
        <v>636</v>
      </c>
    </row>
    <row r="786" spans="3:13" ht="30" customHeight="1" x14ac:dyDescent="0.25">
      <c r="C786" s="175">
        <v>784</v>
      </c>
      <c r="D786" s="163">
        <v>44495</v>
      </c>
      <c r="E786" s="171">
        <v>3.7003673100000002E-2</v>
      </c>
      <c r="F786" s="171">
        <v>0</v>
      </c>
      <c r="G786" s="172">
        <v>1</v>
      </c>
      <c r="H786" s="171">
        <f>tbTransactions[[#This Row],[Qty]]*tbTransactions[[#This Row],[Unit Cost]]*tbTransactions[[#This Row],[Exchange Rate]]</f>
        <v>0</v>
      </c>
      <c r="I786" s="148" t="s">
        <v>511</v>
      </c>
      <c r="J786" s="176" t="s">
        <v>20</v>
      </c>
      <c r="K786" s="163" t="str">
        <f>IF(tbTransactions[[#This Row],[Sub-Type]]="Transfer","Neutral",IF(tbTransactions[[#This Row],[Qty]]&lt;0,"Debit",IF(tbTransactions[[#This Row],[Qty]]&gt;0,"Credit","Neutral")))</f>
        <v>Credit</v>
      </c>
      <c r="L786" s="163" t="s">
        <v>518</v>
      </c>
      <c r="M786" s="171" t="s">
        <v>465</v>
      </c>
    </row>
    <row r="787" spans="3:13" ht="30" customHeight="1" x14ac:dyDescent="0.25">
      <c r="C787" s="175">
        <v>785</v>
      </c>
      <c r="D787" s="163">
        <v>44495</v>
      </c>
      <c r="E787" s="171">
        <f>69.275627-69.233472</f>
        <v>4.2154999999993947E-2</v>
      </c>
      <c r="F787" s="171">
        <v>0</v>
      </c>
      <c r="G787" s="172">
        <v>1</v>
      </c>
      <c r="H787" s="171">
        <f>tbTransactions[[#This Row],[Qty]]*tbTransactions[[#This Row],[Unit Cost]]*tbTransactions[[#This Row],[Exchange Rate]]</f>
        <v>0</v>
      </c>
      <c r="I787" s="148" t="s">
        <v>431</v>
      </c>
      <c r="J787" s="176" t="s">
        <v>18</v>
      </c>
      <c r="K787" s="163" t="str">
        <f>IF(tbTransactions[[#This Row],[Sub-Type]]="Transfer","Neutral",IF(tbTransactions[[#This Row],[Qty]]&lt;0,"Debit",IF(tbTransactions[[#This Row],[Qty]]&gt;0,"Credit","Neutral")))</f>
        <v>Credit</v>
      </c>
      <c r="L787" s="163" t="s">
        <v>518</v>
      </c>
      <c r="M787" s="171" t="s">
        <v>40</v>
      </c>
    </row>
    <row r="788" spans="3:13" ht="30" customHeight="1" x14ac:dyDescent="0.25">
      <c r="C788" s="175">
        <v>786</v>
      </c>
      <c r="D788" s="163">
        <v>44495</v>
      </c>
      <c r="E788" s="171">
        <v>-3.5718299999999998E-3</v>
      </c>
      <c r="F788" s="171">
        <v>2.14</v>
      </c>
      <c r="G788" s="172">
        <v>1</v>
      </c>
      <c r="H788" s="171">
        <f>tbTransactions[[#This Row],[Qty]]*tbTransactions[[#This Row],[Unit Cost]]*tbTransactions[[#This Row],[Exchange Rate]]</f>
        <v>-7.6437162000000001E-3</v>
      </c>
      <c r="I788" s="148" t="s">
        <v>594</v>
      </c>
      <c r="J788" s="176" t="s">
        <v>423</v>
      </c>
      <c r="K788" s="163" t="str">
        <f>IF(tbTransactions[[#This Row],[Sub-Type]]="Transfer","Neutral",IF(tbTransactions[[#This Row],[Qty]]&lt;0,"Debit",IF(tbTransactions[[#This Row],[Qty]]&gt;0,"Credit","Neutral")))</f>
        <v>Debit</v>
      </c>
      <c r="L788" s="163" t="s">
        <v>12</v>
      </c>
      <c r="M788" s="171" t="s">
        <v>646</v>
      </c>
    </row>
    <row r="789" spans="3:13" ht="30" customHeight="1" x14ac:dyDescent="0.25">
      <c r="C789" s="175">
        <v>787</v>
      </c>
      <c r="D789" s="163">
        <v>44495</v>
      </c>
      <c r="E789" s="171">
        <v>0.25</v>
      </c>
      <c r="F789" s="171">
        <v>5106</v>
      </c>
      <c r="G789" s="172">
        <v>1</v>
      </c>
      <c r="H789" s="171">
        <f>tbTransactions[[#This Row],[Qty]]*tbTransactions[[#This Row],[Unit Cost]]*tbTransactions[[#This Row],[Exchange Rate]]</f>
        <v>1276.5</v>
      </c>
      <c r="I789" s="148" t="s">
        <v>594</v>
      </c>
      <c r="J789" s="176" t="s">
        <v>22</v>
      </c>
      <c r="K789" s="163" t="str">
        <f>IF(tbTransactions[[#This Row],[Sub-Type]]="Transfer","Neutral",IF(tbTransactions[[#This Row],[Qty]]&lt;0,"Debit",IF(tbTransactions[[#This Row],[Qty]]&gt;0,"Credit","Neutral")))</f>
        <v>Credit</v>
      </c>
      <c r="L789" s="163" t="s">
        <v>603</v>
      </c>
      <c r="M789" s="171" t="s">
        <v>646</v>
      </c>
    </row>
    <row r="790" spans="3:13" ht="30" customHeight="1" x14ac:dyDescent="0.25">
      <c r="C790" s="175">
        <v>788</v>
      </c>
      <c r="D790" s="163">
        <v>44495</v>
      </c>
      <c r="E790" s="171">
        <v>-1032.957028</v>
      </c>
      <c r="F790" s="171">
        <v>1.24</v>
      </c>
      <c r="G790" s="172">
        <v>1</v>
      </c>
      <c r="H790" s="171">
        <f>tbTransactions[[#This Row],[Qty]]*tbTransactions[[#This Row],[Unit Cost]]*tbTransactions[[#This Row],[Exchange Rate]]</f>
        <v>-1280.8667147200001</v>
      </c>
      <c r="I790" s="148" t="s">
        <v>594</v>
      </c>
      <c r="J790" s="176" t="s">
        <v>602</v>
      </c>
      <c r="K790" s="163" t="str">
        <f>IF(tbTransactions[[#This Row],[Sub-Type]]="Transfer","Neutral",IF(tbTransactions[[#This Row],[Qty]]&lt;0,"Debit",IF(tbTransactions[[#This Row],[Qty]]&gt;0,"Credit","Neutral")))</f>
        <v>Debit</v>
      </c>
      <c r="L790" s="163" t="s">
        <v>603</v>
      </c>
      <c r="M790" s="171" t="s">
        <v>646</v>
      </c>
    </row>
    <row r="791" spans="3:13" ht="30" customHeight="1" x14ac:dyDescent="0.25">
      <c r="C791" s="175">
        <v>789</v>
      </c>
      <c r="D791" s="163">
        <v>44496</v>
      </c>
      <c r="E791" s="171">
        <v>-3.5718299999999998E-3</v>
      </c>
      <c r="F791" s="171">
        <v>2.16</v>
      </c>
      <c r="G791" s="172">
        <v>1</v>
      </c>
      <c r="H791" s="171">
        <f>tbTransactions[[#This Row],[Qty]]*tbTransactions[[#This Row],[Unit Cost]]*tbTransactions[[#This Row],[Exchange Rate]]</f>
        <v>-7.7151527999999997E-3</v>
      </c>
      <c r="I791" s="148" t="s">
        <v>594</v>
      </c>
      <c r="J791" s="176" t="s">
        <v>423</v>
      </c>
      <c r="K791" s="163" t="str">
        <f>IF(tbTransactions[[#This Row],[Sub-Type]]="Transfer","Neutral",IF(tbTransactions[[#This Row],[Qty]]&lt;0,"Debit",IF(tbTransactions[[#This Row],[Qty]]&gt;0,"Credit","Neutral")))</f>
        <v>Debit</v>
      </c>
      <c r="L791" s="163" t="s">
        <v>12</v>
      </c>
      <c r="M791" s="171" t="s">
        <v>646</v>
      </c>
    </row>
    <row r="792" spans="3:13" ht="30" customHeight="1" x14ac:dyDescent="0.25">
      <c r="C792" s="175">
        <v>790</v>
      </c>
      <c r="D792" s="163">
        <v>44496</v>
      </c>
      <c r="E792" s="171">
        <v>0.35</v>
      </c>
      <c r="F792" s="171">
        <v>4982</v>
      </c>
      <c r="G792" s="172">
        <v>1</v>
      </c>
      <c r="H792" s="171">
        <f>tbTransactions[[#This Row],[Qty]]*tbTransactions[[#This Row],[Unit Cost]]*tbTransactions[[#This Row],[Exchange Rate]]</f>
        <v>1743.6999999999998</v>
      </c>
      <c r="I792" s="148" t="s">
        <v>594</v>
      </c>
      <c r="J792" s="176" t="s">
        <v>22</v>
      </c>
      <c r="K792" s="163" t="str">
        <f>IF(tbTransactions[[#This Row],[Sub-Type]]="Transfer","Neutral",IF(tbTransactions[[#This Row],[Qty]]&lt;0,"Debit",IF(tbTransactions[[#This Row],[Qty]]&gt;0,"Credit","Neutral")))</f>
        <v>Credit</v>
      </c>
      <c r="L792" s="163" t="s">
        <v>603</v>
      </c>
      <c r="M792" s="171" t="s">
        <v>646</v>
      </c>
    </row>
    <row r="793" spans="3:13" ht="30" customHeight="1" x14ac:dyDescent="0.25">
      <c r="C793" s="175">
        <v>791</v>
      </c>
      <c r="D793" s="163">
        <v>44496</v>
      </c>
      <c r="E793" s="171">
        <v>-1409.222888</v>
      </c>
      <c r="F793" s="171">
        <v>1.24</v>
      </c>
      <c r="G793" s="172">
        <v>1</v>
      </c>
      <c r="H793" s="171">
        <f>tbTransactions[[#This Row],[Qty]]*tbTransactions[[#This Row],[Unit Cost]]*tbTransactions[[#This Row],[Exchange Rate]]</f>
        <v>-1747.4363811200001</v>
      </c>
      <c r="I793" s="148" t="s">
        <v>594</v>
      </c>
      <c r="J793" s="176" t="s">
        <v>602</v>
      </c>
      <c r="K793" s="163" t="str">
        <f>IF(tbTransactions[[#This Row],[Sub-Type]]="Transfer","Neutral",IF(tbTransactions[[#This Row],[Qty]]&lt;0,"Debit",IF(tbTransactions[[#This Row],[Qty]]&gt;0,"Credit","Neutral")))</f>
        <v>Debit</v>
      </c>
      <c r="L793" s="163" t="s">
        <v>603</v>
      </c>
      <c r="M793" s="171" t="s">
        <v>646</v>
      </c>
    </row>
    <row r="794" spans="3:13" ht="30" customHeight="1" x14ac:dyDescent="0.25">
      <c r="C794" s="175">
        <v>792</v>
      </c>
      <c r="D794" s="163">
        <v>44496</v>
      </c>
      <c r="E794" s="171">
        <v>4170</v>
      </c>
      <c r="F794" s="171">
        <v>11</v>
      </c>
      <c r="G794" s="172">
        <v>1</v>
      </c>
      <c r="H794" s="171">
        <f>tbTransactions[[#This Row],[Qty]]*tbTransactions[[#This Row],[Unit Cost]]*tbTransactions[[#This Row],[Exchange Rate]]</f>
        <v>45870</v>
      </c>
      <c r="I794" s="148" t="s">
        <v>724</v>
      </c>
      <c r="J794" s="176" t="s">
        <v>732</v>
      </c>
      <c r="K794" s="163" t="str">
        <f>IF(tbTransactions[[#This Row],[Sub-Type]]="Transfer","Neutral",IF(tbTransactions[[#This Row],[Qty]]&lt;0,"Debit",IF(tbTransactions[[#This Row],[Qty]]&gt;0,"Credit","Neutral")))</f>
        <v>Credit</v>
      </c>
      <c r="L794" s="163" t="s">
        <v>519</v>
      </c>
      <c r="M794" s="171" t="s">
        <v>734</v>
      </c>
    </row>
    <row r="795" spans="3:13" ht="30" customHeight="1" x14ac:dyDescent="0.25">
      <c r="C795" s="175">
        <v>793</v>
      </c>
      <c r="D795" s="163">
        <v>44496</v>
      </c>
      <c r="E795" s="171">
        <v>-45870</v>
      </c>
      <c r="F795" s="171">
        <v>1</v>
      </c>
      <c r="G795" s="172">
        <v>1</v>
      </c>
      <c r="H795" s="171">
        <f>tbTransactions[[#This Row],[Qty]]*tbTransactions[[#This Row],[Unit Cost]]*tbTransactions[[#This Row],[Exchange Rate]]</f>
        <v>-45870</v>
      </c>
      <c r="I795" s="148" t="s">
        <v>724</v>
      </c>
      <c r="J795" s="176" t="s">
        <v>411</v>
      </c>
      <c r="K795" s="163" t="str">
        <f>IF(tbTransactions[[#This Row],[Sub-Type]]="Transfer","Neutral",IF(tbTransactions[[#This Row],[Qty]]&lt;0,"Debit",IF(tbTransactions[[#This Row],[Qty]]&gt;0,"Credit","Neutral")))</f>
        <v>Debit</v>
      </c>
      <c r="L795" s="163" t="s">
        <v>522</v>
      </c>
      <c r="M795" s="171" t="s">
        <v>734</v>
      </c>
    </row>
    <row r="796" spans="3:13" ht="30" customHeight="1" x14ac:dyDescent="0.25">
      <c r="C796" s="175">
        <v>794</v>
      </c>
      <c r="D796" s="163">
        <v>44496</v>
      </c>
      <c r="E796" s="171">
        <v>238</v>
      </c>
      <c r="F796" s="171">
        <v>38</v>
      </c>
      <c r="G796" s="172">
        <v>1</v>
      </c>
      <c r="H796" s="171">
        <f>tbTransactions[[#This Row],[Qty]]*tbTransactions[[#This Row],[Unit Cost]]*tbTransactions[[#This Row],[Exchange Rate]]</f>
        <v>9044</v>
      </c>
      <c r="I796" s="148" t="s">
        <v>714</v>
      </c>
      <c r="J796" s="176" t="s">
        <v>686</v>
      </c>
      <c r="K796" s="163" t="str">
        <f>IF(tbTransactions[[#This Row],[Sub-Type]]="Transfer","Neutral",IF(tbTransactions[[#This Row],[Qty]]&lt;0,"Debit",IF(tbTransactions[[#This Row],[Qty]]&gt;0,"Credit","Neutral")))</f>
        <v>Credit</v>
      </c>
      <c r="L796" s="163" t="s">
        <v>519</v>
      </c>
      <c r="M796" s="171" t="s">
        <v>697</v>
      </c>
    </row>
    <row r="797" spans="3:13" ht="30" customHeight="1" x14ac:dyDescent="0.25">
      <c r="C797" s="175">
        <v>795</v>
      </c>
      <c r="D797" s="163">
        <v>44496</v>
      </c>
      <c r="E797" s="171">
        <v>-9044</v>
      </c>
      <c r="F797" s="171">
        <v>1</v>
      </c>
      <c r="G797" s="172">
        <v>1</v>
      </c>
      <c r="H797" s="171">
        <f>tbTransactions[[#This Row],[Qty]]*tbTransactions[[#This Row],[Unit Cost]]*tbTransactions[[#This Row],[Exchange Rate]]</f>
        <v>-9044</v>
      </c>
      <c r="I797" s="148" t="s">
        <v>714</v>
      </c>
      <c r="J797" s="176" t="s">
        <v>408</v>
      </c>
      <c r="K797" s="163" t="str">
        <f>IF(tbTransactions[[#This Row],[Sub-Type]]="Transfer","Neutral",IF(tbTransactions[[#This Row],[Qty]]&lt;0,"Debit",IF(tbTransactions[[#This Row],[Qty]]&gt;0,"Credit","Neutral")))</f>
        <v>Debit</v>
      </c>
      <c r="L797" s="163" t="s">
        <v>522</v>
      </c>
      <c r="M797" s="171" t="s">
        <v>697</v>
      </c>
    </row>
    <row r="798" spans="3:13" ht="30" customHeight="1" x14ac:dyDescent="0.25">
      <c r="C798" s="175">
        <v>796</v>
      </c>
      <c r="D798" s="163">
        <v>44496</v>
      </c>
      <c r="E798" s="171">
        <v>3.5428765700000003E-2</v>
      </c>
      <c r="F798" s="171">
        <v>0</v>
      </c>
      <c r="G798" s="172">
        <v>1</v>
      </c>
      <c r="H798" s="171">
        <f>tbTransactions[[#This Row],[Qty]]*tbTransactions[[#This Row],[Unit Cost]]*tbTransactions[[#This Row],[Exchange Rate]]</f>
        <v>0</v>
      </c>
      <c r="I798" s="148" t="s">
        <v>511</v>
      </c>
      <c r="J798" s="176" t="s">
        <v>20</v>
      </c>
      <c r="K798" s="163" t="str">
        <f>IF(tbTransactions[[#This Row],[Sub-Type]]="Transfer","Neutral",IF(tbTransactions[[#This Row],[Qty]]&lt;0,"Debit",IF(tbTransactions[[#This Row],[Qty]]&gt;0,"Credit","Neutral")))</f>
        <v>Credit</v>
      </c>
      <c r="L798" s="163" t="s">
        <v>518</v>
      </c>
      <c r="M798" s="171" t="s">
        <v>465</v>
      </c>
    </row>
    <row r="799" spans="3:13" ht="30" customHeight="1" x14ac:dyDescent="0.25">
      <c r="C799" s="175">
        <v>797</v>
      </c>
      <c r="D799" s="163">
        <v>44496</v>
      </c>
      <c r="E799" s="171">
        <v>-3.5718299999999998E-3</v>
      </c>
      <c r="F799" s="171">
        <v>2.16</v>
      </c>
      <c r="G799" s="172">
        <v>1</v>
      </c>
      <c r="H799" s="171">
        <f>tbTransactions[[#This Row],[Qty]]*tbTransactions[[#This Row],[Unit Cost]]*tbTransactions[[#This Row],[Exchange Rate]]</f>
        <v>-7.7151527999999997E-3</v>
      </c>
      <c r="I799" s="148" t="s">
        <v>594</v>
      </c>
      <c r="J799" s="176" t="s">
        <v>423</v>
      </c>
      <c r="K799" s="163" t="str">
        <f>IF(tbTransactions[[#This Row],[Sub-Type]]="Transfer","Neutral",IF(tbTransactions[[#This Row],[Qty]]&lt;0,"Debit",IF(tbTransactions[[#This Row],[Qty]]&gt;0,"Credit","Neutral")))</f>
        <v>Debit</v>
      </c>
      <c r="L799" s="163" t="s">
        <v>12</v>
      </c>
      <c r="M799" s="171" t="s">
        <v>646</v>
      </c>
    </row>
    <row r="800" spans="3:13" ht="30" customHeight="1" x14ac:dyDescent="0.25">
      <c r="C800" s="175">
        <v>798</v>
      </c>
      <c r="D800" s="163">
        <v>44496</v>
      </c>
      <c r="E800" s="171">
        <v>0.25</v>
      </c>
      <c r="F800" s="171">
        <v>4910</v>
      </c>
      <c r="G800" s="172">
        <v>1</v>
      </c>
      <c r="H800" s="171">
        <f>tbTransactions[[#This Row],[Qty]]*tbTransactions[[#This Row],[Unit Cost]]*tbTransactions[[#This Row],[Exchange Rate]]</f>
        <v>1227.5</v>
      </c>
      <c r="I800" s="148" t="s">
        <v>594</v>
      </c>
      <c r="J800" s="176" t="s">
        <v>22</v>
      </c>
      <c r="K800" s="163" t="str">
        <f>IF(tbTransactions[[#This Row],[Sub-Type]]="Transfer","Neutral",IF(tbTransactions[[#This Row],[Qty]]&lt;0,"Debit",IF(tbTransactions[[#This Row],[Qty]]&gt;0,"Credit","Neutral")))</f>
        <v>Credit</v>
      </c>
      <c r="L800" s="163" t="s">
        <v>603</v>
      </c>
      <c r="M800" s="171" t="s">
        <v>646</v>
      </c>
    </row>
    <row r="801" spans="3:13" ht="30" customHeight="1" x14ac:dyDescent="0.25">
      <c r="C801" s="175">
        <v>799</v>
      </c>
      <c r="D801" s="163">
        <v>44496</v>
      </c>
      <c r="E801" s="171">
        <v>-993.384817</v>
      </c>
      <c r="F801" s="171">
        <v>1.24</v>
      </c>
      <c r="G801" s="172">
        <v>1</v>
      </c>
      <c r="H801" s="171">
        <f>tbTransactions[[#This Row],[Qty]]*tbTransactions[[#This Row],[Unit Cost]]*tbTransactions[[#This Row],[Exchange Rate]]</f>
        <v>-1231.79717308</v>
      </c>
      <c r="I801" s="148" t="s">
        <v>594</v>
      </c>
      <c r="J801" s="176" t="s">
        <v>602</v>
      </c>
      <c r="K801" s="163" t="str">
        <f>IF(tbTransactions[[#This Row],[Sub-Type]]="Transfer","Neutral",IF(tbTransactions[[#This Row],[Qty]]&lt;0,"Debit",IF(tbTransactions[[#This Row],[Qty]]&gt;0,"Credit","Neutral")))</f>
        <v>Debit</v>
      </c>
      <c r="L801" s="163" t="s">
        <v>603</v>
      </c>
      <c r="M801" s="171" t="s">
        <v>646</v>
      </c>
    </row>
    <row r="802" spans="3:13" ht="30" customHeight="1" x14ac:dyDescent="0.25">
      <c r="C802" s="175">
        <v>800</v>
      </c>
      <c r="D802" s="163">
        <v>44496</v>
      </c>
      <c r="E802" s="171">
        <v>1.4022410000000001</v>
      </c>
      <c r="F802" s="171">
        <v>0</v>
      </c>
      <c r="G802" s="172">
        <v>1</v>
      </c>
      <c r="H802" s="171">
        <f>tbTransactions[[#This Row],[Qty]]*tbTransactions[[#This Row],[Unit Cost]]*tbTransactions[[#This Row],[Exchange Rate]]</f>
        <v>0</v>
      </c>
      <c r="I802" s="148" t="s">
        <v>507</v>
      </c>
      <c r="J802" s="176" t="s">
        <v>17</v>
      </c>
      <c r="K802" s="163" t="str">
        <f>IF(tbTransactions[[#This Row],[Sub-Type]]="Transfer","Neutral",IF(tbTransactions[[#This Row],[Qty]]&lt;0,"Debit",IF(tbTransactions[[#This Row],[Qty]]&gt;0,"Credit","Neutral")))</f>
        <v>Credit</v>
      </c>
      <c r="L802" s="163" t="s">
        <v>518</v>
      </c>
      <c r="M802" s="171" t="s">
        <v>427</v>
      </c>
    </row>
    <row r="803" spans="3:13" ht="30" customHeight="1" x14ac:dyDescent="0.25">
      <c r="C803" s="175">
        <v>801</v>
      </c>
      <c r="D803" s="163">
        <v>44496</v>
      </c>
      <c r="E803" s="171">
        <v>-3.2590000000000002E-3</v>
      </c>
      <c r="F803" s="171">
        <v>2.2400000000000002</v>
      </c>
      <c r="G803" s="172">
        <v>1</v>
      </c>
      <c r="H803" s="171">
        <f>tbTransactions[[#This Row],[Qty]]*tbTransactions[[#This Row],[Unit Cost]]*tbTransactions[[#This Row],[Exchange Rate]]</f>
        <v>-7.3001600000000008E-3</v>
      </c>
      <c r="I803" s="148" t="s">
        <v>594</v>
      </c>
      <c r="J803" s="176" t="s">
        <v>423</v>
      </c>
      <c r="K803" s="163" t="str">
        <f>IF(tbTransactions[[#This Row],[Sub-Type]]="Transfer","Neutral",IF(tbTransactions[[#This Row],[Qty]]&lt;0,"Debit",IF(tbTransactions[[#This Row],[Qty]]&gt;0,"Credit","Neutral")))</f>
        <v>Debit</v>
      </c>
      <c r="L803" s="163" t="s">
        <v>12</v>
      </c>
      <c r="M803" s="171" t="s">
        <v>646</v>
      </c>
    </row>
    <row r="804" spans="3:13" ht="30" customHeight="1" x14ac:dyDescent="0.25">
      <c r="C804" s="175">
        <v>802</v>
      </c>
      <c r="D804" s="163">
        <v>44496</v>
      </c>
      <c r="E804" s="171">
        <v>0.25</v>
      </c>
      <c r="F804" s="171">
        <v>4863</v>
      </c>
      <c r="G804" s="172">
        <v>1</v>
      </c>
      <c r="H804" s="171">
        <f>tbTransactions[[#This Row],[Qty]]*tbTransactions[[#This Row],[Unit Cost]]*tbTransactions[[#This Row],[Exchange Rate]]</f>
        <v>1215.75</v>
      </c>
      <c r="I804" s="148" t="s">
        <v>594</v>
      </c>
      <c r="J804" s="176" t="s">
        <v>22</v>
      </c>
      <c r="K804" s="163" t="str">
        <f>IF(tbTransactions[[#This Row],[Sub-Type]]="Transfer","Neutral",IF(tbTransactions[[#This Row],[Qty]]&lt;0,"Debit",IF(tbTransactions[[#This Row],[Qty]]&gt;0,"Credit","Neutral")))</f>
        <v>Credit</v>
      </c>
      <c r="L804" s="163" t="s">
        <v>603</v>
      </c>
      <c r="M804" s="171" t="s">
        <v>646</v>
      </c>
    </row>
    <row r="805" spans="3:13" ht="30" customHeight="1" x14ac:dyDescent="0.25">
      <c r="C805" s="175">
        <v>803</v>
      </c>
      <c r="D805" s="163">
        <v>44496</v>
      </c>
      <c r="E805" s="171">
        <v>-981.80497700000001</v>
      </c>
      <c r="F805" s="171">
        <v>1.24</v>
      </c>
      <c r="G805" s="172">
        <v>1</v>
      </c>
      <c r="H805" s="171">
        <f>tbTransactions[[#This Row],[Qty]]*tbTransactions[[#This Row],[Unit Cost]]*tbTransactions[[#This Row],[Exchange Rate]]</f>
        <v>-1217.4381714799999</v>
      </c>
      <c r="I805" s="148" t="s">
        <v>594</v>
      </c>
      <c r="J805" s="176" t="s">
        <v>602</v>
      </c>
      <c r="K805" s="163" t="str">
        <f>IF(tbTransactions[[#This Row],[Sub-Type]]="Transfer","Neutral",IF(tbTransactions[[#This Row],[Qty]]&lt;0,"Debit",IF(tbTransactions[[#This Row],[Qty]]&gt;0,"Credit","Neutral")))</f>
        <v>Debit</v>
      </c>
      <c r="L805" s="163" t="s">
        <v>603</v>
      </c>
      <c r="M805" s="171" t="s">
        <v>646</v>
      </c>
    </row>
    <row r="806" spans="3:13" ht="30" customHeight="1" x14ac:dyDescent="0.25">
      <c r="C806" s="175">
        <v>804</v>
      </c>
      <c r="D806" s="163">
        <v>44496</v>
      </c>
      <c r="E806" s="171">
        <v>-3.50607E-3</v>
      </c>
      <c r="F806" s="171">
        <v>2.2799999999999998</v>
      </c>
      <c r="G806" s="172">
        <v>1</v>
      </c>
      <c r="H806" s="171">
        <f>tbTransactions[[#This Row],[Qty]]*tbTransactions[[#This Row],[Unit Cost]]*tbTransactions[[#This Row],[Exchange Rate]]</f>
        <v>-7.9938396000000002E-3</v>
      </c>
      <c r="I806" s="148" t="s">
        <v>594</v>
      </c>
      <c r="J806" s="176" t="s">
        <v>423</v>
      </c>
      <c r="K806" s="163" t="str">
        <f>IF(tbTransactions[[#This Row],[Sub-Type]]="Transfer","Neutral",IF(tbTransactions[[#This Row],[Qty]]&lt;0,"Debit",IF(tbTransactions[[#This Row],[Qty]]&gt;0,"Credit","Neutral")))</f>
        <v>Debit</v>
      </c>
      <c r="L806" s="163" t="s">
        <v>12</v>
      </c>
      <c r="M806" s="171" t="s">
        <v>636</v>
      </c>
    </row>
    <row r="807" spans="3:13" ht="30" customHeight="1" x14ac:dyDescent="0.25">
      <c r="C807" s="175">
        <v>805</v>
      </c>
      <c r="D807" s="163">
        <v>44496</v>
      </c>
      <c r="E807" s="171">
        <v>-0.2</v>
      </c>
      <c r="F807" s="171">
        <v>4949</v>
      </c>
      <c r="G807" s="172">
        <v>1</v>
      </c>
      <c r="H807" s="171">
        <f>tbTransactions[[#This Row],[Qty]]*tbTransactions[[#This Row],[Unit Cost]]*tbTransactions[[#This Row],[Exchange Rate]]</f>
        <v>-989.80000000000007</v>
      </c>
      <c r="I807" s="148" t="s">
        <v>594</v>
      </c>
      <c r="J807" s="176" t="s">
        <v>22</v>
      </c>
      <c r="K807" s="163" t="str">
        <f>IF(tbTransactions[[#This Row],[Sub-Type]]="Transfer","Neutral",IF(tbTransactions[[#This Row],[Qty]]&lt;0,"Debit",IF(tbTransactions[[#This Row],[Qty]]&gt;0,"Credit","Neutral")))</f>
        <v>Debit</v>
      </c>
      <c r="L807" s="163" t="s">
        <v>603</v>
      </c>
      <c r="M807" s="171" t="s">
        <v>636</v>
      </c>
    </row>
    <row r="808" spans="3:13" ht="30" customHeight="1" x14ac:dyDescent="0.25">
      <c r="C808" s="175">
        <v>806</v>
      </c>
      <c r="D808" s="163">
        <v>44496</v>
      </c>
      <c r="E808" s="171">
        <v>793.56705999999997</v>
      </c>
      <c r="F808" s="171">
        <v>1.24</v>
      </c>
      <c r="G808" s="172">
        <v>1</v>
      </c>
      <c r="H808" s="171">
        <f>tbTransactions[[#This Row],[Qty]]*tbTransactions[[#This Row],[Unit Cost]]*tbTransactions[[#This Row],[Exchange Rate]]</f>
        <v>984.02315439999995</v>
      </c>
      <c r="I808" s="148" t="s">
        <v>594</v>
      </c>
      <c r="J808" s="176" t="s">
        <v>602</v>
      </c>
      <c r="K808" s="163" t="str">
        <f>IF(tbTransactions[[#This Row],[Sub-Type]]="Transfer","Neutral",IF(tbTransactions[[#This Row],[Qty]]&lt;0,"Debit",IF(tbTransactions[[#This Row],[Qty]]&gt;0,"Credit","Neutral")))</f>
        <v>Credit</v>
      </c>
      <c r="L808" s="163" t="s">
        <v>603</v>
      </c>
      <c r="M808" s="171" t="s">
        <v>636</v>
      </c>
    </row>
    <row r="809" spans="3:13" ht="30" customHeight="1" x14ac:dyDescent="0.25">
      <c r="C809" s="175">
        <v>807</v>
      </c>
      <c r="D809" s="163">
        <v>44497</v>
      </c>
      <c r="E809" s="171">
        <v>-3.50607E-3</v>
      </c>
      <c r="F809" s="171">
        <v>2.35</v>
      </c>
      <c r="G809" s="172">
        <v>1</v>
      </c>
      <c r="H809" s="171">
        <f>tbTransactions[[#This Row],[Qty]]*tbTransactions[[#This Row],[Unit Cost]]*tbTransactions[[#This Row],[Exchange Rate]]</f>
        <v>-8.2392645000000011E-3</v>
      </c>
      <c r="I809" s="148" t="s">
        <v>594</v>
      </c>
      <c r="J809" s="176" t="s">
        <v>423</v>
      </c>
      <c r="K809" s="163" t="str">
        <f>IF(tbTransactions[[#This Row],[Sub-Type]]="Transfer","Neutral",IF(tbTransactions[[#This Row],[Qty]]&lt;0,"Debit",IF(tbTransactions[[#This Row],[Qty]]&gt;0,"Credit","Neutral")))</f>
        <v>Debit</v>
      </c>
      <c r="L809" s="163" t="s">
        <v>12</v>
      </c>
      <c r="M809" s="171" t="s">
        <v>636</v>
      </c>
    </row>
    <row r="810" spans="3:13" ht="30" customHeight="1" x14ac:dyDescent="0.25">
      <c r="C810" s="175">
        <v>808</v>
      </c>
      <c r="D810" s="163">
        <v>44497</v>
      </c>
      <c r="E810" s="171">
        <v>-0.3</v>
      </c>
      <c r="F810" s="171">
        <v>5114</v>
      </c>
      <c r="G810" s="172">
        <v>1</v>
      </c>
      <c r="H810" s="171">
        <f>tbTransactions[[#This Row],[Qty]]*tbTransactions[[#This Row],[Unit Cost]]*tbTransactions[[#This Row],[Exchange Rate]]</f>
        <v>-1534.2</v>
      </c>
      <c r="I810" s="148" t="s">
        <v>594</v>
      </c>
      <c r="J810" s="176" t="s">
        <v>22</v>
      </c>
      <c r="K810" s="163" t="str">
        <f>IF(tbTransactions[[#This Row],[Sub-Type]]="Transfer","Neutral",IF(tbTransactions[[#This Row],[Qty]]&lt;0,"Debit",IF(tbTransactions[[#This Row],[Qty]]&gt;0,"Credit","Neutral")))</f>
        <v>Debit</v>
      </c>
      <c r="L810" s="163" t="s">
        <v>603</v>
      </c>
      <c r="M810" s="171" t="s">
        <v>636</v>
      </c>
    </row>
    <row r="811" spans="3:13" ht="30" customHeight="1" x14ac:dyDescent="0.25">
      <c r="C811" s="175">
        <v>809</v>
      </c>
      <c r="D811" s="163">
        <v>44497</v>
      </c>
      <c r="E811" s="171">
        <v>1235.6472920000001</v>
      </c>
      <c r="F811" s="171">
        <v>1.24</v>
      </c>
      <c r="G811" s="172">
        <v>1</v>
      </c>
      <c r="H811" s="171">
        <f>tbTransactions[[#This Row],[Qty]]*tbTransactions[[#This Row],[Unit Cost]]*tbTransactions[[#This Row],[Exchange Rate]]</f>
        <v>1532.20264208</v>
      </c>
      <c r="I811" s="148" t="s">
        <v>594</v>
      </c>
      <c r="J811" s="176" t="s">
        <v>602</v>
      </c>
      <c r="K811" s="163" t="str">
        <f>IF(tbTransactions[[#This Row],[Sub-Type]]="Transfer","Neutral",IF(tbTransactions[[#This Row],[Qty]]&lt;0,"Debit",IF(tbTransactions[[#This Row],[Qty]]&gt;0,"Credit","Neutral")))</f>
        <v>Credit</v>
      </c>
      <c r="L811" s="163" t="s">
        <v>603</v>
      </c>
      <c r="M811" s="171" t="s">
        <v>636</v>
      </c>
    </row>
    <row r="812" spans="3:13" ht="30" customHeight="1" x14ac:dyDescent="0.25">
      <c r="C812" s="175">
        <v>810</v>
      </c>
      <c r="D812" s="163">
        <v>44497</v>
      </c>
      <c r="E812" s="171">
        <v>3.3115848699999999E-2</v>
      </c>
      <c r="F812" s="171">
        <v>0</v>
      </c>
      <c r="G812" s="172">
        <v>1</v>
      </c>
      <c r="H812" s="171">
        <f>tbTransactions[[#This Row],[Qty]]*tbTransactions[[#This Row],[Unit Cost]]*tbTransactions[[#This Row],[Exchange Rate]]</f>
        <v>0</v>
      </c>
      <c r="I812" s="148" t="s">
        <v>511</v>
      </c>
      <c r="J812" s="176" t="s">
        <v>20</v>
      </c>
      <c r="K812" s="163" t="str">
        <f>IF(tbTransactions[[#This Row],[Sub-Type]]="Transfer","Neutral",IF(tbTransactions[[#This Row],[Qty]]&lt;0,"Debit",IF(tbTransactions[[#This Row],[Qty]]&gt;0,"Credit","Neutral")))</f>
        <v>Credit</v>
      </c>
      <c r="L812" s="163" t="s">
        <v>518</v>
      </c>
      <c r="M812" s="171" t="s">
        <v>465</v>
      </c>
    </row>
    <row r="813" spans="3:13" ht="30" customHeight="1" x14ac:dyDescent="0.25">
      <c r="C813" s="175">
        <v>811</v>
      </c>
      <c r="D813" s="163">
        <v>44497</v>
      </c>
      <c r="E813" s="171">
        <v>-5.38749E-3</v>
      </c>
      <c r="F813" s="171">
        <v>2.48</v>
      </c>
      <c r="G813" s="172">
        <v>1</v>
      </c>
      <c r="H813" s="171">
        <f>tbTransactions[[#This Row],[Qty]]*tbTransactions[[#This Row],[Unit Cost]]*tbTransactions[[#This Row],[Exchange Rate]]</f>
        <v>-1.33609752E-2</v>
      </c>
      <c r="I813" s="148" t="s">
        <v>594</v>
      </c>
      <c r="J813" s="176" t="s">
        <v>423</v>
      </c>
      <c r="K813" s="163" t="str">
        <f>IF(tbTransactions[[#This Row],[Sub-Type]]="Transfer","Neutral",IF(tbTransactions[[#This Row],[Qty]]&lt;0,"Debit",IF(tbTransactions[[#This Row],[Qty]]&gt;0,"Credit","Neutral")))</f>
        <v>Debit</v>
      </c>
      <c r="L813" s="163" t="s">
        <v>12</v>
      </c>
      <c r="M813" s="171" t="s">
        <v>636</v>
      </c>
    </row>
    <row r="814" spans="3:13" ht="30" customHeight="1" x14ac:dyDescent="0.25">
      <c r="C814" s="175">
        <v>812</v>
      </c>
      <c r="D814" s="163">
        <v>44497</v>
      </c>
      <c r="E814" s="171">
        <v>-0.2</v>
      </c>
      <c r="F814" s="171">
        <v>5225</v>
      </c>
      <c r="G814" s="172">
        <v>1</v>
      </c>
      <c r="H814" s="171">
        <f>tbTransactions[[#This Row],[Qty]]*tbTransactions[[#This Row],[Unit Cost]]*tbTransactions[[#This Row],[Exchange Rate]]</f>
        <v>-1045</v>
      </c>
      <c r="I814" s="148" t="s">
        <v>594</v>
      </c>
      <c r="J814" s="176" t="s">
        <v>22</v>
      </c>
      <c r="K814" s="163" t="str">
        <f>IF(tbTransactions[[#This Row],[Sub-Type]]="Transfer","Neutral",IF(tbTransactions[[#This Row],[Qty]]&lt;0,"Debit",IF(tbTransactions[[#This Row],[Qty]]&gt;0,"Credit","Neutral")))</f>
        <v>Debit</v>
      </c>
      <c r="L814" s="163" t="s">
        <v>603</v>
      </c>
      <c r="M814" s="171" t="s">
        <v>636</v>
      </c>
    </row>
    <row r="815" spans="3:13" ht="30" customHeight="1" x14ac:dyDescent="0.25">
      <c r="C815" s="175">
        <v>813</v>
      </c>
      <c r="D815" s="163">
        <v>44497</v>
      </c>
      <c r="E815" s="171">
        <v>843.02808600000003</v>
      </c>
      <c r="F815" s="171">
        <v>1.24</v>
      </c>
      <c r="G815" s="172">
        <v>1</v>
      </c>
      <c r="H815" s="171">
        <f>tbTransactions[[#This Row],[Qty]]*tbTransactions[[#This Row],[Unit Cost]]*tbTransactions[[#This Row],[Exchange Rate]]</f>
        <v>1045.3548266400001</v>
      </c>
      <c r="I815" s="148" t="s">
        <v>594</v>
      </c>
      <c r="J815" s="176" t="s">
        <v>602</v>
      </c>
      <c r="K815" s="163" t="str">
        <f>IF(tbTransactions[[#This Row],[Sub-Type]]="Transfer","Neutral",IF(tbTransactions[[#This Row],[Qty]]&lt;0,"Debit",IF(tbTransactions[[#This Row],[Qty]]&gt;0,"Credit","Neutral")))</f>
        <v>Credit</v>
      </c>
      <c r="L815" s="163" t="s">
        <v>603</v>
      </c>
      <c r="M815" s="171" t="s">
        <v>636</v>
      </c>
    </row>
    <row r="816" spans="3:13" ht="30" customHeight="1" x14ac:dyDescent="0.25">
      <c r="C816" s="175">
        <v>814</v>
      </c>
      <c r="D816" s="163">
        <v>44498</v>
      </c>
      <c r="E816" s="171">
        <v>-1.176E-3</v>
      </c>
      <c r="F816" s="171">
        <v>2.5</v>
      </c>
      <c r="G816" s="172">
        <v>1</v>
      </c>
      <c r="H816" s="171">
        <f>tbTransactions[[#This Row],[Qty]]*tbTransactions[[#This Row],[Unit Cost]]*tbTransactions[[#This Row],[Exchange Rate]]</f>
        <v>-2.9399999999999999E-3</v>
      </c>
      <c r="I816" s="148" t="s">
        <v>594</v>
      </c>
      <c r="J816" s="176" t="s">
        <v>423</v>
      </c>
      <c r="K816" s="163" t="str">
        <f>IF(tbTransactions[[#This Row],[Sub-Type]]="Transfer","Neutral",IF(tbTransactions[[#This Row],[Qty]]&lt;0,"Debit",IF(tbTransactions[[#This Row],[Qty]]&gt;0,"Credit","Neutral")))</f>
        <v>Debit</v>
      </c>
      <c r="L816" s="163" t="s">
        <v>12</v>
      </c>
      <c r="M816" s="171" t="s">
        <v>737</v>
      </c>
    </row>
    <row r="817" spans="3:13" ht="30" customHeight="1" x14ac:dyDescent="0.25">
      <c r="C817" s="175">
        <v>815</v>
      </c>
      <c r="D817" s="163">
        <v>44498</v>
      </c>
      <c r="E817" s="171">
        <v>-1.554E-3</v>
      </c>
      <c r="F817" s="171">
        <v>2.5</v>
      </c>
      <c r="G817" s="172">
        <v>1</v>
      </c>
      <c r="H817" s="171">
        <f>tbTransactions[[#This Row],[Qty]]*tbTransactions[[#This Row],[Unit Cost]]*tbTransactions[[#This Row],[Exchange Rate]]</f>
        <v>-3.885E-3</v>
      </c>
      <c r="I817" s="148" t="s">
        <v>594</v>
      </c>
      <c r="J817" s="176" t="s">
        <v>423</v>
      </c>
      <c r="K817" s="163" t="str">
        <f>IF(tbTransactions[[#This Row],[Sub-Type]]="Transfer","Neutral",IF(tbTransactions[[#This Row],[Qty]]&lt;0,"Debit",IF(tbTransactions[[#This Row],[Qty]]&gt;0,"Credit","Neutral")))</f>
        <v>Debit</v>
      </c>
      <c r="L817" s="163" t="s">
        <v>12</v>
      </c>
      <c r="M817" s="171" t="s">
        <v>737</v>
      </c>
    </row>
    <row r="818" spans="3:13" ht="30" customHeight="1" x14ac:dyDescent="0.25">
      <c r="C818" s="175">
        <v>816</v>
      </c>
      <c r="D818" s="163">
        <v>44498</v>
      </c>
      <c r="E818" s="171">
        <v>-1.6590000000000001E-3</v>
      </c>
      <c r="F818" s="171">
        <v>2.5</v>
      </c>
      <c r="G818" s="172">
        <v>1</v>
      </c>
      <c r="H818" s="171">
        <f>tbTransactions[[#This Row],[Qty]]*tbTransactions[[#This Row],[Unit Cost]]*tbTransactions[[#This Row],[Exchange Rate]]</f>
        <v>-4.1475000000000001E-3</v>
      </c>
      <c r="I818" s="148" t="s">
        <v>594</v>
      </c>
      <c r="J818" s="176" t="s">
        <v>423</v>
      </c>
      <c r="K818" s="163" t="str">
        <f>IF(tbTransactions[[#This Row],[Sub-Type]]="Transfer","Neutral",IF(tbTransactions[[#This Row],[Qty]]&lt;0,"Debit",IF(tbTransactions[[#This Row],[Qty]]&gt;0,"Credit","Neutral")))</f>
        <v>Debit</v>
      </c>
      <c r="L818" s="163" t="s">
        <v>12</v>
      </c>
      <c r="M818" s="171" t="s">
        <v>737</v>
      </c>
    </row>
    <row r="819" spans="3:13" ht="30" customHeight="1" x14ac:dyDescent="0.25">
      <c r="C819" s="175">
        <v>817</v>
      </c>
      <c r="D819" s="163">
        <v>44498</v>
      </c>
      <c r="E819" s="171">
        <v>-1.1803769E-2</v>
      </c>
      <c r="F819" s="171">
        <v>2.4900000000000002</v>
      </c>
      <c r="G819" s="172">
        <v>1</v>
      </c>
      <c r="H819" s="171">
        <f>tbTransactions[[#This Row],[Qty]]*tbTransactions[[#This Row],[Unit Cost]]*tbTransactions[[#This Row],[Exchange Rate]]</f>
        <v>-2.9391384810000004E-2</v>
      </c>
      <c r="I819" s="148" t="s">
        <v>594</v>
      </c>
      <c r="J819" s="176" t="s">
        <v>423</v>
      </c>
      <c r="K819" s="163" t="str">
        <f>IF(tbTransactions[[#This Row],[Sub-Type]]="Transfer","Neutral",IF(tbTransactions[[#This Row],[Qty]]&lt;0,"Debit",IF(tbTransactions[[#This Row],[Qty]]&gt;0,"Credit","Neutral")))</f>
        <v>Debit</v>
      </c>
      <c r="L819" s="163" t="s">
        <v>12</v>
      </c>
      <c r="M819" s="171" t="s">
        <v>636</v>
      </c>
    </row>
    <row r="820" spans="3:13" ht="30" customHeight="1" x14ac:dyDescent="0.25">
      <c r="C820" s="175">
        <v>818</v>
      </c>
      <c r="D820" s="163">
        <v>44498</v>
      </c>
      <c r="E820" s="171">
        <v>-0.2</v>
      </c>
      <c r="F820" s="171">
        <v>5368</v>
      </c>
      <c r="G820" s="172">
        <v>1</v>
      </c>
      <c r="H820" s="171">
        <f>tbTransactions[[#This Row],[Qty]]*tbTransactions[[#This Row],[Unit Cost]]*tbTransactions[[#This Row],[Exchange Rate]]</f>
        <v>-1073.6000000000001</v>
      </c>
      <c r="I820" s="148" t="s">
        <v>594</v>
      </c>
      <c r="J820" s="176" t="s">
        <v>22</v>
      </c>
      <c r="K820" s="163" t="str">
        <f>IF(tbTransactions[[#This Row],[Sub-Type]]="Transfer","Neutral",IF(tbTransactions[[#This Row],[Qty]]&lt;0,"Debit",IF(tbTransactions[[#This Row],[Qty]]&gt;0,"Credit","Neutral")))</f>
        <v>Debit</v>
      </c>
      <c r="L820" s="163" t="s">
        <v>603</v>
      </c>
      <c r="M820" s="171" t="s">
        <v>636</v>
      </c>
    </row>
    <row r="821" spans="3:13" ht="30" customHeight="1" x14ac:dyDescent="0.25">
      <c r="C821" s="175">
        <v>819</v>
      </c>
      <c r="D821" s="163">
        <v>44498</v>
      </c>
      <c r="E821" s="171">
        <v>865.72387700000002</v>
      </c>
      <c r="F821" s="171">
        <v>1.24</v>
      </c>
      <c r="G821" s="172">
        <v>1</v>
      </c>
      <c r="H821" s="171">
        <f>tbTransactions[[#This Row],[Qty]]*tbTransactions[[#This Row],[Unit Cost]]*tbTransactions[[#This Row],[Exchange Rate]]</f>
        <v>1073.4976074799999</v>
      </c>
      <c r="I821" s="148" t="s">
        <v>594</v>
      </c>
      <c r="J821" s="176" t="s">
        <v>602</v>
      </c>
      <c r="K821" s="163" t="str">
        <f>IF(tbTransactions[[#This Row],[Sub-Type]]="Transfer","Neutral",IF(tbTransactions[[#This Row],[Qty]]&lt;0,"Debit",IF(tbTransactions[[#This Row],[Qty]]&gt;0,"Credit","Neutral")))</f>
        <v>Credit</v>
      </c>
      <c r="L821" s="163" t="s">
        <v>603</v>
      </c>
      <c r="M821" s="171" t="s">
        <v>636</v>
      </c>
    </row>
    <row r="822" spans="3:13" ht="30" customHeight="1" x14ac:dyDescent="0.25">
      <c r="C822" s="175">
        <v>820</v>
      </c>
      <c r="D822" s="163">
        <v>44498</v>
      </c>
      <c r="E822" s="171">
        <v>-1.0920000000000001E-3</v>
      </c>
      <c r="F822" s="171">
        <v>2.4900000000000002</v>
      </c>
      <c r="G822" s="172">
        <v>1</v>
      </c>
      <c r="H822" s="171">
        <f>tbTransactions[[#This Row],[Qty]]*tbTransactions[[#This Row],[Unit Cost]]*tbTransactions[[#This Row],[Exchange Rate]]</f>
        <v>-2.7190800000000005E-3</v>
      </c>
      <c r="I822" s="148" t="s">
        <v>594</v>
      </c>
      <c r="J822" s="176" t="s">
        <v>423</v>
      </c>
      <c r="K822" s="163" t="str">
        <f>IF(tbTransactions[[#This Row],[Sub-Type]]="Transfer","Neutral",IF(tbTransactions[[#This Row],[Qty]]&lt;0,"Debit",IF(tbTransactions[[#This Row],[Qty]]&gt;0,"Credit","Neutral")))</f>
        <v>Debit</v>
      </c>
      <c r="L822" s="163" t="s">
        <v>12</v>
      </c>
      <c r="M822" s="171" t="s">
        <v>744</v>
      </c>
    </row>
    <row r="823" spans="3:13" ht="30" customHeight="1" x14ac:dyDescent="0.25">
      <c r="C823" s="175">
        <v>821</v>
      </c>
      <c r="D823" s="163">
        <v>44498</v>
      </c>
      <c r="E823" s="171">
        <v>-5.7270000000000003E-3</v>
      </c>
      <c r="F823" s="171">
        <v>2.4300000000000002</v>
      </c>
      <c r="G823" s="172">
        <v>1</v>
      </c>
      <c r="H823" s="171">
        <f>tbTransactions[[#This Row],[Qty]]*tbTransactions[[#This Row],[Unit Cost]]*tbTransactions[[#This Row],[Exchange Rate]]</f>
        <v>-1.3916610000000001E-2</v>
      </c>
      <c r="I823" s="148" t="s">
        <v>594</v>
      </c>
      <c r="J823" s="176" t="s">
        <v>423</v>
      </c>
      <c r="K823" s="163" t="str">
        <f>IF(tbTransactions[[#This Row],[Sub-Type]]="Transfer","Neutral",IF(tbTransactions[[#This Row],[Qty]]&lt;0,"Debit",IF(tbTransactions[[#This Row],[Qty]]&gt;0,"Credit","Neutral")))</f>
        <v>Debit</v>
      </c>
      <c r="L823" s="163" t="s">
        <v>12</v>
      </c>
      <c r="M823" s="171" t="s">
        <v>636</v>
      </c>
    </row>
    <row r="824" spans="3:13" ht="30" customHeight="1" x14ac:dyDescent="0.25">
      <c r="C824" s="175">
        <v>822</v>
      </c>
      <c r="D824" s="163">
        <v>44498</v>
      </c>
      <c r="E824" s="171">
        <v>-0.2</v>
      </c>
      <c r="F824" s="171">
        <v>5478</v>
      </c>
      <c r="G824" s="172">
        <v>1</v>
      </c>
      <c r="H824" s="171">
        <f>tbTransactions[[#This Row],[Qty]]*tbTransactions[[#This Row],[Unit Cost]]*tbTransactions[[#This Row],[Exchange Rate]]</f>
        <v>-1095.6000000000001</v>
      </c>
      <c r="I824" s="148" t="s">
        <v>594</v>
      </c>
      <c r="J824" s="176" t="s">
        <v>22</v>
      </c>
      <c r="K824" s="163" t="str">
        <f>IF(tbTransactions[[#This Row],[Sub-Type]]="Transfer","Neutral",IF(tbTransactions[[#This Row],[Qty]]&lt;0,"Debit",IF(tbTransactions[[#This Row],[Qty]]&gt;0,"Credit","Neutral")))</f>
        <v>Debit</v>
      </c>
      <c r="L824" s="163" t="s">
        <v>603</v>
      </c>
      <c r="M824" s="171" t="s">
        <v>636</v>
      </c>
    </row>
    <row r="825" spans="3:13" ht="30" customHeight="1" x14ac:dyDescent="0.25">
      <c r="C825" s="175">
        <v>823</v>
      </c>
      <c r="D825" s="163">
        <v>44498</v>
      </c>
      <c r="E825" s="171">
        <v>882.04276400000003</v>
      </c>
      <c r="F825" s="171">
        <v>1.24</v>
      </c>
      <c r="G825" s="172">
        <v>1</v>
      </c>
      <c r="H825" s="171">
        <f>tbTransactions[[#This Row],[Qty]]*tbTransactions[[#This Row],[Unit Cost]]*tbTransactions[[#This Row],[Exchange Rate]]</f>
        <v>1093.7330273600001</v>
      </c>
      <c r="I825" s="148" t="s">
        <v>594</v>
      </c>
      <c r="J825" s="176" t="s">
        <v>602</v>
      </c>
      <c r="K825" s="163" t="str">
        <f>IF(tbTransactions[[#This Row],[Sub-Type]]="Transfer","Neutral",IF(tbTransactions[[#This Row],[Qty]]&lt;0,"Debit",IF(tbTransactions[[#This Row],[Qty]]&gt;0,"Credit","Neutral")))</f>
        <v>Credit</v>
      </c>
      <c r="L825" s="163" t="s">
        <v>603</v>
      </c>
      <c r="M825" s="171" t="s">
        <v>636</v>
      </c>
    </row>
    <row r="826" spans="3:13" ht="30" customHeight="1" x14ac:dyDescent="0.25">
      <c r="C826" s="175">
        <v>824</v>
      </c>
      <c r="D826" s="163">
        <v>44498</v>
      </c>
      <c r="E826" s="171">
        <v>3.2976850100000003E-2</v>
      </c>
      <c r="F826" s="171">
        <v>0</v>
      </c>
      <c r="G826" s="172">
        <v>1</v>
      </c>
      <c r="H826" s="171">
        <f>tbTransactions[[#This Row],[Qty]]*tbTransactions[[#This Row],[Unit Cost]]*tbTransactions[[#This Row],[Exchange Rate]]</f>
        <v>0</v>
      </c>
      <c r="I826" s="148" t="s">
        <v>511</v>
      </c>
      <c r="J826" s="176" t="s">
        <v>20</v>
      </c>
      <c r="K826" s="163" t="str">
        <f>IF(tbTransactions[[#This Row],[Sub-Type]]="Transfer","Neutral",IF(tbTransactions[[#This Row],[Qty]]&lt;0,"Debit",IF(tbTransactions[[#This Row],[Qty]]&gt;0,"Credit","Neutral")))</f>
        <v>Credit</v>
      </c>
      <c r="L826" s="163" t="s">
        <v>518</v>
      </c>
      <c r="M826" s="171" t="s">
        <v>465</v>
      </c>
    </row>
    <row r="827" spans="3:13" ht="30" customHeight="1" x14ac:dyDescent="0.25">
      <c r="C827" s="175">
        <v>825</v>
      </c>
      <c r="D827" s="163">
        <v>44499</v>
      </c>
      <c r="E827" s="171">
        <v>-4.4052570000000001E-3</v>
      </c>
      <c r="F827" s="171">
        <v>2.41</v>
      </c>
      <c r="G827" s="172">
        <v>1</v>
      </c>
      <c r="H827" s="171">
        <f>tbTransactions[[#This Row],[Qty]]*tbTransactions[[#This Row],[Unit Cost]]*tbTransactions[[#This Row],[Exchange Rate]]</f>
        <v>-1.0616669370000002E-2</v>
      </c>
      <c r="I827" s="148" t="s">
        <v>594</v>
      </c>
      <c r="J827" s="176" t="s">
        <v>423</v>
      </c>
      <c r="K827" s="163" t="str">
        <f>IF(tbTransactions[[#This Row],[Sub-Type]]="Transfer","Neutral",IF(tbTransactions[[#This Row],[Qty]]&lt;0,"Debit",IF(tbTransactions[[#This Row],[Qty]]&gt;0,"Credit","Neutral")))</f>
        <v>Debit</v>
      </c>
      <c r="L827" s="163" t="s">
        <v>12</v>
      </c>
      <c r="M827" s="171" t="s">
        <v>646</v>
      </c>
    </row>
    <row r="828" spans="3:13" ht="30" customHeight="1" x14ac:dyDescent="0.25">
      <c r="C828" s="175">
        <v>826</v>
      </c>
      <c r="D828" s="163">
        <v>44499</v>
      </c>
      <c r="E828" s="171">
        <v>0.25</v>
      </c>
      <c r="F828" s="171">
        <v>5370</v>
      </c>
      <c r="G828" s="172">
        <v>1</v>
      </c>
      <c r="H828" s="171">
        <f>tbTransactions[[#This Row],[Qty]]*tbTransactions[[#This Row],[Unit Cost]]*tbTransactions[[#This Row],[Exchange Rate]]</f>
        <v>1342.5</v>
      </c>
      <c r="I828" s="148" t="s">
        <v>594</v>
      </c>
      <c r="J828" s="176" t="s">
        <v>22</v>
      </c>
      <c r="K828" s="163" t="str">
        <f>IF(tbTransactions[[#This Row],[Sub-Type]]="Transfer","Neutral",IF(tbTransactions[[#This Row],[Qty]]&lt;0,"Debit",IF(tbTransactions[[#This Row],[Qty]]&gt;0,"Credit","Neutral")))</f>
        <v>Credit</v>
      </c>
      <c r="L828" s="163" t="s">
        <v>603</v>
      </c>
      <c r="M828" s="171" t="s">
        <v>646</v>
      </c>
    </row>
    <row r="829" spans="3:13" ht="30" customHeight="1" x14ac:dyDescent="0.25">
      <c r="C829" s="175">
        <v>827</v>
      </c>
      <c r="D829" s="163">
        <v>44499</v>
      </c>
      <c r="E829" s="171">
        <v>-1084.1676809999999</v>
      </c>
      <c r="F829" s="171">
        <v>1.24</v>
      </c>
      <c r="G829" s="172">
        <v>1</v>
      </c>
      <c r="H829" s="171">
        <f>tbTransactions[[#This Row],[Qty]]*tbTransactions[[#This Row],[Unit Cost]]*tbTransactions[[#This Row],[Exchange Rate]]</f>
        <v>-1344.3679244399998</v>
      </c>
      <c r="I829" s="148" t="s">
        <v>594</v>
      </c>
      <c r="J829" s="176" t="s">
        <v>602</v>
      </c>
      <c r="K829" s="163" t="str">
        <f>IF(tbTransactions[[#This Row],[Sub-Type]]="Transfer","Neutral",IF(tbTransactions[[#This Row],[Qty]]&lt;0,"Debit",IF(tbTransactions[[#This Row],[Qty]]&gt;0,"Credit","Neutral")))</f>
        <v>Debit</v>
      </c>
      <c r="L829" s="163" t="s">
        <v>603</v>
      </c>
      <c r="M829" s="171" t="s">
        <v>646</v>
      </c>
    </row>
    <row r="830" spans="3:13" ht="30" customHeight="1" x14ac:dyDescent="0.25">
      <c r="C830" s="175">
        <v>828</v>
      </c>
      <c r="D830" s="163">
        <v>44499</v>
      </c>
      <c r="E830" s="171">
        <v>1.4067681E-2</v>
      </c>
      <c r="F830" s="171">
        <v>0</v>
      </c>
      <c r="G830" s="172">
        <v>1</v>
      </c>
      <c r="H830" s="171">
        <f>tbTransactions[[#This Row],[Qty]]*tbTransactions[[#This Row],[Unit Cost]]*tbTransactions[[#This Row],[Exchange Rate]]</f>
        <v>0</v>
      </c>
      <c r="I830" s="148" t="s">
        <v>542</v>
      </c>
      <c r="J830" s="176" t="s">
        <v>22</v>
      </c>
      <c r="K830" s="163" t="str">
        <f>IF(tbTransactions[[#This Row],[Sub-Type]]="Transfer","Neutral",IF(tbTransactions[[#This Row],[Qty]]&lt;0,"Debit",IF(tbTransactions[[#This Row],[Qty]]&gt;0,"Credit","Neutral")))</f>
        <v>Credit</v>
      </c>
      <c r="L830" s="163" t="s">
        <v>518</v>
      </c>
      <c r="M830" s="171" t="s">
        <v>556</v>
      </c>
    </row>
    <row r="831" spans="3:13" ht="30" customHeight="1" x14ac:dyDescent="0.25">
      <c r="C831" s="175">
        <v>829</v>
      </c>
      <c r="D831" s="163">
        <v>44500</v>
      </c>
      <c r="E831" s="171">
        <v>-4.6433790000000004E-3</v>
      </c>
      <c r="F831" s="171">
        <v>2.2599999999999998</v>
      </c>
      <c r="G831" s="172">
        <v>1</v>
      </c>
      <c r="H831" s="171">
        <f>tbTransactions[[#This Row],[Qty]]*tbTransactions[[#This Row],[Unit Cost]]*tbTransactions[[#This Row],[Exchange Rate]]</f>
        <v>-1.049403654E-2</v>
      </c>
      <c r="I831" s="148" t="s">
        <v>594</v>
      </c>
      <c r="J831" s="176" t="s">
        <v>423</v>
      </c>
      <c r="K831" s="163" t="str">
        <f>IF(tbTransactions[[#This Row],[Sub-Type]]="Transfer","Neutral",IF(tbTransactions[[#This Row],[Qty]]&lt;0,"Debit",IF(tbTransactions[[#This Row],[Qty]]&gt;0,"Credit","Neutral")))</f>
        <v>Debit</v>
      </c>
      <c r="L831" s="163" t="s">
        <v>12</v>
      </c>
      <c r="M831" s="171" t="s">
        <v>646</v>
      </c>
    </row>
    <row r="832" spans="3:13" ht="30" customHeight="1" x14ac:dyDescent="0.25">
      <c r="C832" s="175">
        <v>830</v>
      </c>
      <c r="D832" s="163">
        <v>44500</v>
      </c>
      <c r="E832" s="171">
        <v>0.25</v>
      </c>
      <c r="F832" s="171">
        <v>5205</v>
      </c>
      <c r="G832" s="172">
        <v>1</v>
      </c>
      <c r="H832" s="171">
        <f>tbTransactions[[#This Row],[Qty]]*tbTransactions[[#This Row],[Unit Cost]]*tbTransactions[[#This Row],[Exchange Rate]]</f>
        <v>1301.25</v>
      </c>
      <c r="I832" s="148" t="s">
        <v>594</v>
      </c>
      <c r="J832" s="176" t="s">
        <v>22</v>
      </c>
      <c r="K832" s="163" t="str">
        <f>IF(tbTransactions[[#This Row],[Sub-Type]]="Transfer","Neutral",IF(tbTransactions[[#This Row],[Qty]]&lt;0,"Debit",IF(tbTransactions[[#This Row],[Qty]]&gt;0,"Credit","Neutral")))</f>
        <v>Credit</v>
      </c>
      <c r="L832" s="163" t="s">
        <v>603</v>
      </c>
      <c r="M832" s="171" t="s">
        <v>646</v>
      </c>
    </row>
    <row r="833" spans="3:13" ht="30" customHeight="1" x14ac:dyDescent="0.25">
      <c r="C833" s="175">
        <v>831</v>
      </c>
      <c r="D833" s="163">
        <v>44500</v>
      </c>
      <c r="E833" s="171">
        <v>-1054.779468</v>
      </c>
      <c r="F833" s="171">
        <v>1.24</v>
      </c>
      <c r="G833" s="172">
        <v>1</v>
      </c>
      <c r="H833" s="171">
        <f>tbTransactions[[#This Row],[Qty]]*tbTransactions[[#This Row],[Unit Cost]]*tbTransactions[[#This Row],[Exchange Rate]]</f>
        <v>-1307.92654032</v>
      </c>
      <c r="I833" s="148" t="s">
        <v>594</v>
      </c>
      <c r="J833" s="176" t="s">
        <v>602</v>
      </c>
      <c r="K833" s="163" t="str">
        <f>IF(tbTransactions[[#This Row],[Sub-Type]]="Transfer","Neutral",IF(tbTransactions[[#This Row],[Qty]]&lt;0,"Debit",IF(tbTransactions[[#This Row],[Qty]]&gt;0,"Credit","Neutral")))</f>
        <v>Debit</v>
      </c>
      <c r="L833" s="163" t="s">
        <v>603</v>
      </c>
      <c r="M833" s="171" t="s">
        <v>646</v>
      </c>
    </row>
    <row r="834" spans="3:13" ht="30" customHeight="1" x14ac:dyDescent="0.25">
      <c r="C834" s="175">
        <v>832</v>
      </c>
      <c r="D834" s="163">
        <v>44500</v>
      </c>
      <c r="E834" s="171">
        <v>-1.04089E-2</v>
      </c>
      <c r="F834" s="171">
        <v>2.2599999999999998</v>
      </c>
      <c r="G834" s="172">
        <v>1</v>
      </c>
      <c r="H834" s="171">
        <f>tbTransactions[[#This Row],[Qty]]*tbTransactions[[#This Row],[Unit Cost]]*tbTransactions[[#This Row],[Exchange Rate]]</f>
        <v>-2.3524113999999999E-2</v>
      </c>
      <c r="I834" s="148" t="s">
        <v>594</v>
      </c>
      <c r="J834" s="176" t="s">
        <v>423</v>
      </c>
      <c r="K834" s="163" t="str">
        <f>IF(tbTransactions[[#This Row],[Sub-Type]]="Transfer","Neutral",IF(tbTransactions[[#This Row],[Qty]]&lt;0,"Debit",IF(tbTransactions[[#This Row],[Qty]]&gt;0,"Credit","Neutral")))</f>
        <v>Debit</v>
      </c>
      <c r="L834" s="163" t="s">
        <v>12</v>
      </c>
      <c r="M834" s="171" t="s">
        <v>646</v>
      </c>
    </row>
    <row r="835" spans="3:13" ht="30" customHeight="1" x14ac:dyDescent="0.25">
      <c r="C835" s="175">
        <v>833</v>
      </c>
      <c r="D835" s="163">
        <v>44500</v>
      </c>
      <c r="E835" s="171">
        <v>2.3913081939212</v>
      </c>
      <c r="F835" s="171">
        <v>5270</v>
      </c>
      <c r="G835" s="172">
        <v>1</v>
      </c>
      <c r="H835" s="171">
        <f>tbTransactions[[#This Row],[Qty]]*tbTransactions[[#This Row],[Unit Cost]]*tbTransactions[[#This Row],[Exchange Rate]]</f>
        <v>12602.194181964724</v>
      </c>
      <c r="I835" s="148" t="s">
        <v>594</v>
      </c>
      <c r="J835" s="176" t="s">
        <v>22</v>
      </c>
      <c r="K835" s="163" t="str">
        <f>IF(tbTransactions[[#This Row],[Sub-Type]]="Transfer","Neutral",IF(tbTransactions[[#This Row],[Qty]]&lt;0,"Debit",IF(tbTransactions[[#This Row],[Qty]]&gt;0,"Credit","Neutral")))</f>
        <v>Credit</v>
      </c>
      <c r="L835" s="163" t="s">
        <v>603</v>
      </c>
      <c r="M835" s="171" t="s">
        <v>646</v>
      </c>
    </row>
    <row r="836" spans="3:13" ht="30" customHeight="1" x14ac:dyDescent="0.25">
      <c r="C836" s="175">
        <v>834</v>
      </c>
      <c r="D836" s="163">
        <v>44500</v>
      </c>
      <c r="E836" s="171">
        <v>-10182.574957000001</v>
      </c>
      <c r="F836" s="171">
        <v>1.24</v>
      </c>
      <c r="G836" s="172">
        <v>1</v>
      </c>
      <c r="H836" s="171">
        <f>tbTransactions[[#This Row],[Qty]]*tbTransactions[[#This Row],[Unit Cost]]*tbTransactions[[#This Row],[Exchange Rate]]</f>
        <v>-12626.39294668</v>
      </c>
      <c r="I836" s="148" t="s">
        <v>594</v>
      </c>
      <c r="J836" s="176" t="s">
        <v>602</v>
      </c>
      <c r="K836" s="163" t="str">
        <f>IF(tbTransactions[[#This Row],[Sub-Type]]="Transfer","Neutral",IF(tbTransactions[[#This Row],[Qty]]&lt;0,"Debit",IF(tbTransactions[[#This Row],[Qty]]&gt;0,"Credit","Neutral")))</f>
        <v>Debit</v>
      </c>
      <c r="L836" s="163" t="s">
        <v>603</v>
      </c>
      <c r="M836" s="171" t="s">
        <v>646</v>
      </c>
    </row>
    <row r="837" spans="3:13" ht="30" customHeight="1" x14ac:dyDescent="0.25">
      <c r="C837" s="175">
        <v>835</v>
      </c>
      <c r="D837" s="163">
        <v>44499</v>
      </c>
      <c r="E837" s="171">
        <v>2.7326863400000002E-2</v>
      </c>
      <c r="F837" s="171">
        <v>0</v>
      </c>
      <c r="G837" s="172">
        <v>1</v>
      </c>
      <c r="H837" s="171">
        <f>tbTransactions[[#This Row],[Qty]]*tbTransactions[[#This Row],[Unit Cost]]*tbTransactions[[#This Row],[Exchange Rate]]</f>
        <v>0</v>
      </c>
      <c r="I837" s="148" t="s">
        <v>511</v>
      </c>
      <c r="J837" s="176" t="s">
        <v>20</v>
      </c>
      <c r="K837" s="163" t="str">
        <f>IF(tbTransactions[[#This Row],[Sub-Type]]="Transfer","Neutral",IF(tbTransactions[[#This Row],[Qty]]&lt;0,"Debit",IF(tbTransactions[[#This Row],[Qty]]&gt;0,"Credit","Neutral")))</f>
        <v>Credit</v>
      </c>
      <c r="L837" s="163" t="s">
        <v>518</v>
      </c>
      <c r="M837" s="171" t="s">
        <v>465</v>
      </c>
    </row>
    <row r="838" spans="3:13" ht="30" customHeight="1" x14ac:dyDescent="0.25">
      <c r="C838" s="175">
        <v>836</v>
      </c>
      <c r="D838" s="163">
        <v>44500</v>
      </c>
      <c r="E838" s="171">
        <v>3.2472442900000002E-2</v>
      </c>
      <c r="F838" s="171">
        <v>0</v>
      </c>
      <c r="G838" s="172">
        <v>1</v>
      </c>
      <c r="H838" s="171">
        <f>tbTransactions[[#This Row],[Qty]]*tbTransactions[[#This Row],[Unit Cost]]*tbTransactions[[#This Row],[Exchange Rate]]</f>
        <v>0</v>
      </c>
      <c r="I838" s="148" t="s">
        <v>511</v>
      </c>
      <c r="J838" s="176" t="s">
        <v>20</v>
      </c>
      <c r="K838" s="163" t="str">
        <f>IF(tbTransactions[[#This Row],[Sub-Type]]="Transfer","Neutral",IF(tbTransactions[[#This Row],[Qty]]&lt;0,"Debit",IF(tbTransactions[[#This Row],[Qty]]&gt;0,"Credit","Neutral")))</f>
        <v>Credit</v>
      </c>
      <c r="L838" s="163" t="s">
        <v>518</v>
      </c>
      <c r="M838" s="171" t="s">
        <v>465</v>
      </c>
    </row>
    <row r="839" spans="3:13" ht="30" customHeight="1" x14ac:dyDescent="0.25">
      <c r="C839" s="175">
        <v>837</v>
      </c>
      <c r="D839" s="163">
        <v>44501</v>
      </c>
      <c r="E839" s="171">
        <v>3.5106768599999998E-2</v>
      </c>
      <c r="F839" s="171">
        <v>0</v>
      </c>
      <c r="G839" s="172">
        <v>1</v>
      </c>
      <c r="H839" s="171">
        <f>tbTransactions[[#This Row],[Qty]]*tbTransactions[[#This Row],[Unit Cost]]*tbTransactions[[#This Row],[Exchange Rate]]</f>
        <v>0</v>
      </c>
      <c r="I839" s="148" t="s">
        <v>511</v>
      </c>
      <c r="J839" s="176" t="s">
        <v>20</v>
      </c>
      <c r="K839" s="163" t="str">
        <f>IF(tbTransactions[[#This Row],[Sub-Type]]="Transfer","Neutral",IF(tbTransactions[[#This Row],[Qty]]&lt;0,"Debit",IF(tbTransactions[[#This Row],[Qty]]&gt;0,"Credit","Neutral")))</f>
        <v>Credit</v>
      </c>
      <c r="L839" s="163" t="s">
        <v>518</v>
      </c>
      <c r="M839" s="171" t="s">
        <v>465</v>
      </c>
    </row>
    <row r="840" spans="3:13" ht="30" customHeight="1" x14ac:dyDescent="0.25">
      <c r="C840" s="175">
        <v>838</v>
      </c>
      <c r="D840" s="163">
        <v>44501</v>
      </c>
      <c r="E840" s="171">
        <v>1.4011009999999999</v>
      </c>
      <c r="F840" s="171">
        <v>0</v>
      </c>
      <c r="G840" s="172">
        <v>1</v>
      </c>
      <c r="H840" s="171">
        <f>tbTransactions[[#This Row],[Qty]]*tbTransactions[[#This Row],[Unit Cost]]*tbTransactions[[#This Row],[Exchange Rate]]</f>
        <v>0</v>
      </c>
      <c r="I840" s="148" t="s">
        <v>507</v>
      </c>
      <c r="J840" s="176" t="s">
        <v>17</v>
      </c>
      <c r="K840" s="163" t="str">
        <f>IF(tbTransactions[[#This Row],[Sub-Type]]="Transfer","Neutral",IF(tbTransactions[[#This Row],[Qty]]&lt;0,"Debit",IF(tbTransactions[[#This Row],[Qty]]&gt;0,"Credit","Neutral")))</f>
        <v>Credit</v>
      </c>
      <c r="L840" s="163" t="s">
        <v>518</v>
      </c>
      <c r="M840" s="171" t="s">
        <v>427</v>
      </c>
    </row>
    <row r="841" spans="3:13" ht="30" customHeight="1" x14ac:dyDescent="0.25">
      <c r="C841" s="175">
        <v>839</v>
      </c>
      <c r="D841" s="163">
        <v>44502</v>
      </c>
      <c r="E841" s="171">
        <v>4210</v>
      </c>
      <c r="F841" s="171">
        <v>11.85</v>
      </c>
      <c r="G841" s="172">
        <v>1</v>
      </c>
      <c r="H841" s="171">
        <f>tbTransactions[[#This Row],[Qty]]*tbTransactions[[#This Row],[Unit Cost]]*tbTransactions[[#This Row],[Exchange Rate]]</f>
        <v>49888.5</v>
      </c>
      <c r="I841" s="148" t="s">
        <v>715</v>
      </c>
      <c r="J841" s="176" t="s">
        <v>732</v>
      </c>
      <c r="K841" s="163" t="str">
        <f>IF(tbTransactions[[#This Row],[Sub-Type]]="Transfer","Neutral",IF(tbTransactions[[#This Row],[Qty]]&lt;0,"Debit",IF(tbTransactions[[#This Row],[Qty]]&gt;0,"Credit","Neutral")))</f>
        <v>Credit</v>
      </c>
      <c r="L841" s="163" t="s">
        <v>519</v>
      </c>
      <c r="M841" s="171" t="s">
        <v>739</v>
      </c>
    </row>
    <row r="842" spans="3:13" ht="30" customHeight="1" x14ac:dyDescent="0.25">
      <c r="C842" s="175">
        <v>840</v>
      </c>
      <c r="D842" s="163">
        <v>44502</v>
      </c>
      <c r="E842" s="171">
        <v>-49888.5</v>
      </c>
      <c r="F842" s="171">
        <v>1</v>
      </c>
      <c r="G842" s="172">
        <v>1</v>
      </c>
      <c r="H842" s="171">
        <f>tbTransactions[[#This Row],[Qty]]*tbTransactions[[#This Row],[Unit Cost]]*tbTransactions[[#This Row],[Exchange Rate]]</f>
        <v>-49888.5</v>
      </c>
      <c r="I842" s="148" t="s">
        <v>715</v>
      </c>
      <c r="J842" s="176" t="s">
        <v>411</v>
      </c>
      <c r="K842" s="163" t="str">
        <f>IF(tbTransactions[[#This Row],[Sub-Type]]="Transfer","Neutral",IF(tbTransactions[[#This Row],[Qty]]&lt;0,"Debit",IF(tbTransactions[[#This Row],[Qty]]&gt;0,"Credit","Neutral")))</f>
        <v>Debit</v>
      </c>
      <c r="L842" s="163" t="s">
        <v>522</v>
      </c>
      <c r="M842" s="171" t="s">
        <v>739</v>
      </c>
    </row>
    <row r="843" spans="3:13" ht="30" customHeight="1" x14ac:dyDescent="0.25">
      <c r="C843" s="175">
        <v>841</v>
      </c>
      <c r="D843" s="163">
        <v>44502</v>
      </c>
      <c r="E843" s="171">
        <v>-238</v>
      </c>
      <c r="F843" s="171">
        <v>41.04</v>
      </c>
      <c r="G843" s="172">
        <v>1</v>
      </c>
      <c r="H843" s="171">
        <f>tbTransactions[[#This Row],[Qty]]*tbTransactions[[#This Row],[Unit Cost]]*tbTransactions[[#This Row],[Exchange Rate]]</f>
        <v>-9767.52</v>
      </c>
      <c r="I843" s="148" t="s">
        <v>714</v>
      </c>
      <c r="J843" s="176" t="s">
        <v>686</v>
      </c>
      <c r="K843" s="163" t="str">
        <f>IF(tbTransactions[[#This Row],[Sub-Type]]="Transfer","Neutral",IF(tbTransactions[[#This Row],[Qty]]&lt;0,"Debit",IF(tbTransactions[[#This Row],[Qty]]&gt;0,"Credit","Neutral")))</f>
        <v>Debit</v>
      </c>
      <c r="L843" s="163" t="s">
        <v>711</v>
      </c>
      <c r="M843" s="171" t="s">
        <v>712</v>
      </c>
    </row>
    <row r="844" spans="3:13" ht="30" customHeight="1" x14ac:dyDescent="0.25">
      <c r="C844" s="175">
        <v>842</v>
      </c>
      <c r="D844" s="163">
        <v>44502</v>
      </c>
      <c r="E844" s="171">
        <v>9767.52</v>
      </c>
      <c r="F844" s="171">
        <v>1</v>
      </c>
      <c r="G844" s="172">
        <v>1</v>
      </c>
      <c r="H844" s="171">
        <f>tbTransactions[[#This Row],[Qty]]*tbTransactions[[#This Row],[Unit Cost]]*tbTransactions[[#This Row],[Exchange Rate]]</f>
        <v>9767.52</v>
      </c>
      <c r="I844" s="148" t="s">
        <v>714</v>
      </c>
      <c r="J844" s="176" t="s">
        <v>408</v>
      </c>
      <c r="K844" s="163" t="str">
        <f>IF(tbTransactions[[#This Row],[Sub-Type]]="Transfer","Neutral",IF(tbTransactions[[#This Row],[Qty]]&lt;0,"Debit",IF(tbTransactions[[#This Row],[Qty]]&gt;0,"Credit","Neutral")))</f>
        <v>Credit</v>
      </c>
      <c r="L844" s="163" t="s">
        <v>725</v>
      </c>
      <c r="M844" s="171" t="s">
        <v>712</v>
      </c>
    </row>
    <row r="845" spans="3:13" ht="30" customHeight="1" x14ac:dyDescent="0.25">
      <c r="C845" s="175">
        <v>843</v>
      </c>
      <c r="D845" s="163">
        <v>44502</v>
      </c>
      <c r="E845" s="171">
        <v>254</v>
      </c>
      <c r="F845" s="171">
        <v>40.840000000000003</v>
      </c>
      <c r="G845" s="172">
        <v>1</v>
      </c>
      <c r="H845" s="171">
        <f>tbTransactions[[#This Row],[Qty]]*tbTransactions[[#This Row],[Unit Cost]]*tbTransactions[[#This Row],[Exchange Rate]]</f>
        <v>10373.36</v>
      </c>
      <c r="I845" s="148" t="s">
        <v>714</v>
      </c>
      <c r="J845" s="176" t="s">
        <v>686</v>
      </c>
      <c r="K845" s="163" t="str">
        <f>IF(tbTransactions[[#This Row],[Sub-Type]]="Transfer","Neutral",IF(tbTransactions[[#This Row],[Qty]]&lt;0,"Debit",IF(tbTransactions[[#This Row],[Qty]]&gt;0,"Credit","Neutral")))</f>
        <v>Credit</v>
      </c>
      <c r="L845" s="163" t="s">
        <v>740</v>
      </c>
      <c r="M845" s="171" t="s">
        <v>697</v>
      </c>
    </row>
    <row r="846" spans="3:13" ht="30" customHeight="1" x14ac:dyDescent="0.25">
      <c r="C846" s="175">
        <v>844</v>
      </c>
      <c r="D846" s="163">
        <v>44502</v>
      </c>
      <c r="E846" s="171">
        <v>-10373.36</v>
      </c>
      <c r="F846" s="171">
        <v>1</v>
      </c>
      <c r="G846" s="172">
        <v>1</v>
      </c>
      <c r="H846" s="171">
        <f>tbTransactions[[#This Row],[Qty]]*tbTransactions[[#This Row],[Unit Cost]]*tbTransactions[[#This Row],[Exchange Rate]]</f>
        <v>-10373.36</v>
      </c>
      <c r="I846" s="148" t="s">
        <v>714</v>
      </c>
      <c r="J846" s="176" t="s">
        <v>408</v>
      </c>
      <c r="K846" s="163" t="str">
        <f>IF(tbTransactions[[#This Row],[Sub-Type]]="Transfer","Neutral",IF(tbTransactions[[#This Row],[Qty]]&lt;0,"Debit",IF(tbTransactions[[#This Row],[Qty]]&gt;0,"Credit","Neutral")))</f>
        <v>Debit</v>
      </c>
      <c r="L846" s="163" t="s">
        <v>522</v>
      </c>
      <c r="M846" s="171" t="s">
        <v>697</v>
      </c>
    </row>
    <row r="847" spans="3:13" ht="30" customHeight="1" x14ac:dyDescent="0.25">
      <c r="C847" s="175">
        <v>845</v>
      </c>
      <c r="D847" s="163">
        <v>44502</v>
      </c>
      <c r="E847" s="171">
        <v>3.2630071599999998E-2</v>
      </c>
      <c r="F847" s="171">
        <v>0</v>
      </c>
      <c r="G847" s="172">
        <v>1</v>
      </c>
      <c r="H847" s="171">
        <f>tbTransactions[[#This Row],[Qty]]*tbTransactions[[#This Row],[Unit Cost]]*tbTransactions[[#This Row],[Exchange Rate]]</f>
        <v>0</v>
      </c>
      <c r="I847" s="148" t="s">
        <v>511</v>
      </c>
      <c r="J847" s="176" t="s">
        <v>20</v>
      </c>
      <c r="K847" s="163" t="str">
        <f>IF(tbTransactions[[#This Row],[Sub-Type]]="Transfer","Neutral",IF(tbTransactions[[#This Row],[Qty]]&lt;0,"Debit",IF(tbTransactions[[#This Row],[Qty]]&gt;0,"Credit","Neutral")))</f>
        <v>Credit</v>
      </c>
      <c r="L847" s="163" t="s">
        <v>518</v>
      </c>
      <c r="M847" s="171" t="s">
        <v>465</v>
      </c>
    </row>
    <row r="848" spans="3:13" ht="30" customHeight="1" x14ac:dyDescent="0.25">
      <c r="C848" s="175">
        <v>846</v>
      </c>
      <c r="D848" s="163">
        <v>44503</v>
      </c>
      <c r="E848" s="171">
        <v>3.4966222300000002E-2</v>
      </c>
      <c r="F848" s="171">
        <v>0</v>
      </c>
      <c r="G848" s="172">
        <v>1</v>
      </c>
      <c r="H848" s="171">
        <f>tbTransactions[[#This Row],[Qty]]*tbTransactions[[#This Row],[Unit Cost]]*tbTransactions[[#This Row],[Exchange Rate]]</f>
        <v>0</v>
      </c>
      <c r="I848" s="148" t="s">
        <v>511</v>
      </c>
      <c r="J848" s="176" t="s">
        <v>20</v>
      </c>
      <c r="K848" s="163" t="str">
        <f>IF(tbTransactions[[#This Row],[Sub-Type]]="Transfer","Neutral",IF(tbTransactions[[#This Row],[Qty]]&lt;0,"Debit",IF(tbTransactions[[#This Row],[Qty]]&gt;0,"Credit","Neutral")))</f>
        <v>Credit</v>
      </c>
      <c r="L848" s="163" t="s">
        <v>518</v>
      </c>
      <c r="M848" s="171" t="s">
        <v>465</v>
      </c>
    </row>
    <row r="849" spans="3:13" ht="30" customHeight="1" x14ac:dyDescent="0.25">
      <c r="C849" s="175">
        <v>847</v>
      </c>
      <c r="D849" s="163">
        <v>44504</v>
      </c>
      <c r="E849" s="171">
        <v>3.7394319699999998E-2</v>
      </c>
      <c r="F849" s="171">
        <v>0</v>
      </c>
      <c r="G849" s="172">
        <v>1</v>
      </c>
      <c r="H849" s="171">
        <f>tbTransactions[[#This Row],[Qty]]*tbTransactions[[#This Row],[Unit Cost]]*tbTransactions[[#This Row],[Exchange Rate]]</f>
        <v>0</v>
      </c>
      <c r="I849" s="148" t="s">
        <v>511</v>
      </c>
      <c r="J849" s="176" t="s">
        <v>20</v>
      </c>
      <c r="K849" s="163" t="str">
        <f>IF(tbTransactions[[#This Row],[Sub-Type]]="Transfer","Neutral",IF(tbTransactions[[#This Row],[Qty]]&lt;0,"Debit",IF(tbTransactions[[#This Row],[Qty]]&gt;0,"Credit","Neutral")))</f>
        <v>Credit</v>
      </c>
      <c r="L849" s="163" t="s">
        <v>518</v>
      </c>
      <c r="M849" s="171" t="s">
        <v>465</v>
      </c>
    </row>
    <row r="850" spans="3:13" ht="30" customHeight="1" x14ac:dyDescent="0.25">
      <c r="C850" s="175">
        <v>848</v>
      </c>
      <c r="D850" s="163">
        <v>44505</v>
      </c>
      <c r="E850" s="171">
        <v>2.9205386100000001E-2</v>
      </c>
      <c r="F850" s="171">
        <v>0</v>
      </c>
      <c r="G850" s="172">
        <v>1</v>
      </c>
      <c r="H850" s="171">
        <f>tbTransactions[[#This Row],[Qty]]*tbTransactions[[#This Row],[Unit Cost]]*tbTransactions[[#This Row],[Exchange Rate]]</f>
        <v>0</v>
      </c>
      <c r="I850" s="148" t="s">
        <v>511</v>
      </c>
      <c r="J850" s="176" t="s">
        <v>20</v>
      </c>
      <c r="K850" s="163" t="str">
        <f>IF(tbTransactions[[#This Row],[Sub-Type]]="Transfer","Neutral",IF(tbTransactions[[#This Row],[Qty]]&lt;0,"Debit",IF(tbTransactions[[#This Row],[Qty]]&gt;0,"Credit","Neutral")))</f>
        <v>Credit</v>
      </c>
      <c r="L850" s="163" t="s">
        <v>518</v>
      </c>
      <c r="M850" s="171" t="s">
        <v>465</v>
      </c>
    </row>
    <row r="851" spans="3:13" ht="30" customHeight="1" x14ac:dyDescent="0.25">
      <c r="C851" s="175">
        <v>849</v>
      </c>
      <c r="D851" s="163">
        <v>44506</v>
      </c>
      <c r="E851" s="171">
        <v>2.3193057699999998E-2</v>
      </c>
      <c r="F851" s="171">
        <v>0</v>
      </c>
      <c r="G851" s="172">
        <v>1</v>
      </c>
      <c r="H851" s="171">
        <f>tbTransactions[[#This Row],[Qty]]*tbTransactions[[#This Row],[Unit Cost]]*tbTransactions[[#This Row],[Exchange Rate]]</f>
        <v>0</v>
      </c>
      <c r="I851" s="148" t="s">
        <v>511</v>
      </c>
      <c r="J851" s="176" t="s">
        <v>20</v>
      </c>
      <c r="K851" s="163" t="str">
        <f>IF(tbTransactions[[#This Row],[Sub-Type]]="Transfer","Neutral",IF(tbTransactions[[#This Row],[Qty]]&lt;0,"Debit",IF(tbTransactions[[#This Row],[Qty]]&gt;0,"Credit","Neutral")))</f>
        <v>Credit</v>
      </c>
      <c r="L851" s="163" t="s">
        <v>518</v>
      </c>
      <c r="M851" s="171" t="s">
        <v>465</v>
      </c>
    </row>
    <row r="852" spans="3:13" ht="30" customHeight="1" x14ac:dyDescent="0.25">
      <c r="C852" s="175">
        <v>850</v>
      </c>
      <c r="D852" s="163">
        <v>44506</v>
      </c>
      <c r="E852" s="171">
        <v>1.5420417E-2</v>
      </c>
      <c r="F852" s="171">
        <v>0</v>
      </c>
      <c r="G852" s="172">
        <v>1</v>
      </c>
      <c r="H852" s="171">
        <f>tbTransactions[[#This Row],[Qty]]*tbTransactions[[#This Row],[Unit Cost]]*tbTransactions[[#This Row],[Exchange Rate]]</f>
        <v>0</v>
      </c>
      <c r="I852" s="148" t="s">
        <v>542</v>
      </c>
      <c r="J852" s="176" t="s">
        <v>22</v>
      </c>
      <c r="K852" s="163" t="str">
        <f>IF(tbTransactions[[#This Row],[Sub-Type]]="Transfer","Neutral",IF(tbTransactions[[#This Row],[Qty]]&lt;0,"Debit",IF(tbTransactions[[#This Row],[Qty]]&gt;0,"Credit","Neutral")))</f>
        <v>Credit</v>
      </c>
      <c r="L852" s="163" t="s">
        <v>518</v>
      </c>
      <c r="M852" s="171" t="s">
        <v>556</v>
      </c>
    </row>
    <row r="853" spans="3:13" ht="30" customHeight="1" x14ac:dyDescent="0.25">
      <c r="C853" s="175">
        <v>851</v>
      </c>
      <c r="D853" s="163">
        <v>44506</v>
      </c>
      <c r="E853" s="171">
        <v>0.81838500000000003</v>
      </c>
      <c r="F853" s="171">
        <v>0</v>
      </c>
      <c r="G853" s="172">
        <v>1</v>
      </c>
      <c r="H853" s="171">
        <f>tbTransactions[[#This Row],[Qty]]*tbTransactions[[#This Row],[Unit Cost]]*tbTransactions[[#This Row],[Exchange Rate]]</f>
        <v>0</v>
      </c>
      <c r="I853" s="148" t="s">
        <v>507</v>
      </c>
      <c r="J853" s="176" t="s">
        <v>17</v>
      </c>
      <c r="K853" s="163" t="str">
        <f>IF(tbTransactions[[#This Row],[Sub-Type]]="Transfer","Neutral",IF(tbTransactions[[#This Row],[Qty]]&lt;0,"Debit",IF(tbTransactions[[#This Row],[Qty]]&gt;0,"Credit","Neutral")))</f>
        <v>Credit</v>
      </c>
      <c r="L853" s="163" t="s">
        <v>518</v>
      </c>
      <c r="M853" s="171" t="s">
        <v>427</v>
      </c>
    </row>
    <row r="854" spans="3:13" ht="30" customHeight="1" x14ac:dyDescent="0.25">
      <c r="C854" s="175">
        <v>852</v>
      </c>
      <c r="D854" s="163">
        <v>44507</v>
      </c>
      <c r="E854" s="171">
        <v>3.9609077700000002E-2</v>
      </c>
      <c r="F854" s="171">
        <v>0</v>
      </c>
      <c r="G854" s="172">
        <v>1</v>
      </c>
      <c r="H854" s="171">
        <f>tbTransactions[[#This Row],[Qty]]*tbTransactions[[#This Row],[Unit Cost]]*tbTransactions[[#This Row],[Exchange Rate]]</f>
        <v>0</v>
      </c>
      <c r="I854" s="148" t="s">
        <v>511</v>
      </c>
      <c r="J854" s="176" t="s">
        <v>20</v>
      </c>
      <c r="K854" s="163" t="str">
        <f>IF(tbTransactions[[#This Row],[Sub-Type]]="Transfer","Neutral",IF(tbTransactions[[#This Row],[Qty]]&lt;0,"Debit",IF(tbTransactions[[#This Row],[Qty]]&gt;0,"Credit","Neutral")))</f>
        <v>Credit</v>
      </c>
      <c r="L854" s="163" t="s">
        <v>518</v>
      </c>
      <c r="M854" s="171" t="s">
        <v>465</v>
      </c>
    </row>
    <row r="855" spans="3:13" ht="30" customHeight="1" x14ac:dyDescent="0.25">
      <c r="C855" s="175">
        <v>853</v>
      </c>
      <c r="D855" s="163">
        <v>44507</v>
      </c>
      <c r="E855" s="171">
        <v>-4.4209770000000004E-3</v>
      </c>
      <c r="F855" s="171">
        <v>2.34</v>
      </c>
      <c r="G855" s="172">
        <v>1</v>
      </c>
      <c r="H855" s="171">
        <f>tbTransactions[[#This Row],[Qty]]*tbTransactions[[#This Row],[Unit Cost]]*tbTransactions[[#This Row],[Exchange Rate]]</f>
        <v>-1.0345086180000001E-2</v>
      </c>
      <c r="I855" s="148" t="s">
        <v>594</v>
      </c>
      <c r="J855" s="176" t="s">
        <v>423</v>
      </c>
      <c r="K855" s="163" t="str">
        <f>IF(tbTransactions[[#This Row],[Sub-Type]]="Transfer","Neutral",IF(tbTransactions[[#This Row],[Qty]]&lt;0,"Debit",IF(tbTransactions[[#This Row],[Qty]]&gt;0,"Credit","Neutral")))</f>
        <v>Debit</v>
      </c>
      <c r="L855" s="163" t="s">
        <v>12</v>
      </c>
      <c r="M855" s="171" t="s">
        <v>636</v>
      </c>
    </row>
    <row r="856" spans="3:13" ht="30" customHeight="1" x14ac:dyDescent="0.25">
      <c r="C856" s="175">
        <v>854</v>
      </c>
      <c r="D856" s="163">
        <v>44507</v>
      </c>
      <c r="E856" s="171">
        <v>-0.36</v>
      </c>
      <c r="F856" s="171">
        <v>5803</v>
      </c>
      <c r="G856" s="172">
        <v>1</v>
      </c>
      <c r="H856" s="171">
        <f>tbTransactions[[#This Row],[Qty]]*tbTransactions[[#This Row],[Unit Cost]]*tbTransactions[[#This Row],[Exchange Rate]]</f>
        <v>-2089.08</v>
      </c>
      <c r="I856" s="148" t="s">
        <v>594</v>
      </c>
      <c r="J856" s="176" t="s">
        <v>22</v>
      </c>
      <c r="K856" s="163" t="str">
        <f>IF(tbTransactions[[#This Row],[Sub-Type]]="Transfer","Neutral",IF(tbTransactions[[#This Row],[Qty]]&lt;0,"Debit",IF(tbTransactions[[#This Row],[Qty]]&gt;0,"Credit","Neutral")))</f>
        <v>Debit</v>
      </c>
      <c r="L856" s="163" t="s">
        <v>603</v>
      </c>
      <c r="M856" s="171" t="s">
        <v>636</v>
      </c>
    </row>
    <row r="857" spans="3:13" ht="30" customHeight="1" x14ac:dyDescent="0.25">
      <c r="C857" s="175">
        <v>855</v>
      </c>
      <c r="D857" s="163">
        <v>44507</v>
      </c>
      <c r="E857" s="171">
        <v>1670.7069570000001</v>
      </c>
      <c r="F857" s="171">
        <v>1.25</v>
      </c>
      <c r="G857" s="172">
        <v>1</v>
      </c>
      <c r="H857" s="171">
        <f>tbTransactions[[#This Row],[Qty]]*tbTransactions[[#This Row],[Unit Cost]]*tbTransactions[[#This Row],[Exchange Rate]]</f>
        <v>2088.38369625</v>
      </c>
      <c r="I857" s="148" t="s">
        <v>594</v>
      </c>
      <c r="J857" s="176" t="s">
        <v>602</v>
      </c>
      <c r="K857" s="163" t="str">
        <f>IF(tbTransactions[[#This Row],[Sub-Type]]="Transfer","Neutral",IF(tbTransactions[[#This Row],[Qty]]&lt;0,"Debit",IF(tbTransactions[[#This Row],[Qty]]&gt;0,"Credit","Neutral")))</f>
        <v>Credit</v>
      </c>
      <c r="L857" s="163" t="s">
        <v>603</v>
      </c>
      <c r="M857" s="171" t="s">
        <v>636</v>
      </c>
    </row>
    <row r="858" spans="3:13" ht="30" customHeight="1" x14ac:dyDescent="0.25">
      <c r="C858" s="175">
        <v>856</v>
      </c>
      <c r="D858" s="163">
        <v>44508</v>
      </c>
      <c r="E858" s="171">
        <v>-1200</v>
      </c>
      <c r="F858" s="171">
        <v>12.3</v>
      </c>
      <c r="G858" s="172">
        <v>1</v>
      </c>
      <c r="H858" s="171">
        <f>tbTransactions[[#This Row],[Qty]]*tbTransactions[[#This Row],[Unit Cost]]*tbTransactions[[#This Row],[Exchange Rate]]</f>
        <v>-14760</v>
      </c>
      <c r="I858" s="148" t="s">
        <v>715</v>
      </c>
      <c r="J858" s="176" t="s">
        <v>732</v>
      </c>
      <c r="K858" s="163" t="str">
        <f>IF(tbTransactions[[#This Row],[Sub-Type]]="Transfer","Neutral",IF(tbTransactions[[#This Row],[Qty]]&lt;0,"Debit",IF(tbTransactions[[#This Row],[Qty]]&gt;0,"Credit","Neutral")))</f>
        <v>Debit</v>
      </c>
      <c r="L858" s="163" t="s">
        <v>711</v>
      </c>
      <c r="M858" s="171" t="s">
        <v>743</v>
      </c>
    </row>
    <row r="859" spans="3:13" ht="30" customHeight="1" x14ac:dyDescent="0.25">
      <c r="C859" s="175">
        <v>857</v>
      </c>
      <c r="D859" s="163">
        <v>44508</v>
      </c>
      <c r="E859" s="171">
        <v>14760</v>
      </c>
      <c r="F859" s="171">
        <v>1</v>
      </c>
      <c r="G859" s="172">
        <v>1</v>
      </c>
      <c r="H859" s="171">
        <f>tbTransactions[[#This Row],[Qty]]*tbTransactions[[#This Row],[Unit Cost]]*tbTransactions[[#This Row],[Exchange Rate]]</f>
        <v>14760</v>
      </c>
      <c r="I859" s="148" t="s">
        <v>715</v>
      </c>
      <c r="J859" s="176" t="s">
        <v>411</v>
      </c>
      <c r="K859" s="163" t="str">
        <f>IF(tbTransactions[[#This Row],[Sub-Type]]="Transfer","Neutral",IF(tbTransactions[[#This Row],[Qty]]&lt;0,"Debit",IF(tbTransactions[[#This Row],[Qty]]&gt;0,"Credit","Neutral")))</f>
        <v>Credit</v>
      </c>
      <c r="L859" s="163" t="s">
        <v>725</v>
      </c>
      <c r="M859" s="171" t="s">
        <v>743</v>
      </c>
    </row>
    <row r="860" spans="3:13" ht="30" customHeight="1" x14ac:dyDescent="0.25">
      <c r="C860" s="175">
        <v>858</v>
      </c>
      <c r="D860" s="163">
        <v>44508</v>
      </c>
      <c r="E860" s="171">
        <v>3.1548821300000002E-2</v>
      </c>
      <c r="F860" s="171">
        <v>0</v>
      </c>
      <c r="G860" s="172">
        <v>1</v>
      </c>
      <c r="H860" s="171">
        <f>tbTransactions[[#This Row],[Qty]]*tbTransactions[[#This Row],[Unit Cost]]*tbTransactions[[#This Row],[Exchange Rate]]</f>
        <v>0</v>
      </c>
      <c r="I860" s="148" t="s">
        <v>511</v>
      </c>
      <c r="J860" s="176" t="s">
        <v>20</v>
      </c>
      <c r="K860" s="163" t="str">
        <f>IF(tbTransactions[[#This Row],[Sub-Type]]="Transfer","Neutral",IF(tbTransactions[[#This Row],[Qty]]&lt;0,"Debit",IF(tbTransactions[[#This Row],[Qty]]&gt;0,"Credit","Neutral")))</f>
        <v>Credit</v>
      </c>
      <c r="L860" s="163" t="s">
        <v>518</v>
      </c>
      <c r="M860" s="171" t="s">
        <v>465</v>
      </c>
    </row>
    <row r="861" spans="3:13" ht="30" customHeight="1" x14ac:dyDescent="0.25">
      <c r="C861" s="175">
        <v>859</v>
      </c>
      <c r="D861" s="163">
        <v>44509</v>
      </c>
      <c r="E861" s="171">
        <v>-6.7443036597255399E-3</v>
      </c>
      <c r="F861" s="171">
        <v>5976.8670000000002</v>
      </c>
      <c r="G861" s="172">
        <v>1</v>
      </c>
      <c r="H861" s="171">
        <f>tbTransactions[[#This Row],[Qty]]*tbTransactions[[#This Row],[Unit Cost]]*tbTransactions[[#This Row],[Exchange Rate]]</f>
        <v>-40.309805981792813</v>
      </c>
      <c r="I861" s="148" t="s">
        <v>586</v>
      </c>
      <c r="J861" s="176" t="s">
        <v>22</v>
      </c>
      <c r="K861" s="163" t="str">
        <f>IF(tbTransactions[[#This Row],[Sub-Type]]="Transfer","Neutral",IF(tbTransactions[[#This Row],[Qty]]&lt;0,"Debit",IF(tbTransactions[[#This Row],[Qty]]&gt;0,"Credit","Neutral")))</f>
        <v>Debit</v>
      </c>
      <c r="L861" s="163" t="s">
        <v>12</v>
      </c>
      <c r="M861" s="171" t="s">
        <v>745</v>
      </c>
    </row>
    <row r="862" spans="3:13" ht="30" customHeight="1" x14ac:dyDescent="0.25">
      <c r="C862" s="175">
        <v>860</v>
      </c>
      <c r="D862" s="163">
        <v>44509</v>
      </c>
      <c r="E862" s="171">
        <v>45.076000000000001</v>
      </c>
      <c r="F862" s="171">
        <v>0</v>
      </c>
      <c r="G862" s="172">
        <v>1</v>
      </c>
      <c r="H862" s="171">
        <f>tbTransactions[[#This Row],[Qty]]*tbTransactions[[#This Row],[Unit Cost]]*tbTransactions[[#This Row],[Exchange Rate]]</f>
        <v>0</v>
      </c>
      <c r="I862" s="148" t="s">
        <v>586</v>
      </c>
      <c r="J862" s="176" t="s">
        <v>746</v>
      </c>
      <c r="K862" s="163" t="str">
        <f>IF(tbTransactions[[#This Row],[Sub-Type]]="Transfer","Neutral",IF(tbTransactions[[#This Row],[Qty]]&lt;0,"Debit",IF(tbTransactions[[#This Row],[Qty]]&gt;0,"Credit","Neutral")))</f>
        <v>Credit</v>
      </c>
      <c r="L862" s="163" t="s">
        <v>518</v>
      </c>
      <c r="M862" s="171" t="s">
        <v>748</v>
      </c>
    </row>
    <row r="863" spans="3:13" ht="30" customHeight="1" x14ac:dyDescent="0.25">
      <c r="C863" s="175">
        <v>861</v>
      </c>
      <c r="D863" s="163">
        <v>44509</v>
      </c>
      <c r="E863" s="171">
        <v>-2.3158000000000002E-2</v>
      </c>
      <c r="F863" s="171">
        <v>5978.3643000000002</v>
      </c>
      <c r="G863" s="172">
        <v>1</v>
      </c>
      <c r="H863" s="171">
        <f>tbTransactions[[#This Row],[Qty]]*tbTransactions[[#This Row],[Unit Cost]]*tbTransactions[[#This Row],[Exchange Rate]]</f>
        <v>-138.4469604594</v>
      </c>
      <c r="I863" s="148" t="s">
        <v>586</v>
      </c>
      <c r="J863" s="176" t="s">
        <v>22</v>
      </c>
      <c r="K863" s="163" t="str">
        <f>IF(tbTransactions[[#This Row],[Sub-Type]]="Transfer","Neutral",IF(tbTransactions[[#This Row],[Qty]]&lt;0,"Debit",IF(tbTransactions[[#This Row],[Qty]]&gt;0,"Credit","Neutral")))</f>
        <v>Debit</v>
      </c>
      <c r="L863" s="163" t="s">
        <v>12</v>
      </c>
      <c r="M863" s="171" t="s">
        <v>749</v>
      </c>
    </row>
    <row r="864" spans="3:13" ht="30" customHeight="1" x14ac:dyDescent="0.25">
      <c r="C864" s="175">
        <v>862</v>
      </c>
      <c r="D864" s="163">
        <v>44509</v>
      </c>
      <c r="E864" s="171">
        <v>-1.8547716966139501E-2</v>
      </c>
      <c r="F864" s="171">
        <v>5972.7439999999997</v>
      </c>
      <c r="G864" s="172">
        <v>1</v>
      </c>
      <c r="H864" s="171">
        <f>tbTransactions[[#This Row],[Qty]]*tbTransactions[[#This Row],[Unit Cost]]*tbTransactions[[#This Row],[Exchange Rate]]</f>
        <v>-110.78076522320789</v>
      </c>
      <c r="I864" s="148" t="s">
        <v>586</v>
      </c>
      <c r="J864" s="176" t="s">
        <v>22</v>
      </c>
      <c r="K864" s="163" t="str">
        <f>IF(tbTransactions[[#This Row],[Sub-Type]]="Transfer","Neutral",IF(tbTransactions[[#This Row],[Qty]]&lt;0,"Debit",IF(tbTransactions[[#This Row],[Qty]]&gt;0,"Credit","Neutral")))</f>
        <v>Debit</v>
      </c>
      <c r="L864" s="163" t="s">
        <v>12</v>
      </c>
      <c r="M864" s="171" t="s">
        <v>749</v>
      </c>
    </row>
    <row r="865" spans="3:13" ht="30" customHeight="1" x14ac:dyDescent="0.25">
      <c r="C865" s="175">
        <v>863</v>
      </c>
      <c r="D865" s="163">
        <v>44509</v>
      </c>
      <c r="E865" s="171">
        <v>17.781293000000002</v>
      </c>
      <c r="F865" s="171">
        <v>0</v>
      </c>
      <c r="G865" s="172">
        <v>1</v>
      </c>
      <c r="H865" s="171">
        <f>tbTransactions[[#This Row],[Qty]]*tbTransactions[[#This Row],[Unit Cost]]*tbTransactions[[#This Row],[Exchange Rate]]</f>
        <v>0</v>
      </c>
      <c r="I865" s="148" t="s">
        <v>759</v>
      </c>
      <c r="J865" s="176" t="s">
        <v>746</v>
      </c>
      <c r="K865" s="163" t="str">
        <f>IF(tbTransactions[[#This Row],[Sub-Type]]="Transfer","Neutral",IF(tbTransactions[[#This Row],[Qty]]&lt;0,"Debit",IF(tbTransactions[[#This Row],[Qty]]&gt;0,"Credit","Neutral")))</f>
        <v>Credit</v>
      </c>
      <c r="L865" s="163" t="s">
        <v>518</v>
      </c>
      <c r="M865" s="171" t="s">
        <v>748</v>
      </c>
    </row>
    <row r="866" spans="3:13" ht="30" customHeight="1" x14ac:dyDescent="0.25">
      <c r="C866" s="175">
        <v>864</v>
      </c>
      <c r="D866" s="163">
        <v>44509</v>
      </c>
      <c r="E866" s="171">
        <v>-6.3689999999999997E-3</v>
      </c>
      <c r="F866" s="171">
        <v>5977.0060000000003</v>
      </c>
      <c r="G866" s="172">
        <v>1</v>
      </c>
      <c r="H866" s="171">
        <f>tbTransactions[[#This Row],[Qty]]*tbTransactions[[#This Row],[Unit Cost]]*tbTransactions[[#This Row],[Exchange Rate]]</f>
        <v>-38.067551213999998</v>
      </c>
      <c r="I866" s="148" t="s">
        <v>586</v>
      </c>
      <c r="J866" s="176" t="s">
        <v>22</v>
      </c>
      <c r="K866" s="163" t="str">
        <f>IF(tbTransactions[[#This Row],[Sub-Type]]="Transfer","Neutral",IF(tbTransactions[[#This Row],[Qty]]&lt;0,"Debit",IF(tbTransactions[[#This Row],[Qty]]&gt;0,"Credit","Neutral")))</f>
        <v>Debit</v>
      </c>
      <c r="L866" s="163" t="s">
        <v>12</v>
      </c>
      <c r="M866" s="171" t="s">
        <v>750</v>
      </c>
    </row>
    <row r="867" spans="3:13" ht="30" customHeight="1" x14ac:dyDescent="0.25">
      <c r="C867" s="175">
        <v>865</v>
      </c>
      <c r="D867" s="163">
        <v>44509</v>
      </c>
      <c r="E867" s="171">
        <v>-17.7812925936833</v>
      </c>
      <c r="F867" s="171">
        <v>40.619999999999997</v>
      </c>
      <c r="G867" s="172">
        <v>1</v>
      </c>
      <c r="H867" s="171">
        <f>tbTransactions[[#This Row],[Qty]]*tbTransactions[[#This Row],[Unit Cost]]*tbTransactions[[#This Row],[Exchange Rate]]</f>
        <v>-722.27610515541562</v>
      </c>
      <c r="I867" s="148" t="s">
        <v>759</v>
      </c>
      <c r="J867" s="176" t="s">
        <v>746</v>
      </c>
      <c r="K867" s="163" t="str">
        <f>IF(tbTransactions[[#This Row],[Sub-Type]]="Transfer","Neutral",IF(tbTransactions[[#This Row],[Qty]]&lt;0,"Debit",IF(tbTransactions[[#This Row],[Qty]]&gt;0,"Credit","Neutral")))</f>
        <v>Neutral</v>
      </c>
      <c r="L867" s="163" t="s">
        <v>32</v>
      </c>
      <c r="M867" s="171" t="s">
        <v>750</v>
      </c>
    </row>
    <row r="868" spans="3:13" ht="30" customHeight="1" x14ac:dyDescent="0.25">
      <c r="C868" s="175">
        <v>866</v>
      </c>
      <c r="D868" s="163">
        <v>44509</v>
      </c>
      <c r="E868" s="171">
        <v>17.7812925936833</v>
      </c>
      <c r="F868" s="171">
        <v>40.619999999999997</v>
      </c>
      <c r="G868" s="172">
        <v>1</v>
      </c>
      <c r="H868" s="171">
        <f>tbTransactions[[#This Row],[Qty]]*tbTransactions[[#This Row],[Unit Cost]]*tbTransactions[[#This Row],[Exchange Rate]]</f>
        <v>722.27610515541562</v>
      </c>
      <c r="I868" s="148" t="s">
        <v>586</v>
      </c>
      <c r="J868" s="176" t="s">
        <v>746</v>
      </c>
      <c r="K868" s="163" t="str">
        <f>IF(tbTransactions[[#This Row],[Sub-Type]]="Transfer","Neutral",IF(tbTransactions[[#This Row],[Qty]]&lt;0,"Debit",IF(tbTransactions[[#This Row],[Qty]]&gt;0,"Credit","Neutral")))</f>
        <v>Neutral</v>
      </c>
      <c r="L868" s="163" t="s">
        <v>32</v>
      </c>
      <c r="M868" s="171" t="s">
        <v>750</v>
      </c>
    </row>
    <row r="869" spans="3:13" ht="30" customHeight="1" x14ac:dyDescent="0.25">
      <c r="C869" s="175">
        <v>867</v>
      </c>
      <c r="D869" s="163">
        <v>44509</v>
      </c>
      <c r="E869" s="171">
        <v>3.2501835399999998E-2</v>
      </c>
      <c r="F869" s="171">
        <v>0</v>
      </c>
      <c r="G869" s="172">
        <v>1</v>
      </c>
      <c r="H869" s="171">
        <f>tbTransactions[[#This Row],[Qty]]*tbTransactions[[#This Row],[Unit Cost]]*tbTransactions[[#This Row],[Exchange Rate]]</f>
        <v>0</v>
      </c>
      <c r="I869" s="148" t="s">
        <v>511</v>
      </c>
      <c r="J869" s="176" t="s">
        <v>20</v>
      </c>
      <c r="K869" s="163" t="str">
        <f>IF(tbTransactions[[#This Row],[Sub-Type]]="Transfer","Neutral",IF(tbTransactions[[#This Row],[Qty]]&lt;0,"Debit",IF(tbTransactions[[#This Row],[Qty]]&gt;0,"Credit","Neutral")))</f>
        <v>Credit</v>
      </c>
      <c r="L869" s="163" t="s">
        <v>518</v>
      </c>
      <c r="M869" s="171" t="s">
        <v>465</v>
      </c>
    </row>
    <row r="870" spans="3:13" ht="30" customHeight="1" x14ac:dyDescent="0.25">
      <c r="C870" s="175">
        <v>868</v>
      </c>
      <c r="D870" s="163">
        <v>44510</v>
      </c>
      <c r="E870" s="171">
        <v>-3821</v>
      </c>
      <c r="F870" s="171">
        <v>12.91</v>
      </c>
      <c r="G870" s="172">
        <v>1</v>
      </c>
      <c r="H870" s="171">
        <f>tbTransactions[[#This Row],[Qty]]*tbTransactions[[#This Row],[Unit Cost]]*tbTransactions[[#This Row],[Exchange Rate]]</f>
        <v>-49329.11</v>
      </c>
      <c r="I870" s="148" t="s">
        <v>715</v>
      </c>
      <c r="J870" s="176" t="s">
        <v>732</v>
      </c>
      <c r="K870" s="163" t="str">
        <f>IF(tbTransactions[[#This Row],[Sub-Type]]="Transfer","Neutral",IF(tbTransactions[[#This Row],[Qty]]&lt;0,"Debit",IF(tbTransactions[[#This Row],[Qty]]&gt;0,"Credit","Neutral")))</f>
        <v>Debit</v>
      </c>
      <c r="L870" s="163" t="s">
        <v>711</v>
      </c>
      <c r="M870" s="171" t="s">
        <v>760</v>
      </c>
    </row>
    <row r="871" spans="3:13" ht="30" customHeight="1" x14ac:dyDescent="0.25">
      <c r="C871" s="175">
        <v>869</v>
      </c>
      <c r="D871" s="163">
        <v>44510</v>
      </c>
      <c r="E871" s="171">
        <v>49329.11</v>
      </c>
      <c r="F871" s="171">
        <v>1</v>
      </c>
      <c r="G871" s="172">
        <v>1</v>
      </c>
      <c r="H871" s="171">
        <f>tbTransactions[[#This Row],[Qty]]*tbTransactions[[#This Row],[Unit Cost]]*tbTransactions[[#This Row],[Exchange Rate]]</f>
        <v>49329.11</v>
      </c>
      <c r="I871" s="148" t="s">
        <v>715</v>
      </c>
      <c r="J871" s="176" t="s">
        <v>411</v>
      </c>
      <c r="K871" s="163" t="str">
        <f>IF(tbTransactions[[#This Row],[Sub-Type]]="Transfer","Neutral",IF(tbTransactions[[#This Row],[Qty]]&lt;0,"Debit",IF(tbTransactions[[#This Row],[Qty]]&gt;0,"Credit","Neutral")))</f>
        <v>Credit</v>
      </c>
      <c r="L871" s="163" t="s">
        <v>725</v>
      </c>
      <c r="M871" s="171" t="s">
        <v>760</v>
      </c>
    </row>
    <row r="872" spans="3:13" ht="30" customHeight="1" x14ac:dyDescent="0.25">
      <c r="C872" s="175">
        <v>870</v>
      </c>
      <c r="D872" s="163">
        <v>44510</v>
      </c>
      <c r="E872" s="171">
        <v>1000</v>
      </c>
      <c r="F872" s="171">
        <v>22.2</v>
      </c>
      <c r="G872" s="172">
        <v>1</v>
      </c>
      <c r="H872" s="171">
        <f>tbTransactions[[#This Row],[Qty]]*tbTransactions[[#This Row],[Unit Cost]]*tbTransactions[[#This Row],[Exchange Rate]]</f>
        <v>22200</v>
      </c>
      <c r="I872" s="148" t="s">
        <v>715</v>
      </c>
      <c r="J872" s="176" t="s">
        <v>762</v>
      </c>
      <c r="K872" s="163" t="str">
        <f>IF(tbTransactions[[#This Row],[Sub-Type]]="Transfer","Neutral",IF(tbTransactions[[#This Row],[Qty]]&lt;0,"Debit",IF(tbTransactions[[#This Row],[Qty]]&gt;0,"Credit","Neutral")))</f>
        <v>Credit</v>
      </c>
      <c r="L872" s="163" t="s">
        <v>740</v>
      </c>
      <c r="M872" s="171" t="s">
        <v>761</v>
      </c>
    </row>
    <row r="873" spans="3:13" ht="30" customHeight="1" x14ac:dyDescent="0.25">
      <c r="C873" s="175">
        <v>871</v>
      </c>
      <c r="D873" s="163">
        <v>44510</v>
      </c>
      <c r="E873" s="171">
        <v>-24153.599999999999</v>
      </c>
      <c r="F873" s="171">
        <v>1</v>
      </c>
      <c r="G873" s="172">
        <v>1</v>
      </c>
      <c r="H873" s="171">
        <f>tbTransactions[[#This Row],[Qty]]*tbTransactions[[#This Row],[Unit Cost]]*tbTransactions[[#This Row],[Exchange Rate]]</f>
        <v>-24153.599999999999</v>
      </c>
      <c r="I873" s="148" t="s">
        <v>715</v>
      </c>
      <c r="J873" s="176" t="s">
        <v>411</v>
      </c>
      <c r="K873" s="163" t="str">
        <f>IF(tbTransactions[[#This Row],[Sub-Type]]="Transfer","Neutral",IF(tbTransactions[[#This Row],[Qty]]&lt;0,"Debit",IF(tbTransactions[[#This Row],[Qty]]&gt;0,"Credit","Neutral")))</f>
        <v>Debit</v>
      </c>
      <c r="L873" s="163" t="s">
        <v>522</v>
      </c>
      <c r="M873" s="171" t="s">
        <v>761</v>
      </c>
    </row>
    <row r="874" spans="3:13" ht="30" customHeight="1" x14ac:dyDescent="0.25">
      <c r="C874" s="175">
        <v>872</v>
      </c>
      <c r="D874" s="163">
        <v>44510</v>
      </c>
      <c r="E874" s="171">
        <v>1700</v>
      </c>
      <c r="F874" s="171">
        <v>22.24</v>
      </c>
      <c r="G874" s="172">
        <v>1</v>
      </c>
      <c r="H874" s="171">
        <f>tbTransactions[[#This Row],[Qty]]*tbTransactions[[#This Row],[Unit Cost]]*tbTransactions[[#This Row],[Exchange Rate]]</f>
        <v>37808</v>
      </c>
      <c r="I874" s="148" t="s">
        <v>715</v>
      </c>
      <c r="J874" s="176" t="s">
        <v>762</v>
      </c>
      <c r="K874" s="163" t="str">
        <f>IF(tbTransactions[[#This Row],[Sub-Type]]="Transfer","Neutral",IF(tbTransactions[[#This Row],[Qty]]&lt;0,"Debit",IF(tbTransactions[[#This Row],[Qty]]&gt;0,"Credit","Neutral")))</f>
        <v>Credit</v>
      </c>
      <c r="L874" s="163" t="s">
        <v>740</v>
      </c>
      <c r="M874" s="171" t="s">
        <v>761</v>
      </c>
    </row>
    <row r="875" spans="3:13" ht="30" customHeight="1" x14ac:dyDescent="0.25">
      <c r="C875" s="175">
        <v>873</v>
      </c>
      <c r="D875" s="163">
        <v>44510</v>
      </c>
      <c r="E875" s="171">
        <v>-20016</v>
      </c>
      <c r="F875" s="171">
        <v>1</v>
      </c>
      <c r="G875" s="172">
        <v>1</v>
      </c>
      <c r="H875" s="171">
        <f>tbTransactions[[#This Row],[Qty]]*tbTransactions[[#This Row],[Unit Cost]]*tbTransactions[[#This Row],[Exchange Rate]]</f>
        <v>-20016</v>
      </c>
      <c r="I875" s="148" t="s">
        <v>715</v>
      </c>
      <c r="J875" s="176" t="s">
        <v>411</v>
      </c>
      <c r="K875" s="163" t="str">
        <f>IF(tbTransactions[[#This Row],[Sub-Type]]="Transfer","Neutral",IF(tbTransactions[[#This Row],[Qty]]&lt;0,"Debit",IF(tbTransactions[[#This Row],[Qty]]&gt;0,"Credit","Neutral")))</f>
        <v>Debit</v>
      </c>
      <c r="L875" s="163" t="s">
        <v>522</v>
      </c>
      <c r="M875" s="171" t="s">
        <v>761</v>
      </c>
    </row>
    <row r="876" spans="3:13" ht="30" customHeight="1" x14ac:dyDescent="0.25">
      <c r="C876" s="175">
        <v>874</v>
      </c>
      <c r="D876" s="163">
        <v>44510</v>
      </c>
      <c r="E876" s="171">
        <v>183</v>
      </c>
      <c r="F876" s="171">
        <v>22.2</v>
      </c>
      <c r="G876" s="172">
        <v>1</v>
      </c>
      <c r="H876" s="171">
        <f>tbTransactions[[#This Row],[Qty]]*tbTransactions[[#This Row],[Unit Cost]]*tbTransactions[[#This Row],[Exchange Rate]]</f>
        <v>4062.6</v>
      </c>
      <c r="I876" s="148" t="s">
        <v>715</v>
      </c>
      <c r="J876" s="176" t="s">
        <v>762</v>
      </c>
      <c r="K876" s="163" t="str">
        <f>IF(tbTransactions[[#This Row],[Sub-Type]]="Transfer","Neutral",IF(tbTransactions[[#This Row],[Qty]]&lt;0,"Debit",IF(tbTransactions[[#This Row],[Qty]]&gt;0,"Credit","Neutral")))</f>
        <v>Credit</v>
      </c>
      <c r="L876" s="163" t="s">
        <v>740</v>
      </c>
      <c r="M876" s="171" t="s">
        <v>761</v>
      </c>
    </row>
    <row r="877" spans="3:13" ht="30" customHeight="1" x14ac:dyDescent="0.25">
      <c r="C877" s="175">
        <v>875</v>
      </c>
      <c r="D877" s="163">
        <v>44510</v>
      </c>
      <c r="E877" s="171">
        <v>-19895.849999999999</v>
      </c>
      <c r="F877" s="171">
        <v>1</v>
      </c>
      <c r="G877" s="172">
        <v>1</v>
      </c>
      <c r="H877" s="171">
        <f>tbTransactions[[#This Row],[Qty]]*tbTransactions[[#This Row],[Unit Cost]]*tbTransactions[[#This Row],[Exchange Rate]]</f>
        <v>-19895.849999999999</v>
      </c>
      <c r="I877" s="148" t="s">
        <v>715</v>
      </c>
      <c r="J877" s="176" t="s">
        <v>411</v>
      </c>
      <c r="K877" s="163" t="str">
        <f>IF(tbTransactions[[#This Row],[Sub-Type]]="Transfer","Neutral",IF(tbTransactions[[#This Row],[Qty]]&lt;0,"Debit",IF(tbTransactions[[#This Row],[Qty]]&gt;0,"Credit","Neutral")))</f>
        <v>Debit</v>
      </c>
      <c r="L877" s="163" t="s">
        <v>522</v>
      </c>
      <c r="M877" s="171" t="s">
        <v>761</v>
      </c>
    </row>
    <row r="878" spans="3:13" ht="30" customHeight="1" x14ac:dyDescent="0.25">
      <c r="C878" s="175">
        <v>876</v>
      </c>
      <c r="D878" s="163">
        <v>44510</v>
      </c>
      <c r="E878" s="171">
        <v>3.0428707400000001E-2</v>
      </c>
      <c r="F878" s="171">
        <v>0</v>
      </c>
      <c r="G878" s="172">
        <v>1</v>
      </c>
      <c r="H878" s="171">
        <f>tbTransactions[[#This Row],[Qty]]*tbTransactions[[#This Row],[Unit Cost]]*tbTransactions[[#This Row],[Exchange Rate]]</f>
        <v>0</v>
      </c>
      <c r="I878" s="148" t="s">
        <v>511</v>
      </c>
      <c r="J878" s="176" t="s">
        <v>20</v>
      </c>
      <c r="K878" s="163" t="str">
        <f>IF(tbTransactions[[#This Row],[Sub-Type]]="Transfer","Neutral",IF(tbTransactions[[#This Row],[Qty]]&lt;0,"Debit",IF(tbTransactions[[#This Row],[Qty]]&gt;0,"Credit","Neutral")))</f>
        <v>Credit</v>
      </c>
      <c r="L878" s="163" t="s">
        <v>518</v>
      </c>
      <c r="M878" s="171" t="s">
        <v>465</v>
      </c>
    </row>
    <row r="879" spans="3:13" ht="30" customHeight="1" x14ac:dyDescent="0.25">
      <c r="C879" s="175">
        <v>877</v>
      </c>
      <c r="D879" s="163">
        <v>44510</v>
      </c>
      <c r="E879" s="171">
        <v>-3.1182930000000001E-2</v>
      </c>
      <c r="F879" s="171">
        <v>2.0099999999999998</v>
      </c>
      <c r="G879" s="172">
        <v>1</v>
      </c>
      <c r="H879" s="171">
        <f>tbTransactions[[#This Row],[Qty]]*tbTransactions[[#This Row],[Unit Cost]]*tbTransactions[[#This Row],[Exchange Rate]]</f>
        <v>-6.2677689299999992E-2</v>
      </c>
      <c r="I879" s="148" t="s">
        <v>594</v>
      </c>
      <c r="J879" s="176" t="s">
        <v>423</v>
      </c>
      <c r="K879" s="163" t="str">
        <f>IF(tbTransactions[[#This Row],[Sub-Type]]="Transfer","Neutral",IF(tbTransactions[[#This Row],[Qty]]&lt;0,"Debit",IF(tbTransactions[[#This Row],[Qty]]&gt;0,"Credit","Neutral")))</f>
        <v>Debit</v>
      </c>
      <c r="L879" s="163" t="s">
        <v>12</v>
      </c>
      <c r="M879" s="171" t="s">
        <v>636</v>
      </c>
    </row>
    <row r="880" spans="3:13" ht="30" customHeight="1" x14ac:dyDescent="0.25">
      <c r="C880" s="175">
        <v>878</v>
      </c>
      <c r="D880" s="163">
        <v>44510</v>
      </c>
      <c r="E880" s="171">
        <v>-3.2579832126899899</v>
      </c>
      <c r="F880" s="171">
        <v>5640</v>
      </c>
      <c r="G880" s="172">
        <v>1</v>
      </c>
      <c r="H880" s="171">
        <f>tbTransactions[[#This Row],[Qty]]*tbTransactions[[#This Row],[Unit Cost]]*tbTransactions[[#This Row],[Exchange Rate]]</f>
        <v>-18375.025319571541</v>
      </c>
      <c r="I880" s="148" t="s">
        <v>594</v>
      </c>
      <c r="J880" s="176" t="s">
        <v>22</v>
      </c>
      <c r="K880" s="163" t="str">
        <f>IF(tbTransactions[[#This Row],[Sub-Type]]="Transfer","Neutral",IF(tbTransactions[[#This Row],[Qty]]&lt;0,"Debit",IF(tbTransactions[[#This Row],[Qty]]&gt;0,"Credit","Neutral")))</f>
        <v>Debit</v>
      </c>
      <c r="L880" s="163" t="s">
        <v>603</v>
      </c>
      <c r="M880" s="171" t="s">
        <v>636</v>
      </c>
    </row>
    <row r="881" spans="3:13" ht="30" customHeight="1" x14ac:dyDescent="0.25">
      <c r="C881" s="175">
        <v>879</v>
      </c>
      <c r="D881" s="163">
        <v>44510</v>
      </c>
      <c r="E881" s="171">
        <v>14701.453314</v>
      </c>
      <c r="F881" s="171">
        <v>1.25</v>
      </c>
      <c r="G881" s="172">
        <v>1</v>
      </c>
      <c r="H881" s="171">
        <f>tbTransactions[[#This Row],[Qty]]*tbTransactions[[#This Row],[Unit Cost]]*tbTransactions[[#This Row],[Exchange Rate]]</f>
        <v>18376.816642500002</v>
      </c>
      <c r="I881" s="148" t="s">
        <v>594</v>
      </c>
      <c r="J881" s="176" t="s">
        <v>602</v>
      </c>
      <c r="K881" s="163" t="str">
        <f>IF(tbTransactions[[#This Row],[Sub-Type]]="Transfer","Neutral",IF(tbTransactions[[#This Row],[Qty]]&lt;0,"Debit",IF(tbTransactions[[#This Row],[Qty]]&gt;0,"Credit","Neutral")))</f>
        <v>Credit</v>
      </c>
      <c r="L881" s="163" t="s">
        <v>603</v>
      </c>
      <c r="M881" s="171" t="s">
        <v>636</v>
      </c>
    </row>
    <row r="882" spans="3:13" ht="30" customHeight="1" x14ac:dyDescent="0.25">
      <c r="C882" s="175">
        <v>880</v>
      </c>
      <c r="D882" s="163">
        <v>44511</v>
      </c>
      <c r="E882" s="171">
        <v>2.63296537E-2</v>
      </c>
      <c r="F882" s="171">
        <v>0</v>
      </c>
      <c r="G882" s="172">
        <v>1</v>
      </c>
      <c r="H882" s="171">
        <f>tbTransactions[[#This Row],[Qty]]*tbTransactions[[#This Row],[Unit Cost]]*tbTransactions[[#This Row],[Exchange Rate]]</f>
        <v>0</v>
      </c>
      <c r="I882" s="148" t="s">
        <v>511</v>
      </c>
      <c r="J882" s="176" t="s">
        <v>20</v>
      </c>
      <c r="K882" s="163" t="str">
        <f>IF(tbTransactions[[#This Row],[Sub-Type]]="Transfer","Neutral",IF(tbTransactions[[#This Row],[Qty]]&lt;0,"Debit",IF(tbTransactions[[#This Row],[Qty]]&gt;0,"Credit","Neutral")))</f>
        <v>Credit</v>
      </c>
      <c r="L882" s="163" t="s">
        <v>518</v>
      </c>
      <c r="M882" s="171" t="s">
        <v>465</v>
      </c>
    </row>
    <row r="883" spans="3:13" ht="30" customHeight="1" x14ac:dyDescent="0.25">
      <c r="C883" s="175">
        <v>881</v>
      </c>
      <c r="D883" s="163">
        <v>44512</v>
      </c>
      <c r="E883" s="171">
        <v>2.7498987999999999E-2</v>
      </c>
      <c r="F883" s="171">
        <v>0</v>
      </c>
      <c r="G883" s="172">
        <v>1</v>
      </c>
      <c r="H883" s="171">
        <f>tbTransactions[[#This Row],[Qty]]*tbTransactions[[#This Row],[Unit Cost]]*tbTransactions[[#This Row],[Exchange Rate]]</f>
        <v>0</v>
      </c>
      <c r="I883" s="148" t="s">
        <v>511</v>
      </c>
      <c r="J883" s="176" t="s">
        <v>20</v>
      </c>
      <c r="K883" s="163" t="str">
        <f>IF(tbTransactions[[#This Row],[Sub-Type]]="Transfer","Neutral",IF(tbTransactions[[#This Row],[Qty]]&lt;0,"Debit",IF(tbTransactions[[#This Row],[Qty]]&gt;0,"Credit","Neutral")))</f>
        <v>Credit</v>
      </c>
      <c r="L883" s="163" t="s">
        <v>518</v>
      </c>
      <c r="M883" s="171" t="s">
        <v>465</v>
      </c>
    </row>
    <row r="884" spans="3:13" ht="30" customHeight="1" x14ac:dyDescent="0.25">
      <c r="C884" s="175">
        <v>882</v>
      </c>
      <c r="D884" s="163">
        <v>44513</v>
      </c>
      <c r="E884" s="171">
        <v>3.0677568999999998E-2</v>
      </c>
      <c r="F884" s="171">
        <v>0</v>
      </c>
      <c r="G884" s="172">
        <v>1</v>
      </c>
      <c r="H884" s="171">
        <f>tbTransactions[[#This Row],[Qty]]*tbTransactions[[#This Row],[Unit Cost]]*tbTransactions[[#This Row],[Exchange Rate]]</f>
        <v>0</v>
      </c>
      <c r="I884" s="148" t="s">
        <v>511</v>
      </c>
      <c r="J884" s="176" t="s">
        <v>20</v>
      </c>
      <c r="K884" s="163" t="str">
        <f>IF(tbTransactions[[#This Row],[Sub-Type]]="Transfer","Neutral",IF(tbTransactions[[#This Row],[Qty]]&lt;0,"Debit",IF(tbTransactions[[#This Row],[Qty]]&gt;0,"Credit","Neutral")))</f>
        <v>Credit</v>
      </c>
      <c r="L884" s="163" t="s">
        <v>518</v>
      </c>
      <c r="M884" s="171" t="s">
        <v>465</v>
      </c>
    </row>
    <row r="885" spans="3:13" ht="30" customHeight="1" x14ac:dyDescent="0.25">
      <c r="C885" s="175">
        <v>883</v>
      </c>
      <c r="D885" s="163">
        <v>44513</v>
      </c>
      <c r="E885" s="171">
        <v>1.5237601E-2</v>
      </c>
      <c r="F885" s="171">
        <v>0</v>
      </c>
      <c r="G885" s="172">
        <v>1</v>
      </c>
      <c r="H885" s="171">
        <f>tbTransactions[[#This Row],[Qty]]*tbTransactions[[#This Row],[Unit Cost]]*tbTransactions[[#This Row],[Exchange Rate]]</f>
        <v>0</v>
      </c>
      <c r="I885" s="148" t="s">
        <v>542</v>
      </c>
      <c r="J885" s="176" t="s">
        <v>22</v>
      </c>
      <c r="K885" s="163" t="str">
        <f>IF(tbTransactions[[#This Row],[Sub-Type]]="Transfer","Neutral",IF(tbTransactions[[#This Row],[Qty]]&lt;0,"Debit",IF(tbTransactions[[#This Row],[Qty]]&gt;0,"Credit","Neutral")))</f>
        <v>Credit</v>
      </c>
      <c r="L885" s="163" t="s">
        <v>518</v>
      </c>
      <c r="M885" s="171" t="s">
        <v>556</v>
      </c>
    </row>
    <row r="886" spans="3:13" ht="30" customHeight="1" x14ac:dyDescent="0.25">
      <c r="C886" s="175">
        <v>884</v>
      </c>
      <c r="D886" s="163">
        <v>44514</v>
      </c>
      <c r="E886" s="171">
        <v>3.86441483E-2</v>
      </c>
      <c r="F886" s="171">
        <v>0</v>
      </c>
      <c r="G886" s="172">
        <v>1</v>
      </c>
      <c r="H886" s="171">
        <f>tbTransactions[[#This Row],[Qty]]*tbTransactions[[#This Row],[Unit Cost]]*tbTransactions[[#This Row],[Exchange Rate]]</f>
        <v>0</v>
      </c>
      <c r="I886" s="148" t="s">
        <v>511</v>
      </c>
      <c r="J886" s="176" t="s">
        <v>20</v>
      </c>
      <c r="K886" s="163" t="str">
        <f>IF(tbTransactions[[#This Row],[Sub-Type]]="Transfer","Neutral",IF(tbTransactions[[#This Row],[Qty]]&lt;0,"Debit",IF(tbTransactions[[#This Row],[Qty]]&gt;0,"Credit","Neutral")))</f>
        <v>Credit</v>
      </c>
      <c r="L886" s="163" t="s">
        <v>518</v>
      </c>
      <c r="M886" s="171" t="s">
        <v>465</v>
      </c>
    </row>
    <row r="887" spans="3:13" ht="30" customHeight="1" x14ac:dyDescent="0.25">
      <c r="C887" s="175">
        <v>885</v>
      </c>
      <c r="D887" s="163">
        <v>44515</v>
      </c>
      <c r="E887" s="171">
        <v>2.69362049E-2</v>
      </c>
      <c r="F887" s="171">
        <v>0</v>
      </c>
      <c r="G887" s="172">
        <v>1</v>
      </c>
      <c r="H887" s="171">
        <f>tbTransactions[[#This Row],[Qty]]*tbTransactions[[#This Row],[Unit Cost]]*tbTransactions[[#This Row],[Exchange Rate]]</f>
        <v>0</v>
      </c>
      <c r="I887" s="148" t="s">
        <v>511</v>
      </c>
      <c r="J887" s="176" t="s">
        <v>20</v>
      </c>
      <c r="K887" s="163" t="str">
        <f>IF(tbTransactions[[#This Row],[Sub-Type]]="Transfer","Neutral",IF(tbTransactions[[#This Row],[Qty]]&lt;0,"Debit",IF(tbTransactions[[#This Row],[Qty]]&gt;0,"Credit","Neutral")))</f>
        <v>Credit</v>
      </c>
      <c r="L887" s="163" t="s">
        <v>518</v>
      </c>
      <c r="M887" s="171" t="s">
        <v>465</v>
      </c>
    </row>
    <row r="888" spans="3:13" ht="30" customHeight="1" x14ac:dyDescent="0.25">
      <c r="C888" s="175">
        <v>886</v>
      </c>
      <c r="D888" s="163">
        <v>44515</v>
      </c>
      <c r="E888" s="171">
        <v>-5.3109999999999997E-3</v>
      </c>
      <c r="F888" s="171">
        <v>2.06</v>
      </c>
      <c r="G888" s="172">
        <v>1</v>
      </c>
      <c r="H888" s="171">
        <f>tbTransactions[[#This Row],[Qty]]*tbTransactions[[#This Row],[Unit Cost]]*tbTransactions[[#This Row],[Exchange Rate]]</f>
        <v>-1.094066E-2</v>
      </c>
      <c r="I888" s="148" t="s">
        <v>594</v>
      </c>
      <c r="J888" s="176" t="s">
        <v>423</v>
      </c>
      <c r="K888" s="163" t="str">
        <f>IF(tbTransactions[[#This Row],[Sub-Type]]="Transfer","Neutral",IF(tbTransactions[[#This Row],[Qty]]&lt;0,"Debit",IF(tbTransactions[[#This Row],[Qty]]&gt;0,"Credit","Neutral")))</f>
        <v>Debit</v>
      </c>
      <c r="L888" s="163" t="s">
        <v>12</v>
      </c>
      <c r="M888" s="171" t="s">
        <v>646</v>
      </c>
    </row>
    <row r="889" spans="3:13" ht="30" customHeight="1" x14ac:dyDescent="0.25">
      <c r="C889" s="175">
        <v>887</v>
      </c>
      <c r="D889" s="163">
        <v>44515</v>
      </c>
      <c r="E889" s="171">
        <v>2.8941442352828401</v>
      </c>
      <c r="F889" s="171">
        <v>5614.8550375071</v>
      </c>
      <c r="G889" s="172">
        <v>1</v>
      </c>
      <c r="H889" s="171">
        <f>tbTransactions[[#This Row],[Qty]]*tbTransactions[[#This Row],[Unit Cost]]*tbTransactions[[#This Row],[Exchange Rate]]</f>
        <v>16250.200338749988</v>
      </c>
      <c r="I889" s="148" t="s">
        <v>594</v>
      </c>
      <c r="J889" s="176" t="s">
        <v>22</v>
      </c>
      <c r="K889" s="163" t="str">
        <f>IF(tbTransactions[[#This Row],[Sub-Type]]="Transfer","Neutral",IF(tbTransactions[[#This Row],[Qty]]&lt;0,"Debit",IF(tbTransactions[[#This Row],[Qty]]&gt;0,"Credit","Neutral")))</f>
        <v>Credit</v>
      </c>
      <c r="L889" s="163" t="s">
        <v>603</v>
      </c>
      <c r="M889" s="171" t="s">
        <v>646</v>
      </c>
    </row>
    <row r="890" spans="3:13" ht="30" customHeight="1" x14ac:dyDescent="0.25">
      <c r="C890" s="175">
        <v>888</v>
      </c>
      <c r="D890" s="163">
        <v>44515</v>
      </c>
      <c r="E890" s="171">
        <v>-13000.160271000001</v>
      </c>
      <c r="F890" s="171">
        <v>1.25</v>
      </c>
      <c r="G890" s="172">
        <v>1</v>
      </c>
      <c r="H890" s="171">
        <f>tbTransactions[[#This Row],[Qty]]*tbTransactions[[#This Row],[Unit Cost]]*tbTransactions[[#This Row],[Exchange Rate]]</f>
        <v>-16250.200338750001</v>
      </c>
      <c r="I890" s="148" t="s">
        <v>594</v>
      </c>
      <c r="J890" s="176" t="s">
        <v>602</v>
      </c>
      <c r="K890" s="163" t="str">
        <f>IF(tbTransactions[[#This Row],[Sub-Type]]="Transfer","Neutral",IF(tbTransactions[[#This Row],[Qty]]&lt;0,"Debit",IF(tbTransactions[[#This Row],[Qty]]&gt;0,"Credit","Neutral")))</f>
        <v>Debit</v>
      </c>
      <c r="L890" s="163" t="s">
        <v>603</v>
      </c>
      <c r="M890" s="171" t="s">
        <v>646</v>
      </c>
    </row>
    <row r="891" spans="3:13" ht="30" customHeight="1" x14ac:dyDescent="0.25">
      <c r="C891" s="175">
        <v>889</v>
      </c>
      <c r="D891" s="163">
        <v>44515</v>
      </c>
      <c r="E891" s="171">
        <v>-9.4669999999999997E-3</v>
      </c>
      <c r="F891" s="171">
        <v>2.06</v>
      </c>
      <c r="G891" s="172">
        <v>1</v>
      </c>
      <c r="H891" s="171">
        <f>tbTransactions[[#This Row],[Qty]]*tbTransactions[[#This Row],[Unit Cost]]*tbTransactions[[#This Row],[Exchange Rate]]</f>
        <v>-1.9502019999999998E-2</v>
      </c>
      <c r="I891" s="148" t="s">
        <v>594</v>
      </c>
      <c r="J891" s="176" t="s">
        <v>423</v>
      </c>
      <c r="K891" s="163" t="str">
        <f>IF(tbTransactions[[#This Row],[Sub-Type]]="Transfer","Neutral",IF(tbTransactions[[#This Row],[Qty]]&lt;0,"Debit",IF(tbTransactions[[#This Row],[Qty]]&gt;0,"Credit","Neutral")))</f>
        <v>Debit</v>
      </c>
      <c r="L891" s="163" t="s">
        <v>12</v>
      </c>
      <c r="M891" s="171" t="s">
        <v>615</v>
      </c>
    </row>
    <row r="892" spans="3:13" ht="30" customHeight="1" x14ac:dyDescent="0.25">
      <c r="C892" s="175">
        <v>890</v>
      </c>
      <c r="D892" s="163">
        <v>44515</v>
      </c>
      <c r="E892" s="171">
        <v>-4.5245E-2</v>
      </c>
      <c r="F892" s="171">
        <v>2.0099999999999998</v>
      </c>
      <c r="G892" s="172">
        <v>1</v>
      </c>
      <c r="H892" s="171">
        <f>tbTransactions[[#This Row],[Qty]]*tbTransactions[[#This Row],[Unit Cost]]*tbTransactions[[#This Row],[Exchange Rate]]</f>
        <v>-9.0942449999999994E-2</v>
      </c>
      <c r="I892" s="148" t="s">
        <v>594</v>
      </c>
      <c r="J892" s="176" t="s">
        <v>423</v>
      </c>
      <c r="K892" s="163" t="str">
        <f>IF(tbTransactions[[#This Row],[Sub-Type]]="Transfer","Neutral",IF(tbTransactions[[#This Row],[Qty]]&lt;0,"Debit",IF(tbTransactions[[#This Row],[Qty]]&gt;0,"Credit","Neutral")))</f>
        <v>Debit</v>
      </c>
      <c r="L892" s="163" t="s">
        <v>12</v>
      </c>
      <c r="M892" s="171" t="s">
        <v>646</v>
      </c>
    </row>
    <row r="893" spans="3:13" ht="30" customHeight="1" x14ac:dyDescent="0.25">
      <c r="C893" s="175">
        <v>891</v>
      </c>
      <c r="D893" s="163">
        <v>44515</v>
      </c>
      <c r="E893" s="171">
        <v>0.36448893096548102</v>
      </c>
      <c r="F893" s="171">
        <v>5487.1350817218899</v>
      </c>
      <c r="G893" s="172">
        <v>1</v>
      </c>
      <c r="H893" s="171">
        <f>tbTransactions[[#This Row],[Qty]]*tbTransactions[[#This Row],[Unit Cost]]*tbTransactions[[#This Row],[Exchange Rate]]</f>
        <v>1999.9999999999991</v>
      </c>
      <c r="I893" s="148" t="s">
        <v>594</v>
      </c>
      <c r="J893" s="176" t="s">
        <v>22</v>
      </c>
      <c r="K893" s="163" t="str">
        <f>IF(tbTransactions[[#This Row],[Sub-Type]]="Transfer","Neutral",IF(tbTransactions[[#This Row],[Qty]]&lt;0,"Debit",IF(tbTransactions[[#This Row],[Qty]]&gt;0,"Credit","Neutral")))</f>
        <v>Credit</v>
      </c>
      <c r="L893" s="163" t="s">
        <v>603</v>
      </c>
      <c r="M893" s="171" t="s">
        <v>646</v>
      </c>
    </row>
    <row r="894" spans="3:13" ht="30" customHeight="1" x14ac:dyDescent="0.25">
      <c r="C894" s="175">
        <v>892</v>
      </c>
      <c r="D894" s="163">
        <v>44515</v>
      </c>
      <c r="E894" s="171">
        <v>-1600</v>
      </c>
      <c r="F894" s="171">
        <v>1.25</v>
      </c>
      <c r="G894" s="172">
        <v>1</v>
      </c>
      <c r="H894" s="171">
        <f>tbTransactions[[#This Row],[Qty]]*tbTransactions[[#This Row],[Unit Cost]]*tbTransactions[[#This Row],[Exchange Rate]]</f>
        <v>-2000</v>
      </c>
      <c r="I894" s="148" t="s">
        <v>594</v>
      </c>
      <c r="J894" s="176" t="s">
        <v>602</v>
      </c>
      <c r="K894" s="163" t="str">
        <f>IF(tbTransactions[[#This Row],[Sub-Type]]="Transfer","Neutral",IF(tbTransactions[[#This Row],[Qty]]&lt;0,"Debit",IF(tbTransactions[[#This Row],[Qty]]&gt;0,"Credit","Neutral")))</f>
        <v>Debit</v>
      </c>
      <c r="L894" s="163" t="s">
        <v>603</v>
      </c>
      <c r="M894" s="171" t="s">
        <v>646</v>
      </c>
    </row>
    <row r="895" spans="3:13" ht="30" customHeight="1" x14ac:dyDescent="0.25">
      <c r="C895" s="175">
        <v>893</v>
      </c>
      <c r="D895" s="163">
        <v>44516</v>
      </c>
      <c r="E895" s="171">
        <v>-3.25983E-3</v>
      </c>
      <c r="F895" s="171">
        <v>1.96</v>
      </c>
      <c r="G895" s="172">
        <v>1</v>
      </c>
      <c r="H895" s="171">
        <f>tbTransactions[[#This Row],[Qty]]*tbTransactions[[#This Row],[Unit Cost]]*tbTransactions[[#This Row],[Exchange Rate]]</f>
        <v>-6.3892667999999996E-3</v>
      </c>
      <c r="I895" s="148" t="s">
        <v>594</v>
      </c>
      <c r="J895" s="176" t="s">
        <v>423</v>
      </c>
      <c r="K895" s="163" t="str">
        <f>IF(tbTransactions[[#This Row],[Sub-Type]]="Transfer","Neutral",IF(tbTransactions[[#This Row],[Qty]]&lt;0,"Debit",IF(tbTransactions[[#This Row],[Qty]]&gt;0,"Credit","Neutral")))</f>
        <v>Debit</v>
      </c>
      <c r="L895" s="163" t="s">
        <v>12</v>
      </c>
      <c r="M895" s="171" t="s">
        <v>646</v>
      </c>
    </row>
    <row r="896" spans="3:13" ht="30" customHeight="1" x14ac:dyDescent="0.25">
      <c r="C896" s="175">
        <v>894</v>
      </c>
      <c r="D896" s="163">
        <v>44516</v>
      </c>
      <c r="E896" s="171">
        <v>0.41329330932598901</v>
      </c>
      <c r="F896" s="171">
        <v>5356.3654432496114</v>
      </c>
      <c r="G896" s="172">
        <v>1</v>
      </c>
      <c r="H896" s="171">
        <f>tbTransactions[[#This Row],[Qty]]*tbTransactions[[#This Row],[Unit Cost]]*tbTransactions[[#This Row],[Exchange Rate]]</f>
        <v>2213.75</v>
      </c>
      <c r="I896" s="148" t="s">
        <v>594</v>
      </c>
      <c r="J896" s="176" t="s">
        <v>22</v>
      </c>
      <c r="K896" s="163" t="str">
        <f>IF(tbTransactions[[#This Row],[Sub-Type]]="Transfer","Neutral",IF(tbTransactions[[#This Row],[Qty]]&lt;0,"Debit",IF(tbTransactions[[#This Row],[Qty]]&gt;0,"Credit","Neutral")))</f>
        <v>Credit</v>
      </c>
      <c r="L896" s="163" t="s">
        <v>603</v>
      </c>
      <c r="M896" s="171" t="s">
        <v>646</v>
      </c>
    </row>
    <row r="897" spans="3:13" ht="30" customHeight="1" x14ac:dyDescent="0.25">
      <c r="C897" s="175">
        <v>895</v>
      </c>
      <c r="D897" s="163">
        <v>44516</v>
      </c>
      <c r="E897" s="171">
        <v>-1771</v>
      </c>
      <c r="F897" s="171">
        <v>1.25</v>
      </c>
      <c r="G897" s="172">
        <v>1</v>
      </c>
      <c r="H897" s="171">
        <f>tbTransactions[[#This Row],[Qty]]*tbTransactions[[#This Row],[Unit Cost]]*tbTransactions[[#This Row],[Exchange Rate]]</f>
        <v>-2213.75</v>
      </c>
      <c r="I897" s="148" t="s">
        <v>594</v>
      </c>
      <c r="J897" s="176" t="s">
        <v>602</v>
      </c>
      <c r="K897" s="163" t="str">
        <f>IF(tbTransactions[[#This Row],[Sub-Type]]="Transfer","Neutral",IF(tbTransactions[[#This Row],[Qty]]&lt;0,"Debit",IF(tbTransactions[[#This Row],[Qty]]&gt;0,"Credit","Neutral")))</f>
        <v>Debit</v>
      </c>
      <c r="L897" s="163" t="s">
        <v>603</v>
      </c>
      <c r="M897" s="171" t="s">
        <v>646</v>
      </c>
    </row>
    <row r="898" spans="3:13" ht="30" customHeight="1" x14ac:dyDescent="0.25">
      <c r="C898" s="175">
        <v>896</v>
      </c>
      <c r="D898" s="163">
        <v>44516</v>
      </c>
      <c r="E898" s="171">
        <v>235</v>
      </c>
      <c r="F898" s="171">
        <v>38.85</v>
      </c>
      <c r="G898" s="172">
        <v>1</v>
      </c>
      <c r="H898" s="171">
        <f>tbTransactions[[#This Row],[Qty]]*tbTransactions[[#This Row],[Unit Cost]]*tbTransactions[[#This Row],[Exchange Rate]]</f>
        <v>9129.75</v>
      </c>
      <c r="I898" s="148" t="s">
        <v>714</v>
      </c>
      <c r="J898" s="176" t="s">
        <v>686</v>
      </c>
      <c r="K898" s="163" t="str">
        <f>IF(tbTransactions[[#This Row],[Sub-Type]]="Transfer","Neutral",IF(tbTransactions[[#This Row],[Qty]]&lt;0,"Debit",IF(tbTransactions[[#This Row],[Qty]]&gt;0,"Credit","Neutral")))</f>
        <v>Credit</v>
      </c>
      <c r="L898" s="163" t="s">
        <v>519</v>
      </c>
      <c r="M898" s="171" t="s">
        <v>697</v>
      </c>
    </row>
    <row r="899" spans="3:13" ht="30" customHeight="1" x14ac:dyDescent="0.25">
      <c r="C899" s="175">
        <v>897</v>
      </c>
      <c r="D899" s="163">
        <v>44516</v>
      </c>
      <c r="E899" s="171">
        <f>E898*F898</f>
        <v>9129.75</v>
      </c>
      <c r="F899" s="171">
        <v>1</v>
      </c>
      <c r="G899" s="172">
        <v>1</v>
      </c>
      <c r="H899" s="171">
        <f>tbTransactions[[#This Row],[Qty]]*tbTransactions[[#This Row],[Unit Cost]]*tbTransactions[[#This Row],[Exchange Rate]]</f>
        <v>9129.75</v>
      </c>
      <c r="I899" s="148" t="s">
        <v>714</v>
      </c>
      <c r="J899" s="176" t="s">
        <v>408</v>
      </c>
      <c r="K899" s="163" t="str">
        <f>IF(tbTransactions[[#This Row],[Sub-Type]]="Transfer","Neutral",IF(tbTransactions[[#This Row],[Qty]]&lt;0,"Debit",IF(tbTransactions[[#This Row],[Qty]]&gt;0,"Credit","Neutral")))</f>
        <v>Credit</v>
      </c>
      <c r="L899" s="163" t="s">
        <v>522</v>
      </c>
      <c r="M899" s="171" t="s">
        <v>697</v>
      </c>
    </row>
    <row r="900" spans="3:13" ht="30" customHeight="1" x14ac:dyDescent="0.25">
      <c r="C900" s="175">
        <v>898</v>
      </c>
      <c r="D900" s="163">
        <v>44516</v>
      </c>
      <c r="E900" s="171">
        <v>3.6734272800000002E-2</v>
      </c>
      <c r="F900" s="171">
        <v>0</v>
      </c>
      <c r="G900" s="172">
        <v>1</v>
      </c>
      <c r="H900" s="171">
        <f>tbTransactions[[#This Row],[Qty]]*tbTransactions[[#This Row],[Unit Cost]]*tbTransactions[[#This Row],[Exchange Rate]]</f>
        <v>0</v>
      </c>
      <c r="I900" s="148" t="s">
        <v>511</v>
      </c>
      <c r="J900" s="176" t="s">
        <v>20</v>
      </c>
      <c r="K900" s="163" t="str">
        <f>IF(tbTransactions[[#This Row],[Sub-Type]]="Transfer","Neutral",IF(tbTransactions[[#This Row],[Qty]]&lt;0,"Debit",IF(tbTransactions[[#This Row],[Qty]]&gt;0,"Credit","Neutral")))</f>
        <v>Credit</v>
      </c>
      <c r="L900" s="163" t="s">
        <v>518</v>
      </c>
      <c r="M900" s="171" t="s">
        <v>465</v>
      </c>
    </row>
    <row r="901" spans="3:13" ht="30" customHeight="1" x14ac:dyDescent="0.25">
      <c r="C901" s="175">
        <v>899</v>
      </c>
      <c r="D901" s="163">
        <v>44516</v>
      </c>
      <c r="E901" s="171">
        <v>-3.6770399999999999E-3</v>
      </c>
      <c r="F901" s="171">
        <v>1.95</v>
      </c>
      <c r="G901" s="172">
        <v>1</v>
      </c>
      <c r="H901" s="171">
        <f>tbTransactions[[#This Row],[Qty]]*tbTransactions[[#This Row],[Unit Cost]]*tbTransactions[[#This Row],[Exchange Rate]]</f>
        <v>-7.1702279999999998E-3</v>
      </c>
      <c r="I901" s="148" t="s">
        <v>594</v>
      </c>
      <c r="J901" s="176" t="s">
        <v>423</v>
      </c>
      <c r="K901" s="163" t="str">
        <f>IF(tbTransactions[[#This Row],[Sub-Type]]="Transfer","Neutral",IF(tbTransactions[[#This Row],[Qty]]&lt;0,"Debit",IF(tbTransactions[[#This Row],[Qty]]&gt;0,"Credit","Neutral")))</f>
        <v>Debit</v>
      </c>
      <c r="L901" s="163" t="s">
        <v>12</v>
      </c>
      <c r="M901" s="171" t="s">
        <v>646</v>
      </c>
    </row>
    <row r="902" spans="3:13" ht="30" customHeight="1" x14ac:dyDescent="0.25">
      <c r="C902" s="175">
        <v>900</v>
      </c>
      <c r="D902" s="163">
        <v>44516</v>
      </c>
      <c r="E902" s="171">
        <v>4.8219569902920201E-2</v>
      </c>
      <c r="F902" s="171">
        <f>E903*F903*-1/tbTransactions[[#This Row],[Qty]]</f>
        <v>5319.915161343336</v>
      </c>
      <c r="G902" s="172">
        <v>1</v>
      </c>
      <c r="H902" s="171">
        <f>tbTransactions[[#This Row],[Qty]]*tbTransactions[[#This Row],[Unit Cost]]*tbTransactions[[#This Row],[Exchange Rate]]</f>
        <v>256.524021</v>
      </c>
      <c r="I902" s="148" t="s">
        <v>594</v>
      </c>
      <c r="J902" s="176" t="s">
        <v>22</v>
      </c>
      <c r="K902" s="163" t="str">
        <f>IF(tbTransactions[[#This Row],[Sub-Type]]="Transfer","Neutral",IF(tbTransactions[[#This Row],[Qty]]&lt;0,"Debit",IF(tbTransactions[[#This Row],[Qty]]&gt;0,"Credit","Neutral")))</f>
        <v>Credit</v>
      </c>
      <c r="L902" s="163" t="s">
        <v>603</v>
      </c>
      <c r="M902" s="171" t="s">
        <v>646</v>
      </c>
    </row>
    <row r="903" spans="3:13" ht="30" customHeight="1" x14ac:dyDescent="0.25">
      <c r="C903" s="175">
        <v>901</v>
      </c>
      <c r="D903" s="163">
        <v>44516</v>
      </c>
      <c r="E903" s="171">
        <v>-131.55078</v>
      </c>
      <c r="F903" s="171">
        <v>1.95</v>
      </c>
      <c r="G903" s="172">
        <v>1</v>
      </c>
      <c r="H903" s="171">
        <f>tbTransactions[[#This Row],[Qty]]*tbTransactions[[#This Row],[Unit Cost]]*tbTransactions[[#This Row],[Exchange Rate]]</f>
        <v>-256.524021</v>
      </c>
      <c r="I903" s="148" t="s">
        <v>594</v>
      </c>
      <c r="J903" s="176" t="s">
        <v>423</v>
      </c>
      <c r="K903" s="163" t="str">
        <f>IF(tbTransactions[[#This Row],[Sub-Type]]="Transfer","Neutral",IF(tbTransactions[[#This Row],[Qty]]&lt;0,"Debit",IF(tbTransactions[[#This Row],[Qty]]&gt;0,"Credit","Neutral")))</f>
        <v>Debit</v>
      </c>
      <c r="L903" s="163" t="s">
        <v>603</v>
      </c>
      <c r="M903" s="171" t="s">
        <v>646</v>
      </c>
    </row>
    <row r="904" spans="3:13" ht="30" customHeight="1" x14ac:dyDescent="0.25">
      <c r="C904" s="175">
        <v>902</v>
      </c>
      <c r="D904" s="163">
        <v>44516</v>
      </c>
      <c r="E904" s="171">
        <v>1.404347</v>
      </c>
      <c r="F904" s="171">
        <v>0</v>
      </c>
      <c r="G904" s="172">
        <v>1</v>
      </c>
      <c r="H904" s="171">
        <f>tbTransactions[[#This Row],[Qty]]*tbTransactions[[#This Row],[Unit Cost]]*tbTransactions[[#This Row],[Exchange Rate]]</f>
        <v>0</v>
      </c>
      <c r="I904" s="148" t="s">
        <v>507</v>
      </c>
      <c r="J904" s="176" t="s">
        <v>17</v>
      </c>
      <c r="K904" s="163" t="str">
        <f>IF(tbTransactions[[#This Row],[Sub-Type]]="Transfer","Neutral",IF(tbTransactions[[#This Row],[Qty]]&lt;0,"Debit",IF(tbTransactions[[#This Row],[Qty]]&gt;0,"Credit","Neutral")))</f>
        <v>Credit</v>
      </c>
      <c r="L904" s="163" t="s">
        <v>518</v>
      </c>
      <c r="M904" s="171" t="s">
        <v>427</v>
      </c>
    </row>
    <row r="905" spans="3:13" ht="30" customHeight="1" x14ac:dyDescent="0.25">
      <c r="C905" s="175">
        <v>903</v>
      </c>
      <c r="D905" s="163">
        <v>44516</v>
      </c>
      <c r="E905" s="171">
        <v>-5.7700000000000004E-4</v>
      </c>
      <c r="F905" s="171">
        <v>1.94</v>
      </c>
      <c r="G905" s="172">
        <v>1</v>
      </c>
      <c r="H905" s="171">
        <f>tbTransactions[[#This Row],[Qty]]*tbTransactions[[#This Row],[Unit Cost]]*tbTransactions[[#This Row],[Exchange Rate]]</f>
        <v>-1.1193800000000001E-3</v>
      </c>
      <c r="I905" s="148" t="s">
        <v>594</v>
      </c>
      <c r="J905" s="176" t="s">
        <v>423</v>
      </c>
      <c r="K905" s="163" t="str">
        <f>IF(tbTransactions[[#This Row],[Sub-Type]]="Transfer","Neutral",IF(tbTransactions[[#This Row],[Qty]]&lt;0,"Debit",IF(tbTransactions[[#This Row],[Qty]]&gt;0,"Credit","Neutral")))</f>
        <v>Debit</v>
      </c>
      <c r="L905" s="163" t="s">
        <v>12</v>
      </c>
      <c r="M905" s="171" t="s">
        <v>765</v>
      </c>
    </row>
    <row r="906" spans="3:13" ht="30" customHeight="1" x14ac:dyDescent="0.25">
      <c r="C906" s="175">
        <v>904</v>
      </c>
      <c r="D906" s="163">
        <v>44517</v>
      </c>
      <c r="E906" s="171">
        <v>-2.6318617238027701E-2</v>
      </c>
      <c r="F906" s="171">
        <v>5224.8059999999996</v>
      </c>
      <c r="G906" s="172">
        <v>1</v>
      </c>
      <c r="H906" s="171">
        <f>tbTransactions[[#This Row],[Qty]]*tbTransactions[[#This Row],[Unit Cost]]*tbTransactions[[#This Row],[Exchange Rate]]</f>
        <v>-137.50966925695056</v>
      </c>
      <c r="I906" s="148" t="s">
        <v>586</v>
      </c>
      <c r="J906" s="176" t="s">
        <v>22</v>
      </c>
      <c r="K906" s="163" t="str">
        <f>IF(tbTransactions[[#This Row],[Sub-Type]]="Transfer","Neutral",IF(tbTransactions[[#This Row],[Qty]]&lt;0,"Debit",IF(tbTransactions[[#This Row],[Qty]]&gt;0,"Credit","Neutral")))</f>
        <v>Debit</v>
      </c>
      <c r="L906" s="163" t="s">
        <v>12</v>
      </c>
      <c r="M906" s="171" t="s">
        <v>765</v>
      </c>
    </row>
    <row r="907" spans="3:13" ht="30" customHeight="1" x14ac:dyDescent="0.25">
      <c r="C907" s="175">
        <v>905</v>
      </c>
      <c r="D907" s="163">
        <v>44517</v>
      </c>
      <c r="E907" s="171">
        <v>-1.904738314311E-3</v>
      </c>
      <c r="F907" s="171">
        <v>5262.3554999999997</v>
      </c>
      <c r="G907" s="172">
        <v>1</v>
      </c>
      <c r="H907" s="171">
        <f>tbTransactions[[#This Row],[Qty]]*tbTransactions[[#This Row],[Unit Cost]]*tbTransactions[[#This Row],[Exchange Rate]]</f>
        <v>-10.023410144375219</v>
      </c>
      <c r="I907" s="148" t="s">
        <v>586</v>
      </c>
      <c r="J907" s="176" t="s">
        <v>22</v>
      </c>
      <c r="K907" s="163" t="str">
        <f>IF(tbTransactions[[#This Row],[Sub-Type]]="Transfer","Neutral",IF(tbTransactions[[#This Row],[Qty]]&lt;0,"Debit",IF(tbTransactions[[#This Row],[Qty]]&gt;0,"Credit","Neutral")))</f>
        <v>Debit</v>
      </c>
      <c r="L907" s="163" t="s">
        <v>12</v>
      </c>
      <c r="M907" s="171" t="s">
        <v>541</v>
      </c>
    </row>
    <row r="908" spans="3:13" ht="30" customHeight="1" x14ac:dyDescent="0.25">
      <c r="C908" s="175">
        <v>906</v>
      </c>
      <c r="D908" s="163">
        <v>44517</v>
      </c>
      <c r="E908" s="171">
        <v>-3.63</v>
      </c>
      <c r="F908" s="171">
        <v>5262.3554999999997</v>
      </c>
      <c r="G908" s="172">
        <v>1</v>
      </c>
      <c r="H908" s="171">
        <f>tbTransactions[[#This Row],[Qty]]*tbTransactions[[#This Row],[Unit Cost]]*tbTransactions[[#This Row],[Exchange Rate]]</f>
        <v>-19102.350465</v>
      </c>
      <c r="I908" s="148" t="s">
        <v>586</v>
      </c>
      <c r="J908" s="176" t="s">
        <v>22</v>
      </c>
      <c r="K908" s="163" t="str">
        <f>IF(tbTransactions[[#This Row],[Sub-Type]]="Transfer","Neutral",IF(tbTransactions[[#This Row],[Qty]]&lt;0,"Debit",IF(tbTransactions[[#This Row],[Qty]]&gt;0,"Credit","Neutral")))</f>
        <v>Neutral</v>
      </c>
      <c r="L908" s="163" t="s">
        <v>32</v>
      </c>
      <c r="M908" s="171" t="s">
        <v>541</v>
      </c>
    </row>
    <row r="909" spans="3:13" ht="30" customHeight="1" x14ac:dyDescent="0.25">
      <c r="C909" s="175">
        <v>907</v>
      </c>
      <c r="D909" s="163">
        <v>44517</v>
      </c>
      <c r="E909" s="171">
        <v>3.63</v>
      </c>
      <c r="F909" s="171">
        <v>5262.3554999999997</v>
      </c>
      <c r="G909" s="172">
        <v>1</v>
      </c>
      <c r="H909" s="171">
        <f>tbTransactions[[#This Row],[Qty]]*tbTransactions[[#This Row],[Unit Cost]]*tbTransactions[[#This Row],[Exchange Rate]]</f>
        <v>19102.350465</v>
      </c>
      <c r="I909" s="148" t="s">
        <v>540</v>
      </c>
      <c r="J909" s="176" t="s">
        <v>22</v>
      </c>
      <c r="K909" s="163" t="str">
        <f>IF(tbTransactions[[#This Row],[Sub-Type]]="Transfer","Neutral",IF(tbTransactions[[#This Row],[Qty]]&lt;0,"Debit",IF(tbTransactions[[#This Row],[Qty]]&gt;0,"Credit","Neutral")))</f>
        <v>Neutral</v>
      </c>
      <c r="L909" s="163" t="s">
        <v>32</v>
      </c>
      <c r="M909" s="171" t="s">
        <v>541</v>
      </c>
    </row>
    <row r="910" spans="3:13" ht="30" customHeight="1" x14ac:dyDescent="0.25">
      <c r="C910" s="175">
        <v>908</v>
      </c>
      <c r="D910" s="163">
        <v>44517</v>
      </c>
      <c r="E910" s="171">
        <v>-3.63</v>
      </c>
      <c r="F910" s="171">
        <v>5285.71</v>
      </c>
      <c r="G910" s="172">
        <v>1</v>
      </c>
      <c r="H910" s="171">
        <f>tbTransactions[[#This Row],[Qty]]*tbTransactions[[#This Row],[Unit Cost]]*tbTransactions[[#This Row],[Exchange Rate]]</f>
        <v>-19187.1273</v>
      </c>
      <c r="I910" s="148" t="s">
        <v>540</v>
      </c>
      <c r="J910" s="176" t="s">
        <v>22</v>
      </c>
      <c r="K910" s="163" t="str">
        <f>IF(tbTransactions[[#This Row],[Sub-Type]]="Transfer","Neutral",IF(tbTransactions[[#This Row],[Qty]]&lt;0,"Debit",IF(tbTransactions[[#This Row],[Qty]]&gt;0,"Credit","Neutral")))</f>
        <v>Neutral</v>
      </c>
      <c r="L910" s="163" t="s">
        <v>32</v>
      </c>
      <c r="M910" s="171" t="s">
        <v>543</v>
      </c>
    </row>
    <row r="911" spans="3:13" ht="30" customHeight="1" x14ac:dyDescent="0.25">
      <c r="C911" s="175">
        <v>909</v>
      </c>
      <c r="D911" s="163">
        <v>44517</v>
      </c>
      <c r="E911" s="171">
        <v>3.63</v>
      </c>
      <c r="F911" s="171">
        <v>5285.71</v>
      </c>
      <c r="G911" s="172">
        <v>1</v>
      </c>
      <c r="H911" s="171">
        <f>tbTransactions[[#This Row],[Qty]]*tbTransactions[[#This Row],[Unit Cost]]*tbTransactions[[#This Row],[Exchange Rate]]</f>
        <v>19187.1273</v>
      </c>
      <c r="I911" s="148" t="s">
        <v>542</v>
      </c>
      <c r="J911" s="176" t="s">
        <v>22</v>
      </c>
      <c r="K911" s="163" t="str">
        <f>IF(tbTransactions[[#This Row],[Sub-Type]]="Transfer","Neutral",IF(tbTransactions[[#This Row],[Qty]]&lt;0,"Debit",IF(tbTransactions[[#This Row],[Qty]]&gt;0,"Credit","Neutral")))</f>
        <v>Neutral</v>
      </c>
      <c r="L911" s="163" t="s">
        <v>32</v>
      </c>
      <c r="M911" s="171" t="s">
        <v>543</v>
      </c>
    </row>
    <row r="912" spans="3:13" ht="30" customHeight="1" x14ac:dyDescent="0.25">
      <c r="C912" s="175">
        <v>910</v>
      </c>
      <c r="D912" s="163">
        <v>44517</v>
      </c>
      <c r="E912" s="171">
        <v>3.3324480400000002E-2</v>
      </c>
      <c r="F912" s="171">
        <v>0</v>
      </c>
      <c r="G912" s="172">
        <v>1</v>
      </c>
      <c r="H912" s="171">
        <f>tbTransactions[[#This Row],[Qty]]*tbTransactions[[#This Row],[Unit Cost]]*tbTransactions[[#This Row],[Exchange Rate]]</f>
        <v>0</v>
      </c>
      <c r="I912" s="148" t="s">
        <v>511</v>
      </c>
      <c r="J912" s="176" t="s">
        <v>20</v>
      </c>
      <c r="K912" s="163" t="str">
        <f>IF(tbTransactions[[#This Row],[Sub-Type]]="Transfer","Neutral",IF(tbTransactions[[#This Row],[Qty]]&lt;0,"Debit",IF(tbTransactions[[#This Row],[Qty]]&gt;0,"Credit","Neutral")))</f>
        <v>Credit</v>
      </c>
      <c r="L912" s="163" t="s">
        <v>518</v>
      </c>
      <c r="M912" s="171" t="s">
        <v>465</v>
      </c>
    </row>
    <row r="913" spans="3:13" ht="30" customHeight="1" x14ac:dyDescent="0.25">
      <c r="C913" s="175">
        <v>911</v>
      </c>
      <c r="D913" s="163">
        <v>44518</v>
      </c>
      <c r="E913" s="171">
        <v>3.3825790699999997E-2</v>
      </c>
      <c r="F913" s="171">
        <v>0</v>
      </c>
      <c r="G913" s="172">
        <v>1</v>
      </c>
      <c r="H913" s="171">
        <f>tbTransactions[[#This Row],[Qty]]*tbTransactions[[#This Row],[Unit Cost]]*tbTransactions[[#This Row],[Exchange Rate]]</f>
        <v>0</v>
      </c>
      <c r="I913" s="148" t="s">
        <v>511</v>
      </c>
      <c r="J913" s="176" t="s">
        <v>20</v>
      </c>
      <c r="K913" s="163" t="str">
        <f>IF(tbTransactions[[#This Row],[Sub-Type]]="Transfer","Neutral",IF(tbTransactions[[#This Row],[Qty]]&lt;0,"Debit",IF(tbTransactions[[#This Row],[Qty]]&gt;0,"Credit","Neutral")))</f>
        <v>Credit</v>
      </c>
      <c r="L913" s="163" t="s">
        <v>518</v>
      </c>
      <c r="M913" s="171" t="s">
        <v>465</v>
      </c>
    </row>
    <row r="914" spans="3:13" ht="30" customHeight="1" x14ac:dyDescent="0.25">
      <c r="C914" s="175">
        <v>912</v>
      </c>
      <c r="D914" s="163">
        <v>44519</v>
      </c>
      <c r="E914" s="171">
        <v>1.0828981499999999E-2</v>
      </c>
      <c r="F914" s="171">
        <v>0</v>
      </c>
      <c r="G914" s="172">
        <v>1</v>
      </c>
      <c r="H914" s="171">
        <f>tbTransactions[[#This Row],[Qty]]*tbTransactions[[#This Row],[Unit Cost]]*tbTransactions[[#This Row],[Exchange Rate]]</f>
        <v>0</v>
      </c>
      <c r="I914" s="148" t="s">
        <v>511</v>
      </c>
      <c r="J914" s="176" t="s">
        <v>20</v>
      </c>
      <c r="K914" s="163" t="str">
        <f>IF(tbTransactions[[#This Row],[Sub-Type]]="Transfer","Neutral",IF(tbTransactions[[#This Row],[Qty]]&lt;0,"Debit",IF(tbTransactions[[#This Row],[Qty]]&gt;0,"Credit","Neutral")))</f>
        <v>Credit</v>
      </c>
      <c r="L914" s="163" t="s">
        <v>518</v>
      </c>
      <c r="M914" s="171" t="s">
        <v>465</v>
      </c>
    </row>
    <row r="915" spans="3:13" ht="30" customHeight="1" x14ac:dyDescent="0.25">
      <c r="C915" s="175">
        <v>913</v>
      </c>
      <c r="D915" s="163">
        <v>44520</v>
      </c>
      <c r="E915" s="171">
        <v>2.61317626E-2</v>
      </c>
      <c r="F915" s="171">
        <v>0</v>
      </c>
      <c r="G915" s="172">
        <v>1</v>
      </c>
      <c r="H915" s="171">
        <f>tbTransactions[[#This Row],[Qty]]*tbTransactions[[#This Row],[Unit Cost]]*tbTransactions[[#This Row],[Exchange Rate]]</f>
        <v>0</v>
      </c>
      <c r="I915" s="148" t="s">
        <v>511</v>
      </c>
      <c r="J915" s="176" t="s">
        <v>20</v>
      </c>
      <c r="K915" s="163" t="str">
        <f>IF(tbTransactions[[#This Row],[Sub-Type]]="Transfer","Neutral",IF(tbTransactions[[#This Row],[Qty]]&lt;0,"Debit",IF(tbTransactions[[#This Row],[Qty]]&gt;0,"Credit","Neutral")))</f>
        <v>Credit</v>
      </c>
      <c r="L915" s="163" t="s">
        <v>518</v>
      </c>
      <c r="M915" s="171" t="s">
        <v>465</v>
      </c>
    </row>
    <row r="916" spans="3:13" ht="30" customHeight="1" x14ac:dyDescent="0.25">
      <c r="C916" s="175">
        <v>914</v>
      </c>
      <c r="D916" s="163">
        <v>44520</v>
      </c>
      <c r="E916" s="171">
        <v>1.6356967E-2</v>
      </c>
      <c r="F916" s="171">
        <v>0</v>
      </c>
      <c r="G916" s="172">
        <v>1</v>
      </c>
      <c r="H916" s="171">
        <f>tbTransactions[[#This Row],[Qty]]*tbTransactions[[#This Row],[Unit Cost]]*tbTransactions[[#This Row],[Exchange Rate]]</f>
        <v>0</v>
      </c>
      <c r="I916" s="148" t="s">
        <v>542</v>
      </c>
      <c r="J916" s="176" t="s">
        <v>22</v>
      </c>
      <c r="K916" s="163" t="str">
        <f>IF(tbTransactions[[#This Row],[Sub-Type]]="Transfer","Neutral",IF(tbTransactions[[#This Row],[Qty]]&lt;0,"Debit",IF(tbTransactions[[#This Row],[Qty]]&gt;0,"Credit","Neutral")))</f>
        <v>Credit</v>
      </c>
      <c r="L916" s="163" t="s">
        <v>518</v>
      </c>
      <c r="M916" s="171" t="s">
        <v>556</v>
      </c>
    </row>
    <row r="917" spans="3:13" ht="30" customHeight="1" x14ac:dyDescent="0.25">
      <c r="C917" s="175">
        <v>915</v>
      </c>
      <c r="D917" s="163">
        <v>44521</v>
      </c>
      <c r="E917" s="171">
        <v>3.18234144E-2</v>
      </c>
      <c r="F917" s="171">
        <v>0</v>
      </c>
      <c r="G917" s="172">
        <v>1</v>
      </c>
      <c r="H917" s="171">
        <f>tbTransactions[[#This Row],[Qty]]*tbTransactions[[#This Row],[Unit Cost]]*tbTransactions[[#This Row],[Exchange Rate]]</f>
        <v>0</v>
      </c>
      <c r="I917" s="148" t="s">
        <v>511</v>
      </c>
      <c r="J917" s="176" t="s">
        <v>20</v>
      </c>
      <c r="K917" s="163" t="str">
        <f>IF(tbTransactions[[#This Row],[Sub-Type]]="Transfer","Neutral",IF(tbTransactions[[#This Row],[Qty]]&lt;0,"Debit",IF(tbTransactions[[#This Row],[Qty]]&gt;0,"Credit","Neutral")))</f>
        <v>Credit</v>
      </c>
      <c r="L917" s="163" t="s">
        <v>518</v>
      </c>
      <c r="M917" s="171" t="s">
        <v>465</v>
      </c>
    </row>
    <row r="918" spans="3:13" ht="30" customHeight="1" x14ac:dyDescent="0.25">
      <c r="C918" s="175">
        <v>916</v>
      </c>
      <c r="D918" s="163">
        <v>44521</v>
      </c>
      <c r="E918" s="171">
        <v>1.096068</v>
      </c>
      <c r="F918" s="171">
        <v>0</v>
      </c>
      <c r="G918" s="172">
        <v>1</v>
      </c>
      <c r="H918" s="171">
        <f>tbTransactions[[#This Row],[Qty]]*tbTransactions[[#This Row],[Unit Cost]]*tbTransactions[[#This Row],[Exchange Rate]]</f>
        <v>0</v>
      </c>
      <c r="I918" s="148" t="s">
        <v>507</v>
      </c>
      <c r="J918" s="176" t="s">
        <v>17</v>
      </c>
      <c r="K918" s="163" t="str">
        <f>IF(tbTransactions[[#This Row],[Sub-Type]]="Transfer","Neutral",IF(tbTransactions[[#This Row],[Qty]]&lt;0,"Debit",IF(tbTransactions[[#This Row],[Qty]]&gt;0,"Credit","Neutral")))</f>
        <v>Credit</v>
      </c>
      <c r="L918" s="163" t="s">
        <v>518</v>
      </c>
      <c r="M918" s="171" t="s">
        <v>427</v>
      </c>
    </row>
    <row r="919" spans="3:13" ht="30" customHeight="1" x14ac:dyDescent="0.25">
      <c r="C919" s="175">
        <v>917</v>
      </c>
      <c r="D919" s="163">
        <v>44522</v>
      </c>
      <c r="E919" s="171">
        <v>3.2807740199999998E-2</v>
      </c>
      <c r="F919" s="171">
        <v>0</v>
      </c>
      <c r="G919" s="172">
        <v>1</v>
      </c>
      <c r="H919" s="171">
        <f>tbTransactions[[#This Row],[Qty]]*tbTransactions[[#This Row],[Unit Cost]]*tbTransactions[[#This Row],[Exchange Rate]]</f>
        <v>0</v>
      </c>
      <c r="I919" s="148" t="s">
        <v>511</v>
      </c>
      <c r="J919" s="176" t="s">
        <v>20</v>
      </c>
      <c r="K919" s="163" t="str">
        <f>IF(tbTransactions[[#This Row],[Sub-Type]]="Transfer","Neutral",IF(tbTransactions[[#This Row],[Qty]]&lt;0,"Debit",IF(tbTransactions[[#This Row],[Qty]]&gt;0,"Credit","Neutral")))</f>
        <v>Credit</v>
      </c>
      <c r="L919" s="163" t="s">
        <v>518</v>
      </c>
      <c r="M919" s="171" t="s">
        <v>465</v>
      </c>
    </row>
    <row r="920" spans="3:13" ht="30" customHeight="1" x14ac:dyDescent="0.25">
      <c r="C920" s="175">
        <v>918</v>
      </c>
      <c r="D920" s="163">
        <v>44523</v>
      </c>
      <c r="E920" s="171">
        <v>3.1695978499999999E-2</v>
      </c>
      <c r="F920" s="171">
        <v>0</v>
      </c>
      <c r="G920" s="172">
        <v>1</v>
      </c>
      <c r="H920" s="171">
        <f>tbTransactions[[#This Row],[Qty]]*tbTransactions[[#This Row],[Unit Cost]]*tbTransactions[[#This Row],[Exchange Rate]]</f>
        <v>0</v>
      </c>
      <c r="I920" s="148" t="s">
        <v>511</v>
      </c>
      <c r="J920" s="176" t="s">
        <v>20</v>
      </c>
      <c r="K920" s="163" t="str">
        <f>IF(tbTransactions[[#This Row],[Sub-Type]]="Transfer","Neutral",IF(tbTransactions[[#This Row],[Qty]]&lt;0,"Debit",IF(tbTransactions[[#This Row],[Qty]]&gt;0,"Credit","Neutral")))</f>
        <v>Credit</v>
      </c>
      <c r="L920" s="163" t="s">
        <v>518</v>
      </c>
      <c r="M920" s="171" t="s">
        <v>465</v>
      </c>
    </row>
    <row r="921" spans="3:13" ht="30" customHeight="1" x14ac:dyDescent="0.25">
      <c r="C921" s="175">
        <v>919</v>
      </c>
      <c r="D921" s="163">
        <v>44524</v>
      </c>
      <c r="E921" s="171">
        <v>2.5952583000000001E-2</v>
      </c>
      <c r="F921" s="171">
        <v>0</v>
      </c>
      <c r="G921" s="172">
        <v>1</v>
      </c>
      <c r="H921" s="171">
        <f>tbTransactions[[#This Row],[Qty]]*tbTransactions[[#This Row],[Unit Cost]]*tbTransactions[[#This Row],[Exchange Rate]]</f>
        <v>0</v>
      </c>
      <c r="I921" s="148" t="s">
        <v>511</v>
      </c>
      <c r="J921" s="176" t="s">
        <v>20</v>
      </c>
      <c r="K921" s="163" t="str">
        <f>IF(tbTransactions[[#This Row],[Sub-Type]]="Transfer","Neutral",IF(tbTransactions[[#This Row],[Qty]]&lt;0,"Debit",IF(tbTransactions[[#This Row],[Qty]]&gt;0,"Credit","Neutral")))</f>
        <v>Credit</v>
      </c>
      <c r="L921" s="163" t="s">
        <v>518</v>
      </c>
      <c r="M921" s="171" t="s">
        <v>465</v>
      </c>
    </row>
    <row r="922" spans="3:13" ht="30" customHeight="1" x14ac:dyDescent="0.25">
      <c r="C922" s="175">
        <v>920</v>
      </c>
      <c r="D922" s="163">
        <v>44525</v>
      </c>
      <c r="E922" s="171">
        <v>3.5868502500000003E-2</v>
      </c>
      <c r="F922" s="171">
        <v>0</v>
      </c>
      <c r="G922" s="172">
        <v>1</v>
      </c>
      <c r="H922" s="171">
        <f>tbTransactions[[#This Row],[Qty]]*tbTransactions[[#This Row],[Unit Cost]]*tbTransactions[[#This Row],[Exchange Rate]]</f>
        <v>0</v>
      </c>
      <c r="I922" s="148" t="s">
        <v>511</v>
      </c>
      <c r="J922" s="176" t="s">
        <v>20</v>
      </c>
      <c r="K922" s="163" t="str">
        <f>IF(tbTransactions[[#This Row],[Sub-Type]]="Transfer","Neutral",IF(tbTransactions[[#This Row],[Qty]]&lt;0,"Debit",IF(tbTransactions[[#This Row],[Qty]]&gt;0,"Credit","Neutral")))</f>
        <v>Credit</v>
      </c>
      <c r="L922" s="163" t="s">
        <v>518</v>
      </c>
      <c r="M922" s="171" t="s">
        <v>465</v>
      </c>
    </row>
    <row r="923" spans="3:13" ht="30" customHeight="1" x14ac:dyDescent="0.25">
      <c r="C923" s="175">
        <v>921</v>
      </c>
      <c r="D923" s="163">
        <v>44526</v>
      </c>
      <c r="E923" s="171">
        <v>3.8139783599999998E-2</v>
      </c>
      <c r="F923" s="171">
        <v>0</v>
      </c>
      <c r="G923" s="172">
        <v>1</v>
      </c>
      <c r="H923" s="171">
        <f>tbTransactions[[#This Row],[Qty]]*tbTransactions[[#This Row],[Unit Cost]]*tbTransactions[[#This Row],[Exchange Rate]]</f>
        <v>0</v>
      </c>
      <c r="I923" s="148" t="s">
        <v>511</v>
      </c>
      <c r="J923" s="176" t="s">
        <v>20</v>
      </c>
      <c r="K923" s="163" t="str">
        <f>IF(tbTransactions[[#This Row],[Sub-Type]]="Transfer","Neutral",IF(tbTransactions[[#This Row],[Qty]]&lt;0,"Debit",IF(tbTransactions[[#This Row],[Qty]]&gt;0,"Credit","Neutral")))</f>
        <v>Credit</v>
      </c>
      <c r="L923" s="163" t="s">
        <v>518</v>
      </c>
      <c r="M923" s="171" t="s">
        <v>465</v>
      </c>
    </row>
    <row r="924" spans="3:13" ht="30" customHeight="1" x14ac:dyDescent="0.25">
      <c r="C924" s="175">
        <v>922</v>
      </c>
      <c r="D924" s="163">
        <v>44527</v>
      </c>
      <c r="E924" s="171">
        <v>1.8272706999999999E-2</v>
      </c>
      <c r="F924" s="171">
        <v>0</v>
      </c>
      <c r="G924" s="172">
        <v>1</v>
      </c>
      <c r="H924" s="171">
        <f>tbTransactions[[#This Row],[Qty]]*tbTransactions[[#This Row],[Unit Cost]]*tbTransactions[[#This Row],[Exchange Rate]]</f>
        <v>0</v>
      </c>
      <c r="I924" s="148" t="s">
        <v>542</v>
      </c>
      <c r="J924" s="176" t="s">
        <v>22</v>
      </c>
      <c r="K924" s="163" t="str">
        <f>IF(tbTransactions[[#This Row],[Sub-Type]]="Transfer","Neutral",IF(tbTransactions[[#This Row],[Qty]]&lt;0,"Debit",IF(tbTransactions[[#This Row],[Qty]]&gt;0,"Credit","Neutral")))</f>
        <v>Credit</v>
      </c>
      <c r="L924" s="163" t="s">
        <v>518</v>
      </c>
      <c r="M924" s="171" t="s">
        <v>556</v>
      </c>
    </row>
    <row r="925" spans="3:13" ht="30" customHeight="1" x14ac:dyDescent="0.25">
      <c r="C925" s="175">
        <v>923</v>
      </c>
      <c r="D925" s="163">
        <v>44527</v>
      </c>
      <c r="E925" s="171">
        <v>4.1544194600000001E-2</v>
      </c>
      <c r="F925" s="171">
        <v>0</v>
      </c>
      <c r="G925" s="172">
        <v>1</v>
      </c>
      <c r="H925" s="171">
        <f>tbTransactions[[#This Row],[Qty]]*tbTransactions[[#This Row],[Unit Cost]]*tbTransactions[[#This Row],[Exchange Rate]]</f>
        <v>0</v>
      </c>
      <c r="I925" s="148" t="s">
        <v>511</v>
      </c>
      <c r="J925" s="176" t="s">
        <v>20</v>
      </c>
      <c r="K925" s="163" t="str">
        <f>IF(tbTransactions[[#This Row],[Sub-Type]]="Transfer","Neutral",IF(tbTransactions[[#This Row],[Qty]]&lt;0,"Debit",IF(tbTransactions[[#This Row],[Qty]]&gt;0,"Credit","Neutral")))</f>
        <v>Credit</v>
      </c>
      <c r="L925" s="163" t="s">
        <v>518</v>
      </c>
      <c r="M925" s="171" t="s">
        <v>465</v>
      </c>
    </row>
    <row r="926" spans="3:13" ht="30" customHeight="1" x14ac:dyDescent="0.25">
      <c r="C926" s="175">
        <v>924</v>
      </c>
      <c r="D926" s="163">
        <v>44528</v>
      </c>
      <c r="E926" s="171">
        <v>3.8489446699999999E-2</v>
      </c>
      <c r="F926" s="171">
        <v>0</v>
      </c>
      <c r="G926" s="172">
        <v>1</v>
      </c>
      <c r="H926" s="171">
        <f>tbTransactions[[#This Row],[Qty]]*tbTransactions[[#This Row],[Unit Cost]]*tbTransactions[[#This Row],[Exchange Rate]]</f>
        <v>0</v>
      </c>
      <c r="I926" s="148" t="s">
        <v>511</v>
      </c>
      <c r="J926" s="176" t="s">
        <v>20</v>
      </c>
      <c r="K926" s="163" t="str">
        <f>IF(tbTransactions[[#This Row],[Sub-Type]]="Transfer","Neutral",IF(tbTransactions[[#This Row],[Qty]]&lt;0,"Debit",IF(tbTransactions[[#This Row],[Qty]]&gt;0,"Credit","Neutral")))</f>
        <v>Credit</v>
      </c>
      <c r="L926" s="163" t="s">
        <v>518</v>
      </c>
      <c r="M926" s="171" t="s">
        <v>465</v>
      </c>
    </row>
    <row r="927" spans="3:13" ht="30" customHeight="1" x14ac:dyDescent="0.25">
      <c r="C927" s="175">
        <v>925</v>
      </c>
      <c r="D927" s="163">
        <v>44529</v>
      </c>
      <c r="E927" s="171">
        <v>3.1555640599999997E-2</v>
      </c>
      <c r="F927" s="171">
        <v>0</v>
      </c>
      <c r="G927" s="172">
        <v>1</v>
      </c>
      <c r="H927" s="171">
        <f>tbTransactions[[#This Row],[Qty]]*tbTransactions[[#This Row],[Unit Cost]]*tbTransactions[[#This Row],[Exchange Rate]]</f>
        <v>0</v>
      </c>
      <c r="I927" s="148" t="s">
        <v>511</v>
      </c>
      <c r="J927" s="176" t="s">
        <v>20</v>
      </c>
      <c r="K927" s="163" t="str">
        <f>IF(tbTransactions[[#This Row],[Sub-Type]]="Transfer","Neutral",IF(tbTransactions[[#This Row],[Qty]]&lt;0,"Debit",IF(tbTransactions[[#This Row],[Qty]]&gt;0,"Credit","Neutral")))</f>
        <v>Credit</v>
      </c>
      <c r="L927" s="163" t="s">
        <v>518</v>
      </c>
      <c r="M927" s="171" t="s">
        <v>465</v>
      </c>
    </row>
    <row r="928" spans="3:13" ht="30" customHeight="1" x14ac:dyDescent="0.25">
      <c r="C928" s="175">
        <v>926</v>
      </c>
      <c r="D928" s="163">
        <v>44530</v>
      </c>
      <c r="E928" s="171">
        <v>3.6545280300000003E-2</v>
      </c>
      <c r="F928" s="171">
        <v>0</v>
      </c>
      <c r="G928" s="172">
        <v>1</v>
      </c>
      <c r="H928" s="171">
        <f>tbTransactions[[#This Row],[Qty]]*tbTransactions[[#This Row],[Unit Cost]]*tbTransactions[[#This Row],[Exchange Rate]]</f>
        <v>0</v>
      </c>
      <c r="I928" s="148" t="s">
        <v>511</v>
      </c>
      <c r="J928" s="176" t="s">
        <v>20</v>
      </c>
      <c r="K928" s="163" t="str">
        <f>IF(tbTransactions[[#This Row],[Sub-Type]]="Transfer","Neutral",IF(tbTransactions[[#This Row],[Qty]]&lt;0,"Debit",IF(tbTransactions[[#This Row],[Qty]]&gt;0,"Credit","Neutral")))</f>
        <v>Credit</v>
      </c>
      <c r="L928" s="163" t="s">
        <v>518</v>
      </c>
      <c r="M928" s="171" t="s">
        <v>465</v>
      </c>
    </row>
    <row r="929" spans="3:13" ht="30" customHeight="1" x14ac:dyDescent="0.25">
      <c r="C929" s="175">
        <v>927</v>
      </c>
      <c r="D929" s="163">
        <v>44531</v>
      </c>
      <c r="E929" s="171">
        <v>1.1623920000000001</v>
      </c>
      <c r="F929" s="171">
        <v>0</v>
      </c>
      <c r="G929" s="172">
        <v>1</v>
      </c>
      <c r="H929" s="171">
        <f>tbTransactions[[#This Row],[Qty]]*tbTransactions[[#This Row],[Unit Cost]]*tbTransactions[[#This Row],[Exchange Rate]]</f>
        <v>0</v>
      </c>
      <c r="I929" s="148" t="s">
        <v>507</v>
      </c>
      <c r="J929" s="176" t="s">
        <v>17</v>
      </c>
      <c r="K929" s="163" t="str">
        <f>IF(tbTransactions[[#This Row],[Sub-Type]]="Transfer","Neutral",IF(tbTransactions[[#This Row],[Qty]]&lt;0,"Debit",IF(tbTransactions[[#This Row],[Qty]]&gt;0,"Credit","Neutral")))</f>
        <v>Credit</v>
      </c>
      <c r="L929" s="163" t="s">
        <v>518</v>
      </c>
      <c r="M929" s="171" t="s">
        <v>427</v>
      </c>
    </row>
    <row r="930" spans="3:13" ht="30" customHeight="1" x14ac:dyDescent="0.25">
      <c r="C930" s="175">
        <v>928</v>
      </c>
      <c r="D930" s="163">
        <v>44531</v>
      </c>
      <c r="E930" s="171">
        <v>3.3553222299999998E-2</v>
      </c>
      <c r="F930" s="171">
        <v>0</v>
      </c>
      <c r="G930" s="172">
        <v>1</v>
      </c>
      <c r="H930" s="171">
        <f>tbTransactions[[#This Row],[Qty]]*tbTransactions[[#This Row],[Unit Cost]]*tbTransactions[[#This Row],[Exchange Rate]]</f>
        <v>0</v>
      </c>
      <c r="I930" s="148" t="s">
        <v>511</v>
      </c>
      <c r="J930" s="176" t="s">
        <v>20</v>
      </c>
      <c r="K930" s="163" t="str">
        <f>IF(tbTransactions[[#This Row],[Sub-Type]]="Transfer","Neutral",IF(tbTransactions[[#This Row],[Qty]]&lt;0,"Debit",IF(tbTransactions[[#This Row],[Qty]]&gt;0,"Credit","Neutral")))</f>
        <v>Credit</v>
      </c>
      <c r="L930" s="163" t="s">
        <v>518</v>
      </c>
      <c r="M930" s="171" t="s">
        <v>465</v>
      </c>
    </row>
    <row r="931" spans="3:13" ht="30" customHeight="1" x14ac:dyDescent="0.25">
      <c r="C931" s="175">
        <v>929</v>
      </c>
      <c r="D931" s="163">
        <v>44531</v>
      </c>
      <c r="E931" s="171">
        <v>0.31878299999999998</v>
      </c>
      <c r="F931" s="171">
        <v>0</v>
      </c>
      <c r="G931" s="172">
        <v>1</v>
      </c>
      <c r="H931" s="171">
        <f>tbTransactions[[#This Row],[Qty]]*tbTransactions[[#This Row],[Unit Cost]]*tbTransactions[[#This Row],[Exchange Rate]]</f>
        <v>0</v>
      </c>
      <c r="I931" s="148" t="s">
        <v>431</v>
      </c>
      <c r="J931" s="176" t="s">
        <v>18</v>
      </c>
      <c r="K931" s="163" t="str">
        <f>IF(tbTransactions[[#This Row],[Sub-Type]]="Transfer","Neutral",IF(tbTransactions[[#This Row],[Qty]]&lt;0,"Debit",IF(tbTransactions[[#This Row],[Qty]]&gt;0,"Credit","Neutral")))</f>
        <v>Credit</v>
      </c>
      <c r="L931" s="163" t="s">
        <v>518</v>
      </c>
      <c r="M931" s="171" t="s">
        <v>40</v>
      </c>
    </row>
    <row r="932" spans="3:13" ht="30" customHeight="1" x14ac:dyDescent="0.25">
      <c r="C932" s="175">
        <v>930</v>
      </c>
      <c r="D932" s="163">
        <v>44532</v>
      </c>
      <c r="E932" s="171">
        <v>4.2351008199999998E-2</v>
      </c>
      <c r="F932" s="171">
        <v>0</v>
      </c>
      <c r="G932" s="172">
        <v>1</v>
      </c>
      <c r="H932" s="171">
        <f>tbTransactions[[#This Row],[Qty]]*tbTransactions[[#This Row],[Unit Cost]]*tbTransactions[[#This Row],[Exchange Rate]]</f>
        <v>0</v>
      </c>
      <c r="I932" s="148" t="s">
        <v>511</v>
      </c>
      <c r="J932" s="176" t="s">
        <v>20</v>
      </c>
      <c r="K932" s="163" t="str">
        <f>IF(tbTransactions[[#This Row],[Sub-Type]]="Transfer","Neutral",IF(tbTransactions[[#This Row],[Qty]]&lt;0,"Debit",IF(tbTransactions[[#This Row],[Qty]]&gt;0,"Credit","Neutral")))</f>
        <v>Credit</v>
      </c>
      <c r="L932" s="163" t="s">
        <v>518</v>
      </c>
      <c r="M932" s="171" t="s">
        <v>465</v>
      </c>
    </row>
    <row r="933" spans="3:13" ht="30" customHeight="1" x14ac:dyDescent="0.25">
      <c r="C933" s="175">
        <v>931</v>
      </c>
      <c r="D933" s="163">
        <v>44533</v>
      </c>
      <c r="E933" s="171">
        <v>1.8757361899999998E-2</v>
      </c>
      <c r="F933" s="171">
        <v>0</v>
      </c>
      <c r="G933" s="172">
        <v>1</v>
      </c>
      <c r="H933" s="171">
        <f>tbTransactions[[#This Row],[Qty]]*tbTransactions[[#This Row],[Unit Cost]]*tbTransactions[[#This Row],[Exchange Rate]]</f>
        <v>0</v>
      </c>
      <c r="I933" s="148" t="s">
        <v>511</v>
      </c>
      <c r="J933" s="176" t="s">
        <v>20</v>
      </c>
      <c r="K933" s="163" t="str">
        <f>IF(tbTransactions[[#This Row],[Sub-Type]]="Transfer","Neutral",IF(tbTransactions[[#This Row],[Qty]]&lt;0,"Debit",IF(tbTransactions[[#This Row],[Qty]]&gt;0,"Credit","Neutral")))</f>
        <v>Credit</v>
      </c>
      <c r="L933" s="163" t="s">
        <v>518</v>
      </c>
      <c r="M933" s="171" t="s">
        <v>465</v>
      </c>
    </row>
    <row r="934" spans="3:13" ht="30" customHeight="1" x14ac:dyDescent="0.25">
      <c r="C934" s="175">
        <v>932</v>
      </c>
      <c r="D934" s="163">
        <v>44534</v>
      </c>
      <c r="E934" s="171">
        <v>2.5226499900000001E-2</v>
      </c>
      <c r="F934" s="171">
        <v>0</v>
      </c>
      <c r="G934" s="172">
        <v>1</v>
      </c>
      <c r="H934" s="171">
        <f>tbTransactions[[#This Row],[Qty]]*tbTransactions[[#This Row],[Unit Cost]]*tbTransactions[[#This Row],[Exchange Rate]]</f>
        <v>0</v>
      </c>
      <c r="I934" s="148" t="s">
        <v>511</v>
      </c>
      <c r="J934" s="176" t="s">
        <v>20</v>
      </c>
      <c r="K934" s="163" t="str">
        <f>IF(tbTransactions[[#This Row],[Sub-Type]]="Transfer","Neutral",IF(tbTransactions[[#This Row],[Qty]]&lt;0,"Debit",IF(tbTransactions[[#This Row],[Qty]]&gt;0,"Credit","Neutral")))</f>
        <v>Credit</v>
      </c>
      <c r="L934" s="163" t="s">
        <v>518</v>
      </c>
      <c r="M934" s="171" t="s">
        <v>465</v>
      </c>
    </row>
    <row r="935" spans="3:13" ht="30" customHeight="1" x14ac:dyDescent="0.25">
      <c r="C935" s="175">
        <v>933</v>
      </c>
      <c r="D935" s="163">
        <v>44534</v>
      </c>
      <c r="E935" s="171">
        <v>1.8148154E-2</v>
      </c>
      <c r="F935" s="171">
        <v>0</v>
      </c>
      <c r="G935" s="172">
        <v>1</v>
      </c>
      <c r="H935" s="171">
        <f>tbTransactions[[#This Row],[Qty]]*tbTransactions[[#This Row],[Unit Cost]]*tbTransactions[[#This Row],[Exchange Rate]]</f>
        <v>0</v>
      </c>
      <c r="I935" s="148" t="s">
        <v>542</v>
      </c>
      <c r="J935" s="176" t="s">
        <v>22</v>
      </c>
      <c r="K935" s="163" t="str">
        <f>IF(tbTransactions[[#This Row],[Sub-Type]]="Transfer","Neutral",IF(tbTransactions[[#This Row],[Qty]]&lt;0,"Debit",IF(tbTransactions[[#This Row],[Qty]]&gt;0,"Credit","Neutral")))</f>
        <v>Credit</v>
      </c>
      <c r="L935" s="163" t="s">
        <v>518</v>
      </c>
      <c r="M935" s="171" t="s">
        <v>556</v>
      </c>
    </row>
    <row r="936" spans="3:13" ht="30" customHeight="1" x14ac:dyDescent="0.25">
      <c r="C936" s="175">
        <v>934</v>
      </c>
      <c r="D936" s="163">
        <v>44536</v>
      </c>
      <c r="E936" s="171">
        <v>1.155173</v>
      </c>
      <c r="F936" s="171">
        <v>0</v>
      </c>
      <c r="G936" s="172">
        <v>1</v>
      </c>
      <c r="H936" s="171">
        <f>tbTransactions[[#This Row],[Qty]]*tbTransactions[[#This Row],[Unit Cost]]*tbTransactions[[#This Row],[Exchange Rate]]</f>
        <v>0</v>
      </c>
      <c r="I936" s="148" t="s">
        <v>507</v>
      </c>
      <c r="J936" s="176" t="s">
        <v>17</v>
      </c>
      <c r="K936" s="163" t="str">
        <f>IF(tbTransactions[[#This Row],[Sub-Type]]="Transfer","Neutral",IF(tbTransactions[[#This Row],[Qty]]&lt;0,"Debit",IF(tbTransactions[[#This Row],[Qty]]&gt;0,"Credit","Neutral")))</f>
        <v>Credit</v>
      </c>
      <c r="L936" s="163" t="s">
        <v>518</v>
      </c>
      <c r="M936" s="171" t="s">
        <v>427</v>
      </c>
    </row>
    <row r="937" spans="3:13" ht="30" customHeight="1" x14ac:dyDescent="0.25">
      <c r="C937" s="175">
        <v>935</v>
      </c>
      <c r="D937" s="163">
        <v>44535</v>
      </c>
      <c r="E937" s="171">
        <v>1.8460500899999999E-2</v>
      </c>
      <c r="F937" s="171">
        <v>0</v>
      </c>
      <c r="G937" s="172">
        <v>1</v>
      </c>
      <c r="H937" s="171">
        <f>tbTransactions[[#This Row],[Qty]]*tbTransactions[[#This Row],[Unit Cost]]*tbTransactions[[#This Row],[Exchange Rate]]</f>
        <v>0</v>
      </c>
      <c r="I937" s="148" t="s">
        <v>511</v>
      </c>
      <c r="J937" s="176" t="s">
        <v>20</v>
      </c>
      <c r="K937" s="163" t="str">
        <f>IF(tbTransactions[[#This Row],[Sub-Type]]="Transfer","Neutral",IF(tbTransactions[[#This Row],[Qty]]&lt;0,"Debit",IF(tbTransactions[[#This Row],[Qty]]&gt;0,"Credit","Neutral")))</f>
        <v>Credit</v>
      </c>
      <c r="L937" s="163" t="s">
        <v>518</v>
      </c>
      <c r="M937" s="171" t="s">
        <v>465</v>
      </c>
    </row>
    <row r="938" spans="3:13" ht="30" customHeight="1" x14ac:dyDescent="0.25">
      <c r="C938" s="175">
        <v>936</v>
      </c>
      <c r="D938" s="163">
        <v>44536</v>
      </c>
      <c r="E938" s="171">
        <v>3.2130585900000001E-2</v>
      </c>
      <c r="F938" s="171">
        <v>0</v>
      </c>
      <c r="G938" s="172">
        <v>1</v>
      </c>
      <c r="H938" s="171">
        <f>tbTransactions[[#This Row],[Qty]]*tbTransactions[[#This Row],[Unit Cost]]*tbTransactions[[#This Row],[Exchange Rate]]</f>
        <v>0</v>
      </c>
      <c r="I938" s="148" t="s">
        <v>511</v>
      </c>
      <c r="J938" s="176" t="s">
        <v>20</v>
      </c>
      <c r="K938" s="163" t="str">
        <f>IF(tbTransactions[[#This Row],[Sub-Type]]="Transfer","Neutral",IF(tbTransactions[[#This Row],[Qty]]&lt;0,"Debit",IF(tbTransactions[[#This Row],[Qty]]&gt;0,"Credit","Neutral")))</f>
        <v>Credit</v>
      </c>
      <c r="L938" s="163" t="s">
        <v>518</v>
      </c>
      <c r="M938" s="171" t="s">
        <v>465</v>
      </c>
    </row>
    <row r="939" spans="3:13" ht="30" customHeight="1" x14ac:dyDescent="0.25">
      <c r="C939" s="175">
        <v>937</v>
      </c>
      <c r="D939" s="163">
        <v>44537</v>
      </c>
      <c r="E939" s="171">
        <v>2.7280465600000001E-2</v>
      </c>
      <c r="F939" s="171">
        <v>0</v>
      </c>
      <c r="G939" s="172">
        <v>1</v>
      </c>
      <c r="H939" s="171">
        <f>tbTransactions[[#This Row],[Qty]]*tbTransactions[[#This Row],[Unit Cost]]*tbTransactions[[#This Row],[Exchange Rate]]</f>
        <v>0</v>
      </c>
      <c r="I939" s="148" t="s">
        <v>511</v>
      </c>
      <c r="J939" s="176" t="s">
        <v>20</v>
      </c>
      <c r="K939" s="163" t="str">
        <f>IF(tbTransactions[[#This Row],[Sub-Type]]="Transfer","Neutral",IF(tbTransactions[[#This Row],[Qty]]&lt;0,"Debit",IF(tbTransactions[[#This Row],[Qty]]&gt;0,"Credit","Neutral")))</f>
        <v>Credit</v>
      </c>
      <c r="L939" s="163" t="s">
        <v>518</v>
      </c>
      <c r="M939" s="171" t="s">
        <v>465</v>
      </c>
    </row>
    <row r="940" spans="3:13" ht="30" customHeight="1" x14ac:dyDescent="0.25">
      <c r="C940" s="175">
        <v>938</v>
      </c>
      <c r="D940" s="163">
        <v>44538</v>
      </c>
      <c r="E940" s="171">
        <v>3.2169268199999997E-2</v>
      </c>
      <c r="F940" s="171">
        <v>0</v>
      </c>
      <c r="G940" s="172">
        <v>1</v>
      </c>
      <c r="H940" s="171">
        <f>tbTransactions[[#This Row],[Qty]]*tbTransactions[[#This Row],[Unit Cost]]*tbTransactions[[#This Row],[Exchange Rate]]</f>
        <v>0</v>
      </c>
      <c r="I940" s="148" t="s">
        <v>511</v>
      </c>
      <c r="J940" s="176" t="s">
        <v>20</v>
      </c>
      <c r="K940" s="163" t="str">
        <f>IF(tbTransactions[[#This Row],[Sub-Type]]="Transfer","Neutral",IF(tbTransactions[[#This Row],[Qty]]&lt;0,"Debit",IF(tbTransactions[[#This Row],[Qty]]&gt;0,"Credit","Neutral")))</f>
        <v>Credit</v>
      </c>
      <c r="L940" s="163" t="s">
        <v>518</v>
      </c>
      <c r="M940" s="171" t="s">
        <v>465</v>
      </c>
    </row>
    <row r="941" spans="3:13" ht="30" customHeight="1" x14ac:dyDescent="0.25">
      <c r="C941" s="175">
        <v>939</v>
      </c>
      <c r="D941" s="163">
        <v>44539</v>
      </c>
      <c r="E941" s="171">
        <v>2.5722694599999998E-2</v>
      </c>
      <c r="F941" s="171">
        <v>0</v>
      </c>
      <c r="G941" s="172">
        <v>1</v>
      </c>
      <c r="H941" s="171">
        <f>tbTransactions[[#This Row],[Qty]]*tbTransactions[[#This Row],[Unit Cost]]*tbTransactions[[#This Row],[Exchange Rate]]</f>
        <v>0</v>
      </c>
      <c r="I941" s="148" t="s">
        <v>511</v>
      </c>
      <c r="J941" s="176" t="s">
        <v>20</v>
      </c>
      <c r="K941" s="163" t="str">
        <f>IF(tbTransactions[[#This Row],[Sub-Type]]="Transfer","Neutral",IF(tbTransactions[[#This Row],[Qty]]&lt;0,"Debit",IF(tbTransactions[[#This Row],[Qty]]&gt;0,"Credit","Neutral")))</f>
        <v>Credit</v>
      </c>
      <c r="L941" s="163" t="s">
        <v>518</v>
      </c>
      <c r="M941" s="171" t="s">
        <v>465</v>
      </c>
    </row>
    <row r="942" spans="3:13" ht="30" customHeight="1" x14ac:dyDescent="0.25">
      <c r="C942" s="175">
        <v>940</v>
      </c>
      <c r="D942" s="163">
        <v>44540</v>
      </c>
      <c r="E942" s="171">
        <v>3.5636930300000001E-2</v>
      </c>
      <c r="F942" s="171">
        <v>0</v>
      </c>
      <c r="G942" s="172">
        <v>1</v>
      </c>
      <c r="H942" s="171">
        <f>tbTransactions[[#This Row],[Qty]]*tbTransactions[[#This Row],[Unit Cost]]*tbTransactions[[#This Row],[Exchange Rate]]</f>
        <v>0</v>
      </c>
      <c r="I942" s="148" t="s">
        <v>511</v>
      </c>
      <c r="J942" s="176" t="s">
        <v>20</v>
      </c>
      <c r="K942" s="163" t="str">
        <f>IF(tbTransactions[[#This Row],[Sub-Type]]="Transfer","Neutral",IF(tbTransactions[[#This Row],[Qty]]&lt;0,"Debit",IF(tbTransactions[[#This Row],[Qty]]&gt;0,"Credit","Neutral")))</f>
        <v>Credit</v>
      </c>
      <c r="L942" s="163" t="s">
        <v>518</v>
      </c>
      <c r="M942" s="171" t="s">
        <v>465</v>
      </c>
    </row>
    <row r="943" spans="3:13" ht="30" customHeight="1" x14ac:dyDescent="0.25">
      <c r="C943" s="175">
        <v>941</v>
      </c>
      <c r="D943" s="163">
        <v>44541</v>
      </c>
      <c r="E943" s="171">
        <v>5.2046935699999998E-2</v>
      </c>
      <c r="F943" s="171">
        <v>0</v>
      </c>
      <c r="G943" s="172">
        <v>1</v>
      </c>
      <c r="H943" s="171">
        <f>tbTransactions[[#This Row],[Qty]]*tbTransactions[[#This Row],[Unit Cost]]*tbTransactions[[#This Row],[Exchange Rate]]</f>
        <v>0</v>
      </c>
      <c r="I943" s="148" t="s">
        <v>511</v>
      </c>
      <c r="J943" s="176" t="s">
        <v>20</v>
      </c>
      <c r="K943" s="163" t="str">
        <f>IF(tbTransactions[[#This Row],[Sub-Type]]="Transfer","Neutral",IF(tbTransactions[[#This Row],[Qty]]&lt;0,"Debit",IF(tbTransactions[[#This Row],[Qty]]&gt;0,"Credit","Neutral")))</f>
        <v>Credit</v>
      </c>
      <c r="L943" s="163" t="s">
        <v>518</v>
      </c>
      <c r="M943" s="171" t="s">
        <v>465</v>
      </c>
    </row>
    <row r="944" spans="3:13" ht="30" customHeight="1" x14ac:dyDescent="0.25">
      <c r="C944" s="175">
        <v>942</v>
      </c>
      <c r="D944" s="163">
        <v>44541</v>
      </c>
      <c r="E944" s="171">
        <v>1.0519240000000001</v>
      </c>
      <c r="F944" s="171">
        <v>0</v>
      </c>
      <c r="G944" s="172">
        <v>1</v>
      </c>
      <c r="H944" s="171">
        <f>tbTransactions[[#This Row],[Qty]]*tbTransactions[[#This Row],[Unit Cost]]*tbTransactions[[#This Row],[Exchange Rate]]</f>
        <v>0</v>
      </c>
      <c r="I944" s="148" t="s">
        <v>507</v>
      </c>
      <c r="J944" s="176" t="s">
        <v>17</v>
      </c>
      <c r="K944" s="163" t="str">
        <f>IF(tbTransactions[[#This Row],[Sub-Type]]="Transfer","Neutral",IF(tbTransactions[[#This Row],[Qty]]&lt;0,"Debit",IF(tbTransactions[[#This Row],[Qty]]&gt;0,"Credit","Neutral")))</f>
        <v>Credit</v>
      </c>
      <c r="L944" s="163" t="s">
        <v>518</v>
      </c>
      <c r="M944" s="171" t="s">
        <v>427</v>
      </c>
    </row>
    <row r="945" spans="3:13" ht="30" customHeight="1" x14ac:dyDescent="0.25">
      <c r="C945" s="175">
        <v>943</v>
      </c>
      <c r="D945" s="163">
        <v>44541</v>
      </c>
      <c r="E945" s="171">
        <v>1.8105590000000001E-2</v>
      </c>
      <c r="F945" s="171">
        <v>0</v>
      </c>
      <c r="G945" s="172">
        <v>1</v>
      </c>
      <c r="H945" s="171">
        <f>tbTransactions[[#This Row],[Qty]]*tbTransactions[[#This Row],[Unit Cost]]*tbTransactions[[#This Row],[Exchange Rate]]</f>
        <v>0</v>
      </c>
      <c r="I945" s="148" t="s">
        <v>542</v>
      </c>
      <c r="J945" s="176" t="s">
        <v>22</v>
      </c>
      <c r="K945" s="163" t="str">
        <f>IF(tbTransactions[[#This Row],[Sub-Type]]="Transfer","Neutral",IF(tbTransactions[[#This Row],[Qty]]&lt;0,"Debit",IF(tbTransactions[[#This Row],[Qty]]&gt;0,"Credit","Neutral")))</f>
        <v>Credit</v>
      </c>
      <c r="L945" s="163" t="s">
        <v>518</v>
      </c>
      <c r="M945" s="171" t="s">
        <v>556</v>
      </c>
    </row>
    <row r="946" spans="3:13" ht="30" customHeight="1" x14ac:dyDescent="0.25">
      <c r="C946" s="175">
        <v>944</v>
      </c>
      <c r="D946" s="163">
        <v>44542</v>
      </c>
      <c r="E946" s="171">
        <v>4.4424635900000002E-2</v>
      </c>
      <c r="F946" s="171">
        <v>0</v>
      </c>
      <c r="G946" s="172">
        <v>1</v>
      </c>
      <c r="H946" s="171">
        <f>tbTransactions[[#This Row],[Qty]]*tbTransactions[[#This Row],[Unit Cost]]*tbTransactions[[#This Row],[Exchange Rate]]</f>
        <v>0</v>
      </c>
      <c r="I946" s="148" t="s">
        <v>511</v>
      </c>
      <c r="J946" s="176" t="s">
        <v>20</v>
      </c>
      <c r="K946" s="163" t="str">
        <f>IF(tbTransactions[[#This Row],[Sub-Type]]="Transfer","Neutral",IF(tbTransactions[[#This Row],[Qty]]&lt;0,"Debit",IF(tbTransactions[[#This Row],[Qty]]&gt;0,"Credit","Neutral")))</f>
        <v>Credit</v>
      </c>
      <c r="L946" s="163" t="s">
        <v>518</v>
      </c>
      <c r="M946" s="171" t="s">
        <v>465</v>
      </c>
    </row>
    <row r="947" spans="3:13" ht="30" customHeight="1" x14ac:dyDescent="0.25">
      <c r="C947" s="175">
        <v>945</v>
      </c>
      <c r="D947" s="163">
        <v>44542</v>
      </c>
      <c r="E947" s="171">
        <v>0.232103</v>
      </c>
      <c r="F947" s="171">
        <v>0</v>
      </c>
      <c r="G947" s="172">
        <v>1</v>
      </c>
      <c r="H947" s="171">
        <f>tbTransactions[[#This Row],[Qty]]*tbTransactions[[#This Row],[Unit Cost]]*tbTransactions[[#This Row],[Exchange Rate]]</f>
        <v>0</v>
      </c>
      <c r="I947" s="148" t="s">
        <v>431</v>
      </c>
      <c r="J947" s="176" t="s">
        <v>18</v>
      </c>
      <c r="K947" s="163" t="str">
        <f>IF(tbTransactions[[#This Row],[Sub-Type]]="Transfer","Neutral",IF(tbTransactions[[#This Row],[Qty]]&lt;0,"Debit",IF(tbTransactions[[#This Row],[Qty]]&gt;0,"Credit","Neutral")))</f>
        <v>Credit</v>
      </c>
      <c r="L947" s="163" t="s">
        <v>518</v>
      </c>
      <c r="M947" s="171" t="s">
        <v>40</v>
      </c>
    </row>
    <row r="948" spans="3:13" ht="30" customHeight="1" x14ac:dyDescent="0.25">
      <c r="C948" s="175">
        <v>946</v>
      </c>
      <c r="D948" s="163">
        <v>44543</v>
      </c>
      <c r="E948" s="171">
        <v>3.8092854500000002E-2</v>
      </c>
      <c r="F948" s="171">
        <v>0</v>
      </c>
      <c r="G948" s="172">
        <v>1</v>
      </c>
      <c r="H948" s="171">
        <f>tbTransactions[[#This Row],[Qty]]*tbTransactions[[#This Row],[Unit Cost]]*tbTransactions[[#This Row],[Exchange Rate]]</f>
        <v>0</v>
      </c>
      <c r="I948" s="148" t="s">
        <v>511</v>
      </c>
      <c r="J948" s="176" t="s">
        <v>20</v>
      </c>
      <c r="K948" s="163" t="str">
        <f>IF(tbTransactions[[#This Row],[Sub-Type]]="Transfer","Neutral",IF(tbTransactions[[#This Row],[Qty]]&lt;0,"Debit",IF(tbTransactions[[#This Row],[Qty]]&gt;0,"Credit","Neutral")))</f>
        <v>Credit</v>
      </c>
      <c r="L948" s="163" t="s">
        <v>518</v>
      </c>
      <c r="M948" s="171" t="s">
        <v>465</v>
      </c>
    </row>
    <row r="949" spans="3:13" ht="30" customHeight="1" x14ac:dyDescent="0.25">
      <c r="C949" s="175">
        <v>947</v>
      </c>
      <c r="D949" s="163">
        <v>44544</v>
      </c>
      <c r="E949" s="171">
        <v>3.8092854500000002E-2</v>
      </c>
      <c r="F949" s="171">
        <v>0</v>
      </c>
      <c r="G949" s="172">
        <v>1</v>
      </c>
      <c r="H949" s="171">
        <f>tbTransactions[[#This Row],[Qty]]*tbTransactions[[#This Row],[Unit Cost]]*tbTransactions[[#This Row],[Exchange Rate]]</f>
        <v>0</v>
      </c>
      <c r="I949" s="148" t="s">
        <v>511</v>
      </c>
      <c r="J949" s="176" t="s">
        <v>20</v>
      </c>
      <c r="K949" s="163" t="str">
        <f>IF(tbTransactions[[#This Row],[Sub-Type]]="Transfer","Neutral",IF(tbTransactions[[#This Row],[Qty]]&lt;0,"Debit",IF(tbTransactions[[#This Row],[Qty]]&gt;0,"Credit","Neutral")))</f>
        <v>Credit</v>
      </c>
      <c r="L949" s="163" t="s">
        <v>518</v>
      </c>
      <c r="M949" s="171" t="s">
        <v>465</v>
      </c>
    </row>
    <row r="950" spans="3:13" ht="30" customHeight="1" x14ac:dyDescent="0.25">
      <c r="C950" s="175">
        <v>948</v>
      </c>
      <c r="D950" s="163">
        <v>44545</v>
      </c>
      <c r="E950" s="171">
        <v>4.8020651900000003E-2</v>
      </c>
      <c r="F950" s="171">
        <v>0</v>
      </c>
      <c r="G950" s="172">
        <v>1</v>
      </c>
      <c r="H950" s="171">
        <f>tbTransactions[[#This Row],[Qty]]*tbTransactions[[#This Row],[Unit Cost]]*tbTransactions[[#This Row],[Exchange Rate]]</f>
        <v>0</v>
      </c>
      <c r="I950" s="148" t="s">
        <v>511</v>
      </c>
      <c r="J950" s="176" t="s">
        <v>20</v>
      </c>
      <c r="K950" s="163" t="str">
        <f>IF(tbTransactions[[#This Row],[Sub-Type]]="Transfer","Neutral",IF(tbTransactions[[#This Row],[Qty]]&lt;0,"Debit",IF(tbTransactions[[#This Row],[Qty]]&gt;0,"Credit","Neutral")))</f>
        <v>Credit</v>
      </c>
      <c r="L950" s="163" t="s">
        <v>518</v>
      </c>
      <c r="M950" s="171" t="s">
        <v>465</v>
      </c>
    </row>
    <row r="951" spans="3:13" ht="30" customHeight="1" x14ac:dyDescent="0.25">
      <c r="C951" s="175">
        <v>949</v>
      </c>
      <c r="D951" s="163">
        <v>44546</v>
      </c>
      <c r="E951" s="171">
        <v>0.201046</v>
      </c>
      <c r="F951" s="171">
        <v>0</v>
      </c>
      <c r="G951" s="172">
        <v>1</v>
      </c>
      <c r="H951" s="171">
        <f>tbTransactions[[#This Row],[Qty]]*tbTransactions[[#This Row],[Unit Cost]]*tbTransactions[[#This Row],[Exchange Rate]]</f>
        <v>0</v>
      </c>
      <c r="I951" s="148" t="s">
        <v>540</v>
      </c>
      <c r="J951" s="176" t="s">
        <v>22</v>
      </c>
      <c r="K951" s="163" t="str">
        <f>IF(tbTransactions[[#This Row],[Sub-Type]]="Transfer","Neutral",IF(tbTransactions[[#This Row],[Qty]]&lt;0,"Debit",IF(tbTransactions[[#This Row],[Qty]]&gt;0,"Credit","Neutral")))</f>
        <v>Credit</v>
      </c>
      <c r="L951" s="163" t="s">
        <v>770</v>
      </c>
      <c r="M951" s="171" t="s">
        <v>771</v>
      </c>
    </row>
    <row r="952" spans="3:13" ht="30" customHeight="1" x14ac:dyDescent="0.25">
      <c r="C952" s="175">
        <v>950</v>
      </c>
      <c r="D952" s="163">
        <v>44546</v>
      </c>
      <c r="E952" s="171">
        <v>1.266589</v>
      </c>
      <c r="F952" s="171">
        <v>0</v>
      </c>
      <c r="G952" s="172">
        <v>1</v>
      </c>
      <c r="H952" s="171">
        <f>tbTransactions[[#This Row],[Qty]]*tbTransactions[[#This Row],[Unit Cost]]*tbTransactions[[#This Row],[Exchange Rate]]</f>
        <v>0</v>
      </c>
      <c r="I952" s="148" t="s">
        <v>507</v>
      </c>
      <c r="J952" s="176" t="s">
        <v>17</v>
      </c>
      <c r="K952" s="163" t="str">
        <f>IF(tbTransactions[[#This Row],[Sub-Type]]="Transfer","Neutral",IF(tbTransactions[[#This Row],[Qty]]&lt;0,"Debit",IF(tbTransactions[[#This Row],[Qty]]&gt;0,"Credit","Neutral")))</f>
        <v>Credit</v>
      </c>
      <c r="L952" s="163" t="s">
        <v>518</v>
      </c>
      <c r="M952" s="171" t="s">
        <v>427</v>
      </c>
    </row>
    <row r="953" spans="3:13" ht="30" customHeight="1" x14ac:dyDescent="0.25">
      <c r="C953" s="175">
        <v>951</v>
      </c>
      <c r="D953" s="163">
        <v>44546</v>
      </c>
      <c r="E953" s="171">
        <v>4.4096758100000001E-2</v>
      </c>
      <c r="F953" s="171">
        <v>0</v>
      </c>
      <c r="G953" s="172">
        <v>1</v>
      </c>
      <c r="H953" s="171">
        <f>tbTransactions[[#This Row],[Qty]]*tbTransactions[[#This Row],[Unit Cost]]*tbTransactions[[#This Row],[Exchange Rate]]</f>
        <v>0</v>
      </c>
      <c r="I953" s="148" t="s">
        <v>511</v>
      </c>
      <c r="J953" s="176" t="s">
        <v>20</v>
      </c>
      <c r="K953" s="163" t="str">
        <f>IF(tbTransactions[[#This Row],[Sub-Type]]="Transfer","Neutral",IF(tbTransactions[[#This Row],[Qty]]&lt;0,"Debit",IF(tbTransactions[[#This Row],[Qty]]&gt;0,"Credit","Neutral")))</f>
        <v>Credit</v>
      </c>
      <c r="L953" s="163" t="s">
        <v>518</v>
      </c>
      <c r="M953" s="171" t="s">
        <v>465</v>
      </c>
    </row>
    <row r="954" spans="3:13" ht="30" customHeight="1" x14ac:dyDescent="0.25">
      <c r="C954" s="175">
        <v>952</v>
      </c>
      <c r="D954" s="163">
        <v>44547</v>
      </c>
      <c r="E954" s="171">
        <v>4.4096758100000001E-2</v>
      </c>
      <c r="F954" s="171">
        <v>0</v>
      </c>
      <c r="G954" s="172">
        <v>1</v>
      </c>
      <c r="H954" s="171">
        <f>tbTransactions[[#This Row],[Qty]]*tbTransactions[[#This Row],[Unit Cost]]*tbTransactions[[#This Row],[Exchange Rate]]</f>
        <v>0</v>
      </c>
      <c r="I954" s="148" t="s">
        <v>511</v>
      </c>
      <c r="J954" s="176" t="s">
        <v>20</v>
      </c>
      <c r="K954" s="163" t="str">
        <f>IF(tbTransactions[[#This Row],[Sub-Type]]="Transfer","Neutral",IF(tbTransactions[[#This Row],[Qty]]&lt;0,"Debit",IF(tbTransactions[[#This Row],[Qty]]&gt;0,"Credit","Neutral")))</f>
        <v>Credit</v>
      </c>
      <c r="L954" s="163" t="s">
        <v>518</v>
      </c>
      <c r="M954" s="171" t="s">
        <v>465</v>
      </c>
    </row>
    <row r="955" spans="3:13" ht="30" customHeight="1" x14ac:dyDescent="0.25">
      <c r="C955" s="175">
        <v>953</v>
      </c>
      <c r="D955" s="163">
        <v>44548</v>
      </c>
      <c r="E955" s="171">
        <v>3.7842106399999999E-2</v>
      </c>
      <c r="F955" s="171">
        <v>0</v>
      </c>
      <c r="G955" s="172">
        <v>1</v>
      </c>
      <c r="H955" s="171">
        <f>tbTransactions[[#This Row],[Qty]]*tbTransactions[[#This Row],[Unit Cost]]*tbTransactions[[#This Row],[Exchange Rate]]</f>
        <v>0</v>
      </c>
      <c r="I955" s="148" t="s">
        <v>511</v>
      </c>
      <c r="J955" s="176" t="s">
        <v>20</v>
      </c>
      <c r="K955" s="163" t="str">
        <f>IF(tbTransactions[[#This Row],[Sub-Type]]="Transfer","Neutral",IF(tbTransactions[[#This Row],[Qty]]&lt;0,"Debit",IF(tbTransactions[[#This Row],[Qty]]&gt;0,"Credit","Neutral")))</f>
        <v>Credit</v>
      </c>
      <c r="L955" s="163" t="s">
        <v>518</v>
      </c>
      <c r="M955" s="171" t="s">
        <v>465</v>
      </c>
    </row>
    <row r="956" spans="3:13" ht="30" customHeight="1" x14ac:dyDescent="0.25">
      <c r="C956" s="175">
        <v>954</v>
      </c>
      <c r="D956" s="163">
        <v>44548</v>
      </c>
      <c r="E956" s="171">
        <v>1.8221688E-2</v>
      </c>
      <c r="F956" s="171">
        <v>0</v>
      </c>
      <c r="G956" s="172">
        <v>1</v>
      </c>
      <c r="H956" s="171">
        <f>tbTransactions[[#This Row],[Qty]]*tbTransactions[[#This Row],[Unit Cost]]*tbTransactions[[#This Row],[Exchange Rate]]</f>
        <v>0</v>
      </c>
      <c r="I956" s="148" t="s">
        <v>542</v>
      </c>
      <c r="J956" s="176" t="s">
        <v>22</v>
      </c>
      <c r="K956" s="163" t="str">
        <f>IF(tbTransactions[[#This Row],[Sub-Type]]="Transfer","Neutral",IF(tbTransactions[[#This Row],[Qty]]&lt;0,"Debit",IF(tbTransactions[[#This Row],[Qty]]&gt;0,"Credit","Neutral")))</f>
        <v>Credit</v>
      </c>
      <c r="L956" s="163" t="s">
        <v>518</v>
      </c>
      <c r="M956" s="171" t="s">
        <v>556</v>
      </c>
    </row>
    <row r="957" spans="3:13" ht="30" customHeight="1" x14ac:dyDescent="0.25">
      <c r="C957" s="175">
        <v>955</v>
      </c>
      <c r="D957" s="163">
        <v>44546</v>
      </c>
      <c r="E957" s="171">
        <v>-3.3559999999999979E-3</v>
      </c>
      <c r="F957" s="171">
        <v>0</v>
      </c>
      <c r="G957" s="172">
        <v>1</v>
      </c>
      <c r="H957" s="171">
        <f>tbTransactions[[#This Row],[Qty]]*tbTransactions[[#This Row],[Unit Cost]]*tbTransactions[[#This Row],[Exchange Rate]]</f>
        <v>0</v>
      </c>
      <c r="I957" s="148" t="s">
        <v>540</v>
      </c>
      <c r="J957" s="176" t="s">
        <v>22</v>
      </c>
      <c r="K957" s="163" t="str">
        <f>IF(tbTransactions[[#This Row],[Sub-Type]]="Transfer","Neutral",IF(tbTransactions[[#This Row],[Qty]]&lt;0,"Debit",IF(tbTransactions[[#This Row],[Qty]]&gt;0,"Credit","Neutral")))</f>
        <v>Debit</v>
      </c>
      <c r="L957" s="163" t="s">
        <v>12</v>
      </c>
      <c r="M957" s="171" t="s">
        <v>772</v>
      </c>
    </row>
    <row r="958" spans="3:13" ht="30" customHeight="1" x14ac:dyDescent="0.25">
      <c r="C958" s="175">
        <v>956</v>
      </c>
      <c r="D958" s="163">
        <v>44548</v>
      </c>
      <c r="E958" s="171">
        <v>-0.19769</v>
      </c>
      <c r="F958" s="171">
        <v>5166</v>
      </c>
      <c r="G958" s="172">
        <v>1</v>
      </c>
      <c r="H958" s="171">
        <f>tbTransactions[[#This Row],[Qty]]*tbTransactions[[#This Row],[Unit Cost]]*tbTransactions[[#This Row],[Exchange Rate]]</f>
        <v>-1021.2665400000001</v>
      </c>
      <c r="I958" s="148" t="s">
        <v>540</v>
      </c>
      <c r="J958" s="176" t="s">
        <v>22</v>
      </c>
      <c r="K958" s="163" t="str">
        <f>IF(tbTransactions[[#This Row],[Sub-Type]]="Transfer","Neutral",IF(tbTransactions[[#This Row],[Qty]]&lt;0,"Debit",IF(tbTransactions[[#This Row],[Qty]]&gt;0,"Credit","Neutral")))</f>
        <v>Neutral</v>
      </c>
      <c r="L958" s="163" t="s">
        <v>32</v>
      </c>
      <c r="M958" s="171" t="s">
        <v>543</v>
      </c>
    </row>
    <row r="959" spans="3:13" ht="30" customHeight="1" x14ac:dyDescent="0.25">
      <c r="C959" s="175">
        <v>957</v>
      </c>
      <c r="D959" s="163">
        <v>44548</v>
      </c>
      <c r="E959" s="171">
        <v>0.19769</v>
      </c>
      <c r="F959" s="171">
        <v>5166</v>
      </c>
      <c r="G959" s="172">
        <v>1</v>
      </c>
      <c r="H959" s="171">
        <f>tbTransactions[[#This Row],[Qty]]*tbTransactions[[#This Row],[Unit Cost]]*tbTransactions[[#This Row],[Exchange Rate]]</f>
        <v>1021.2665400000001</v>
      </c>
      <c r="I959" s="148" t="s">
        <v>542</v>
      </c>
      <c r="J959" s="176" t="s">
        <v>22</v>
      </c>
      <c r="K959" s="163" t="str">
        <f>IF(tbTransactions[[#This Row],[Sub-Type]]="Transfer","Neutral",IF(tbTransactions[[#This Row],[Qty]]&lt;0,"Debit",IF(tbTransactions[[#This Row],[Qty]]&gt;0,"Credit","Neutral")))</f>
        <v>Neutral</v>
      </c>
      <c r="L959" s="163" t="s">
        <v>32</v>
      </c>
      <c r="M959" s="171" t="s">
        <v>543</v>
      </c>
    </row>
    <row r="960" spans="3:13" ht="30" customHeight="1" x14ac:dyDescent="0.25">
      <c r="C960" s="175">
        <v>958</v>
      </c>
      <c r="D960" s="163">
        <v>44549</v>
      </c>
      <c r="E960" s="171">
        <v>3.6864388099999999E-2</v>
      </c>
      <c r="F960" s="171">
        <v>0</v>
      </c>
      <c r="G960" s="172">
        <v>1</v>
      </c>
      <c r="H960" s="171">
        <f>tbTransactions[[#This Row],[Qty]]*tbTransactions[[#This Row],[Unit Cost]]*tbTransactions[[#This Row],[Exchange Rate]]</f>
        <v>0</v>
      </c>
      <c r="I960" s="148" t="s">
        <v>511</v>
      </c>
      <c r="J960" s="176" t="s">
        <v>20</v>
      </c>
      <c r="K960" s="163" t="str">
        <f>IF(tbTransactions[[#This Row],[Sub-Type]]="Transfer","Neutral",IF(tbTransactions[[#This Row],[Qty]]&lt;0,"Debit",IF(tbTransactions[[#This Row],[Qty]]&gt;0,"Credit","Neutral")))</f>
        <v>Credit</v>
      </c>
      <c r="L960" s="163" t="s">
        <v>518</v>
      </c>
      <c r="M960" s="171" t="s">
        <v>465</v>
      </c>
    </row>
    <row r="961" spans="3:13" ht="30" customHeight="1" x14ac:dyDescent="0.25">
      <c r="C961" s="175">
        <v>959</v>
      </c>
      <c r="D961" s="163">
        <v>44550</v>
      </c>
      <c r="E961" s="171">
        <v>1.5736047999999999E-2</v>
      </c>
      <c r="F961" s="171">
        <v>0</v>
      </c>
      <c r="G961" s="172">
        <v>1</v>
      </c>
      <c r="H961" s="171">
        <f>tbTransactions[[#This Row],[Qty]]*tbTransactions[[#This Row],[Unit Cost]]*tbTransactions[[#This Row],[Exchange Rate]]</f>
        <v>0</v>
      </c>
      <c r="I961" s="148" t="s">
        <v>511</v>
      </c>
      <c r="J961" s="176" t="s">
        <v>20</v>
      </c>
      <c r="K961" s="163" t="str">
        <f>IF(tbTransactions[[#This Row],[Sub-Type]]="Transfer","Neutral",IF(tbTransactions[[#This Row],[Qty]]&lt;0,"Debit",IF(tbTransactions[[#This Row],[Qty]]&gt;0,"Credit","Neutral")))</f>
        <v>Credit</v>
      </c>
      <c r="L961" s="163" t="s">
        <v>518</v>
      </c>
      <c r="M961" s="171" t="s">
        <v>465</v>
      </c>
    </row>
    <row r="962" spans="3:13" ht="30" customHeight="1" x14ac:dyDescent="0.25">
      <c r="C962" s="175">
        <v>960</v>
      </c>
      <c r="D962" s="163">
        <v>44551</v>
      </c>
      <c r="E962" s="171">
        <v>2.8317977300000002E-2</v>
      </c>
      <c r="F962" s="171">
        <v>0</v>
      </c>
      <c r="G962" s="172">
        <v>1</v>
      </c>
      <c r="H962" s="171">
        <f>tbTransactions[[#This Row],[Qty]]*tbTransactions[[#This Row],[Unit Cost]]*tbTransactions[[#This Row],[Exchange Rate]]</f>
        <v>0</v>
      </c>
      <c r="I962" s="148" t="s">
        <v>511</v>
      </c>
      <c r="J962" s="176" t="s">
        <v>20</v>
      </c>
      <c r="K962" s="163" t="str">
        <f>IF(tbTransactions[[#This Row],[Sub-Type]]="Transfer","Neutral",IF(tbTransactions[[#This Row],[Qty]]&lt;0,"Debit",IF(tbTransactions[[#This Row],[Qty]]&gt;0,"Credit","Neutral")))</f>
        <v>Credit</v>
      </c>
      <c r="L962" s="163" t="s">
        <v>518</v>
      </c>
      <c r="M962" s="171" t="s">
        <v>465</v>
      </c>
    </row>
    <row r="963" spans="3:13" ht="30" customHeight="1" x14ac:dyDescent="0.25">
      <c r="C963" s="175">
        <v>961</v>
      </c>
      <c r="D963" s="163">
        <v>44551</v>
      </c>
      <c r="E963" s="171">
        <v>1.0594349999999999</v>
      </c>
      <c r="F963" s="171">
        <v>0</v>
      </c>
      <c r="G963" s="172">
        <v>1</v>
      </c>
      <c r="H963" s="171">
        <f>tbTransactions[[#This Row],[Qty]]*tbTransactions[[#This Row],[Unit Cost]]*tbTransactions[[#This Row],[Exchange Rate]]</f>
        <v>0</v>
      </c>
      <c r="I963" s="148" t="s">
        <v>507</v>
      </c>
      <c r="J963" s="176" t="s">
        <v>17</v>
      </c>
      <c r="K963" s="163" t="str">
        <f>IF(tbTransactions[[#This Row],[Sub-Type]]="Transfer","Neutral",IF(tbTransactions[[#This Row],[Qty]]&lt;0,"Debit",IF(tbTransactions[[#This Row],[Qty]]&gt;0,"Credit","Neutral")))</f>
        <v>Credit</v>
      </c>
      <c r="L963" s="163" t="s">
        <v>518</v>
      </c>
      <c r="M963" s="171" t="s">
        <v>427</v>
      </c>
    </row>
    <row r="964" spans="3:13" ht="30" customHeight="1" x14ac:dyDescent="0.25">
      <c r="C964" s="175">
        <v>962</v>
      </c>
      <c r="D964" s="163">
        <v>44552</v>
      </c>
      <c r="E964" s="171">
        <v>-981</v>
      </c>
      <c r="F964" s="171">
        <v>30.85</v>
      </c>
      <c r="G964" s="172">
        <v>1</v>
      </c>
      <c r="H964" s="171">
        <f>tbTransactions[[#This Row],[Qty]]*tbTransactions[[#This Row],[Unit Cost]]*tbTransactions[[#This Row],[Exchange Rate]]</f>
        <v>-30263.850000000002</v>
      </c>
      <c r="I964" s="148" t="s">
        <v>714</v>
      </c>
      <c r="J964" s="176" t="s">
        <v>686</v>
      </c>
      <c r="K964" s="163" t="str">
        <f>IF(tbTransactions[[#This Row],[Sub-Type]]="Transfer","Neutral",IF(tbTransactions[[#This Row],[Qty]]&lt;0,"Debit",IF(tbTransactions[[#This Row],[Qty]]&gt;0,"Credit","Neutral")))</f>
        <v>Debit</v>
      </c>
      <c r="L964" s="163" t="s">
        <v>711</v>
      </c>
      <c r="M964" s="171" t="s">
        <v>712</v>
      </c>
    </row>
    <row r="965" spans="3:13" ht="30" customHeight="1" x14ac:dyDescent="0.25">
      <c r="C965" s="175">
        <v>963</v>
      </c>
      <c r="D965" s="163">
        <v>44552</v>
      </c>
      <c r="E965" s="171">
        <v>30263.850000000002</v>
      </c>
      <c r="F965" s="171">
        <v>1</v>
      </c>
      <c r="G965" s="172">
        <v>1</v>
      </c>
      <c r="H965" s="171">
        <f>tbTransactions[[#This Row],[Qty]]*tbTransactions[[#This Row],[Unit Cost]]*tbTransactions[[#This Row],[Exchange Rate]]</f>
        <v>30263.850000000002</v>
      </c>
      <c r="I965" s="148" t="s">
        <v>714</v>
      </c>
      <c r="J965" s="176" t="s">
        <v>408</v>
      </c>
      <c r="K965" s="163" t="str">
        <f>IF(tbTransactions[[#This Row],[Sub-Type]]="Transfer","Neutral",IF(tbTransactions[[#This Row],[Qty]]&lt;0,"Debit",IF(tbTransactions[[#This Row],[Qty]]&gt;0,"Credit","Neutral")))</f>
        <v>Credit</v>
      </c>
      <c r="L965" s="163" t="s">
        <v>711</v>
      </c>
      <c r="M965" s="171" t="s">
        <v>712</v>
      </c>
    </row>
    <row r="966" spans="3:13" ht="30" customHeight="1" x14ac:dyDescent="0.25">
      <c r="C966" s="175">
        <v>964</v>
      </c>
      <c r="D966" s="163">
        <v>44552</v>
      </c>
      <c r="E966" s="171">
        <v>198</v>
      </c>
      <c r="F966" s="171">
        <v>152.55000000000001</v>
      </c>
      <c r="G966" s="172">
        <v>1</v>
      </c>
      <c r="H966" s="171">
        <f>tbTransactions[[#This Row],[Qty]]*tbTransactions[[#This Row],[Unit Cost]]*tbTransactions[[#This Row],[Exchange Rate]]</f>
        <v>30204.9</v>
      </c>
      <c r="I966" s="148" t="s">
        <v>714</v>
      </c>
      <c r="J966" s="176" t="s">
        <v>41</v>
      </c>
      <c r="K966" s="163" t="str">
        <f>IF(tbTransactions[[#This Row],[Sub-Type]]="Transfer","Neutral",IF(tbTransactions[[#This Row],[Qty]]&lt;0,"Debit",IF(tbTransactions[[#This Row],[Qty]]&gt;0,"Credit","Neutral")))</f>
        <v>Credit</v>
      </c>
      <c r="L966" s="163" t="s">
        <v>740</v>
      </c>
      <c r="M966" s="171" t="s">
        <v>429</v>
      </c>
    </row>
    <row r="967" spans="3:13" ht="30" customHeight="1" x14ac:dyDescent="0.25">
      <c r="C967" s="175">
        <v>965</v>
      </c>
      <c r="D967" s="163">
        <v>44552</v>
      </c>
      <c r="E967" s="171">
        <v>-30204.9</v>
      </c>
      <c r="F967" s="171">
        <v>1</v>
      </c>
      <c r="G967" s="172">
        <v>1</v>
      </c>
      <c r="H967" s="171">
        <f>tbTransactions[[#This Row],[Qty]]*tbTransactions[[#This Row],[Unit Cost]]*tbTransactions[[#This Row],[Exchange Rate]]</f>
        <v>-30204.9</v>
      </c>
      <c r="I967" s="148" t="s">
        <v>714</v>
      </c>
      <c r="J967" s="176" t="s">
        <v>408</v>
      </c>
      <c r="K967" s="163" t="str">
        <f>IF(tbTransactions[[#This Row],[Sub-Type]]="Transfer","Neutral",IF(tbTransactions[[#This Row],[Qty]]&lt;0,"Debit",IF(tbTransactions[[#This Row],[Qty]]&gt;0,"Credit","Neutral")))</f>
        <v>Debit</v>
      </c>
      <c r="L967" s="163" t="s">
        <v>740</v>
      </c>
      <c r="M967" s="171" t="s">
        <v>429</v>
      </c>
    </row>
    <row r="968" spans="3:13" ht="30" customHeight="1" x14ac:dyDescent="0.25">
      <c r="C968" s="175">
        <v>966</v>
      </c>
      <c r="D968" s="163">
        <v>44552</v>
      </c>
      <c r="E968" s="171">
        <v>2.8462943399999999E-2</v>
      </c>
      <c r="F968" s="171">
        <v>0</v>
      </c>
      <c r="G968" s="172">
        <v>1</v>
      </c>
      <c r="H968" s="171">
        <f>tbTransactions[[#This Row],[Qty]]*tbTransactions[[#This Row],[Unit Cost]]*tbTransactions[[#This Row],[Exchange Rate]]</f>
        <v>0</v>
      </c>
      <c r="I968" s="148" t="s">
        <v>511</v>
      </c>
      <c r="J968" s="176" t="s">
        <v>20</v>
      </c>
      <c r="K968" s="163" t="str">
        <f>IF(tbTransactions[[#This Row],[Sub-Type]]="Transfer","Neutral",IF(tbTransactions[[#This Row],[Qty]]&lt;0,"Debit",IF(tbTransactions[[#This Row],[Qty]]&gt;0,"Credit","Neutral")))</f>
        <v>Credit</v>
      </c>
      <c r="L968" s="163" t="s">
        <v>518</v>
      </c>
      <c r="M968" s="171" t="s">
        <v>465</v>
      </c>
    </row>
    <row r="969" spans="3:13" ht="30" customHeight="1" x14ac:dyDescent="0.25">
      <c r="C969" s="175">
        <v>967</v>
      </c>
      <c r="D969" s="163">
        <v>44553</v>
      </c>
      <c r="E969" s="171">
        <v>2.9843818500000001E-2</v>
      </c>
      <c r="F969" s="171">
        <v>0</v>
      </c>
      <c r="G969" s="172">
        <v>1</v>
      </c>
      <c r="H969" s="171">
        <f>tbTransactions[[#This Row],[Qty]]*tbTransactions[[#This Row],[Unit Cost]]*tbTransactions[[#This Row],[Exchange Rate]]</f>
        <v>0</v>
      </c>
      <c r="I969" s="148" t="s">
        <v>511</v>
      </c>
      <c r="J969" s="176" t="s">
        <v>20</v>
      </c>
      <c r="K969" s="163" t="str">
        <f>IF(tbTransactions[[#This Row],[Sub-Type]]="Transfer","Neutral",IF(tbTransactions[[#This Row],[Qty]]&lt;0,"Debit",IF(tbTransactions[[#This Row],[Qty]]&gt;0,"Credit","Neutral")))</f>
        <v>Credit</v>
      </c>
      <c r="L969" s="163" t="s">
        <v>518</v>
      </c>
      <c r="M969" s="171" t="s">
        <v>465</v>
      </c>
    </row>
    <row r="970" spans="3:13" ht="30" customHeight="1" x14ac:dyDescent="0.25">
      <c r="C970" s="175">
        <v>968</v>
      </c>
      <c r="D970" s="163">
        <v>44555</v>
      </c>
      <c r="E970" s="171">
        <v>1.8307866999999999E-2</v>
      </c>
      <c r="F970" s="171">
        <v>0</v>
      </c>
      <c r="G970" s="172">
        <v>1</v>
      </c>
      <c r="H970" s="171">
        <f>tbTransactions[[#This Row],[Qty]]*tbTransactions[[#This Row],[Unit Cost]]*tbTransactions[[#This Row],[Exchange Rate]]</f>
        <v>0</v>
      </c>
      <c r="I970" s="148" t="s">
        <v>542</v>
      </c>
      <c r="J970" s="176" t="s">
        <v>22</v>
      </c>
      <c r="K970" s="163" t="str">
        <f>IF(tbTransactions[[#This Row],[Sub-Type]]="Transfer","Neutral",IF(tbTransactions[[#This Row],[Qty]]&lt;0,"Debit",IF(tbTransactions[[#This Row],[Qty]]&gt;0,"Credit","Neutral")))</f>
        <v>Credit</v>
      </c>
      <c r="L970" s="163" t="s">
        <v>518</v>
      </c>
      <c r="M970" s="171" t="s">
        <v>556</v>
      </c>
    </row>
    <row r="971" spans="3:13" ht="30" customHeight="1" x14ac:dyDescent="0.25">
      <c r="C971" s="175">
        <v>969</v>
      </c>
      <c r="D971" s="163">
        <v>44555</v>
      </c>
      <c r="E971" s="171">
        <v>-1.5255975550389499E-2</v>
      </c>
      <c r="F971" s="171">
        <v>5205</v>
      </c>
      <c r="G971" s="172">
        <v>1</v>
      </c>
      <c r="H971" s="171">
        <f>tbTransactions[[#This Row],[Qty]]*tbTransactions[[#This Row],[Unit Cost]]*tbTransactions[[#This Row],[Exchange Rate]]</f>
        <v>-79.407352739777338</v>
      </c>
      <c r="I971" s="148" t="s">
        <v>586</v>
      </c>
      <c r="J971" s="176" t="s">
        <v>22</v>
      </c>
      <c r="K971" s="163" t="str">
        <f>IF(tbTransactions[[#This Row],[Sub-Type]]="Transfer","Neutral",IF(tbTransactions[[#This Row],[Qty]]&lt;0,"Debit",IF(tbTransactions[[#This Row],[Qty]]&gt;0,"Credit","Neutral")))</f>
        <v>Debit</v>
      </c>
      <c r="L971" s="163" t="s">
        <v>12</v>
      </c>
      <c r="M971" s="171" t="s">
        <v>773</v>
      </c>
    </row>
    <row r="972" spans="3:13" ht="30" customHeight="1" x14ac:dyDescent="0.25">
      <c r="C972" s="175">
        <v>970</v>
      </c>
      <c r="D972" s="163">
        <v>44555</v>
      </c>
      <c r="E972" s="171">
        <v>-62.857938479708203</v>
      </c>
      <c r="F972" s="171">
        <v>58.27</v>
      </c>
      <c r="G972" s="172">
        <v>1</v>
      </c>
      <c r="H972" s="171">
        <f>tbTransactions[[#This Row],[Qty]]*tbTransactions[[#This Row],[Unit Cost]]*tbTransactions[[#This Row],[Exchange Rate]]</f>
        <v>-3662.732075212597</v>
      </c>
      <c r="I972" s="148" t="s">
        <v>586</v>
      </c>
      <c r="J972" s="176" t="s">
        <v>746</v>
      </c>
      <c r="K972" s="163" t="str">
        <f>IF(tbTransactions[[#This Row],[Sub-Type]]="Transfer","Neutral",IF(tbTransactions[[#This Row],[Qty]]&lt;0,"Debit",IF(tbTransactions[[#This Row],[Qty]]&gt;0,"Credit","Neutral")))</f>
        <v>Debit</v>
      </c>
      <c r="L972" s="163" t="s">
        <v>603</v>
      </c>
      <c r="M972" s="171" t="s">
        <v>773</v>
      </c>
    </row>
    <row r="973" spans="3:13" ht="30" customHeight="1" x14ac:dyDescent="0.25">
      <c r="C973" s="175">
        <v>971</v>
      </c>
      <c r="D973" s="163">
        <v>44555</v>
      </c>
      <c r="E973" s="171">
        <v>0.70159833594974497</v>
      </c>
      <c r="F973" s="171">
        <v>5205</v>
      </c>
      <c r="G973" s="172">
        <v>1</v>
      </c>
      <c r="H973" s="171">
        <f>tbTransactions[[#This Row],[Qty]]*tbTransactions[[#This Row],[Unit Cost]]*tbTransactions[[#This Row],[Exchange Rate]]</f>
        <v>3651.8193386184225</v>
      </c>
      <c r="I973" s="148" t="s">
        <v>586</v>
      </c>
      <c r="J973" s="176" t="s">
        <v>22</v>
      </c>
      <c r="K973" s="163" t="str">
        <f>IF(tbTransactions[[#This Row],[Sub-Type]]="Transfer","Neutral",IF(tbTransactions[[#This Row],[Qty]]&lt;0,"Debit",IF(tbTransactions[[#This Row],[Qty]]&gt;0,"Credit","Neutral")))</f>
        <v>Credit</v>
      </c>
      <c r="L973" s="163" t="s">
        <v>603</v>
      </c>
      <c r="M973" s="171" t="s">
        <v>773</v>
      </c>
    </row>
    <row r="974" spans="3:13" ht="30" customHeight="1" x14ac:dyDescent="0.25">
      <c r="C974" s="175">
        <v>972</v>
      </c>
      <c r="D974" s="163">
        <v>44555</v>
      </c>
      <c r="E974" s="171">
        <v>-3.1740000000000002E-3</v>
      </c>
      <c r="F974" s="171">
        <v>58.27</v>
      </c>
      <c r="G974" s="172">
        <v>1</v>
      </c>
      <c r="H974" s="171">
        <f>tbTransactions[[#This Row],[Qty]]*tbTransactions[[#This Row],[Unit Cost]]*tbTransactions[[#This Row],[Exchange Rate]]</f>
        <v>-0.18494898000000001</v>
      </c>
      <c r="I974" s="148" t="s">
        <v>586</v>
      </c>
      <c r="J974" s="176" t="s">
        <v>22</v>
      </c>
      <c r="K974" s="163" t="str">
        <f>IF(tbTransactions[[#This Row],[Sub-Type]]="Transfer","Neutral",IF(tbTransactions[[#This Row],[Qty]]&lt;0,"Debit",IF(tbTransactions[[#This Row],[Qty]]&gt;0,"Credit","Neutral")))</f>
        <v>Debit</v>
      </c>
      <c r="L974" s="163" t="s">
        <v>12</v>
      </c>
      <c r="M974" s="171" t="s">
        <v>774</v>
      </c>
    </row>
    <row r="975" spans="3:13" ht="30" customHeight="1" x14ac:dyDescent="0.25">
      <c r="C975" s="175">
        <v>973</v>
      </c>
      <c r="D975" s="163">
        <v>44555</v>
      </c>
      <c r="E975" s="171">
        <v>-0.7</v>
      </c>
      <c r="F975" s="171">
        <v>5200</v>
      </c>
      <c r="G975" s="172">
        <v>1</v>
      </c>
      <c r="H975" s="171">
        <f>tbTransactions[[#This Row],[Qty]]*tbTransactions[[#This Row],[Unit Cost]]*tbTransactions[[#This Row],[Exchange Rate]]</f>
        <v>-3639.9999999999995</v>
      </c>
      <c r="I975" s="148" t="s">
        <v>586</v>
      </c>
      <c r="J975" s="176" t="s">
        <v>22</v>
      </c>
      <c r="K975" s="163" t="str">
        <f>IF(tbTransactions[[#This Row],[Sub-Type]]="Transfer","Neutral",IF(tbTransactions[[#This Row],[Qty]]&lt;0,"Debit",IF(tbTransactions[[#This Row],[Qty]]&gt;0,"Credit","Neutral")))</f>
        <v>Neutral</v>
      </c>
      <c r="L975" s="163" t="s">
        <v>32</v>
      </c>
      <c r="M975" s="171" t="s">
        <v>541</v>
      </c>
    </row>
    <row r="976" spans="3:13" ht="30" customHeight="1" x14ac:dyDescent="0.25">
      <c r="C976" s="175">
        <v>974</v>
      </c>
      <c r="D976" s="163">
        <v>44555</v>
      </c>
      <c r="E976" s="171">
        <v>-2.7050934418639898E-3</v>
      </c>
      <c r="F976" s="171">
        <v>5200</v>
      </c>
      <c r="G976" s="172">
        <v>1</v>
      </c>
      <c r="H976" s="171">
        <f>tbTransactions[[#This Row],[Qty]]*tbTransactions[[#This Row],[Unit Cost]]*tbTransactions[[#This Row],[Exchange Rate]]</f>
        <v>-14.066485897692747</v>
      </c>
      <c r="I976" s="148" t="s">
        <v>586</v>
      </c>
      <c r="J976" s="176" t="s">
        <v>22</v>
      </c>
      <c r="K976" s="163" t="str">
        <f>IF(tbTransactions[[#This Row],[Sub-Type]]="Transfer","Neutral",IF(tbTransactions[[#This Row],[Qty]]&lt;0,"Debit",IF(tbTransactions[[#This Row],[Qty]]&gt;0,"Credit","Neutral")))</f>
        <v>Debit</v>
      </c>
      <c r="L976" s="163" t="s">
        <v>12</v>
      </c>
      <c r="M976" s="171" t="s">
        <v>541</v>
      </c>
    </row>
    <row r="977" spans="3:13" ht="30" customHeight="1" x14ac:dyDescent="0.25">
      <c r="C977" s="175">
        <v>975</v>
      </c>
      <c r="D977" s="163">
        <v>44555</v>
      </c>
      <c r="E977" s="171">
        <v>0.7</v>
      </c>
      <c r="F977" s="171">
        <v>5200</v>
      </c>
      <c r="G977" s="172">
        <v>1</v>
      </c>
      <c r="H977" s="171">
        <f>tbTransactions[[#This Row],[Qty]]*tbTransactions[[#This Row],[Unit Cost]]*tbTransactions[[#This Row],[Exchange Rate]]</f>
        <v>3639.9999999999995</v>
      </c>
      <c r="I977" s="148" t="s">
        <v>540</v>
      </c>
      <c r="J977" s="176" t="s">
        <v>22</v>
      </c>
      <c r="K977" s="163" t="str">
        <f>IF(tbTransactions[[#This Row],[Sub-Type]]="Transfer","Neutral",IF(tbTransactions[[#This Row],[Qty]]&lt;0,"Debit",IF(tbTransactions[[#This Row],[Qty]]&gt;0,"Credit","Neutral")))</f>
        <v>Neutral</v>
      </c>
      <c r="L977" s="163" t="s">
        <v>32</v>
      </c>
      <c r="M977" s="171" t="s">
        <v>541</v>
      </c>
    </row>
    <row r="978" spans="3:13" ht="30" customHeight="1" x14ac:dyDescent="0.25">
      <c r="C978" s="175">
        <v>976</v>
      </c>
      <c r="D978" s="163">
        <v>44555</v>
      </c>
      <c r="E978" s="171">
        <v>-0.7</v>
      </c>
      <c r="F978" s="171">
        <v>0</v>
      </c>
      <c r="G978" s="172">
        <v>1</v>
      </c>
      <c r="H978" s="171">
        <f>tbTransactions[[#This Row],[Qty]]*tbTransactions[[#This Row],[Unit Cost]]*tbTransactions[[#This Row],[Exchange Rate]]</f>
        <v>0</v>
      </c>
      <c r="I978" s="148" t="s">
        <v>540</v>
      </c>
      <c r="J978" s="176" t="s">
        <v>22</v>
      </c>
      <c r="K978" s="163" t="str">
        <f>IF(tbTransactions[[#This Row],[Sub-Type]]="Transfer","Neutral",IF(tbTransactions[[#This Row],[Qty]]&lt;0,"Debit",IF(tbTransactions[[#This Row],[Qty]]&gt;0,"Credit","Neutral")))</f>
        <v>Neutral</v>
      </c>
      <c r="L978" s="163" t="s">
        <v>32</v>
      </c>
      <c r="M978" s="171" t="s">
        <v>543</v>
      </c>
    </row>
    <row r="979" spans="3:13" ht="30" customHeight="1" x14ac:dyDescent="0.25">
      <c r="C979" s="175">
        <v>977</v>
      </c>
      <c r="D979" s="163">
        <v>44555</v>
      </c>
      <c r="E979" s="171">
        <v>0.7</v>
      </c>
      <c r="F979" s="171">
        <v>0</v>
      </c>
      <c r="G979" s="172">
        <v>1</v>
      </c>
      <c r="H979" s="171">
        <f>tbTransactions[[#This Row],[Qty]]*tbTransactions[[#This Row],[Unit Cost]]*tbTransactions[[#This Row],[Exchange Rate]]</f>
        <v>0</v>
      </c>
      <c r="I979" s="148" t="s">
        <v>542</v>
      </c>
      <c r="J979" s="176" t="s">
        <v>22</v>
      </c>
      <c r="K979" s="163" t="str">
        <f>IF(tbTransactions[[#This Row],[Sub-Type]]="Transfer","Neutral",IF(tbTransactions[[#This Row],[Qty]]&lt;0,"Debit",IF(tbTransactions[[#This Row],[Qty]]&gt;0,"Credit","Neutral")))</f>
        <v>Neutral</v>
      </c>
      <c r="L979" s="163" t="s">
        <v>32</v>
      </c>
      <c r="M979" s="171" t="s">
        <v>543</v>
      </c>
    </row>
    <row r="980" spans="3:13" ht="30" customHeight="1" x14ac:dyDescent="0.25">
      <c r="C980" s="175">
        <v>978</v>
      </c>
      <c r="D980" s="163">
        <v>44556</v>
      </c>
      <c r="E980" s="171">
        <v>-1968.683293</v>
      </c>
      <c r="F980" s="171">
        <v>1.86</v>
      </c>
      <c r="G980" s="172">
        <v>1</v>
      </c>
      <c r="H980" s="171">
        <f>tbTransactions[[#This Row],[Qty]]*tbTransactions[[#This Row],[Unit Cost]]*tbTransactions[[#This Row],[Exchange Rate]]</f>
        <v>-3661.7509249800005</v>
      </c>
      <c r="I980" s="148" t="s">
        <v>507</v>
      </c>
      <c r="J980" s="176" t="s">
        <v>17</v>
      </c>
      <c r="K980" s="163" t="str">
        <f>IF(tbTransactions[[#This Row],[Sub-Type]]="Transfer","Neutral",IF(tbTransactions[[#This Row],[Qty]]&lt;0,"Debit",IF(tbTransactions[[#This Row],[Qty]]&gt;0,"Credit","Neutral")))</f>
        <v>Neutral</v>
      </c>
      <c r="L980" s="163" t="s">
        <v>32</v>
      </c>
      <c r="M980" s="171" t="s">
        <v>548</v>
      </c>
    </row>
    <row r="981" spans="3:13" ht="30" customHeight="1" x14ac:dyDescent="0.25">
      <c r="C981" s="175">
        <v>979</v>
      </c>
      <c r="D981" s="163">
        <v>44556</v>
      </c>
      <c r="E981" s="171">
        <v>1968.683293</v>
      </c>
      <c r="F981" s="171">
        <v>1.86</v>
      </c>
      <c r="G981" s="172">
        <v>1</v>
      </c>
      <c r="H981" s="171">
        <f>tbTransactions[[#This Row],[Qty]]*tbTransactions[[#This Row],[Unit Cost]]*tbTransactions[[#This Row],[Exchange Rate]]</f>
        <v>3661.7509249800005</v>
      </c>
      <c r="I981" s="148" t="s">
        <v>504</v>
      </c>
      <c r="J981" s="176" t="s">
        <v>17</v>
      </c>
      <c r="K981" s="163" t="str">
        <f>IF(tbTransactions[[#This Row],[Sub-Type]]="Transfer","Neutral",IF(tbTransactions[[#This Row],[Qty]]&lt;0,"Debit",IF(tbTransactions[[#This Row],[Qty]]&gt;0,"Credit","Neutral")))</f>
        <v>Neutral</v>
      </c>
      <c r="L981" s="163" t="s">
        <v>32</v>
      </c>
      <c r="M981" s="171" t="s">
        <v>548</v>
      </c>
    </row>
    <row r="982" spans="3:13" ht="30" customHeight="1" x14ac:dyDescent="0.25">
      <c r="C982" s="175">
        <v>980</v>
      </c>
      <c r="D982" s="163">
        <v>44556</v>
      </c>
      <c r="E982" s="171">
        <v>-0.18</v>
      </c>
      <c r="F982" s="171">
        <v>1.86</v>
      </c>
      <c r="G982" s="172">
        <v>1</v>
      </c>
      <c r="H982" s="171">
        <f>tbTransactions[[#This Row],[Qty]]*tbTransactions[[#This Row],[Unit Cost]]*tbTransactions[[#This Row],[Exchange Rate]]</f>
        <v>-0.33479999999999999</v>
      </c>
      <c r="I982" s="148" t="s">
        <v>507</v>
      </c>
      <c r="J982" s="176" t="s">
        <v>17</v>
      </c>
      <c r="K982" s="163" t="str">
        <f>IF(tbTransactions[[#This Row],[Sub-Type]]="Transfer","Neutral",IF(tbTransactions[[#This Row],[Qty]]&lt;0,"Debit",IF(tbTransactions[[#This Row],[Qty]]&gt;0,"Credit","Neutral")))</f>
        <v>Neutral</v>
      </c>
      <c r="L982" s="163" t="s">
        <v>32</v>
      </c>
      <c r="M982" s="171" t="s">
        <v>548</v>
      </c>
    </row>
    <row r="983" spans="3:13" ht="30" customHeight="1" x14ac:dyDescent="0.25">
      <c r="C983" s="175">
        <v>981</v>
      </c>
      <c r="D983" s="163">
        <v>44556</v>
      </c>
      <c r="E983" s="171">
        <v>-1968.5000000099999</v>
      </c>
      <c r="F983" s="171">
        <v>1.85</v>
      </c>
      <c r="G983" s="172">
        <v>1</v>
      </c>
      <c r="H983" s="171">
        <f>tbTransactions[[#This Row],[Qty]]*tbTransactions[[#This Row],[Unit Cost]]*tbTransactions[[#This Row],[Exchange Rate]]</f>
        <v>-3641.7250000184999</v>
      </c>
      <c r="I983" s="148" t="s">
        <v>504</v>
      </c>
      <c r="J983" s="176" t="s">
        <v>17</v>
      </c>
      <c r="K983" s="163" t="str">
        <f>IF(tbTransactions[[#This Row],[Sub-Type]]="Transfer","Neutral",IF(tbTransactions[[#This Row],[Qty]]&lt;0,"Debit",IF(tbTransactions[[#This Row],[Qty]]&gt;0,"Credit","Neutral")))</f>
        <v>Debit</v>
      </c>
      <c r="L983" s="163" t="s">
        <v>603</v>
      </c>
      <c r="M983" s="171" t="s">
        <v>775</v>
      </c>
    </row>
    <row r="984" spans="3:13" ht="30" customHeight="1" x14ac:dyDescent="0.25">
      <c r="C984" s="175">
        <v>982</v>
      </c>
      <c r="D984" s="163">
        <v>44556</v>
      </c>
      <c r="E984" s="171">
        <v>0.66470013999999999</v>
      </c>
      <c r="F984" s="171">
        <v>5202</v>
      </c>
      <c r="G984" s="172">
        <v>1</v>
      </c>
      <c r="H984" s="171">
        <f>tbTransactions[[#This Row],[Qty]]*tbTransactions[[#This Row],[Unit Cost]]*tbTransactions[[#This Row],[Exchange Rate]]</f>
        <v>3457.7701282799999</v>
      </c>
      <c r="I984" s="148" t="s">
        <v>504</v>
      </c>
      <c r="J984" s="176" t="s">
        <v>22</v>
      </c>
      <c r="K984" s="163" t="str">
        <f>IF(tbTransactions[[#This Row],[Sub-Type]]="Transfer","Neutral",IF(tbTransactions[[#This Row],[Qty]]&lt;0,"Debit",IF(tbTransactions[[#This Row],[Qty]]&gt;0,"Credit","Neutral")))</f>
        <v>Credit</v>
      </c>
      <c r="L984" s="163" t="s">
        <v>603</v>
      </c>
      <c r="M984" s="171" t="s">
        <v>775</v>
      </c>
    </row>
    <row r="985" spans="3:13" ht="30" customHeight="1" x14ac:dyDescent="0.25">
      <c r="C985" s="175">
        <v>984</v>
      </c>
      <c r="D985" s="163">
        <v>44556</v>
      </c>
      <c r="E985" s="171">
        <v>-0.66270013000000005</v>
      </c>
      <c r="F985" s="171">
        <v>5189</v>
      </c>
      <c r="G985" s="172">
        <v>1</v>
      </c>
      <c r="H985" s="171">
        <f>tbTransactions[[#This Row],[Qty]]*tbTransactions[[#This Row],[Unit Cost]]*tbTransactions[[#This Row],[Exchange Rate]]</f>
        <v>-3438.7509745700004</v>
      </c>
      <c r="I985" s="148" t="s">
        <v>504</v>
      </c>
      <c r="J985" s="176" t="s">
        <v>22</v>
      </c>
      <c r="K985" s="163" t="str">
        <f>IF(tbTransactions[[#This Row],[Sub-Type]]="Transfer","Neutral",IF(tbTransactions[[#This Row],[Qty]]&lt;0,"Debit",IF(tbTransactions[[#This Row],[Qty]]&gt;0,"Credit","Neutral")))</f>
        <v>Neutral</v>
      </c>
      <c r="L985" s="163" t="s">
        <v>32</v>
      </c>
      <c r="M985" s="171" t="s">
        <v>541</v>
      </c>
    </row>
    <row r="986" spans="3:13" ht="30" customHeight="1" x14ac:dyDescent="0.25">
      <c r="C986" s="175">
        <v>985</v>
      </c>
      <c r="D986" s="163">
        <v>44556</v>
      </c>
      <c r="E986" s="171">
        <v>0.66270013000000005</v>
      </c>
      <c r="F986" s="171">
        <v>5189</v>
      </c>
      <c r="G986" s="172">
        <v>1</v>
      </c>
      <c r="H986" s="171">
        <f>tbTransactions[[#This Row],[Qty]]*tbTransactions[[#This Row],[Unit Cost]]*tbTransactions[[#This Row],[Exchange Rate]]</f>
        <v>3438.7509745700004</v>
      </c>
      <c r="I986" s="148" t="s">
        <v>540</v>
      </c>
      <c r="J986" s="176" t="s">
        <v>22</v>
      </c>
      <c r="K986" s="163" t="str">
        <f>IF(tbTransactions[[#This Row],[Sub-Type]]="Transfer","Neutral",IF(tbTransactions[[#This Row],[Qty]]&lt;0,"Debit",IF(tbTransactions[[#This Row],[Qty]]&gt;0,"Credit","Neutral")))</f>
        <v>Neutral</v>
      </c>
      <c r="L986" s="163" t="s">
        <v>32</v>
      </c>
      <c r="M986" s="171" t="s">
        <v>541</v>
      </c>
    </row>
    <row r="987" spans="3:13" ht="30" customHeight="1" x14ac:dyDescent="0.25">
      <c r="C987" s="175">
        <v>986</v>
      </c>
      <c r="D987" s="163">
        <v>44556</v>
      </c>
      <c r="E987" s="171">
        <v>-7.0000000000000007E-2</v>
      </c>
      <c r="F987" s="171">
        <v>5189</v>
      </c>
      <c r="G987" s="172">
        <v>1</v>
      </c>
      <c r="H987" s="171">
        <f>tbTransactions[[#This Row],[Qty]]*tbTransactions[[#This Row],[Unit Cost]]*tbTransactions[[#This Row],[Exchange Rate]]</f>
        <v>-363.23</v>
      </c>
      <c r="I987" s="148" t="s">
        <v>504</v>
      </c>
      <c r="J987" s="176" t="s">
        <v>22</v>
      </c>
      <c r="K987" s="163" t="str">
        <f>IF(tbTransactions[[#This Row],[Sub-Type]]="Transfer","Neutral",IF(tbTransactions[[#This Row],[Qty]]&lt;0,"Debit",IF(tbTransactions[[#This Row],[Qty]]&gt;0,"Credit","Neutral")))</f>
        <v>Debit</v>
      </c>
      <c r="L987" s="163" t="s">
        <v>12</v>
      </c>
      <c r="M987" s="171" t="s">
        <v>541</v>
      </c>
    </row>
    <row r="988" spans="3:13" ht="30" customHeight="1" x14ac:dyDescent="0.25">
      <c r="C988" s="175">
        <v>987</v>
      </c>
      <c r="D988" s="163">
        <v>44556</v>
      </c>
      <c r="E988" s="171">
        <v>-0.66270013000000005</v>
      </c>
      <c r="F988" s="171">
        <v>5193</v>
      </c>
      <c r="G988" s="172">
        <v>1</v>
      </c>
      <c r="H988" s="171">
        <f>tbTransactions[[#This Row],[Qty]]*tbTransactions[[#This Row],[Unit Cost]]*tbTransactions[[#This Row],[Exchange Rate]]</f>
        <v>-3441.4017750900002</v>
      </c>
      <c r="I988" s="148" t="s">
        <v>540</v>
      </c>
      <c r="J988" s="176" t="s">
        <v>22</v>
      </c>
      <c r="K988" s="163" t="str">
        <f>IF(tbTransactions[[#This Row],[Sub-Type]]="Transfer","Neutral",IF(tbTransactions[[#This Row],[Qty]]&lt;0,"Debit",IF(tbTransactions[[#This Row],[Qty]]&gt;0,"Credit","Neutral")))</f>
        <v>Neutral</v>
      </c>
      <c r="L988" s="163" t="s">
        <v>32</v>
      </c>
      <c r="M988" s="171" t="s">
        <v>543</v>
      </c>
    </row>
    <row r="989" spans="3:13" ht="30" customHeight="1" x14ac:dyDescent="0.25">
      <c r="C989" s="175">
        <v>988</v>
      </c>
      <c r="D989" s="163">
        <v>44556</v>
      </c>
      <c r="E989" s="171">
        <v>0.66270013000000005</v>
      </c>
      <c r="F989" s="171">
        <v>5193</v>
      </c>
      <c r="G989" s="172">
        <v>1</v>
      </c>
      <c r="H989" s="171">
        <f>tbTransactions[[#This Row],[Qty]]*tbTransactions[[#This Row],[Unit Cost]]*tbTransactions[[#This Row],[Exchange Rate]]</f>
        <v>3441.4017750900002</v>
      </c>
      <c r="I989" s="148" t="s">
        <v>542</v>
      </c>
      <c r="J989" s="176" t="s">
        <v>22</v>
      </c>
      <c r="K989" s="163" t="str">
        <f>IF(tbTransactions[[#This Row],[Sub-Type]]="Transfer","Neutral",IF(tbTransactions[[#This Row],[Qty]]&lt;0,"Debit",IF(tbTransactions[[#This Row],[Qty]]&gt;0,"Credit","Neutral")))</f>
        <v>Neutral</v>
      </c>
      <c r="L989" s="163" t="s">
        <v>32</v>
      </c>
      <c r="M989" s="171" t="s">
        <v>543</v>
      </c>
    </row>
    <row r="990" spans="3:13" ht="30" customHeight="1" x14ac:dyDescent="0.25">
      <c r="C990" s="175">
        <v>989</v>
      </c>
      <c r="D990" s="163">
        <v>44556</v>
      </c>
      <c r="E990" s="171">
        <v>-1.588174</v>
      </c>
      <c r="F990" s="171">
        <v>1.85</v>
      </c>
      <c r="G990" s="172">
        <v>1</v>
      </c>
      <c r="H990" s="171">
        <f>tbTransactions[[#This Row],[Qty]]*tbTransactions[[#This Row],[Unit Cost]]*tbTransactions[[#This Row],[Exchange Rate]]</f>
        <v>-2.9381219000000001</v>
      </c>
      <c r="I990" s="148" t="s">
        <v>507</v>
      </c>
      <c r="J990" s="176" t="s">
        <v>17</v>
      </c>
      <c r="K990" s="163" t="str">
        <f>IF(tbTransactions[[#This Row],[Sub-Type]]="Transfer","Neutral",IF(tbTransactions[[#This Row],[Qty]]&lt;0,"Debit",IF(tbTransactions[[#This Row],[Qty]]&gt;0,"Credit","Neutral")))</f>
        <v>Debit</v>
      </c>
      <c r="L990" s="163" t="s">
        <v>29</v>
      </c>
      <c r="M990" s="171"/>
    </row>
    <row r="991" spans="3:13" ht="30" customHeight="1" x14ac:dyDescent="0.25">
      <c r="C991" s="175">
        <v>990</v>
      </c>
      <c r="D991" s="163">
        <v>44556</v>
      </c>
      <c r="E991" s="171">
        <v>5.2892546499999998E-2</v>
      </c>
      <c r="F991" s="171">
        <v>0</v>
      </c>
      <c r="G991" s="172">
        <v>1</v>
      </c>
      <c r="H991" s="171">
        <f>tbTransactions[[#This Row],[Qty]]*tbTransactions[[#This Row],[Unit Cost]]*tbTransactions[[#This Row],[Exchange Rate]]</f>
        <v>0</v>
      </c>
      <c r="I991" s="148" t="s">
        <v>511</v>
      </c>
      <c r="J991" s="176" t="s">
        <v>20</v>
      </c>
      <c r="K991" s="163" t="str">
        <f>IF(tbTransactions[[#This Row],[Sub-Type]]="Transfer","Neutral",IF(tbTransactions[[#This Row],[Qty]]&lt;0,"Debit",IF(tbTransactions[[#This Row],[Qty]]&gt;0,"Credit","Neutral")))</f>
        <v>Credit</v>
      </c>
      <c r="L991" s="163" t="s">
        <v>518</v>
      </c>
      <c r="M991" s="171" t="s">
        <v>465</v>
      </c>
    </row>
    <row r="992" spans="3:13" ht="30" customHeight="1" x14ac:dyDescent="0.25">
      <c r="C992" s="175">
        <v>991</v>
      </c>
      <c r="D992" s="163">
        <v>44563</v>
      </c>
      <c r="E992" s="171">
        <v>0.50561</v>
      </c>
      <c r="F992" s="171">
        <v>0</v>
      </c>
      <c r="G992" s="172">
        <v>1</v>
      </c>
      <c r="H992" s="171">
        <f>tbTransactions[[#This Row],[Qty]]*tbTransactions[[#This Row],[Unit Cost]]*tbTransactions[[#This Row],[Exchange Rate]]</f>
        <v>0</v>
      </c>
      <c r="I992" s="148" t="s">
        <v>431</v>
      </c>
      <c r="J992" s="176" t="s">
        <v>18</v>
      </c>
      <c r="K992" s="163" t="str">
        <f>IF(tbTransactions[[#This Row],[Sub-Type]]="Transfer","Neutral",IF(tbTransactions[[#This Row],[Qty]]&lt;0,"Debit",IF(tbTransactions[[#This Row],[Qty]]&gt;0,"Credit","Neutral")))</f>
        <v>Credit</v>
      </c>
      <c r="L992" s="163" t="s">
        <v>518</v>
      </c>
      <c r="M992" s="171" t="s">
        <v>40</v>
      </c>
    </row>
    <row r="993" spans="3:13" ht="30" customHeight="1" x14ac:dyDescent="0.25">
      <c r="C993" s="175">
        <v>992</v>
      </c>
      <c r="D993" s="163">
        <v>44562</v>
      </c>
      <c r="E993" s="171">
        <v>1.9359682999999999E-2</v>
      </c>
      <c r="F993" s="171">
        <v>0</v>
      </c>
      <c r="G993" s="172">
        <v>1</v>
      </c>
      <c r="H993" s="171">
        <f>tbTransactions[[#This Row],[Qty]]*tbTransactions[[#This Row],[Unit Cost]]*tbTransactions[[#This Row],[Exchange Rate]]</f>
        <v>0</v>
      </c>
      <c r="I993" s="148" t="s">
        <v>542</v>
      </c>
      <c r="J993" s="176" t="s">
        <v>22</v>
      </c>
      <c r="K993" s="163" t="str">
        <f>IF(tbTransactions[[#This Row],[Sub-Type]]="Transfer","Neutral",IF(tbTransactions[[#This Row],[Qty]]&lt;0,"Debit",IF(tbTransactions[[#This Row],[Qty]]&gt;0,"Credit","Neutral")))</f>
        <v>Credit</v>
      </c>
      <c r="L993" s="163" t="s">
        <v>518</v>
      </c>
      <c r="M993" s="171" t="s">
        <v>556</v>
      </c>
    </row>
    <row r="994" spans="3:13" ht="30" customHeight="1" x14ac:dyDescent="0.25">
      <c r="C994" s="175">
        <v>993</v>
      </c>
      <c r="D994" s="163">
        <v>44569</v>
      </c>
      <c r="E994" s="171">
        <v>1.9342949000000002E-2</v>
      </c>
      <c r="F994" s="171">
        <v>0</v>
      </c>
      <c r="G994" s="172">
        <v>1</v>
      </c>
      <c r="H994" s="171">
        <f>tbTransactions[[#This Row],[Qty]]*tbTransactions[[#This Row],[Unit Cost]]*tbTransactions[[#This Row],[Exchange Rate]]</f>
        <v>0</v>
      </c>
      <c r="I994" s="148" t="s">
        <v>542</v>
      </c>
      <c r="J994" s="176" t="s">
        <v>22</v>
      </c>
      <c r="K994" s="163" t="str">
        <f>IF(tbTransactions[[#This Row],[Sub-Type]]="Transfer","Neutral",IF(tbTransactions[[#This Row],[Qty]]&lt;0,"Debit",IF(tbTransactions[[#This Row],[Qty]]&gt;0,"Credit","Neutral")))</f>
        <v>Credit</v>
      </c>
      <c r="L994" s="163" t="s">
        <v>518</v>
      </c>
      <c r="M994" s="171" t="s">
        <v>556</v>
      </c>
    </row>
    <row r="995" spans="3:13" ht="30" customHeight="1" x14ac:dyDescent="0.25">
      <c r="C995" s="175">
        <v>994</v>
      </c>
      <c r="D995" s="163">
        <v>44576</v>
      </c>
      <c r="E995" s="171">
        <v>0.32893</v>
      </c>
      <c r="F995" s="171">
        <v>0</v>
      </c>
      <c r="G995" s="172">
        <v>1</v>
      </c>
      <c r="H995" s="171">
        <f>tbTransactions[[#This Row],[Qty]]*tbTransactions[[#This Row],[Unit Cost]]*tbTransactions[[#This Row],[Exchange Rate]]</f>
        <v>0</v>
      </c>
      <c r="I995" s="148" t="s">
        <v>431</v>
      </c>
      <c r="J995" s="176" t="s">
        <v>18</v>
      </c>
      <c r="K995" s="163" t="str">
        <f>IF(tbTransactions[[#This Row],[Sub-Type]]="Transfer","Neutral",IF(tbTransactions[[#This Row],[Qty]]&lt;0,"Debit",IF(tbTransactions[[#This Row],[Qty]]&gt;0,"Credit","Neutral")))</f>
        <v>Credit</v>
      </c>
      <c r="L995" s="163" t="s">
        <v>518</v>
      </c>
      <c r="M995" s="171" t="s">
        <v>40</v>
      </c>
    </row>
    <row r="996" spans="3:13" ht="30" customHeight="1" x14ac:dyDescent="0.25">
      <c r="C996" s="175">
        <v>995</v>
      </c>
      <c r="D996" s="163">
        <v>44576</v>
      </c>
      <c r="E996" s="171">
        <v>1.9396856000000001E-2</v>
      </c>
      <c r="F996" s="171">
        <v>0</v>
      </c>
      <c r="G996" s="172">
        <v>1</v>
      </c>
      <c r="H996" s="171">
        <f>tbTransactions[[#This Row],[Qty]]*tbTransactions[[#This Row],[Unit Cost]]*tbTransactions[[#This Row],[Exchange Rate]]</f>
        <v>0</v>
      </c>
      <c r="I996" s="148" t="s">
        <v>542</v>
      </c>
      <c r="J996" s="176" t="s">
        <v>22</v>
      </c>
      <c r="K996" s="163" t="str">
        <f>IF(tbTransactions[[#This Row],[Sub-Type]]="Transfer","Neutral",IF(tbTransactions[[#This Row],[Qty]]&lt;0,"Debit",IF(tbTransactions[[#This Row],[Qty]]&gt;0,"Credit","Neutral")))</f>
        <v>Credit</v>
      </c>
      <c r="L996" s="163" t="s">
        <v>518</v>
      </c>
      <c r="M996" s="171" t="s">
        <v>556</v>
      </c>
    </row>
    <row r="997" spans="3:13" ht="30" customHeight="1" x14ac:dyDescent="0.25">
      <c r="C997" s="175">
        <v>996</v>
      </c>
      <c r="D997" s="163">
        <v>44584</v>
      </c>
      <c r="E997" s="171">
        <v>1.9199883000000001E-2</v>
      </c>
      <c r="F997" s="171">
        <v>0</v>
      </c>
      <c r="G997" s="172">
        <v>1</v>
      </c>
      <c r="H997" s="171">
        <f>tbTransactions[[#This Row],[Qty]]*tbTransactions[[#This Row],[Unit Cost]]*tbTransactions[[#This Row],[Exchange Rate]]</f>
        <v>0</v>
      </c>
      <c r="I997" s="148" t="s">
        <v>542</v>
      </c>
      <c r="J997" s="176" t="s">
        <v>22</v>
      </c>
      <c r="K997" s="163" t="str">
        <f>IF(tbTransactions[[#This Row],[Sub-Type]]="Transfer","Neutral",IF(tbTransactions[[#This Row],[Qty]]&lt;0,"Debit",IF(tbTransactions[[#This Row],[Qty]]&gt;0,"Credit","Neutral")))</f>
        <v>Credit</v>
      </c>
      <c r="L997" s="163" t="s">
        <v>518</v>
      </c>
      <c r="M997" s="171" t="s">
        <v>556</v>
      </c>
    </row>
    <row r="998" spans="3:13" ht="30" customHeight="1" x14ac:dyDescent="0.25">
      <c r="C998" s="175">
        <v>997</v>
      </c>
      <c r="D998" s="163">
        <v>44584</v>
      </c>
      <c r="E998" s="171">
        <v>0.230604</v>
      </c>
      <c r="F998" s="171">
        <v>0</v>
      </c>
      <c r="G998" s="172">
        <v>1</v>
      </c>
      <c r="H998" s="171">
        <f>tbTransactions[[#This Row],[Qty]]*tbTransactions[[#This Row],[Unit Cost]]*tbTransactions[[#This Row],[Exchange Rate]]</f>
        <v>0</v>
      </c>
      <c r="I998" s="148" t="s">
        <v>431</v>
      </c>
      <c r="J998" s="176" t="s">
        <v>18</v>
      </c>
      <c r="K998" s="163" t="str">
        <f>IF(tbTransactions[[#This Row],[Sub-Type]]="Transfer","Neutral",IF(tbTransactions[[#This Row],[Qty]]&lt;0,"Debit",IF(tbTransactions[[#This Row],[Qty]]&gt;0,"Credit","Neutral")))</f>
        <v>Credit</v>
      </c>
      <c r="L998" s="163" t="s">
        <v>518</v>
      </c>
      <c r="M998" s="171" t="s">
        <v>40</v>
      </c>
    </row>
    <row r="999" spans="3:13" ht="30" customHeight="1" x14ac:dyDescent="0.25">
      <c r="C999" s="175">
        <v>998</v>
      </c>
      <c r="D999" s="163">
        <v>44584</v>
      </c>
      <c r="E999" s="171">
        <v>-1.4487999702000001</v>
      </c>
      <c r="F999" s="171">
        <v>22.64</v>
      </c>
      <c r="G999" s="172">
        <v>1</v>
      </c>
      <c r="H999" s="171">
        <f>tbTransactions[[#This Row],[Qty]]*tbTransactions[[#This Row],[Unit Cost]]*tbTransactions[[#This Row],[Exchange Rate]]</f>
        <v>-32.800831325328005</v>
      </c>
      <c r="I999" s="148" t="s">
        <v>776</v>
      </c>
      <c r="J999" s="176" t="s">
        <v>20</v>
      </c>
      <c r="K999" s="163" t="str">
        <f>IF(tbTransactions[[#This Row],[Sub-Type]]="Transfer","Neutral",IF(tbTransactions[[#This Row],[Qty]]&lt;0,"Debit",IF(tbTransactions[[#This Row],[Qty]]&gt;0,"Credit","Neutral")))</f>
        <v>Neutral</v>
      </c>
      <c r="L999" s="163" t="s">
        <v>32</v>
      </c>
      <c r="M999" s="171" t="s">
        <v>777</v>
      </c>
    </row>
    <row r="1000" spans="3:13" ht="30" customHeight="1" x14ac:dyDescent="0.25">
      <c r="C1000" s="175">
        <v>999</v>
      </c>
      <c r="D1000" s="163">
        <v>44584</v>
      </c>
      <c r="E1000" s="171">
        <v>-90.160736227900003</v>
      </c>
      <c r="F1000" s="171">
        <v>22.64</v>
      </c>
      <c r="G1000" s="172">
        <v>1</v>
      </c>
      <c r="H1000" s="171">
        <f>tbTransactions[[#This Row],[Qty]]*tbTransactions[[#This Row],[Unit Cost]]*tbTransactions[[#This Row],[Exchange Rate]]</f>
        <v>-2041.239068199656</v>
      </c>
      <c r="I1000" s="148" t="s">
        <v>511</v>
      </c>
      <c r="J1000" s="176" t="s">
        <v>20</v>
      </c>
      <c r="K1000" s="163" t="str">
        <f>IF(tbTransactions[[#This Row],[Sub-Type]]="Transfer","Neutral",IF(tbTransactions[[#This Row],[Qty]]&lt;0,"Debit",IF(tbTransactions[[#This Row],[Qty]]&gt;0,"Credit","Neutral")))</f>
        <v>Neutral</v>
      </c>
      <c r="L1000" s="163" t="s">
        <v>32</v>
      </c>
      <c r="M1000" s="171" t="s">
        <v>777</v>
      </c>
    </row>
    <row r="1001" spans="3:13" ht="30" customHeight="1" x14ac:dyDescent="0.25">
      <c r="C1001" s="175">
        <v>1000</v>
      </c>
      <c r="D1001" s="163">
        <v>44584</v>
      </c>
      <c r="E1001" s="171">
        <v>1.4487999702000001</v>
      </c>
      <c r="F1001" s="171">
        <v>22.64</v>
      </c>
      <c r="G1001" s="172">
        <v>1</v>
      </c>
      <c r="H1001" s="171">
        <f>tbTransactions[[#This Row],[Qty]]*tbTransactions[[#This Row],[Unit Cost]]*tbTransactions[[#This Row],[Exchange Rate]]</f>
        <v>32.800831325328005</v>
      </c>
      <c r="I1001" s="148" t="s">
        <v>540</v>
      </c>
      <c r="J1001" s="176" t="s">
        <v>20</v>
      </c>
      <c r="K1001" s="163" t="str">
        <f>IF(tbTransactions[[#This Row],[Sub-Type]]="Transfer","Neutral",IF(tbTransactions[[#This Row],[Qty]]&lt;0,"Debit",IF(tbTransactions[[#This Row],[Qty]]&gt;0,"Credit","Neutral")))</f>
        <v>Neutral</v>
      </c>
      <c r="L1001" s="163" t="s">
        <v>32</v>
      </c>
      <c r="M1001" s="171" t="s">
        <v>777</v>
      </c>
    </row>
    <row r="1002" spans="3:13" ht="30" customHeight="1" x14ac:dyDescent="0.25">
      <c r="C1002" s="175">
        <v>1001</v>
      </c>
      <c r="D1002" s="163">
        <v>44584</v>
      </c>
      <c r="E1002" s="171">
        <v>90.160736227900003</v>
      </c>
      <c r="F1002" s="171">
        <v>22.64</v>
      </c>
      <c r="G1002" s="172">
        <v>1</v>
      </c>
      <c r="H1002" s="171">
        <f>tbTransactions[[#This Row],[Qty]]*tbTransactions[[#This Row],[Unit Cost]]*tbTransactions[[#This Row],[Exchange Rate]]</f>
        <v>2041.239068199656</v>
      </c>
      <c r="I1002" s="148" t="s">
        <v>540</v>
      </c>
      <c r="J1002" s="176" t="s">
        <v>20</v>
      </c>
      <c r="K1002" s="163" t="str">
        <f>IF(tbTransactions[[#This Row],[Sub-Type]]="Transfer","Neutral",IF(tbTransactions[[#This Row],[Qty]]&lt;0,"Debit",IF(tbTransactions[[#This Row],[Qty]]&gt;0,"Credit","Neutral")))</f>
        <v>Neutral</v>
      </c>
      <c r="L1002" s="163" t="s">
        <v>32</v>
      </c>
      <c r="M1002" s="171" t="s">
        <v>777</v>
      </c>
    </row>
    <row r="1003" spans="3:13" ht="30" customHeight="1" x14ac:dyDescent="0.25">
      <c r="C1003" s="175">
        <v>1002</v>
      </c>
      <c r="D1003" s="163">
        <v>44585</v>
      </c>
      <c r="E1003" s="171">
        <v>2.8415679999999999E-2</v>
      </c>
      <c r="F1003" s="171">
        <v>0</v>
      </c>
      <c r="G1003" s="172">
        <v>1</v>
      </c>
      <c r="H1003" s="171">
        <f>tbTransactions[[#This Row],[Qty]]*tbTransactions[[#This Row],[Unit Cost]]*tbTransactions[[#This Row],[Exchange Rate]]</f>
        <v>0</v>
      </c>
      <c r="I1003" s="148" t="s">
        <v>540</v>
      </c>
      <c r="J1003" s="176" t="s">
        <v>20</v>
      </c>
      <c r="K1003" s="163" t="str">
        <f>IF(tbTransactions[[#This Row],[Sub-Type]]="Transfer","Neutral",IF(tbTransactions[[#This Row],[Qty]]&lt;0,"Debit",IF(tbTransactions[[#This Row],[Qty]]&gt;0,"Credit","Neutral")))</f>
        <v>Credit</v>
      </c>
      <c r="L1003" s="163" t="s">
        <v>518</v>
      </c>
      <c r="M1003" s="171" t="s">
        <v>465</v>
      </c>
    </row>
    <row r="1004" spans="3:13" ht="30" customHeight="1" x14ac:dyDescent="0.25">
      <c r="C1004" s="175">
        <v>1003</v>
      </c>
      <c r="D1004" s="163">
        <v>44588</v>
      </c>
      <c r="E1004" s="171">
        <v>9.0311929999999999E-2</v>
      </c>
      <c r="F1004" s="171">
        <v>0</v>
      </c>
      <c r="G1004" s="172">
        <v>1</v>
      </c>
      <c r="H1004" s="171">
        <f>tbTransactions[[#This Row],[Qty]]*tbTransactions[[#This Row],[Unit Cost]]*tbTransactions[[#This Row],[Exchange Rate]]</f>
        <v>0</v>
      </c>
      <c r="I1004" s="148" t="s">
        <v>540</v>
      </c>
      <c r="J1004" s="176" t="s">
        <v>20</v>
      </c>
      <c r="K1004" s="163" t="str">
        <f>IF(tbTransactions[[#This Row],[Sub-Type]]="Transfer","Neutral",IF(tbTransactions[[#This Row],[Qty]]&lt;0,"Debit",IF(tbTransactions[[#This Row],[Qty]]&gt;0,"Credit","Neutral")))</f>
        <v>Credit</v>
      </c>
      <c r="L1004" s="163" t="s">
        <v>518</v>
      </c>
      <c r="M1004" s="171" t="s">
        <v>465</v>
      </c>
    </row>
    <row r="1005" spans="3:13" ht="30" customHeight="1" x14ac:dyDescent="0.25">
      <c r="C1005" s="175">
        <v>1004</v>
      </c>
      <c r="D1005" s="163">
        <v>44590</v>
      </c>
      <c r="E1005" s="171">
        <v>1.9124155E-2</v>
      </c>
      <c r="F1005" s="171">
        <v>0</v>
      </c>
      <c r="G1005" s="172">
        <v>1</v>
      </c>
      <c r="H1005" s="171">
        <f>tbTransactions[[#This Row],[Qty]]*tbTransactions[[#This Row],[Unit Cost]]*tbTransactions[[#This Row],[Exchange Rate]]</f>
        <v>0</v>
      </c>
      <c r="I1005" s="148" t="s">
        <v>542</v>
      </c>
      <c r="J1005" s="176" t="s">
        <v>22</v>
      </c>
      <c r="K1005" s="163" t="str">
        <f>IF(tbTransactions[[#This Row],[Sub-Type]]="Transfer","Neutral",IF(tbTransactions[[#This Row],[Qty]]&lt;0,"Debit",IF(tbTransactions[[#This Row],[Qty]]&gt;0,"Credit","Neutral")))</f>
        <v>Credit</v>
      </c>
      <c r="L1005" s="163" t="s">
        <v>518</v>
      </c>
      <c r="M1005" s="171" t="s">
        <v>556</v>
      </c>
    </row>
    <row r="1006" spans="3:13" ht="30" customHeight="1" x14ac:dyDescent="0.25">
      <c r="C1006" s="175">
        <v>1005</v>
      </c>
      <c r="D1006" s="163">
        <v>44592</v>
      </c>
      <c r="E1006" s="171">
        <v>0.19</v>
      </c>
      <c r="F1006" s="171">
        <v>0</v>
      </c>
      <c r="G1006" s="172">
        <v>1</v>
      </c>
      <c r="H1006" s="171">
        <f>tbTransactions[[#This Row],[Qty]]*tbTransactions[[#This Row],[Unit Cost]]*tbTransactions[[#This Row],[Exchange Rate]]</f>
        <v>0</v>
      </c>
      <c r="I1006" s="148" t="s">
        <v>431</v>
      </c>
      <c r="J1006" s="176" t="s">
        <v>18</v>
      </c>
      <c r="K1006" s="163" t="str">
        <f>IF(tbTransactions[[#This Row],[Sub-Type]]="Transfer","Neutral",IF(tbTransactions[[#This Row],[Qty]]&lt;0,"Debit",IF(tbTransactions[[#This Row],[Qty]]&gt;0,"Credit","Neutral")))</f>
        <v>Credit</v>
      </c>
      <c r="L1006" s="163" t="s">
        <v>518</v>
      </c>
      <c r="M1006" s="171" t="s">
        <v>40</v>
      </c>
    </row>
    <row r="1007" spans="3:13" ht="30" customHeight="1" x14ac:dyDescent="0.25">
      <c r="C1007" s="175">
        <v>1006</v>
      </c>
      <c r="D1007" s="163">
        <v>44595</v>
      </c>
      <c r="E1007" s="171">
        <v>9.0492580000000003E-2</v>
      </c>
      <c r="F1007" s="171">
        <v>0</v>
      </c>
      <c r="G1007" s="172">
        <v>1</v>
      </c>
      <c r="H1007" s="171">
        <f>tbTransactions[[#This Row],[Qty]]*tbTransactions[[#This Row],[Unit Cost]]*tbTransactions[[#This Row],[Exchange Rate]]</f>
        <v>0</v>
      </c>
      <c r="I1007" s="148" t="s">
        <v>540</v>
      </c>
      <c r="J1007" s="176" t="s">
        <v>20</v>
      </c>
      <c r="K1007" s="163" t="str">
        <f>IF(tbTransactions[[#This Row],[Sub-Type]]="Transfer","Neutral",IF(tbTransactions[[#This Row],[Qty]]&lt;0,"Debit",IF(tbTransactions[[#This Row],[Qty]]&gt;0,"Credit","Neutral")))</f>
        <v>Credit</v>
      </c>
      <c r="L1007" s="163" t="s">
        <v>518</v>
      </c>
      <c r="M1007" s="171" t="s">
        <v>465</v>
      </c>
    </row>
    <row r="1008" spans="3:13" ht="30" customHeight="1" x14ac:dyDescent="0.25">
      <c r="C1008" s="175">
        <v>1007</v>
      </c>
      <c r="D1008" s="163">
        <v>44597</v>
      </c>
      <c r="E1008" s="171">
        <v>1.8936581000000001E-2</v>
      </c>
      <c r="F1008" s="171">
        <v>0</v>
      </c>
      <c r="G1008" s="172">
        <v>1</v>
      </c>
      <c r="H1008" s="171">
        <f>tbTransactions[[#This Row],[Qty]]*tbTransactions[[#This Row],[Unit Cost]]*tbTransactions[[#This Row],[Exchange Rate]]</f>
        <v>0</v>
      </c>
      <c r="I1008" s="148" t="s">
        <v>542</v>
      </c>
      <c r="J1008" s="176" t="s">
        <v>22</v>
      </c>
      <c r="K1008" s="163" t="str">
        <f>IF(tbTransactions[[#This Row],[Sub-Type]]="Transfer","Neutral",IF(tbTransactions[[#This Row],[Qty]]&lt;0,"Debit",IF(tbTransactions[[#This Row],[Qty]]&gt;0,"Credit","Neutral")))</f>
        <v>Credit</v>
      </c>
      <c r="L1008" s="163" t="s">
        <v>518</v>
      </c>
      <c r="M1008" s="171" t="s">
        <v>556</v>
      </c>
    </row>
    <row r="1009" spans="3:13" ht="30" customHeight="1" x14ac:dyDescent="0.25">
      <c r="C1009" s="175">
        <v>1008</v>
      </c>
      <c r="D1009" s="163">
        <v>44599</v>
      </c>
      <c r="E1009" s="171">
        <v>0.12079666999999999</v>
      </c>
      <c r="F1009" s="171">
        <v>0</v>
      </c>
      <c r="G1009" s="172">
        <v>1</v>
      </c>
      <c r="H1009" s="171">
        <f>tbTransactions[[#This Row],[Qty]]*tbTransactions[[#This Row],[Unit Cost]]*tbTransactions[[#This Row],[Exchange Rate]]</f>
        <v>0</v>
      </c>
      <c r="I1009" s="148" t="s">
        <v>540</v>
      </c>
      <c r="J1009" s="176" t="s">
        <v>20</v>
      </c>
      <c r="K1009" s="163" t="str">
        <f>IF(tbTransactions[[#This Row],[Sub-Type]]="Transfer","Neutral",IF(tbTransactions[[#This Row],[Qty]]&lt;0,"Debit",IF(tbTransactions[[#This Row],[Qty]]&gt;0,"Credit","Neutral")))</f>
        <v>Credit</v>
      </c>
      <c r="L1009" s="163" t="s">
        <v>518</v>
      </c>
      <c r="M1009" s="171" t="s">
        <v>465</v>
      </c>
    </row>
    <row r="1010" spans="3:13" ht="30" customHeight="1" x14ac:dyDescent="0.25">
      <c r="C1010" s="175">
        <v>1009</v>
      </c>
      <c r="D1010" s="163">
        <v>44603</v>
      </c>
      <c r="E1010" s="171">
        <v>9.0700100000000006E-2</v>
      </c>
      <c r="F1010" s="171">
        <v>0</v>
      </c>
      <c r="G1010" s="172">
        <v>1</v>
      </c>
      <c r="H1010" s="171">
        <f>tbTransactions[[#This Row],[Qty]]*tbTransactions[[#This Row],[Unit Cost]]*tbTransactions[[#This Row],[Exchange Rate]]</f>
        <v>0</v>
      </c>
      <c r="I1010" s="148" t="s">
        <v>540</v>
      </c>
      <c r="J1010" s="176" t="s">
        <v>20</v>
      </c>
      <c r="K1010" s="163" t="str">
        <f>IF(tbTransactions[[#This Row],[Sub-Type]]="Transfer","Neutral",IF(tbTransactions[[#This Row],[Qty]]&lt;0,"Debit",IF(tbTransactions[[#This Row],[Qty]]&gt;0,"Credit","Neutral")))</f>
        <v>Credit</v>
      </c>
      <c r="L1010" s="163" t="s">
        <v>518</v>
      </c>
      <c r="M1010" s="171" t="s">
        <v>465</v>
      </c>
    </row>
    <row r="1011" spans="3:13" ht="30" customHeight="1" x14ac:dyDescent="0.25">
      <c r="C1011" s="175">
        <v>1010</v>
      </c>
      <c r="D1011" s="163">
        <v>44605</v>
      </c>
      <c r="E1011" s="171">
        <v>1.8915370000000001E-2</v>
      </c>
      <c r="F1011" s="171">
        <v>0</v>
      </c>
      <c r="G1011" s="172">
        <v>1</v>
      </c>
      <c r="H1011" s="171">
        <f>tbTransactions[[#This Row],[Qty]]*tbTransactions[[#This Row],[Unit Cost]]*tbTransactions[[#This Row],[Exchange Rate]]</f>
        <v>0</v>
      </c>
      <c r="I1011" s="148" t="s">
        <v>542</v>
      </c>
      <c r="J1011" s="176" t="s">
        <v>22</v>
      </c>
      <c r="K1011" s="163" t="str">
        <f>IF(tbTransactions[[#This Row],[Sub-Type]]="Transfer","Neutral",IF(tbTransactions[[#This Row],[Qty]]&lt;0,"Debit",IF(tbTransactions[[#This Row],[Qty]]&gt;0,"Credit","Neutral")))</f>
        <v>Credit</v>
      </c>
      <c r="L1011" s="163" t="s">
        <v>518</v>
      </c>
      <c r="M1011" s="171" t="s">
        <v>556</v>
      </c>
    </row>
    <row r="1012" spans="3:13" ht="30" customHeight="1" x14ac:dyDescent="0.25">
      <c r="C1012" s="175">
        <v>1011</v>
      </c>
      <c r="D1012" s="163">
        <v>44607</v>
      </c>
      <c r="E1012" s="171">
        <v>0.12107414</v>
      </c>
      <c r="F1012" s="171">
        <v>0</v>
      </c>
      <c r="G1012" s="172">
        <v>1</v>
      </c>
      <c r="H1012" s="171">
        <f>tbTransactions[[#This Row],[Qty]]*tbTransactions[[#This Row],[Unit Cost]]*tbTransactions[[#This Row],[Exchange Rate]]</f>
        <v>0</v>
      </c>
      <c r="I1012" s="148" t="s">
        <v>540</v>
      </c>
      <c r="J1012" s="176" t="s">
        <v>20</v>
      </c>
      <c r="K1012" s="163" t="str">
        <f>IF(tbTransactions[[#This Row],[Sub-Type]]="Transfer","Neutral",IF(tbTransactions[[#This Row],[Qty]]&lt;0,"Debit",IF(tbTransactions[[#This Row],[Qty]]&gt;0,"Credit","Neutral")))</f>
        <v>Credit</v>
      </c>
      <c r="L1012" s="163" t="s">
        <v>518</v>
      </c>
      <c r="M1012" s="171" t="s">
        <v>465</v>
      </c>
    </row>
    <row r="1013" spans="3:13" ht="30" customHeight="1" x14ac:dyDescent="0.25">
      <c r="C1013" s="175">
        <v>1012</v>
      </c>
      <c r="D1013" s="163">
        <v>44608</v>
      </c>
      <c r="E1013" s="171">
        <v>0.40577000000000002</v>
      </c>
      <c r="F1013" s="171">
        <v>0</v>
      </c>
      <c r="G1013" s="172">
        <v>1</v>
      </c>
      <c r="H1013" s="171">
        <f>tbTransactions[[#This Row],[Qty]]*tbTransactions[[#This Row],[Unit Cost]]*tbTransactions[[#This Row],[Exchange Rate]]</f>
        <v>0</v>
      </c>
      <c r="I1013" s="148" t="s">
        <v>431</v>
      </c>
      <c r="J1013" s="176" t="s">
        <v>18</v>
      </c>
      <c r="K1013" s="163" t="str">
        <f>IF(tbTransactions[[#This Row],[Sub-Type]]="Transfer","Neutral",IF(tbTransactions[[#This Row],[Qty]]&lt;0,"Debit",IF(tbTransactions[[#This Row],[Qty]]&gt;0,"Credit","Neutral")))</f>
        <v>Credit</v>
      </c>
      <c r="L1013" s="163" t="s">
        <v>518</v>
      </c>
      <c r="M1013" s="171" t="s">
        <v>40</v>
      </c>
    </row>
    <row r="1014" spans="3:13" ht="30" customHeight="1" x14ac:dyDescent="0.25">
      <c r="C1014" s="175">
        <v>1013</v>
      </c>
      <c r="D1014" s="163">
        <v>44610</v>
      </c>
      <c r="E1014" s="171">
        <v>9.0908359999999994E-2</v>
      </c>
      <c r="F1014" s="171">
        <v>0</v>
      </c>
      <c r="G1014" s="172">
        <v>1</v>
      </c>
      <c r="H1014" s="171">
        <f>tbTransactions[[#This Row],[Qty]]*tbTransactions[[#This Row],[Unit Cost]]*tbTransactions[[#This Row],[Exchange Rate]]</f>
        <v>0</v>
      </c>
      <c r="I1014" s="148" t="s">
        <v>540</v>
      </c>
      <c r="J1014" s="176" t="s">
        <v>20</v>
      </c>
      <c r="K1014" s="163" t="str">
        <f>IF(tbTransactions[[#This Row],[Sub-Type]]="Transfer","Neutral",IF(tbTransactions[[#This Row],[Qty]]&lt;0,"Debit",IF(tbTransactions[[#This Row],[Qty]]&gt;0,"Credit","Neutral")))</f>
        <v>Credit</v>
      </c>
      <c r="L1014" s="163" t="s">
        <v>518</v>
      </c>
      <c r="M1014" s="171" t="s">
        <v>465</v>
      </c>
    </row>
    <row r="1015" spans="3:13" ht="30" customHeight="1" x14ac:dyDescent="0.25">
      <c r="C1015" s="175">
        <v>1014</v>
      </c>
      <c r="D1015" s="163">
        <v>44612</v>
      </c>
      <c r="E1015" s="171">
        <v>1.8742505999999999E-2</v>
      </c>
      <c r="F1015" s="171">
        <v>0</v>
      </c>
      <c r="G1015" s="172">
        <v>1</v>
      </c>
      <c r="H1015" s="171">
        <f>tbTransactions[[#This Row],[Qty]]*tbTransactions[[#This Row],[Unit Cost]]*tbTransactions[[#This Row],[Exchange Rate]]</f>
        <v>0</v>
      </c>
      <c r="I1015" s="148" t="s">
        <v>542</v>
      </c>
      <c r="J1015" s="176" t="s">
        <v>22</v>
      </c>
      <c r="K1015" s="163" t="str">
        <f>IF(tbTransactions[[#This Row],[Sub-Type]]="Transfer","Neutral",IF(tbTransactions[[#This Row],[Qty]]&lt;0,"Debit",IF(tbTransactions[[#This Row],[Qty]]&gt;0,"Credit","Neutral")))</f>
        <v>Credit</v>
      </c>
      <c r="L1015" s="163" t="s">
        <v>518</v>
      </c>
      <c r="M1015" s="171" t="s">
        <v>556</v>
      </c>
    </row>
    <row r="1016" spans="3:13" ht="30" customHeight="1" x14ac:dyDescent="0.25">
      <c r="C1016" s="175">
        <v>1015</v>
      </c>
      <c r="D1016" s="163">
        <v>44614</v>
      </c>
      <c r="E1016" s="171">
        <v>0.12135246</v>
      </c>
      <c r="F1016" s="171">
        <v>0</v>
      </c>
      <c r="G1016" s="172">
        <v>1</v>
      </c>
      <c r="H1016" s="171">
        <f>tbTransactions[[#This Row],[Qty]]*tbTransactions[[#This Row],[Unit Cost]]*tbTransactions[[#This Row],[Exchange Rate]]</f>
        <v>0</v>
      </c>
      <c r="I1016" s="148" t="s">
        <v>540</v>
      </c>
      <c r="J1016" s="176" t="s">
        <v>20</v>
      </c>
      <c r="K1016" s="163" t="str">
        <f>IF(tbTransactions[[#This Row],[Sub-Type]]="Transfer","Neutral",IF(tbTransactions[[#This Row],[Qty]]&lt;0,"Debit",IF(tbTransactions[[#This Row],[Qty]]&gt;0,"Credit","Neutral")))</f>
        <v>Credit</v>
      </c>
      <c r="L1016" s="163" t="s">
        <v>518</v>
      </c>
      <c r="M1016" s="171" t="s">
        <v>465</v>
      </c>
    </row>
    <row r="1017" spans="3:13" ht="30" customHeight="1" x14ac:dyDescent="0.25">
      <c r="C1017" s="175">
        <v>1016</v>
      </c>
      <c r="D1017" s="163">
        <v>44617</v>
      </c>
      <c r="E1017" s="171">
        <v>9.1117249999999997E-2</v>
      </c>
      <c r="F1017" s="171">
        <v>0</v>
      </c>
      <c r="G1017" s="172">
        <v>1</v>
      </c>
      <c r="H1017" s="171">
        <f>tbTransactions[[#This Row],[Qty]]*tbTransactions[[#This Row],[Unit Cost]]*tbTransactions[[#This Row],[Exchange Rate]]</f>
        <v>0</v>
      </c>
      <c r="I1017" s="148" t="s">
        <v>540</v>
      </c>
      <c r="J1017" s="176" t="s">
        <v>20</v>
      </c>
      <c r="K1017" s="163" t="str">
        <f>IF(tbTransactions[[#This Row],[Sub-Type]]="Transfer","Neutral",IF(tbTransactions[[#This Row],[Qty]]&lt;0,"Debit",IF(tbTransactions[[#This Row],[Qty]]&gt;0,"Credit","Neutral")))</f>
        <v>Credit</v>
      </c>
      <c r="L1017" s="163" t="s">
        <v>518</v>
      </c>
      <c r="M1017" s="171" t="s">
        <v>465</v>
      </c>
    </row>
    <row r="1018" spans="3:13" ht="30" customHeight="1" x14ac:dyDescent="0.25">
      <c r="C1018" s="175">
        <v>1017</v>
      </c>
      <c r="D1018" s="163">
        <v>44619</v>
      </c>
      <c r="E1018" s="171">
        <v>1.8624418E-2</v>
      </c>
      <c r="F1018" s="171">
        <v>0</v>
      </c>
      <c r="G1018" s="172">
        <v>1</v>
      </c>
      <c r="H1018" s="171">
        <f>tbTransactions[[#This Row],[Qty]]*tbTransactions[[#This Row],[Unit Cost]]*tbTransactions[[#This Row],[Exchange Rate]]</f>
        <v>0</v>
      </c>
      <c r="I1018" s="148" t="s">
        <v>542</v>
      </c>
      <c r="J1018" s="176" t="s">
        <v>22</v>
      </c>
      <c r="K1018" s="163" t="str">
        <f>IF(tbTransactions[[#This Row],[Sub-Type]]="Transfer","Neutral",IF(tbTransactions[[#This Row],[Qty]]&lt;0,"Debit",IF(tbTransactions[[#This Row],[Qty]]&gt;0,"Credit","Neutral")))</f>
        <v>Credit</v>
      </c>
      <c r="L1018" s="163" t="s">
        <v>518</v>
      </c>
      <c r="M1018" s="171" t="s">
        <v>556</v>
      </c>
    </row>
    <row r="1019" spans="3:13" ht="30" customHeight="1" x14ac:dyDescent="0.25">
      <c r="C1019" s="175">
        <v>1018</v>
      </c>
      <c r="D1019" s="163">
        <v>44619</v>
      </c>
      <c r="E1019" s="171">
        <v>0.27375500000000003</v>
      </c>
      <c r="F1019" s="171">
        <v>0</v>
      </c>
      <c r="G1019" s="172">
        <v>1</v>
      </c>
      <c r="H1019" s="171">
        <f>tbTransactions[[#This Row],[Qty]]*tbTransactions[[#This Row],[Unit Cost]]*tbTransactions[[#This Row],[Exchange Rate]]</f>
        <v>0</v>
      </c>
      <c r="I1019" s="148" t="s">
        <v>431</v>
      </c>
      <c r="J1019" s="176" t="s">
        <v>18</v>
      </c>
      <c r="K1019" s="163" t="str">
        <f>IF(tbTransactions[[#This Row],[Sub-Type]]="Transfer","Neutral",IF(tbTransactions[[#This Row],[Qty]]&lt;0,"Debit",IF(tbTransactions[[#This Row],[Qty]]&gt;0,"Credit","Neutral")))</f>
        <v>Credit</v>
      </c>
      <c r="L1019" s="163" t="s">
        <v>518</v>
      </c>
      <c r="M1019" s="171" t="s">
        <v>40</v>
      </c>
    </row>
    <row r="1020" spans="3:13" ht="30" customHeight="1" x14ac:dyDescent="0.25">
      <c r="C1020" s="175">
        <v>1019</v>
      </c>
      <c r="D1020" s="163">
        <v>44621</v>
      </c>
      <c r="E1020" s="171">
        <v>0.12163147000000001</v>
      </c>
      <c r="F1020" s="171">
        <v>0</v>
      </c>
      <c r="G1020" s="172">
        <v>1</v>
      </c>
      <c r="H1020" s="171">
        <f>tbTransactions[[#This Row],[Qty]]*tbTransactions[[#This Row],[Unit Cost]]*tbTransactions[[#This Row],[Exchange Rate]]</f>
        <v>0</v>
      </c>
      <c r="I1020" s="148" t="s">
        <v>540</v>
      </c>
      <c r="J1020" s="176" t="s">
        <v>20</v>
      </c>
      <c r="K1020" s="163" t="str">
        <f>IF(tbTransactions[[#This Row],[Sub-Type]]="Transfer","Neutral",IF(tbTransactions[[#This Row],[Qty]]&lt;0,"Debit",IF(tbTransactions[[#This Row],[Qty]]&gt;0,"Credit","Neutral")))</f>
        <v>Credit</v>
      </c>
      <c r="L1020" s="163" t="s">
        <v>518</v>
      </c>
      <c r="M1020" s="171" t="s">
        <v>465</v>
      </c>
    </row>
    <row r="1021" spans="3:13" ht="30" customHeight="1" x14ac:dyDescent="0.25">
      <c r="C1021" s="175">
        <v>1020</v>
      </c>
      <c r="D1021" s="163">
        <v>44624</v>
      </c>
      <c r="E1021" s="171">
        <v>9.1326470000000007E-2</v>
      </c>
      <c r="F1021" s="171">
        <v>0</v>
      </c>
      <c r="G1021" s="172">
        <v>1</v>
      </c>
      <c r="H1021" s="171">
        <f>tbTransactions[[#This Row],[Qty]]*tbTransactions[[#This Row],[Unit Cost]]*tbTransactions[[#This Row],[Exchange Rate]]</f>
        <v>0</v>
      </c>
      <c r="I1021" s="148" t="s">
        <v>540</v>
      </c>
      <c r="J1021" s="176" t="s">
        <v>20</v>
      </c>
      <c r="K1021" s="163" t="str">
        <f>IF(tbTransactions[[#This Row],[Sub-Type]]="Transfer","Neutral",IF(tbTransactions[[#This Row],[Qty]]&lt;0,"Debit",IF(tbTransactions[[#This Row],[Qty]]&gt;0,"Credit","Neutral")))</f>
        <v>Credit</v>
      </c>
      <c r="L1021" s="163" t="s">
        <v>518</v>
      </c>
      <c r="M1021" s="171" t="s">
        <v>465</v>
      </c>
    </row>
    <row r="1022" spans="3:13" ht="30" customHeight="1" x14ac:dyDescent="0.25">
      <c r="C1022" s="175">
        <v>1021</v>
      </c>
      <c r="D1022" s="163">
        <v>44626</v>
      </c>
      <c r="E1022" s="171">
        <v>1.8484185E-2</v>
      </c>
      <c r="F1022" s="171">
        <v>0</v>
      </c>
      <c r="G1022" s="172">
        <v>1</v>
      </c>
      <c r="H1022" s="171">
        <f>tbTransactions[[#This Row],[Qty]]*tbTransactions[[#This Row],[Unit Cost]]*tbTransactions[[#This Row],[Exchange Rate]]</f>
        <v>0</v>
      </c>
      <c r="I1022" s="148" t="s">
        <v>542</v>
      </c>
      <c r="J1022" s="176" t="s">
        <v>22</v>
      </c>
      <c r="K1022" s="163" t="str">
        <f>IF(tbTransactions[[#This Row],[Sub-Type]]="Transfer","Neutral",IF(tbTransactions[[#This Row],[Qty]]&lt;0,"Debit",IF(tbTransactions[[#This Row],[Qty]]&gt;0,"Credit","Neutral")))</f>
        <v>Credit</v>
      </c>
      <c r="L1022" s="163" t="s">
        <v>518</v>
      </c>
      <c r="M1022" s="171" t="s">
        <v>556</v>
      </c>
    </row>
    <row r="1023" spans="3:13" ht="30" customHeight="1" x14ac:dyDescent="0.25">
      <c r="C1023" s="175">
        <v>1022</v>
      </c>
      <c r="D1023" s="163">
        <v>44628</v>
      </c>
      <c r="E1023" s="171">
        <v>0.12191103</v>
      </c>
      <c r="F1023" s="171">
        <v>0</v>
      </c>
      <c r="G1023" s="172">
        <v>1</v>
      </c>
      <c r="H1023" s="171">
        <f>tbTransactions[[#This Row],[Qty]]*tbTransactions[[#This Row],[Unit Cost]]*tbTransactions[[#This Row],[Exchange Rate]]</f>
        <v>0</v>
      </c>
      <c r="I1023" s="148" t="s">
        <v>540</v>
      </c>
      <c r="J1023" s="176" t="s">
        <v>20</v>
      </c>
      <c r="K1023" s="163" t="str">
        <f>IF(tbTransactions[[#This Row],[Sub-Type]]="Transfer","Neutral",IF(tbTransactions[[#This Row],[Qty]]&lt;0,"Debit",IF(tbTransactions[[#This Row],[Qty]]&gt;0,"Credit","Neutral")))</f>
        <v>Credit</v>
      </c>
      <c r="L1023" s="163" t="s">
        <v>518</v>
      </c>
      <c r="M1023" s="171" t="s">
        <v>465</v>
      </c>
    </row>
    <row r="1024" spans="3:13" ht="30" customHeight="1" x14ac:dyDescent="0.25">
      <c r="C1024" s="175">
        <v>1023</v>
      </c>
      <c r="D1024" s="163">
        <v>44631</v>
      </c>
      <c r="E1024" s="171">
        <v>9.1536359999999997E-2</v>
      </c>
      <c r="F1024" s="171">
        <v>0</v>
      </c>
      <c r="G1024" s="172">
        <v>1</v>
      </c>
      <c r="H1024" s="171">
        <f>tbTransactions[[#This Row],[Qty]]*tbTransactions[[#This Row],[Unit Cost]]*tbTransactions[[#This Row],[Exchange Rate]]</f>
        <v>0</v>
      </c>
      <c r="I1024" s="148" t="s">
        <v>540</v>
      </c>
      <c r="J1024" s="176" t="s">
        <v>20</v>
      </c>
      <c r="K1024" s="163" t="str">
        <f>IF(tbTransactions[[#This Row],[Sub-Type]]="Transfer","Neutral",IF(tbTransactions[[#This Row],[Qty]]&lt;0,"Debit",IF(tbTransactions[[#This Row],[Qty]]&gt;0,"Credit","Neutral")))</f>
        <v>Credit</v>
      </c>
      <c r="L1024" s="163" t="s">
        <v>518</v>
      </c>
      <c r="M1024" s="171" t="s">
        <v>465</v>
      </c>
    </row>
    <row r="1025" spans="3:13" ht="30" customHeight="1" x14ac:dyDescent="0.25">
      <c r="C1025" s="175">
        <v>1024</v>
      </c>
      <c r="D1025" s="163">
        <v>44633</v>
      </c>
      <c r="E1025" s="171">
        <v>1.8393893000000001E-2</v>
      </c>
      <c r="F1025" s="171">
        <v>0</v>
      </c>
      <c r="G1025" s="172">
        <v>1</v>
      </c>
      <c r="H1025" s="171">
        <f>tbTransactions[[#This Row],[Qty]]*tbTransactions[[#This Row],[Unit Cost]]*tbTransactions[[#This Row],[Exchange Rate]]</f>
        <v>0</v>
      </c>
      <c r="I1025" s="148" t="s">
        <v>542</v>
      </c>
      <c r="J1025" s="176" t="s">
        <v>22</v>
      </c>
      <c r="K1025" s="163" t="str">
        <f>IF(tbTransactions[[#This Row],[Sub-Type]]="Transfer","Neutral",IF(tbTransactions[[#This Row],[Qty]]&lt;0,"Debit",IF(tbTransactions[[#This Row],[Qty]]&gt;0,"Credit","Neutral")))</f>
        <v>Credit</v>
      </c>
      <c r="L1025" s="163" t="s">
        <v>518</v>
      </c>
      <c r="M1025" s="171" t="s">
        <v>556</v>
      </c>
    </row>
    <row r="1026" spans="3:13" ht="30" customHeight="1" x14ac:dyDescent="0.25">
      <c r="C1026" s="175">
        <v>1025</v>
      </c>
      <c r="D1026" s="163">
        <v>44634</v>
      </c>
      <c r="E1026" s="171">
        <v>0.399808</v>
      </c>
      <c r="F1026" s="171">
        <v>0</v>
      </c>
      <c r="G1026" s="172">
        <v>1</v>
      </c>
      <c r="H1026" s="171">
        <f>tbTransactions[[#This Row],[Qty]]*tbTransactions[[#This Row],[Unit Cost]]*tbTransactions[[#This Row],[Exchange Rate]]</f>
        <v>0</v>
      </c>
      <c r="I1026" s="148" t="s">
        <v>431</v>
      </c>
      <c r="J1026" s="176" t="s">
        <v>18</v>
      </c>
      <c r="K1026" s="163" t="str">
        <f>IF(tbTransactions[[#This Row],[Sub-Type]]="Transfer","Neutral",IF(tbTransactions[[#This Row],[Qty]]&lt;0,"Debit",IF(tbTransactions[[#This Row],[Qty]]&gt;0,"Credit","Neutral")))</f>
        <v>Credit</v>
      </c>
      <c r="L1026" s="163" t="s">
        <v>518</v>
      </c>
      <c r="M1026" s="171" t="s">
        <v>40</v>
      </c>
    </row>
    <row r="1027" spans="3:13" ht="30" customHeight="1" x14ac:dyDescent="0.25">
      <c r="C1027" s="175">
        <v>1026</v>
      </c>
      <c r="D1027" s="163">
        <v>44635</v>
      </c>
      <c r="E1027" s="171">
        <v>0.12219119000000001</v>
      </c>
      <c r="F1027" s="171">
        <v>0</v>
      </c>
      <c r="G1027" s="172">
        <v>1</v>
      </c>
      <c r="H1027" s="171">
        <f>tbTransactions[[#This Row],[Qty]]*tbTransactions[[#This Row],[Unit Cost]]*tbTransactions[[#This Row],[Exchange Rate]]</f>
        <v>0</v>
      </c>
      <c r="I1027" s="148" t="s">
        <v>540</v>
      </c>
      <c r="J1027" s="176" t="s">
        <v>20</v>
      </c>
      <c r="K1027" s="163" t="str">
        <f>IF(tbTransactions[[#This Row],[Sub-Type]]="Transfer","Neutral",IF(tbTransactions[[#This Row],[Qty]]&lt;0,"Debit",IF(tbTransactions[[#This Row],[Qty]]&gt;0,"Credit","Neutral")))</f>
        <v>Credit</v>
      </c>
      <c r="L1027" s="163" t="s">
        <v>518</v>
      </c>
      <c r="M1027" s="171" t="s">
        <v>465</v>
      </c>
    </row>
    <row r="1028" spans="3:13" ht="30" customHeight="1" x14ac:dyDescent="0.25">
      <c r="C1028" s="175">
        <v>1027</v>
      </c>
      <c r="D1028" s="163">
        <v>44638</v>
      </c>
      <c r="E1028" s="171">
        <v>9.174641E-2</v>
      </c>
      <c r="F1028" s="171">
        <v>0</v>
      </c>
      <c r="G1028" s="172">
        <v>1</v>
      </c>
      <c r="H1028" s="171">
        <f>tbTransactions[[#This Row],[Qty]]*tbTransactions[[#This Row],[Unit Cost]]*tbTransactions[[#This Row],[Exchange Rate]]</f>
        <v>0</v>
      </c>
      <c r="I1028" s="148" t="s">
        <v>540</v>
      </c>
      <c r="J1028" s="176" t="s">
        <v>20</v>
      </c>
      <c r="K1028" s="163" t="str">
        <f>IF(tbTransactions[[#This Row],[Sub-Type]]="Transfer","Neutral",IF(tbTransactions[[#This Row],[Qty]]&lt;0,"Debit",IF(tbTransactions[[#This Row],[Qty]]&gt;0,"Credit","Neutral")))</f>
        <v>Credit</v>
      </c>
      <c r="L1028" s="163" t="s">
        <v>518</v>
      </c>
      <c r="M1028" s="171" t="s">
        <v>465</v>
      </c>
    </row>
    <row r="1029" spans="3:13" ht="30" customHeight="1" x14ac:dyDescent="0.25">
      <c r="C1029" s="175">
        <v>1028</v>
      </c>
      <c r="D1029" s="163">
        <v>44640</v>
      </c>
      <c r="E1029" s="171">
        <v>1.8097963000000002E-2</v>
      </c>
      <c r="F1029" s="171">
        <v>0</v>
      </c>
      <c r="G1029" s="172">
        <v>1</v>
      </c>
      <c r="H1029" s="171">
        <f>tbTransactions[[#This Row],[Qty]]*tbTransactions[[#This Row],[Unit Cost]]*tbTransactions[[#This Row],[Exchange Rate]]</f>
        <v>0</v>
      </c>
      <c r="I1029" s="148" t="s">
        <v>542</v>
      </c>
      <c r="J1029" s="176" t="s">
        <v>22</v>
      </c>
      <c r="K1029" s="163" t="str">
        <f>IF(tbTransactions[[#This Row],[Sub-Type]]="Transfer","Neutral",IF(tbTransactions[[#This Row],[Qty]]&lt;0,"Debit",IF(tbTransactions[[#This Row],[Qty]]&gt;0,"Credit","Neutral")))</f>
        <v>Credit</v>
      </c>
      <c r="L1029" s="163" t="s">
        <v>518</v>
      </c>
      <c r="M1029" s="171" t="s">
        <v>556</v>
      </c>
    </row>
    <row r="1030" spans="3:13" ht="30" customHeight="1" x14ac:dyDescent="0.25">
      <c r="C1030" s="175">
        <v>1029</v>
      </c>
      <c r="D1030" s="163">
        <v>44642</v>
      </c>
      <c r="E1030" s="171">
        <v>0.12247171</v>
      </c>
      <c r="F1030" s="171">
        <v>0</v>
      </c>
      <c r="G1030" s="172">
        <v>1</v>
      </c>
      <c r="H1030" s="171">
        <f>tbTransactions[[#This Row],[Qty]]*tbTransactions[[#This Row],[Unit Cost]]*tbTransactions[[#This Row],[Exchange Rate]]</f>
        <v>0</v>
      </c>
      <c r="I1030" s="148" t="s">
        <v>540</v>
      </c>
      <c r="J1030" s="176" t="s">
        <v>20</v>
      </c>
      <c r="K1030" s="163" t="str">
        <f>IF(tbTransactions[[#This Row],[Sub-Type]]="Transfer","Neutral",IF(tbTransactions[[#This Row],[Qty]]&lt;0,"Debit",IF(tbTransactions[[#This Row],[Qty]]&gt;0,"Credit","Neutral")))</f>
        <v>Credit</v>
      </c>
      <c r="L1030" s="163" t="s">
        <v>518</v>
      </c>
      <c r="M1030" s="171" t="s">
        <v>465</v>
      </c>
    </row>
    <row r="1031" spans="3:13" ht="30" customHeight="1" x14ac:dyDescent="0.25">
      <c r="C1031" s="175">
        <v>1030</v>
      </c>
      <c r="D1031" s="163">
        <v>44645</v>
      </c>
      <c r="E1031" s="171">
        <v>9.1956399999999994E-2</v>
      </c>
      <c r="F1031" s="171">
        <v>0</v>
      </c>
      <c r="G1031" s="172">
        <v>1</v>
      </c>
      <c r="H1031" s="171">
        <f>tbTransactions[[#This Row],[Qty]]*tbTransactions[[#This Row],[Unit Cost]]*tbTransactions[[#This Row],[Exchange Rate]]</f>
        <v>0</v>
      </c>
      <c r="I1031" s="148" t="s">
        <v>540</v>
      </c>
      <c r="J1031" s="176" t="s">
        <v>20</v>
      </c>
      <c r="K1031" s="163" t="str">
        <f>IF(tbTransactions[[#This Row],[Sub-Type]]="Transfer","Neutral",IF(tbTransactions[[#This Row],[Qty]]&lt;0,"Debit",IF(tbTransactions[[#This Row],[Qty]]&gt;0,"Credit","Neutral")))</f>
        <v>Credit</v>
      </c>
      <c r="L1031" s="163" t="s">
        <v>518</v>
      </c>
      <c r="M1031" s="171" t="s">
        <v>465</v>
      </c>
    </row>
    <row r="1032" spans="3:13" ht="30" customHeight="1" x14ac:dyDescent="0.25">
      <c r="C1032" s="175">
        <v>1031</v>
      </c>
      <c r="D1032" s="163">
        <v>44647</v>
      </c>
      <c r="E1032" s="171">
        <v>1.8006973999999999E-2</v>
      </c>
      <c r="F1032" s="171">
        <v>0</v>
      </c>
      <c r="G1032" s="172">
        <v>1</v>
      </c>
      <c r="H1032" s="171">
        <f>tbTransactions[[#This Row],[Qty]]*tbTransactions[[#This Row],[Unit Cost]]*tbTransactions[[#This Row],[Exchange Rate]]</f>
        <v>0</v>
      </c>
      <c r="I1032" s="148" t="s">
        <v>542</v>
      </c>
      <c r="J1032" s="176" t="s">
        <v>22</v>
      </c>
      <c r="K1032" s="163" t="str">
        <f>IF(tbTransactions[[#This Row],[Sub-Type]]="Transfer","Neutral",IF(tbTransactions[[#This Row],[Qty]]&lt;0,"Debit",IF(tbTransactions[[#This Row],[Qty]]&gt;0,"Credit","Neutral")))</f>
        <v>Credit</v>
      </c>
      <c r="L1032" s="163" t="s">
        <v>518</v>
      </c>
      <c r="M1032" s="171" t="s">
        <v>556</v>
      </c>
    </row>
    <row r="1033" spans="3:13" ht="30" customHeight="1" x14ac:dyDescent="0.25">
      <c r="C1033" s="175">
        <v>1032</v>
      </c>
      <c r="D1033" s="163">
        <v>44646</v>
      </c>
      <c r="E1033" s="171">
        <v>0.351074</v>
      </c>
      <c r="F1033" s="171">
        <v>0</v>
      </c>
      <c r="G1033" s="172">
        <v>1</v>
      </c>
      <c r="H1033" s="171">
        <f>tbTransactions[[#This Row],[Qty]]*tbTransactions[[#This Row],[Unit Cost]]*tbTransactions[[#This Row],[Exchange Rate]]</f>
        <v>0</v>
      </c>
      <c r="I1033" s="148" t="s">
        <v>431</v>
      </c>
      <c r="J1033" s="176" t="s">
        <v>18</v>
      </c>
      <c r="K1033" s="163" t="str">
        <f>IF(tbTransactions[[#This Row],[Sub-Type]]="Transfer","Neutral",IF(tbTransactions[[#This Row],[Qty]]&lt;0,"Debit",IF(tbTransactions[[#This Row],[Qty]]&gt;0,"Credit","Neutral")))</f>
        <v>Credit</v>
      </c>
      <c r="L1033" s="163" t="s">
        <v>518</v>
      </c>
      <c r="M1033" s="171" t="s">
        <v>40</v>
      </c>
    </row>
    <row r="1034" spans="3:13" ht="30" customHeight="1" x14ac:dyDescent="0.25">
      <c r="C1034" s="175">
        <v>1033</v>
      </c>
      <c r="D1034" s="163">
        <v>44649</v>
      </c>
      <c r="E1034" s="171">
        <v>0.12273398000000001</v>
      </c>
      <c r="F1034" s="171">
        <v>0</v>
      </c>
      <c r="G1034" s="172">
        <v>1</v>
      </c>
      <c r="H1034" s="171">
        <f>tbTransactions[[#This Row],[Qty]]*tbTransactions[[#This Row],[Unit Cost]]*tbTransactions[[#This Row],[Exchange Rate]]</f>
        <v>0</v>
      </c>
      <c r="I1034" s="148" t="s">
        <v>540</v>
      </c>
      <c r="J1034" s="176" t="s">
        <v>20</v>
      </c>
      <c r="K1034" s="163" t="str">
        <f>IF(tbTransactions[[#This Row],[Sub-Type]]="Transfer","Neutral",IF(tbTransactions[[#This Row],[Qty]]&lt;0,"Debit",IF(tbTransactions[[#This Row],[Qty]]&gt;0,"Credit","Neutral")))</f>
        <v>Credit</v>
      </c>
      <c r="L1034" s="163" t="s">
        <v>518</v>
      </c>
      <c r="M1034" s="171" t="s">
        <v>465</v>
      </c>
    </row>
    <row r="1035" spans="3:13" ht="30" customHeight="1" x14ac:dyDescent="0.25">
      <c r="C1035" s="175">
        <v>1034</v>
      </c>
      <c r="D1035" s="163">
        <v>44652</v>
      </c>
      <c r="E1035" s="171">
        <v>9.2141180000000003E-2</v>
      </c>
      <c r="F1035" s="171">
        <v>0</v>
      </c>
      <c r="G1035" s="172">
        <v>1</v>
      </c>
      <c r="H1035" s="171">
        <f>tbTransactions[[#This Row],[Qty]]*tbTransactions[[#This Row],[Unit Cost]]*tbTransactions[[#This Row],[Exchange Rate]]</f>
        <v>0</v>
      </c>
      <c r="I1035" s="148" t="s">
        <v>540</v>
      </c>
      <c r="J1035" s="176" t="s">
        <v>20</v>
      </c>
      <c r="K1035" s="163" t="str">
        <f>IF(tbTransactions[[#This Row],[Sub-Type]]="Transfer","Neutral",IF(tbTransactions[[#This Row],[Qty]]&lt;0,"Debit",IF(tbTransactions[[#This Row],[Qty]]&gt;0,"Credit","Neutral")))</f>
        <v>Credit</v>
      </c>
      <c r="L1035" s="163" t="s">
        <v>518</v>
      </c>
      <c r="M1035" s="171" t="s">
        <v>465</v>
      </c>
    </row>
    <row r="1036" spans="3:13" ht="30" customHeight="1" x14ac:dyDescent="0.25">
      <c r="C1036" s="175">
        <v>1035</v>
      </c>
      <c r="D1036" s="163">
        <v>44654</v>
      </c>
      <c r="E1036" s="171">
        <v>1.7756122999999999E-2</v>
      </c>
      <c r="F1036" s="171">
        <v>0</v>
      </c>
      <c r="G1036" s="172">
        <v>1</v>
      </c>
      <c r="H1036" s="171">
        <f>tbTransactions[[#This Row],[Qty]]*tbTransactions[[#This Row],[Unit Cost]]*tbTransactions[[#This Row],[Exchange Rate]]</f>
        <v>0</v>
      </c>
      <c r="I1036" s="148" t="s">
        <v>542</v>
      </c>
      <c r="J1036" s="176" t="s">
        <v>22</v>
      </c>
      <c r="K1036" s="163" t="str">
        <f>IF(tbTransactions[[#This Row],[Sub-Type]]="Transfer","Neutral",IF(tbTransactions[[#This Row],[Qty]]&lt;0,"Debit",IF(tbTransactions[[#This Row],[Qty]]&gt;0,"Credit","Neutral")))</f>
        <v>Credit</v>
      </c>
      <c r="L1036" s="163" t="s">
        <v>518</v>
      </c>
      <c r="M1036" s="171" t="s">
        <v>556</v>
      </c>
    </row>
    <row r="1037" spans="3:13" ht="30" customHeight="1" x14ac:dyDescent="0.25">
      <c r="C1037" s="175">
        <v>1036</v>
      </c>
      <c r="D1037" s="163">
        <v>44656</v>
      </c>
      <c r="E1037" s="171">
        <v>0.12301534</v>
      </c>
      <c r="F1037" s="171">
        <v>0</v>
      </c>
      <c r="G1037" s="172">
        <v>1</v>
      </c>
      <c r="H1037" s="171">
        <f>tbTransactions[[#This Row],[Qty]]*tbTransactions[[#This Row],[Unit Cost]]*tbTransactions[[#This Row],[Exchange Rate]]</f>
        <v>0</v>
      </c>
      <c r="I1037" s="148" t="s">
        <v>540</v>
      </c>
      <c r="J1037" s="176" t="s">
        <v>20</v>
      </c>
      <c r="K1037" s="163" t="str">
        <f>IF(tbTransactions[[#This Row],[Sub-Type]]="Transfer","Neutral",IF(tbTransactions[[#This Row],[Qty]]&lt;0,"Debit",IF(tbTransactions[[#This Row],[Qty]]&gt;0,"Credit","Neutral")))</f>
        <v>Credit</v>
      </c>
      <c r="L1037" s="163" t="s">
        <v>518</v>
      </c>
      <c r="M1037" s="171" t="s">
        <v>465</v>
      </c>
    </row>
    <row r="1038" spans="3:13" ht="30" customHeight="1" x14ac:dyDescent="0.25">
      <c r="C1038" s="175">
        <v>1037</v>
      </c>
      <c r="D1038" s="163">
        <v>44659</v>
      </c>
      <c r="E1038" s="171">
        <v>9.2373640000000007E-2</v>
      </c>
      <c r="F1038" s="171">
        <v>0</v>
      </c>
      <c r="G1038" s="172">
        <v>1</v>
      </c>
      <c r="H1038" s="171">
        <f>tbTransactions[[#This Row],[Qty]]*tbTransactions[[#This Row],[Unit Cost]]*tbTransactions[[#This Row],[Exchange Rate]]</f>
        <v>0</v>
      </c>
      <c r="I1038" s="148" t="s">
        <v>540</v>
      </c>
      <c r="J1038" s="176" t="s">
        <v>20</v>
      </c>
      <c r="K1038" s="163" t="str">
        <f>IF(tbTransactions[[#This Row],[Sub-Type]]="Transfer","Neutral",IF(tbTransactions[[#This Row],[Qty]]&lt;0,"Debit",IF(tbTransactions[[#This Row],[Qty]]&gt;0,"Credit","Neutral")))</f>
        <v>Credit</v>
      </c>
      <c r="L1038" s="163" t="s">
        <v>518</v>
      </c>
      <c r="M1038" s="171" t="s">
        <v>465</v>
      </c>
    </row>
    <row r="1039" spans="3:13" ht="30" customHeight="1" x14ac:dyDescent="0.25">
      <c r="C1039" s="175">
        <v>1038</v>
      </c>
      <c r="D1039" s="163">
        <v>44661</v>
      </c>
      <c r="E1039" s="171">
        <v>1.7706143000000001E-2</v>
      </c>
      <c r="F1039" s="171">
        <v>0</v>
      </c>
      <c r="G1039" s="172">
        <v>1</v>
      </c>
      <c r="H1039" s="171">
        <f>tbTransactions[[#This Row],[Qty]]*tbTransactions[[#This Row],[Unit Cost]]*tbTransactions[[#This Row],[Exchange Rate]]</f>
        <v>0</v>
      </c>
      <c r="I1039" s="148" t="s">
        <v>542</v>
      </c>
      <c r="J1039" s="176" t="s">
        <v>22</v>
      </c>
      <c r="K1039" s="163" t="str">
        <f>IF(tbTransactions[[#This Row],[Sub-Type]]="Transfer","Neutral",IF(tbTransactions[[#This Row],[Qty]]&lt;0,"Debit",IF(tbTransactions[[#This Row],[Qty]]&gt;0,"Credit","Neutral")))</f>
        <v>Credit</v>
      </c>
      <c r="L1039" s="163" t="s">
        <v>518</v>
      </c>
      <c r="M1039" s="171" t="s">
        <v>556</v>
      </c>
    </row>
    <row r="1040" spans="3:13" ht="30" customHeight="1" x14ac:dyDescent="0.25">
      <c r="C1040" s="175">
        <v>1039</v>
      </c>
      <c r="D1040" s="163">
        <v>44661</v>
      </c>
      <c r="E1040" s="171">
        <v>0.43815500000000002</v>
      </c>
      <c r="F1040" s="171">
        <v>0</v>
      </c>
      <c r="G1040" s="172">
        <v>1</v>
      </c>
      <c r="H1040" s="171">
        <f>tbTransactions[[#This Row],[Qty]]*tbTransactions[[#This Row],[Unit Cost]]*tbTransactions[[#This Row],[Exchange Rate]]</f>
        <v>0</v>
      </c>
      <c r="I1040" s="148" t="s">
        <v>431</v>
      </c>
      <c r="J1040" s="176" t="s">
        <v>18</v>
      </c>
      <c r="K1040" s="163" t="str">
        <f>IF(tbTransactions[[#This Row],[Sub-Type]]="Transfer","Neutral",IF(tbTransactions[[#This Row],[Qty]]&lt;0,"Debit",IF(tbTransactions[[#This Row],[Qty]]&gt;0,"Credit","Neutral")))</f>
        <v>Credit</v>
      </c>
      <c r="L1040" s="163" t="s">
        <v>518</v>
      </c>
      <c r="M1040" s="171" t="s">
        <v>40</v>
      </c>
    </row>
    <row r="1041" spans="3:13" ht="30" customHeight="1" x14ac:dyDescent="0.25">
      <c r="C1041" s="175">
        <v>1040</v>
      </c>
      <c r="D1041" s="163">
        <v>44663</v>
      </c>
      <c r="E1041" s="171">
        <v>0.12331216</v>
      </c>
      <c r="F1041" s="171">
        <v>0</v>
      </c>
      <c r="G1041" s="172">
        <v>1</v>
      </c>
      <c r="H1041" s="171">
        <f>tbTransactions[[#This Row],[Qty]]*tbTransactions[[#This Row],[Unit Cost]]*tbTransactions[[#This Row],[Exchange Rate]]</f>
        <v>0</v>
      </c>
      <c r="I1041" s="148" t="s">
        <v>540</v>
      </c>
      <c r="J1041" s="176" t="s">
        <v>20</v>
      </c>
      <c r="K1041" s="163" t="str">
        <f>IF(tbTransactions[[#This Row],[Sub-Type]]="Transfer","Neutral",IF(tbTransactions[[#This Row],[Qty]]&lt;0,"Debit",IF(tbTransactions[[#This Row],[Qty]]&gt;0,"Credit","Neutral")))</f>
        <v>Credit</v>
      </c>
      <c r="L1041" s="163" t="s">
        <v>518</v>
      </c>
      <c r="M1041" s="171" t="s">
        <v>465</v>
      </c>
    </row>
    <row r="1042" spans="3:13" ht="30" customHeight="1" x14ac:dyDescent="0.25">
      <c r="C1042" s="175">
        <v>1041</v>
      </c>
      <c r="D1042" s="163">
        <v>44666</v>
      </c>
      <c r="E1042" s="171">
        <v>9.2584169999999993E-2</v>
      </c>
      <c r="F1042" s="171">
        <v>0</v>
      </c>
      <c r="G1042" s="172">
        <v>1</v>
      </c>
      <c r="H1042" s="171">
        <f>tbTransactions[[#This Row],[Qty]]*tbTransactions[[#This Row],[Unit Cost]]*tbTransactions[[#This Row],[Exchange Rate]]</f>
        <v>0</v>
      </c>
      <c r="I1042" s="148" t="s">
        <v>540</v>
      </c>
      <c r="J1042" s="176" t="s">
        <v>20</v>
      </c>
      <c r="K1042" s="163" t="str">
        <f>IF(tbTransactions[[#This Row],[Sub-Type]]="Transfer","Neutral",IF(tbTransactions[[#This Row],[Qty]]&lt;0,"Debit",IF(tbTransactions[[#This Row],[Qty]]&gt;0,"Credit","Neutral")))</f>
        <v>Credit</v>
      </c>
      <c r="L1042" s="163" t="s">
        <v>518</v>
      </c>
      <c r="M1042" s="171" t="s">
        <v>465</v>
      </c>
    </row>
    <row r="1043" spans="3:13" ht="30" customHeight="1" x14ac:dyDescent="0.25">
      <c r="C1043" s="175">
        <v>1042</v>
      </c>
      <c r="D1043" s="163">
        <v>44668</v>
      </c>
      <c r="E1043" s="171">
        <v>1.7458616999999999E-2</v>
      </c>
      <c r="F1043" s="171">
        <v>0</v>
      </c>
      <c r="G1043" s="172">
        <v>1</v>
      </c>
      <c r="H1043" s="171">
        <f>tbTransactions[[#This Row],[Qty]]*tbTransactions[[#This Row],[Unit Cost]]*tbTransactions[[#This Row],[Exchange Rate]]</f>
        <v>0</v>
      </c>
      <c r="I1043" s="148" t="s">
        <v>542</v>
      </c>
      <c r="J1043" s="176" t="s">
        <v>22</v>
      </c>
      <c r="K1043" s="163" t="str">
        <f>IF(tbTransactions[[#This Row],[Sub-Type]]="Transfer","Neutral",IF(tbTransactions[[#This Row],[Qty]]&lt;0,"Debit",IF(tbTransactions[[#This Row],[Qty]]&gt;0,"Credit","Neutral")))</f>
        <v>Credit</v>
      </c>
      <c r="L1043" s="163" t="s">
        <v>518</v>
      </c>
      <c r="M1043" s="171" t="s">
        <v>556</v>
      </c>
    </row>
    <row r="1044" spans="3:13" ht="30" customHeight="1" x14ac:dyDescent="0.25">
      <c r="C1044" s="175">
        <v>1043</v>
      </c>
      <c r="D1044" s="163">
        <v>44670</v>
      </c>
      <c r="E1044" s="171">
        <v>0.12359578</v>
      </c>
      <c r="F1044" s="171">
        <v>0</v>
      </c>
      <c r="G1044" s="172">
        <v>1</v>
      </c>
      <c r="H1044" s="171">
        <f>tbTransactions[[#This Row],[Qty]]*tbTransactions[[#This Row],[Unit Cost]]*tbTransactions[[#This Row],[Exchange Rate]]</f>
        <v>0</v>
      </c>
      <c r="I1044" s="148" t="s">
        <v>540</v>
      </c>
      <c r="J1044" s="176" t="s">
        <v>20</v>
      </c>
      <c r="K1044" s="163" t="str">
        <f>IF(tbTransactions[[#This Row],[Sub-Type]]="Transfer","Neutral",IF(tbTransactions[[#This Row],[Qty]]&lt;0,"Debit",IF(tbTransactions[[#This Row],[Qty]]&gt;0,"Credit","Neutral")))</f>
        <v>Credit</v>
      </c>
      <c r="L1044" s="163" t="s">
        <v>518</v>
      </c>
      <c r="M1044" s="171" t="s">
        <v>465</v>
      </c>
    </row>
    <row r="1045" spans="3:13" ht="30" customHeight="1" x14ac:dyDescent="0.25">
      <c r="C1045" s="175">
        <v>1044</v>
      </c>
      <c r="D1045" s="163">
        <v>44673</v>
      </c>
      <c r="E1045" s="171">
        <v>9.2796809999999993E-2</v>
      </c>
      <c r="F1045" s="171">
        <v>0</v>
      </c>
      <c r="G1045" s="172">
        <v>1</v>
      </c>
      <c r="H1045" s="171">
        <f>tbTransactions[[#This Row],[Qty]]*tbTransactions[[#This Row],[Unit Cost]]*tbTransactions[[#This Row],[Exchange Rate]]</f>
        <v>0</v>
      </c>
      <c r="I1045" s="148" t="s">
        <v>540</v>
      </c>
      <c r="J1045" s="176" t="s">
        <v>20</v>
      </c>
      <c r="K1045" s="163" t="str">
        <f>IF(tbTransactions[[#This Row],[Sub-Type]]="Transfer","Neutral",IF(tbTransactions[[#This Row],[Qty]]&lt;0,"Debit",IF(tbTransactions[[#This Row],[Qty]]&gt;0,"Credit","Neutral")))</f>
        <v>Credit</v>
      </c>
      <c r="L1045" s="163" t="s">
        <v>518</v>
      </c>
      <c r="M1045" s="171" t="s">
        <v>465</v>
      </c>
    </row>
    <row r="1046" spans="3:13" ht="30" customHeight="1" x14ac:dyDescent="0.25">
      <c r="C1046" s="175">
        <v>1045</v>
      </c>
      <c r="D1046" s="163">
        <v>44675</v>
      </c>
      <c r="E1046" s="171">
        <v>1.7220281E-2</v>
      </c>
      <c r="F1046" s="171">
        <v>0</v>
      </c>
      <c r="G1046" s="172">
        <v>1</v>
      </c>
      <c r="H1046" s="171">
        <f>tbTransactions[[#This Row],[Qty]]*tbTransactions[[#This Row],[Unit Cost]]*tbTransactions[[#This Row],[Exchange Rate]]</f>
        <v>0</v>
      </c>
      <c r="I1046" s="148" t="s">
        <v>542</v>
      </c>
      <c r="J1046" s="176" t="s">
        <v>22</v>
      </c>
      <c r="K1046" s="163" t="str">
        <f>IF(tbTransactions[[#This Row],[Sub-Type]]="Transfer","Neutral",IF(tbTransactions[[#This Row],[Qty]]&lt;0,"Debit",IF(tbTransactions[[#This Row],[Qty]]&gt;0,"Credit","Neutral")))</f>
        <v>Credit</v>
      </c>
      <c r="L1046" s="163" t="s">
        <v>518</v>
      </c>
      <c r="M1046" s="171" t="s">
        <v>556</v>
      </c>
    </row>
    <row r="1047" spans="3:13" ht="30" customHeight="1" x14ac:dyDescent="0.25">
      <c r="C1047" s="175">
        <v>1046</v>
      </c>
      <c r="D1047" s="163">
        <v>44675</v>
      </c>
      <c r="E1047" s="171">
        <v>0.39541399999999999</v>
      </c>
      <c r="F1047" s="171">
        <v>0</v>
      </c>
      <c r="G1047" s="172">
        <v>1</v>
      </c>
      <c r="H1047" s="171">
        <f>tbTransactions[[#This Row],[Qty]]*tbTransactions[[#This Row],[Unit Cost]]*tbTransactions[[#This Row],[Exchange Rate]]</f>
        <v>0</v>
      </c>
      <c r="I1047" s="148" t="s">
        <v>431</v>
      </c>
      <c r="J1047" s="176" t="s">
        <v>18</v>
      </c>
      <c r="K1047" s="163" t="str">
        <f>IF(tbTransactions[[#This Row],[Sub-Type]]="Transfer","Neutral",IF(tbTransactions[[#This Row],[Qty]]&lt;0,"Debit",IF(tbTransactions[[#This Row],[Qty]]&gt;0,"Credit","Neutral")))</f>
        <v>Credit</v>
      </c>
      <c r="L1047" s="163" t="s">
        <v>518</v>
      </c>
      <c r="M1047" s="171" t="s">
        <v>40</v>
      </c>
    </row>
    <row r="1048" spans="3:13" ht="30" customHeight="1" x14ac:dyDescent="0.25">
      <c r="C1048" s="175">
        <v>1047</v>
      </c>
      <c r="D1048" s="163">
        <v>44675</v>
      </c>
      <c r="E1048" s="171">
        <v>0.20172000000000001</v>
      </c>
      <c r="F1048" s="171">
        <v>0</v>
      </c>
      <c r="G1048" s="172">
        <v>1</v>
      </c>
      <c r="H1048" s="171">
        <f>tbTransactions[[#This Row],[Qty]]*tbTransactions[[#This Row],[Unit Cost]]*tbTransactions[[#This Row],[Exchange Rate]]</f>
        <v>0</v>
      </c>
      <c r="I1048" s="148" t="s">
        <v>540</v>
      </c>
      <c r="J1048" s="176" t="s">
        <v>22</v>
      </c>
      <c r="K1048" s="163" t="str">
        <f>IF(tbTransactions[[#This Row],[Sub-Type]]="Transfer","Neutral",IF(tbTransactions[[#This Row],[Qty]]&lt;0,"Debit",IF(tbTransactions[[#This Row],[Qty]]&gt;0,"Credit","Neutral")))</f>
        <v>Credit</v>
      </c>
      <c r="L1048" s="163" t="s">
        <v>770</v>
      </c>
      <c r="M1048" s="171" t="s">
        <v>771</v>
      </c>
    </row>
    <row r="1049" spans="3:13" ht="30" customHeight="1" x14ac:dyDescent="0.25">
      <c r="C1049" s="175">
        <v>1048</v>
      </c>
      <c r="D1049" s="163">
        <v>44675</v>
      </c>
      <c r="E1049" s="171">
        <v>-0.20172000000000001</v>
      </c>
      <c r="F1049" s="171">
        <v>3748</v>
      </c>
      <c r="G1049" s="172">
        <v>1</v>
      </c>
      <c r="H1049" s="171">
        <f>tbTransactions[[#This Row],[Qty]]*tbTransactions[[#This Row],[Unit Cost]]*tbTransactions[[#This Row],[Exchange Rate]]</f>
        <v>-756.04656</v>
      </c>
      <c r="I1049" s="148" t="s">
        <v>540</v>
      </c>
      <c r="J1049" s="176" t="s">
        <v>22</v>
      </c>
      <c r="K1049" s="163" t="str">
        <f>IF(tbTransactions[[#This Row],[Sub-Type]]="Transfer","Neutral",IF(tbTransactions[[#This Row],[Qty]]&lt;0,"Debit",IF(tbTransactions[[#This Row],[Qty]]&gt;0,"Credit","Neutral")))</f>
        <v>Neutral</v>
      </c>
      <c r="L1049" s="163" t="s">
        <v>32</v>
      </c>
      <c r="M1049" s="171" t="s">
        <v>543</v>
      </c>
    </row>
    <row r="1050" spans="3:13" ht="30" customHeight="1" x14ac:dyDescent="0.25">
      <c r="C1050" s="175">
        <v>1049</v>
      </c>
      <c r="D1050" s="163">
        <v>44675</v>
      </c>
      <c r="E1050" s="171">
        <v>0.20172000000000001</v>
      </c>
      <c r="F1050" s="171">
        <v>3748</v>
      </c>
      <c r="G1050" s="172">
        <v>1</v>
      </c>
      <c r="H1050" s="171">
        <f>tbTransactions[[#This Row],[Qty]]*tbTransactions[[#This Row],[Unit Cost]]*tbTransactions[[#This Row],[Exchange Rate]]</f>
        <v>756.04656</v>
      </c>
      <c r="I1050" s="148" t="s">
        <v>542</v>
      </c>
      <c r="J1050" s="176" t="s">
        <v>22</v>
      </c>
      <c r="K1050" s="163" t="str">
        <f>IF(tbTransactions[[#This Row],[Sub-Type]]="Transfer","Neutral",IF(tbTransactions[[#This Row],[Qty]]&lt;0,"Debit",IF(tbTransactions[[#This Row],[Qty]]&gt;0,"Credit","Neutral")))</f>
        <v>Neutral</v>
      </c>
      <c r="L1050" s="163" t="s">
        <v>32</v>
      </c>
      <c r="M1050" s="171" t="s">
        <v>543</v>
      </c>
    </row>
    <row r="1051" spans="3:13" ht="30" customHeight="1" x14ac:dyDescent="0.25">
      <c r="C1051" s="175">
        <v>1050</v>
      </c>
      <c r="D1051" s="163">
        <v>44677</v>
      </c>
      <c r="E1051" s="171">
        <v>0.12387956</v>
      </c>
      <c r="F1051" s="171">
        <v>0</v>
      </c>
      <c r="G1051" s="172">
        <v>1</v>
      </c>
      <c r="H1051" s="171">
        <f>tbTransactions[[#This Row],[Qty]]*tbTransactions[[#This Row],[Unit Cost]]*tbTransactions[[#This Row],[Exchange Rate]]</f>
        <v>0</v>
      </c>
      <c r="I1051" s="148" t="s">
        <v>540</v>
      </c>
      <c r="J1051" s="176" t="s">
        <v>20</v>
      </c>
      <c r="K1051" s="163" t="str">
        <f>IF(tbTransactions[[#This Row],[Sub-Type]]="Transfer","Neutral",IF(tbTransactions[[#This Row],[Qty]]&lt;0,"Debit",IF(tbTransactions[[#This Row],[Qty]]&gt;0,"Credit","Neutral")))</f>
        <v>Credit</v>
      </c>
      <c r="L1051" s="163" t="s">
        <v>518</v>
      </c>
      <c r="M1051" s="171" t="s">
        <v>465</v>
      </c>
    </row>
    <row r="1052" spans="3:13" ht="30" customHeight="1" x14ac:dyDescent="0.25">
      <c r="C1052" s="175">
        <v>1051</v>
      </c>
      <c r="D1052" s="163">
        <v>44680</v>
      </c>
      <c r="E1052" s="171">
        <v>9.3009439999999999E-2</v>
      </c>
      <c r="F1052" s="171">
        <v>0</v>
      </c>
      <c r="G1052" s="172">
        <v>1</v>
      </c>
      <c r="H1052" s="171">
        <f>tbTransactions[[#This Row],[Qty]]*tbTransactions[[#This Row],[Unit Cost]]*tbTransactions[[#This Row],[Exchange Rate]]</f>
        <v>0</v>
      </c>
      <c r="I1052" s="148" t="s">
        <v>540</v>
      </c>
      <c r="J1052" s="176" t="s">
        <v>20</v>
      </c>
      <c r="K1052" s="163" t="str">
        <f>IF(tbTransactions[[#This Row],[Sub-Type]]="Transfer","Neutral",IF(tbTransactions[[#This Row],[Qty]]&lt;0,"Debit",IF(tbTransactions[[#This Row],[Qty]]&gt;0,"Credit","Neutral")))</f>
        <v>Credit</v>
      </c>
      <c r="L1052" s="163" t="s">
        <v>518</v>
      </c>
      <c r="M1052" s="171" t="s">
        <v>465</v>
      </c>
    </row>
    <row r="1053" spans="3:13" ht="30" customHeight="1" x14ac:dyDescent="0.25">
      <c r="C1053" s="175">
        <v>1052</v>
      </c>
      <c r="D1053" s="163">
        <v>44682</v>
      </c>
      <c r="E1053" s="171">
        <v>1.6909266999999999E-2</v>
      </c>
      <c r="F1053" s="171">
        <v>0</v>
      </c>
      <c r="G1053" s="172">
        <v>1</v>
      </c>
      <c r="H1053" s="171">
        <f>tbTransactions[[#This Row],[Qty]]*tbTransactions[[#This Row],[Unit Cost]]*tbTransactions[[#This Row],[Exchange Rate]]</f>
        <v>0</v>
      </c>
      <c r="I1053" s="148" t="s">
        <v>542</v>
      </c>
      <c r="J1053" s="176" t="s">
        <v>22</v>
      </c>
      <c r="K1053" s="163" t="str">
        <f>IF(tbTransactions[[#This Row],[Sub-Type]]="Transfer","Neutral",IF(tbTransactions[[#This Row],[Qty]]&lt;0,"Debit",IF(tbTransactions[[#This Row],[Qty]]&gt;0,"Credit","Neutral")))</f>
        <v>Credit</v>
      </c>
      <c r="L1053" s="163" t="s">
        <v>518</v>
      </c>
      <c r="M1053" s="171" t="s">
        <v>556</v>
      </c>
    </row>
    <row r="1054" spans="3:13" ht="30" customHeight="1" x14ac:dyDescent="0.25">
      <c r="C1054" s="175">
        <v>1053</v>
      </c>
      <c r="D1054" s="163">
        <v>44684</v>
      </c>
      <c r="E1054" s="171">
        <v>0.12416373999999999</v>
      </c>
      <c r="F1054" s="171">
        <v>0</v>
      </c>
      <c r="G1054" s="172">
        <v>1</v>
      </c>
      <c r="H1054" s="171">
        <f>tbTransactions[[#This Row],[Qty]]*tbTransactions[[#This Row],[Unit Cost]]*tbTransactions[[#This Row],[Exchange Rate]]</f>
        <v>0</v>
      </c>
      <c r="I1054" s="148" t="s">
        <v>540</v>
      </c>
      <c r="J1054" s="176" t="s">
        <v>20</v>
      </c>
      <c r="K1054" s="163" t="str">
        <f>IF(tbTransactions[[#This Row],[Sub-Type]]="Transfer","Neutral",IF(tbTransactions[[#This Row],[Qty]]&lt;0,"Debit",IF(tbTransactions[[#This Row],[Qty]]&gt;0,"Credit","Neutral")))</f>
        <v>Credit</v>
      </c>
      <c r="L1054" s="163" t="s">
        <v>518</v>
      </c>
      <c r="M1054" s="171" t="s">
        <v>465</v>
      </c>
    </row>
    <row r="1055" spans="3:13" ht="30" customHeight="1" x14ac:dyDescent="0.25">
      <c r="C1055" s="175">
        <v>1054</v>
      </c>
      <c r="D1055" s="163">
        <v>44687</v>
      </c>
      <c r="E1055" s="171">
        <v>9.3223189999999997E-2</v>
      </c>
      <c r="F1055" s="171">
        <v>0</v>
      </c>
      <c r="G1055" s="172">
        <v>1</v>
      </c>
      <c r="H1055" s="171">
        <f>tbTransactions[[#This Row],[Qty]]*tbTransactions[[#This Row],[Unit Cost]]*tbTransactions[[#This Row],[Exchange Rate]]</f>
        <v>0</v>
      </c>
      <c r="I1055" s="148" t="s">
        <v>540</v>
      </c>
      <c r="J1055" s="176" t="s">
        <v>20</v>
      </c>
      <c r="K1055" s="163" t="str">
        <f>IF(tbTransactions[[#This Row],[Sub-Type]]="Transfer","Neutral",IF(tbTransactions[[#This Row],[Qty]]&lt;0,"Debit",IF(tbTransactions[[#This Row],[Qty]]&gt;0,"Credit","Neutral")))</f>
        <v>Credit</v>
      </c>
      <c r="L1055" s="163" t="s">
        <v>518</v>
      </c>
      <c r="M1055" s="171" t="s">
        <v>465</v>
      </c>
    </row>
    <row r="1056" spans="3:13" ht="30" customHeight="1" x14ac:dyDescent="0.25">
      <c r="C1056" s="175">
        <v>1055</v>
      </c>
      <c r="D1056" s="163">
        <v>44689</v>
      </c>
      <c r="E1056" s="171">
        <v>1.6681753000000001E-2</v>
      </c>
      <c r="F1056" s="171">
        <v>0</v>
      </c>
      <c r="G1056" s="172">
        <v>1</v>
      </c>
      <c r="H1056" s="171">
        <f>tbTransactions[[#This Row],[Qty]]*tbTransactions[[#This Row],[Unit Cost]]*tbTransactions[[#This Row],[Exchange Rate]]</f>
        <v>0</v>
      </c>
      <c r="I1056" s="148" t="s">
        <v>542</v>
      </c>
      <c r="J1056" s="176" t="s">
        <v>22</v>
      </c>
      <c r="K1056" s="163" t="str">
        <f>IF(tbTransactions[[#This Row],[Sub-Type]]="Transfer","Neutral",IF(tbTransactions[[#This Row],[Qty]]&lt;0,"Debit",IF(tbTransactions[[#This Row],[Qty]]&gt;0,"Credit","Neutral")))</f>
        <v>Credit</v>
      </c>
      <c r="L1056" s="163" t="s">
        <v>518</v>
      </c>
      <c r="M1056" s="171" t="s">
        <v>556</v>
      </c>
    </row>
    <row r="1057" spans="3:13" ht="30" customHeight="1" x14ac:dyDescent="0.25">
      <c r="C1057" s="175">
        <v>1056</v>
      </c>
      <c r="D1057" s="163">
        <v>44688</v>
      </c>
      <c r="E1057" s="171">
        <v>0.44644899999999998</v>
      </c>
      <c r="F1057" s="171">
        <v>0</v>
      </c>
      <c r="G1057" s="172">
        <v>1</v>
      </c>
      <c r="H1057" s="171">
        <f>tbTransactions[[#This Row],[Qty]]*tbTransactions[[#This Row],[Unit Cost]]*tbTransactions[[#This Row],[Exchange Rate]]</f>
        <v>0</v>
      </c>
      <c r="I1057" s="148" t="s">
        <v>431</v>
      </c>
      <c r="J1057" s="176" t="s">
        <v>18</v>
      </c>
      <c r="K1057" s="163" t="str">
        <f>IF(tbTransactions[[#This Row],[Sub-Type]]="Transfer","Neutral",IF(tbTransactions[[#This Row],[Qty]]&lt;0,"Debit",IF(tbTransactions[[#This Row],[Qty]]&gt;0,"Credit","Neutral")))</f>
        <v>Credit</v>
      </c>
      <c r="L1057" s="163" t="s">
        <v>518</v>
      </c>
      <c r="M1057" s="171" t="s">
        <v>40</v>
      </c>
    </row>
    <row r="1058" spans="3:13" ht="30" customHeight="1" x14ac:dyDescent="0.25">
      <c r="C1058" s="175">
        <v>1057</v>
      </c>
      <c r="D1058" s="163">
        <v>44691</v>
      </c>
      <c r="E1058" s="171">
        <v>-1883</v>
      </c>
      <c r="F1058" s="171">
        <v>11.5</v>
      </c>
      <c r="G1058" s="172">
        <v>1</v>
      </c>
      <c r="H1058" s="171">
        <f>tbTransactions[[#This Row],[Qty]]*tbTransactions[[#This Row],[Unit Cost]]*tbTransactions[[#This Row],[Exchange Rate]]</f>
        <v>-21654.5</v>
      </c>
      <c r="I1058" s="148" t="s">
        <v>779</v>
      </c>
      <c r="J1058" s="176" t="s">
        <v>762</v>
      </c>
      <c r="K1058" s="163" t="str">
        <f>IF(tbTransactions[[#This Row],[Sub-Type]]="Transfer","Neutral",IF(tbTransactions[[#This Row],[Qty]]&lt;0,"Debit",IF(tbTransactions[[#This Row],[Qty]]&gt;0,"Credit","Neutral")))</f>
        <v>Debit</v>
      </c>
      <c r="L1058" s="163" t="s">
        <v>711</v>
      </c>
      <c r="M1058" s="171" t="s">
        <v>780</v>
      </c>
    </row>
    <row r="1059" spans="3:13" ht="30" customHeight="1" x14ac:dyDescent="0.25">
      <c r="C1059" s="175">
        <v>1058</v>
      </c>
      <c r="D1059" s="163">
        <v>44622</v>
      </c>
      <c r="E1059" s="171">
        <v>-1000</v>
      </c>
      <c r="F1059" s="171">
        <v>13.79</v>
      </c>
      <c r="G1059" s="172">
        <v>1</v>
      </c>
      <c r="H1059" s="171">
        <f>tbTransactions[[#This Row],[Qty]]*tbTransactions[[#This Row],[Unit Cost]]*tbTransactions[[#This Row],[Exchange Rate]]</f>
        <v>-13790</v>
      </c>
      <c r="I1059" s="148" t="s">
        <v>779</v>
      </c>
      <c r="J1059" s="176" t="s">
        <v>762</v>
      </c>
      <c r="K1059" s="163" t="str">
        <f>IF(tbTransactions[[#This Row],[Sub-Type]]="Transfer","Neutral",IF(tbTransactions[[#This Row],[Qty]]&lt;0,"Debit",IF(tbTransactions[[#This Row],[Qty]]&gt;0,"Credit","Neutral")))</f>
        <v>Debit</v>
      </c>
      <c r="L1059" s="163" t="s">
        <v>711</v>
      </c>
      <c r="M1059" s="171" t="s">
        <v>780</v>
      </c>
    </row>
    <row r="1060" spans="3:13" ht="30" customHeight="1" x14ac:dyDescent="0.25">
      <c r="C1060" s="175">
        <v>1059</v>
      </c>
      <c r="D1060" s="163">
        <v>44691</v>
      </c>
      <c r="E1060" s="171">
        <v>0.12441777</v>
      </c>
      <c r="F1060" s="171">
        <v>0</v>
      </c>
      <c r="G1060" s="172">
        <v>1</v>
      </c>
      <c r="H1060" s="171">
        <f>tbTransactions[[#This Row],[Qty]]*tbTransactions[[#This Row],[Unit Cost]]*tbTransactions[[#This Row],[Exchange Rate]]</f>
        <v>0</v>
      </c>
      <c r="I1060" s="148" t="s">
        <v>540</v>
      </c>
      <c r="J1060" s="176" t="s">
        <v>20</v>
      </c>
      <c r="K1060" s="163" t="str">
        <f>IF(tbTransactions[[#This Row],[Sub-Type]]="Transfer","Neutral",IF(tbTransactions[[#This Row],[Qty]]&lt;0,"Debit",IF(tbTransactions[[#This Row],[Qty]]&gt;0,"Credit","Neutral")))</f>
        <v>Credit</v>
      </c>
      <c r="L1060" s="163" t="s">
        <v>518</v>
      </c>
      <c r="M1060" s="171" t="s">
        <v>465</v>
      </c>
    </row>
    <row r="1061" spans="3:13" ht="30" customHeight="1" x14ac:dyDescent="0.25">
      <c r="C1061" s="175">
        <v>1060</v>
      </c>
      <c r="D1061" s="163">
        <v>44694</v>
      </c>
      <c r="E1061" s="171">
        <v>9.3382960000000001E-2</v>
      </c>
      <c r="F1061" s="171">
        <v>0</v>
      </c>
      <c r="G1061" s="172">
        <v>1</v>
      </c>
      <c r="H1061" s="171">
        <f>tbTransactions[[#This Row],[Qty]]*tbTransactions[[#This Row],[Unit Cost]]*tbTransactions[[#This Row],[Exchange Rate]]</f>
        <v>0</v>
      </c>
      <c r="I1061" s="148" t="s">
        <v>540</v>
      </c>
      <c r="J1061" s="176" t="s">
        <v>20</v>
      </c>
      <c r="K1061" s="163" t="str">
        <f>IF(tbTransactions[[#This Row],[Sub-Type]]="Transfer","Neutral",IF(tbTransactions[[#This Row],[Qty]]&lt;0,"Debit",IF(tbTransactions[[#This Row],[Qty]]&gt;0,"Credit","Neutral")))</f>
        <v>Credit</v>
      </c>
      <c r="L1061" s="163" t="s">
        <v>518</v>
      </c>
      <c r="M1061" s="171" t="s">
        <v>465</v>
      </c>
    </row>
    <row r="1062" spans="3:13" ht="30" customHeight="1" x14ac:dyDescent="0.25">
      <c r="C1062" s="175">
        <v>1061</v>
      </c>
      <c r="D1062" s="163">
        <v>44696</v>
      </c>
      <c r="E1062" s="171">
        <v>1.6766374000000001E-2</v>
      </c>
      <c r="F1062" s="171">
        <v>0</v>
      </c>
      <c r="G1062" s="172">
        <v>1</v>
      </c>
      <c r="H1062" s="171">
        <f>tbTransactions[[#This Row],[Qty]]*tbTransactions[[#This Row],[Unit Cost]]*tbTransactions[[#This Row],[Exchange Rate]]</f>
        <v>0</v>
      </c>
      <c r="I1062" s="148" t="s">
        <v>542</v>
      </c>
      <c r="J1062" s="176" t="s">
        <v>22</v>
      </c>
      <c r="K1062" s="163" t="str">
        <f>IF(tbTransactions[[#This Row],[Sub-Type]]="Transfer","Neutral",IF(tbTransactions[[#This Row],[Qty]]&lt;0,"Debit",IF(tbTransactions[[#This Row],[Qty]]&gt;0,"Credit","Neutral")))</f>
        <v>Credit</v>
      </c>
      <c r="L1062" s="163" t="s">
        <v>518</v>
      </c>
      <c r="M1062" s="171" t="s">
        <v>556</v>
      </c>
    </row>
    <row r="1063" spans="3:13" ht="30" customHeight="1" x14ac:dyDescent="0.25">
      <c r="C1063" s="175">
        <v>1062</v>
      </c>
      <c r="D1063" s="163">
        <v>44698</v>
      </c>
      <c r="E1063" s="171">
        <v>0.12469585</v>
      </c>
      <c r="F1063" s="171">
        <v>0</v>
      </c>
      <c r="G1063" s="172">
        <v>1</v>
      </c>
      <c r="H1063" s="171">
        <f>tbTransactions[[#This Row],[Qty]]*tbTransactions[[#This Row],[Unit Cost]]*tbTransactions[[#This Row],[Exchange Rate]]</f>
        <v>0</v>
      </c>
      <c r="I1063" s="148" t="s">
        <v>540</v>
      </c>
      <c r="J1063" s="176" t="s">
        <v>20</v>
      </c>
      <c r="K1063" s="163" t="str">
        <f>IF(tbTransactions[[#This Row],[Sub-Type]]="Transfer","Neutral",IF(tbTransactions[[#This Row],[Qty]]&lt;0,"Debit",IF(tbTransactions[[#This Row],[Qty]]&gt;0,"Credit","Neutral")))</f>
        <v>Credit</v>
      </c>
      <c r="L1063" s="163" t="s">
        <v>518</v>
      </c>
      <c r="M1063" s="171" t="s">
        <v>465</v>
      </c>
    </row>
    <row r="1064" spans="3:13" ht="30" customHeight="1" x14ac:dyDescent="0.25">
      <c r="C1064" s="175">
        <v>1063</v>
      </c>
      <c r="D1064" s="163">
        <v>44701</v>
      </c>
      <c r="E1064" s="171">
        <v>9.3600409999999995E-2</v>
      </c>
      <c r="F1064" s="171">
        <v>0</v>
      </c>
      <c r="G1064" s="172">
        <v>1</v>
      </c>
      <c r="H1064" s="171">
        <f>tbTransactions[[#This Row],[Qty]]*tbTransactions[[#This Row],[Unit Cost]]*tbTransactions[[#This Row],[Exchange Rate]]</f>
        <v>0</v>
      </c>
      <c r="I1064" s="148" t="s">
        <v>540</v>
      </c>
      <c r="J1064" s="176" t="s">
        <v>20</v>
      </c>
      <c r="K1064" s="163" t="str">
        <f>IF(tbTransactions[[#This Row],[Sub-Type]]="Transfer","Neutral",IF(tbTransactions[[#This Row],[Qty]]&lt;0,"Debit",IF(tbTransactions[[#This Row],[Qty]]&gt;0,"Credit","Neutral")))</f>
        <v>Credit</v>
      </c>
      <c r="L1064" s="163" t="s">
        <v>518</v>
      </c>
      <c r="M1064" s="171" t="s">
        <v>465</v>
      </c>
    </row>
    <row r="1065" spans="3:13" ht="30" customHeight="1" x14ac:dyDescent="0.25">
      <c r="C1065" s="175">
        <v>1064</v>
      </c>
      <c r="D1065" s="163">
        <v>44703</v>
      </c>
      <c r="E1065" s="171">
        <v>1.663734E-2</v>
      </c>
      <c r="F1065" s="171">
        <v>0</v>
      </c>
      <c r="G1065" s="172">
        <v>1</v>
      </c>
      <c r="H1065" s="171">
        <f>tbTransactions[[#This Row],[Qty]]*tbTransactions[[#This Row],[Unit Cost]]*tbTransactions[[#This Row],[Exchange Rate]]</f>
        <v>0</v>
      </c>
      <c r="I1065" s="148" t="s">
        <v>542</v>
      </c>
      <c r="J1065" s="176" t="s">
        <v>22</v>
      </c>
      <c r="K1065" s="163" t="str">
        <f>IF(tbTransactions[[#This Row],[Sub-Type]]="Transfer","Neutral",IF(tbTransactions[[#This Row],[Qty]]&lt;0,"Debit",IF(tbTransactions[[#This Row],[Qty]]&gt;0,"Credit","Neutral")))</f>
        <v>Credit</v>
      </c>
      <c r="L1065" s="163" t="s">
        <v>518</v>
      </c>
      <c r="M1065" s="171" t="s">
        <v>556</v>
      </c>
    </row>
    <row r="1066" spans="3:13" ht="30" customHeight="1" x14ac:dyDescent="0.25">
      <c r="C1066" s="175">
        <v>1065</v>
      </c>
      <c r="D1066" s="163">
        <v>44705</v>
      </c>
      <c r="E1066" s="171">
        <v>0.12498235000000001</v>
      </c>
      <c r="F1066" s="171">
        <v>0</v>
      </c>
      <c r="G1066" s="172">
        <v>1</v>
      </c>
      <c r="H1066" s="171">
        <f>tbTransactions[[#This Row],[Qty]]*tbTransactions[[#This Row],[Unit Cost]]*tbTransactions[[#This Row],[Exchange Rate]]</f>
        <v>0</v>
      </c>
      <c r="I1066" s="148" t="s">
        <v>540</v>
      </c>
      <c r="J1066" s="176" t="s">
        <v>20</v>
      </c>
      <c r="K1066" s="163" t="str">
        <f>IF(tbTransactions[[#This Row],[Sub-Type]]="Transfer","Neutral",IF(tbTransactions[[#This Row],[Qty]]&lt;0,"Debit",IF(tbTransactions[[#This Row],[Qty]]&gt;0,"Credit","Neutral")))</f>
        <v>Credit</v>
      </c>
      <c r="L1066" s="163" t="s">
        <v>518</v>
      </c>
      <c r="M1066" s="171" t="s">
        <v>465</v>
      </c>
    </row>
    <row r="1067" spans="3:13" ht="30" customHeight="1" x14ac:dyDescent="0.25">
      <c r="C1067" s="175">
        <v>1066</v>
      </c>
      <c r="D1067" s="163">
        <v>44708</v>
      </c>
      <c r="E1067" s="171">
        <v>9.3859049999999999E-2</v>
      </c>
      <c r="F1067" s="171">
        <v>0</v>
      </c>
      <c r="G1067" s="172">
        <v>1</v>
      </c>
      <c r="H1067" s="171">
        <f>tbTransactions[[#This Row],[Qty]]*tbTransactions[[#This Row],[Unit Cost]]*tbTransactions[[#This Row],[Exchange Rate]]</f>
        <v>0</v>
      </c>
      <c r="I1067" s="148" t="s">
        <v>540</v>
      </c>
      <c r="J1067" s="176" t="s">
        <v>20</v>
      </c>
      <c r="K1067" s="163" t="str">
        <f>IF(tbTransactions[[#This Row],[Sub-Type]]="Transfer","Neutral",IF(tbTransactions[[#This Row],[Qty]]&lt;0,"Debit",IF(tbTransactions[[#This Row],[Qty]]&gt;0,"Credit","Neutral")))</f>
        <v>Credit</v>
      </c>
      <c r="L1067" s="163" t="s">
        <v>518</v>
      </c>
      <c r="M1067" s="171" t="s">
        <v>465</v>
      </c>
    </row>
    <row r="1068" spans="3:13" ht="30" customHeight="1" x14ac:dyDescent="0.25">
      <c r="C1068" s="175">
        <v>1067</v>
      </c>
      <c r="D1068" s="163">
        <v>44710</v>
      </c>
      <c r="E1068" s="171">
        <v>1.6455601E-2</v>
      </c>
      <c r="F1068" s="171">
        <v>0</v>
      </c>
      <c r="G1068" s="172">
        <v>1</v>
      </c>
      <c r="H1068" s="171">
        <f>tbTransactions[[#This Row],[Qty]]*tbTransactions[[#This Row],[Unit Cost]]*tbTransactions[[#This Row],[Exchange Rate]]</f>
        <v>0</v>
      </c>
      <c r="I1068" s="148" t="s">
        <v>542</v>
      </c>
      <c r="J1068" s="176" t="s">
        <v>22</v>
      </c>
      <c r="K1068" s="163" t="str">
        <f>IF(tbTransactions[[#This Row],[Sub-Type]]="Transfer","Neutral",IF(tbTransactions[[#This Row],[Qty]]&lt;0,"Debit",IF(tbTransactions[[#This Row],[Qty]]&gt;0,"Credit","Neutral")))</f>
        <v>Credit</v>
      </c>
      <c r="L1068" s="163" t="s">
        <v>518</v>
      </c>
      <c r="M1068" s="171" t="s">
        <v>556</v>
      </c>
    </row>
    <row r="1069" spans="3:13" ht="30" customHeight="1" x14ac:dyDescent="0.25">
      <c r="C1069" s="175">
        <v>1068</v>
      </c>
      <c r="D1069" s="163">
        <v>44709</v>
      </c>
      <c r="E1069" s="171">
        <v>0.70256399999999997</v>
      </c>
      <c r="F1069" s="171">
        <v>0</v>
      </c>
      <c r="G1069" s="172">
        <v>1</v>
      </c>
      <c r="H1069" s="171">
        <f>tbTransactions[[#This Row],[Qty]]*tbTransactions[[#This Row],[Unit Cost]]*tbTransactions[[#This Row],[Exchange Rate]]</f>
        <v>0</v>
      </c>
      <c r="I1069" s="148" t="s">
        <v>431</v>
      </c>
      <c r="J1069" s="176" t="s">
        <v>18</v>
      </c>
      <c r="K1069" s="163" t="str">
        <f>IF(tbTransactions[[#This Row],[Sub-Type]]="Transfer","Neutral",IF(tbTransactions[[#This Row],[Qty]]&lt;0,"Debit",IF(tbTransactions[[#This Row],[Qty]]&gt;0,"Credit","Neutral")))</f>
        <v>Credit</v>
      </c>
      <c r="L1069" s="163" t="s">
        <v>518</v>
      </c>
      <c r="M1069" s="171" t="s">
        <v>40</v>
      </c>
    </row>
    <row r="1070" spans="3:13" ht="30" customHeight="1" x14ac:dyDescent="0.25">
      <c r="C1070" s="175">
        <v>1069</v>
      </c>
      <c r="D1070" s="163">
        <v>44712</v>
      </c>
      <c r="E1070" s="171">
        <v>0.12530879</v>
      </c>
      <c r="F1070" s="171">
        <v>0</v>
      </c>
      <c r="G1070" s="172">
        <v>1</v>
      </c>
      <c r="H1070" s="171">
        <f>tbTransactions[[#This Row],[Qty]]*tbTransactions[[#This Row],[Unit Cost]]*tbTransactions[[#This Row],[Exchange Rate]]</f>
        <v>0</v>
      </c>
      <c r="I1070" s="148" t="s">
        <v>540</v>
      </c>
      <c r="J1070" s="176" t="s">
        <v>20</v>
      </c>
      <c r="K1070" s="163" t="str">
        <f>IF(tbTransactions[[#This Row],[Sub-Type]]="Transfer","Neutral",IF(tbTransactions[[#This Row],[Qty]]&lt;0,"Debit",IF(tbTransactions[[#This Row],[Qty]]&gt;0,"Credit","Neutral")))</f>
        <v>Credit</v>
      </c>
      <c r="L1070" s="163" t="s">
        <v>518</v>
      </c>
      <c r="M1070" s="171" t="s">
        <v>465</v>
      </c>
    </row>
    <row r="1071" spans="3:13" ht="30" customHeight="1" x14ac:dyDescent="0.25">
      <c r="C1071" s="175">
        <v>1070</v>
      </c>
      <c r="D1071" s="163">
        <v>44715</v>
      </c>
      <c r="E1071" s="171">
        <v>9.4082040000000006E-2</v>
      </c>
      <c r="F1071" s="171">
        <v>0</v>
      </c>
      <c r="G1071" s="172">
        <v>1</v>
      </c>
      <c r="H1071" s="171">
        <f>tbTransactions[[#This Row],[Qty]]*tbTransactions[[#This Row],[Unit Cost]]*tbTransactions[[#This Row],[Exchange Rate]]</f>
        <v>0</v>
      </c>
      <c r="I1071" s="148" t="s">
        <v>540</v>
      </c>
      <c r="J1071" s="176" t="s">
        <v>20</v>
      </c>
      <c r="K1071" s="163" t="str">
        <f>IF(tbTransactions[[#This Row],[Sub-Type]]="Transfer","Neutral",IF(tbTransactions[[#This Row],[Qty]]&lt;0,"Debit",IF(tbTransactions[[#This Row],[Qty]]&gt;0,"Credit","Neutral")))</f>
        <v>Credit</v>
      </c>
      <c r="L1071" s="163" t="s">
        <v>518</v>
      </c>
      <c r="M1071" s="171" t="s">
        <v>465</v>
      </c>
    </row>
    <row r="1072" spans="3:13" ht="30" customHeight="1" x14ac:dyDescent="0.25">
      <c r="C1072" s="175">
        <v>1071</v>
      </c>
      <c r="D1072" s="163">
        <v>44717</v>
      </c>
      <c r="E1072" s="171">
        <v>1.6574308999999999E-2</v>
      </c>
      <c r="F1072" s="171">
        <v>0</v>
      </c>
      <c r="G1072" s="172">
        <v>1</v>
      </c>
      <c r="H1072" s="171">
        <f>tbTransactions[[#This Row],[Qty]]*tbTransactions[[#This Row],[Unit Cost]]*tbTransactions[[#This Row],[Exchange Rate]]</f>
        <v>0</v>
      </c>
      <c r="I1072" s="148" t="s">
        <v>542</v>
      </c>
      <c r="J1072" s="176" t="s">
        <v>22</v>
      </c>
      <c r="K1072" s="163" t="str">
        <f>IF(tbTransactions[[#This Row],[Sub-Type]]="Transfer","Neutral",IF(tbTransactions[[#This Row],[Qty]]&lt;0,"Debit",IF(tbTransactions[[#This Row],[Qty]]&gt;0,"Credit","Neutral")))</f>
        <v>Credit</v>
      </c>
      <c r="L1072" s="163" t="s">
        <v>518</v>
      </c>
      <c r="M1072" s="171" t="s">
        <v>556</v>
      </c>
    </row>
    <row r="1073" spans="3:13" ht="30" customHeight="1" x14ac:dyDescent="0.25">
      <c r="C1073" s="175">
        <v>1072</v>
      </c>
      <c r="D1073" s="163">
        <v>44719</v>
      </c>
      <c r="E1073" s="171">
        <v>0.12559670000000001</v>
      </c>
      <c r="F1073" s="171">
        <v>0</v>
      </c>
      <c r="G1073" s="172">
        <v>1</v>
      </c>
      <c r="H1073" s="171">
        <f>tbTransactions[[#This Row],[Qty]]*tbTransactions[[#This Row],[Unit Cost]]*tbTransactions[[#This Row],[Exchange Rate]]</f>
        <v>0</v>
      </c>
      <c r="I1073" s="148" t="s">
        <v>540</v>
      </c>
      <c r="J1073" s="176" t="s">
        <v>20</v>
      </c>
      <c r="K1073" s="163" t="str">
        <f>IF(tbTransactions[[#This Row],[Sub-Type]]="Transfer","Neutral",IF(tbTransactions[[#This Row],[Qty]]&lt;0,"Debit",IF(tbTransactions[[#This Row],[Qty]]&gt;0,"Credit","Neutral")))</f>
        <v>Credit</v>
      </c>
      <c r="L1073" s="163" t="s">
        <v>518</v>
      </c>
      <c r="M1073" s="171" t="s">
        <v>465</v>
      </c>
    </row>
    <row r="1074" spans="3:13" ht="30" customHeight="1" x14ac:dyDescent="0.25">
      <c r="C1074" s="175">
        <v>1073</v>
      </c>
      <c r="D1074" s="163">
        <v>44722</v>
      </c>
      <c r="E1074" s="171">
        <v>9.4297820000000004E-2</v>
      </c>
      <c r="F1074" s="171">
        <v>0</v>
      </c>
      <c r="G1074" s="172">
        <v>1</v>
      </c>
      <c r="H1074" s="171">
        <f>tbTransactions[[#This Row],[Qty]]*tbTransactions[[#This Row],[Unit Cost]]*tbTransactions[[#This Row],[Exchange Rate]]</f>
        <v>0</v>
      </c>
      <c r="I1074" s="148" t="s">
        <v>540</v>
      </c>
      <c r="J1074" s="176" t="s">
        <v>20</v>
      </c>
      <c r="K1074" s="163" t="str">
        <f>IF(tbTransactions[[#This Row],[Sub-Type]]="Transfer","Neutral",IF(tbTransactions[[#This Row],[Qty]]&lt;0,"Debit",IF(tbTransactions[[#This Row],[Qty]]&gt;0,"Credit","Neutral")))</f>
        <v>Credit</v>
      </c>
      <c r="L1074" s="163" t="s">
        <v>518</v>
      </c>
      <c r="M1074" s="171" t="s">
        <v>465</v>
      </c>
    </row>
    <row r="1075" spans="3:13" ht="30" customHeight="1" x14ac:dyDescent="0.25">
      <c r="C1075" s="175">
        <v>1074</v>
      </c>
      <c r="D1075" s="163">
        <v>44724</v>
      </c>
      <c r="E1075" s="171">
        <v>1.6284043000000002E-2</v>
      </c>
      <c r="F1075" s="171">
        <v>0</v>
      </c>
      <c r="G1075" s="172">
        <v>1</v>
      </c>
      <c r="H1075" s="171">
        <f>tbTransactions[[#This Row],[Qty]]*tbTransactions[[#This Row],[Unit Cost]]*tbTransactions[[#This Row],[Exchange Rate]]</f>
        <v>0</v>
      </c>
      <c r="I1075" s="148" t="s">
        <v>542</v>
      </c>
      <c r="J1075" s="176" t="s">
        <v>22</v>
      </c>
      <c r="K1075" s="163" t="str">
        <f>IF(tbTransactions[[#This Row],[Sub-Type]]="Transfer","Neutral",IF(tbTransactions[[#This Row],[Qty]]&lt;0,"Debit",IF(tbTransactions[[#This Row],[Qty]]&gt;0,"Credit","Neutral")))</f>
        <v>Credit</v>
      </c>
      <c r="L1075" s="163" t="s">
        <v>518</v>
      </c>
      <c r="M1075" s="171" t="s">
        <v>556</v>
      </c>
    </row>
    <row r="1076" spans="3:13" ht="30" customHeight="1" x14ac:dyDescent="0.25">
      <c r="C1076" s="175">
        <v>1075</v>
      </c>
      <c r="D1076" s="163">
        <v>44723</v>
      </c>
      <c r="E1076" s="171">
        <v>0.48201699999999997</v>
      </c>
      <c r="F1076" s="171">
        <v>0</v>
      </c>
      <c r="G1076" s="172">
        <v>1</v>
      </c>
      <c r="H1076" s="171">
        <f>tbTransactions[[#This Row],[Qty]]*tbTransactions[[#This Row],[Unit Cost]]*tbTransactions[[#This Row],[Exchange Rate]]</f>
        <v>0</v>
      </c>
      <c r="I1076" s="148" t="s">
        <v>431</v>
      </c>
      <c r="J1076" s="176" t="s">
        <v>18</v>
      </c>
      <c r="K1076" s="163" t="str">
        <f>IF(tbTransactions[[#This Row],[Sub-Type]]="Transfer","Neutral",IF(tbTransactions[[#This Row],[Qty]]&lt;0,"Debit",IF(tbTransactions[[#This Row],[Qty]]&gt;0,"Credit","Neutral")))</f>
        <v>Credit</v>
      </c>
      <c r="L1076" s="163" t="s">
        <v>518</v>
      </c>
      <c r="M1076" s="171" t="s">
        <v>40</v>
      </c>
    </row>
    <row r="1077" spans="3:13" ht="30" customHeight="1" x14ac:dyDescent="0.25">
      <c r="C1077" s="175">
        <v>1076</v>
      </c>
      <c r="D1077" s="163">
        <v>44726</v>
      </c>
      <c r="E1077" s="171">
        <v>0.12588534000000001</v>
      </c>
      <c r="F1077" s="171">
        <v>0</v>
      </c>
      <c r="G1077" s="172">
        <v>1</v>
      </c>
      <c r="H1077" s="171">
        <f>tbTransactions[[#This Row],[Qty]]*tbTransactions[[#This Row],[Unit Cost]]*tbTransactions[[#This Row],[Exchange Rate]]</f>
        <v>0</v>
      </c>
      <c r="I1077" s="148" t="s">
        <v>540</v>
      </c>
      <c r="J1077" s="176" t="s">
        <v>20</v>
      </c>
      <c r="K1077" s="163" t="str">
        <f>IF(tbTransactions[[#This Row],[Sub-Type]]="Transfer","Neutral",IF(tbTransactions[[#This Row],[Qty]]&lt;0,"Debit",IF(tbTransactions[[#This Row],[Qty]]&gt;0,"Credit","Neutral")))</f>
        <v>Credit</v>
      </c>
      <c r="L1077" s="163" t="s">
        <v>518</v>
      </c>
      <c r="M1077" s="171" t="s">
        <v>465</v>
      </c>
    </row>
    <row r="1078" spans="3:13" ht="30" customHeight="1" x14ac:dyDescent="0.25">
      <c r="C1078" s="175">
        <v>1077</v>
      </c>
      <c r="D1078" s="163">
        <v>44729</v>
      </c>
      <c r="E1078" s="171">
        <v>9.4517160000000003E-2</v>
      </c>
      <c r="F1078" s="171">
        <v>0</v>
      </c>
      <c r="G1078" s="172">
        <v>1</v>
      </c>
      <c r="H1078" s="171">
        <f>tbTransactions[[#This Row],[Qty]]*tbTransactions[[#This Row],[Unit Cost]]*tbTransactions[[#This Row],[Exchange Rate]]</f>
        <v>0</v>
      </c>
      <c r="I1078" s="148" t="s">
        <v>540</v>
      </c>
      <c r="J1078" s="176" t="s">
        <v>20</v>
      </c>
      <c r="K1078" s="163" t="str">
        <f>IF(tbTransactions[[#This Row],[Sub-Type]]="Transfer","Neutral",IF(tbTransactions[[#This Row],[Qty]]&lt;0,"Debit",IF(tbTransactions[[#This Row],[Qty]]&gt;0,"Credit","Neutral")))</f>
        <v>Credit</v>
      </c>
      <c r="L1078" s="163" t="s">
        <v>518</v>
      </c>
      <c r="M1078" s="171" t="s">
        <v>465</v>
      </c>
    </row>
    <row r="1079" spans="3:13" ht="30" customHeight="1" x14ac:dyDescent="0.25">
      <c r="C1079" s="175">
        <v>1078</v>
      </c>
      <c r="D1079" s="163">
        <v>44731</v>
      </c>
      <c r="E1079" s="171">
        <v>1.6158718999999998E-2</v>
      </c>
      <c r="F1079" s="171">
        <v>0</v>
      </c>
      <c r="G1079" s="172">
        <v>1</v>
      </c>
      <c r="H1079" s="171">
        <f>tbTransactions[[#This Row],[Qty]]*tbTransactions[[#This Row],[Unit Cost]]*tbTransactions[[#This Row],[Exchange Rate]]</f>
        <v>0</v>
      </c>
      <c r="I1079" s="148" t="s">
        <v>542</v>
      </c>
      <c r="J1079" s="176" t="s">
        <v>22</v>
      </c>
      <c r="K1079" s="163" t="str">
        <f>IF(tbTransactions[[#This Row],[Sub-Type]]="Transfer","Neutral",IF(tbTransactions[[#This Row],[Qty]]&lt;0,"Debit",IF(tbTransactions[[#This Row],[Qty]]&gt;0,"Credit","Neutral")))</f>
        <v>Credit</v>
      </c>
      <c r="L1079" s="163" t="s">
        <v>518</v>
      </c>
      <c r="M1079" s="171" t="s">
        <v>556</v>
      </c>
    </row>
    <row r="1080" spans="3:13" ht="30" customHeight="1" x14ac:dyDescent="0.25">
      <c r="C1080" s="175">
        <v>1079</v>
      </c>
      <c r="D1080" s="163">
        <v>44733</v>
      </c>
      <c r="E1080" s="171">
        <v>0.12617966</v>
      </c>
      <c r="F1080" s="171">
        <v>0</v>
      </c>
      <c r="G1080" s="172">
        <v>1</v>
      </c>
      <c r="H1080" s="171">
        <f>tbTransactions[[#This Row],[Qty]]*tbTransactions[[#This Row],[Unit Cost]]*tbTransactions[[#This Row],[Exchange Rate]]</f>
        <v>0</v>
      </c>
      <c r="I1080" s="148" t="s">
        <v>540</v>
      </c>
      <c r="J1080" s="176" t="s">
        <v>20</v>
      </c>
      <c r="K1080" s="163" t="str">
        <f>IF(tbTransactions[[#This Row],[Sub-Type]]="Transfer","Neutral",IF(tbTransactions[[#This Row],[Qty]]&lt;0,"Debit",IF(tbTransactions[[#This Row],[Qty]]&gt;0,"Credit","Neutral")))</f>
        <v>Credit</v>
      </c>
      <c r="L1080" s="163" t="s">
        <v>518</v>
      </c>
      <c r="M1080" s="171" t="s">
        <v>465</v>
      </c>
    </row>
    <row r="1081" spans="3:13" ht="30" customHeight="1" x14ac:dyDescent="0.25">
      <c r="C1081" s="175">
        <v>1080</v>
      </c>
      <c r="D1081" s="163">
        <v>44736</v>
      </c>
      <c r="E1081" s="171">
        <v>9.4737489999999994E-2</v>
      </c>
      <c r="F1081" s="171">
        <v>0</v>
      </c>
      <c r="G1081" s="172">
        <v>1</v>
      </c>
      <c r="H1081" s="171">
        <f>tbTransactions[[#This Row],[Qty]]*tbTransactions[[#This Row],[Unit Cost]]*tbTransactions[[#This Row],[Exchange Rate]]</f>
        <v>0</v>
      </c>
      <c r="I1081" s="148" t="s">
        <v>540</v>
      </c>
      <c r="J1081" s="176" t="s">
        <v>20</v>
      </c>
      <c r="K1081" s="163" t="str">
        <f>IF(tbTransactions[[#This Row],[Sub-Type]]="Transfer","Neutral",IF(tbTransactions[[#This Row],[Qty]]&lt;0,"Debit",IF(tbTransactions[[#This Row],[Qty]]&gt;0,"Credit","Neutral")))</f>
        <v>Credit</v>
      </c>
      <c r="L1081" s="163" t="s">
        <v>518</v>
      </c>
      <c r="M1081" s="171" t="s">
        <v>465</v>
      </c>
    </row>
    <row r="1082" spans="3:13" ht="30" customHeight="1" x14ac:dyDescent="0.25">
      <c r="C1082" s="175">
        <v>1081</v>
      </c>
      <c r="D1082" s="163">
        <v>44738</v>
      </c>
      <c r="E1082" s="171">
        <v>1.6101615E-2</v>
      </c>
      <c r="F1082" s="171">
        <v>0</v>
      </c>
      <c r="G1082" s="172">
        <v>1</v>
      </c>
      <c r="H1082" s="171">
        <f>tbTransactions[[#This Row],[Qty]]*tbTransactions[[#This Row],[Unit Cost]]*tbTransactions[[#This Row],[Exchange Rate]]</f>
        <v>0</v>
      </c>
      <c r="I1082" s="148" t="s">
        <v>542</v>
      </c>
      <c r="J1082" s="176" t="s">
        <v>22</v>
      </c>
      <c r="K1082" s="163" t="str">
        <f>IF(tbTransactions[[#This Row],[Sub-Type]]="Transfer","Neutral",IF(tbTransactions[[#This Row],[Qty]]&lt;0,"Debit",IF(tbTransactions[[#This Row],[Qty]]&gt;0,"Credit","Neutral")))</f>
        <v>Credit</v>
      </c>
      <c r="L1082" s="163" t="s">
        <v>518</v>
      </c>
      <c r="M1082" s="171" t="s">
        <v>556</v>
      </c>
    </row>
    <row r="1083" spans="3:13" ht="30" customHeight="1" x14ac:dyDescent="0.25">
      <c r="C1083" s="175">
        <v>1082</v>
      </c>
      <c r="D1083" s="163">
        <v>44740</v>
      </c>
      <c r="E1083" s="171">
        <v>0.12646967000000001</v>
      </c>
      <c r="F1083" s="171">
        <v>0</v>
      </c>
      <c r="G1083" s="172">
        <v>1</v>
      </c>
      <c r="H1083" s="171">
        <f>tbTransactions[[#This Row],[Qty]]*tbTransactions[[#This Row],[Unit Cost]]*tbTransactions[[#This Row],[Exchange Rate]]</f>
        <v>0</v>
      </c>
      <c r="I1083" s="148" t="s">
        <v>540</v>
      </c>
      <c r="J1083" s="176" t="s">
        <v>20</v>
      </c>
      <c r="K1083" s="163" t="str">
        <f>IF(tbTransactions[[#This Row],[Sub-Type]]="Transfer","Neutral",IF(tbTransactions[[#This Row],[Qty]]&lt;0,"Debit",IF(tbTransactions[[#This Row],[Qty]]&gt;0,"Credit","Neutral")))</f>
        <v>Credit</v>
      </c>
      <c r="L1083" s="163" t="s">
        <v>518</v>
      </c>
      <c r="M1083" s="171" t="s">
        <v>465</v>
      </c>
    </row>
    <row r="1084" spans="3:13" ht="30" customHeight="1" x14ac:dyDescent="0.25">
      <c r="C1084" s="175">
        <v>1083</v>
      </c>
      <c r="D1084" s="163">
        <v>44743</v>
      </c>
      <c r="E1084" s="171">
        <v>7.9129359999999996E-2</v>
      </c>
      <c r="F1084" s="171">
        <v>0</v>
      </c>
      <c r="G1084" s="172">
        <v>1</v>
      </c>
      <c r="H1084" s="171">
        <f>tbTransactions[[#This Row],[Qty]]*tbTransactions[[#This Row],[Unit Cost]]*tbTransactions[[#This Row],[Exchange Rate]]</f>
        <v>0</v>
      </c>
      <c r="I1084" s="148" t="s">
        <v>540</v>
      </c>
      <c r="J1084" s="176" t="s">
        <v>20</v>
      </c>
      <c r="K1084" s="163" t="str">
        <f>IF(tbTransactions[[#This Row],[Sub-Type]]="Transfer","Neutral",IF(tbTransactions[[#This Row],[Qty]]&lt;0,"Debit",IF(tbTransactions[[#This Row],[Qty]]&gt;0,"Credit","Neutral")))</f>
        <v>Credit</v>
      </c>
      <c r="L1084" s="163" t="s">
        <v>518</v>
      </c>
      <c r="M1084" s="171" t="s">
        <v>465</v>
      </c>
    </row>
    <row r="1085" spans="3:13" ht="30" customHeight="1" x14ac:dyDescent="0.25">
      <c r="C1085" s="175">
        <v>1084</v>
      </c>
      <c r="D1085" s="163">
        <v>44745</v>
      </c>
      <c r="E1085" s="171">
        <v>1.6113242E-2</v>
      </c>
      <c r="F1085" s="171">
        <v>0</v>
      </c>
      <c r="G1085" s="172">
        <v>1</v>
      </c>
      <c r="H1085" s="171">
        <f>tbTransactions[[#This Row],[Qty]]*tbTransactions[[#This Row],[Unit Cost]]*tbTransactions[[#This Row],[Exchange Rate]]</f>
        <v>0</v>
      </c>
      <c r="I1085" s="148" t="s">
        <v>542</v>
      </c>
      <c r="J1085" s="176" t="s">
        <v>22</v>
      </c>
      <c r="K1085" s="163" t="str">
        <f>IF(tbTransactions[[#This Row],[Sub-Type]]="Transfer","Neutral",IF(tbTransactions[[#This Row],[Qty]]&lt;0,"Debit",IF(tbTransactions[[#This Row],[Qty]]&gt;0,"Credit","Neutral")))</f>
        <v>Credit</v>
      </c>
      <c r="L1085" s="163" t="s">
        <v>518</v>
      </c>
      <c r="M1085" s="171" t="s">
        <v>556</v>
      </c>
    </row>
    <row r="1086" spans="3:13" ht="30" customHeight="1" x14ac:dyDescent="0.25">
      <c r="C1086" s="175">
        <v>1085</v>
      </c>
      <c r="D1086" s="163">
        <v>44747</v>
      </c>
      <c r="E1086" s="171">
        <v>0.10562085</v>
      </c>
      <c r="F1086" s="171">
        <v>0</v>
      </c>
      <c r="G1086" s="172">
        <v>1</v>
      </c>
      <c r="H1086" s="171">
        <f>tbTransactions[[#This Row],[Qty]]*tbTransactions[[#This Row],[Unit Cost]]*tbTransactions[[#This Row],[Exchange Rate]]</f>
        <v>0</v>
      </c>
      <c r="I1086" s="148" t="s">
        <v>540</v>
      </c>
      <c r="J1086" s="176" t="s">
        <v>20</v>
      </c>
      <c r="K1086" s="163" t="str">
        <f>IF(tbTransactions[[#This Row],[Sub-Type]]="Transfer","Neutral",IF(tbTransactions[[#This Row],[Qty]]&lt;0,"Debit",IF(tbTransactions[[#This Row],[Qty]]&gt;0,"Credit","Neutral")))</f>
        <v>Credit</v>
      </c>
      <c r="L1086" s="163" t="s">
        <v>518</v>
      </c>
      <c r="M1086" s="171" t="s">
        <v>465</v>
      </c>
    </row>
    <row r="1087" spans="3:13" ht="30" customHeight="1" x14ac:dyDescent="0.25">
      <c r="C1087" s="175">
        <v>1086</v>
      </c>
      <c r="D1087" s="163">
        <v>44750</v>
      </c>
      <c r="E1087" s="171">
        <v>7.9286819999999994E-2</v>
      </c>
      <c r="F1087" s="171">
        <v>0</v>
      </c>
      <c r="G1087" s="172">
        <v>1</v>
      </c>
      <c r="H1087" s="171">
        <f>tbTransactions[[#This Row],[Qty]]*tbTransactions[[#This Row],[Unit Cost]]*tbTransactions[[#This Row],[Exchange Rate]]</f>
        <v>0</v>
      </c>
      <c r="I1087" s="148" t="s">
        <v>540</v>
      </c>
      <c r="J1087" s="176" t="s">
        <v>20</v>
      </c>
      <c r="K1087" s="163" t="str">
        <f>IF(tbTransactions[[#This Row],[Sub-Type]]="Transfer","Neutral",IF(tbTransactions[[#This Row],[Qty]]&lt;0,"Debit",IF(tbTransactions[[#This Row],[Qty]]&gt;0,"Credit","Neutral")))</f>
        <v>Credit</v>
      </c>
      <c r="L1087" s="163" t="s">
        <v>518</v>
      </c>
      <c r="M1087" s="171" t="s">
        <v>465</v>
      </c>
    </row>
    <row r="1088" spans="3:13" ht="30" customHeight="1" x14ac:dyDescent="0.25">
      <c r="C1088" s="175">
        <v>1087</v>
      </c>
      <c r="D1088" s="163">
        <v>44752</v>
      </c>
      <c r="E1088" s="171">
        <v>1.6126228999999999E-2</v>
      </c>
      <c r="F1088" s="171">
        <v>0</v>
      </c>
      <c r="G1088" s="172">
        <v>1</v>
      </c>
      <c r="H1088" s="171">
        <f>tbTransactions[[#This Row],[Qty]]*tbTransactions[[#This Row],[Unit Cost]]*tbTransactions[[#This Row],[Exchange Rate]]</f>
        <v>0</v>
      </c>
      <c r="I1088" s="148" t="s">
        <v>542</v>
      </c>
      <c r="J1088" s="176" t="s">
        <v>22</v>
      </c>
      <c r="K1088" s="163" t="str">
        <f>IF(tbTransactions[[#This Row],[Sub-Type]]="Transfer","Neutral",IF(tbTransactions[[#This Row],[Qty]]&lt;0,"Debit",IF(tbTransactions[[#This Row],[Qty]]&gt;0,"Credit","Neutral")))</f>
        <v>Credit</v>
      </c>
      <c r="L1088" s="163" t="s">
        <v>518</v>
      </c>
      <c r="M1088" s="171" t="s">
        <v>556</v>
      </c>
    </row>
    <row r="1089" spans="3:13" ht="30" customHeight="1" x14ac:dyDescent="0.25">
      <c r="C1089" s="175">
        <v>1088</v>
      </c>
      <c r="D1089" s="163">
        <v>44751</v>
      </c>
      <c r="E1089" s="171">
        <v>1.007852</v>
      </c>
      <c r="F1089" s="171">
        <v>0</v>
      </c>
      <c r="G1089" s="172">
        <v>1</v>
      </c>
      <c r="H1089" s="171">
        <f>tbTransactions[[#This Row],[Qty]]*tbTransactions[[#This Row],[Unit Cost]]*tbTransactions[[#This Row],[Exchange Rate]]</f>
        <v>0</v>
      </c>
      <c r="I1089" s="148" t="s">
        <v>431</v>
      </c>
      <c r="J1089" s="176" t="s">
        <v>18</v>
      </c>
      <c r="K1089" s="163" t="str">
        <f>IF(tbTransactions[[#This Row],[Sub-Type]]="Transfer","Neutral",IF(tbTransactions[[#This Row],[Qty]]&lt;0,"Debit",IF(tbTransactions[[#This Row],[Qty]]&gt;0,"Credit","Neutral")))</f>
        <v>Credit</v>
      </c>
      <c r="L1089" s="163" t="s">
        <v>518</v>
      </c>
      <c r="M1089" s="171" t="s">
        <v>40</v>
      </c>
    </row>
    <row r="1090" spans="3:13" ht="30" customHeight="1" x14ac:dyDescent="0.25">
      <c r="C1090" s="175">
        <v>1089</v>
      </c>
      <c r="D1090" s="163">
        <v>44754</v>
      </c>
      <c r="E1090" s="171">
        <v>0.10582303999999999</v>
      </c>
      <c r="F1090" s="171">
        <v>0</v>
      </c>
      <c r="G1090" s="172">
        <v>1</v>
      </c>
      <c r="H1090" s="171">
        <f>tbTransactions[[#This Row],[Qty]]*tbTransactions[[#This Row],[Unit Cost]]*tbTransactions[[#This Row],[Exchange Rate]]</f>
        <v>0</v>
      </c>
      <c r="I1090" s="148" t="s">
        <v>540</v>
      </c>
      <c r="J1090" s="176" t="s">
        <v>20</v>
      </c>
      <c r="K1090" s="163" t="str">
        <f>IF(tbTransactions[[#This Row],[Sub-Type]]="Transfer","Neutral",IF(tbTransactions[[#This Row],[Qty]]&lt;0,"Debit",IF(tbTransactions[[#This Row],[Qty]]&gt;0,"Credit","Neutral")))</f>
        <v>Credit</v>
      </c>
      <c r="L1090" s="163" t="s">
        <v>518</v>
      </c>
      <c r="M1090" s="171" t="s">
        <v>465</v>
      </c>
    </row>
    <row r="1091" spans="3:13" ht="30" customHeight="1" x14ac:dyDescent="0.25">
      <c r="C1091" s="175">
        <v>1090</v>
      </c>
      <c r="D1091" s="163">
        <v>44757</v>
      </c>
      <c r="E1091" s="171">
        <v>7.9438560000000005E-2</v>
      </c>
      <c r="F1091" s="171">
        <v>0</v>
      </c>
      <c r="G1091" s="172">
        <v>1</v>
      </c>
      <c r="H1091" s="171">
        <f>tbTransactions[[#This Row],[Qty]]*tbTransactions[[#This Row],[Unit Cost]]*tbTransactions[[#This Row],[Exchange Rate]]</f>
        <v>0</v>
      </c>
      <c r="I1091" s="148" t="s">
        <v>540</v>
      </c>
      <c r="J1091" s="176" t="s">
        <v>20</v>
      </c>
      <c r="K1091" s="163" t="str">
        <f>IF(tbTransactions[[#This Row],[Sub-Type]]="Transfer","Neutral",IF(tbTransactions[[#This Row],[Qty]]&lt;0,"Debit",IF(tbTransactions[[#This Row],[Qty]]&gt;0,"Credit","Neutral")))</f>
        <v>Credit</v>
      </c>
      <c r="L1091" s="163" t="s">
        <v>518</v>
      </c>
      <c r="M1091" s="171" t="s">
        <v>465</v>
      </c>
    </row>
    <row r="1092" spans="3:13" ht="30" customHeight="1" x14ac:dyDescent="0.25">
      <c r="C1092" s="175">
        <v>1091</v>
      </c>
      <c r="D1092" s="163">
        <v>44759</v>
      </c>
      <c r="E1092" s="171">
        <v>1.6072777999999999E-2</v>
      </c>
      <c r="F1092" s="171">
        <v>0</v>
      </c>
      <c r="G1092" s="172">
        <v>1</v>
      </c>
      <c r="H1092" s="171">
        <f>tbTransactions[[#This Row],[Qty]]*tbTransactions[[#This Row],[Unit Cost]]*tbTransactions[[#This Row],[Exchange Rate]]</f>
        <v>0</v>
      </c>
      <c r="I1092" s="148" t="s">
        <v>542</v>
      </c>
      <c r="J1092" s="176" t="s">
        <v>22</v>
      </c>
      <c r="K1092" s="163" t="str">
        <f>IF(tbTransactions[[#This Row],[Sub-Type]]="Transfer","Neutral",IF(tbTransactions[[#This Row],[Qty]]&lt;0,"Debit",IF(tbTransactions[[#This Row],[Qty]]&gt;0,"Credit","Neutral")))</f>
        <v>Credit</v>
      </c>
      <c r="L1092" s="163" t="s">
        <v>518</v>
      </c>
      <c r="M1092" s="171" t="s">
        <v>556</v>
      </c>
    </row>
    <row r="1093" spans="3:13" ht="30" customHeight="1" x14ac:dyDescent="0.25">
      <c r="C1093" s="175">
        <v>1092</v>
      </c>
      <c r="D1093" s="163">
        <v>44764</v>
      </c>
      <c r="E1093" s="171">
        <f>3192-798</f>
        <v>2394</v>
      </c>
      <c r="F1093" s="171">
        <v>0</v>
      </c>
      <c r="G1093" s="172">
        <v>1</v>
      </c>
      <c r="H1093" s="171">
        <f>tbTransactions[[#This Row],[Qty]]*tbTransactions[[#This Row],[Unit Cost]]*tbTransactions[[#This Row],[Exchange Rate]]</f>
        <v>0</v>
      </c>
      <c r="I1093" s="148" t="s">
        <v>714</v>
      </c>
      <c r="J1093" s="176" t="s">
        <v>41</v>
      </c>
      <c r="K1093" s="163" t="str">
        <f>IF(tbTransactions[[#This Row],[Sub-Type]]="Transfer","Neutral",IF(tbTransactions[[#This Row],[Qty]]&lt;0,"Debit",IF(tbTransactions[[#This Row],[Qty]]&gt;0,"Credit","Neutral")))</f>
        <v>Credit</v>
      </c>
      <c r="L1093" s="163" t="s">
        <v>29</v>
      </c>
      <c r="M1093" s="171" t="s">
        <v>781</v>
      </c>
    </row>
    <row r="1094" spans="3:13" ht="30" customHeight="1" x14ac:dyDescent="0.25">
      <c r="C1094" s="175">
        <v>1093</v>
      </c>
      <c r="D1094" s="163">
        <v>44764</v>
      </c>
      <c r="E1094" s="171">
        <v>2</v>
      </c>
      <c r="F1094" s="171">
        <v>35.796300000000002</v>
      </c>
      <c r="G1094" s="172">
        <v>1</v>
      </c>
      <c r="H1094" s="171">
        <f>tbTransactions[[#This Row],[Qty]]*tbTransactions[[#This Row],[Unit Cost]]*tbTransactions[[#This Row],[Exchange Rate]]</f>
        <v>71.592600000000004</v>
      </c>
      <c r="I1094" s="148" t="s">
        <v>714</v>
      </c>
      <c r="J1094" s="176" t="s">
        <v>41</v>
      </c>
      <c r="K1094" s="163" t="str">
        <f>IF(tbTransactions[[#This Row],[Sub-Type]]="Transfer","Neutral",IF(tbTransactions[[#This Row],[Qty]]&lt;0,"Debit",IF(tbTransactions[[#This Row],[Qty]]&gt;0,"Credit","Neutral")))</f>
        <v>Credit</v>
      </c>
      <c r="L1094" s="163" t="s">
        <v>519</v>
      </c>
      <c r="M1094" s="171" t="s">
        <v>429</v>
      </c>
    </row>
    <row r="1095" spans="3:13" ht="30" customHeight="1" x14ac:dyDescent="0.25">
      <c r="C1095" s="175">
        <v>1094</v>
      </c>
      <c r="D1095" s="163">
        <v>44761</v>
      </c>
      <c r="E1095" s="171">
        <v>0.10602557</v>
      </c>
      <c r="F1095" s="171">
        <v>0</v>
      </c>
      <c r="G1095" s="172">
        <v>1</v>
      </c>
      <c r="H1095" s="171">
        <f>tbTransactions[[#This Row],[Qty]]*tbTransactions[[#This Row],[Unit Cost]]*tbTransactions[[#This Row],[Exchange Rate]]</f>
        <v>0</v>
      </c>
      <c r="I1095" s="148" t="s">
        <v>540</v>
      </c>
      <c r="J1095" s="176" t="s">
        <v>20</v>
      </c>
      <c r="K1095" s="163" t="str">
        <f>IF(tbTransactions[[#This Row],[Sub-Type]]="Transfer","Neutral",IF(tbTransactions[[#This Row],[Qty]]&lt;0,"Debit",IF(tbTransactions[[#This Row],[Qty]]&gt;0,"Credit","Neutral")))</f>
        <v>Credit</v>
      </c>
      <c r="L1095" s="163" t="s">
        <v>518</v>
      </c>
      <c r="M1095" s="171" t="s">
        <v>465</v>
      </c>
    </row>
    <row r="1096" spans="3:13" ht="30" customHeight="1" x14ac:dyDescent="0.25">
      <c r="C1096" s="175">
        <v>1095</v>
      </c>
      <c r="D1096" s="163">
        <v>44764</v>
      </c>
      <c r="E1096" s="171">
        <v>7.9589919999999995E-2</v>
      </c>
      <c r="F1096" s="171">
        <v>0</v>
      </c>
      <c r="G1096" s="172">
        <v>1</v>
      </c>
      <c r="H1096" s="171">
        <f>tbTransactions[[#This Row],[Qty]]*tbTransactions[[#This Row],[Unit Cost]]*tbTransactions[[#This Row],[Exchange Rate]]</f>
        <v>0</v>
      </c>
      <c r="I1096" s="148" t="s">
        <v>540</v>
      </c>
      <c r="J1096" s="176" t="s">
        <v>20</v>
      </c>
      <c r="K1096" s="163" t="str">
        <f>IF(tbTransactions[[#This Row],[Sub-Type]]="Transfer","Neutral",IF(tbTransactions[[#This Row],[Qty]]&lt;0,"Debit",IF(tbTransactions[[#This Row],[Qty]]&gt;0,"Credit","Neutral")))</f>
        <v>Credit</v>
      </c>
      <c r="L1096" s="163" t="s">
        <v>518</v>
      </c>
      <c r="M1096" s="171" t="s">
        <v>465</v>
      </c>
    </row>
    <row r="1097" spans="3:13" ht="30" customHeight="1" x14ac:dyDescent="0.25">
      <c r="C1097" s="175">
        <v>1096</v>
      </c>
      <c r="D1097" s="163">
        <v>44765</v>
      </c>
      <c r="E1097" s="171">
        <v>0.513293</v>
      </c>
      <c r="F1097" s="171">
        <v>0</v>
      </c>
      <c r="G1097" s="172">
        <v>1</v>
      </c>
      <c r="H1097" s="171">
        <f>tbTransactions[[#This Row],[Qty]]*tbTransactions[[#This Row],[Unit Cost]]*tbTransactions[[#This Row],[Exchange Rate]]</f>
        <v>0</v>
      </c>
      <c r="I1097" s="148" t="s">
        <v>431</v>
      </c>
      <c r="J1097" s="176" t="s">
        <v>18</v>
      </c>
      <c r="K1097" s="163" t="str">
        <f>IF(tbTransactions[[#This Row],[Sub-Type]]="Transfer","Neutral",IF(tbTransactions[[#This Row],[Qty]]&lt;0,"Debit",IF(tbTransactions[[#This Row],[Qty]]&gt;0,"Credit","Neutral")))</f>
        <v>Credit</v>
      </c>
      <c r="L1097" s="163" t="s">
        <v>518</v>
      </c>
      <c r="M1097" s="171" t="s">
        <v>40</v>
      </c>
    </row>
    <row r="1098" spans="3:13" ht="30" customHeight="1" x14ac:dyDescent="0.25">
      <c r="C1098" s="175">
        <v>1097</v>
      </c>
      <c r="D1098" s="163">
        <v>44766</v>
      </c>
      <c r="E1098" s="171">
        <v>1.6108569E-2</v>
      </c>
      <c r="F1098" s="171">
        <v>0</v>
      </c>
      <c r="G1098" s="172">
        <v>1</v>
      </c>
      <c r="H1098" s="171">
        <f>tbTransactions[[#This Row],[Qty]]*tbTransactions[[#This Row],[Unit Cost]]*tbTransactions[[#This Row],[Exchange Rate]]</f>
        <v>0</v>
      </c>
      <c r="I1098" s="148" t="s">
        <v>542</v>
      </c>
      <c r="J1098" s="176" t="s">
        <v>22</v>
      </c>
      <c r="K1098" s="163" t="str">
        <f>IF(tbTransactions[[#This Row],[Sub-Type]]="Transfer","Neutral",IF(tbTransactions[[#This Row],[Qty]]&lt;0,"Debit",IF(tbTransactions[[#This Row],[Qty]]&gt;0,"Credit","Neutral")))</f>
        <v>Credit</v>
      </c>
      <c r="L1098" s="163" t="s">
        <v>518</v>
      </c>
      <c r="M1098" s="171" t="s">
        <v>556</v>
      </c>
    </row>
    <row r="1099" spans="3:13" ht="30" customHeight="1" x14ac:dyDescent="0.25">
      <c r="C1099" s="175">
        <v>1098</v>
      </c>
      <c r="D1099" s="163">
        <v>44768</v>
      </c>
      <c r="E1099" s="171">
        <v>0.10622835</v>
      </c>
      <c r="F1099" s="171">
        <v>0</v>
      </c>
      <c r="G1099" s="172">
        <v>1</v>
      </c>
      <c r="H1099" s="171">
        <f>tbTransactions[[#This Row],[Qty]]*tbTransactions[[#This Row],[Unit Cost]]*tbTransactions[[#This Row],[Exchange Rate]]</f>
        <v>0</v>
      </c>
      <c r="I1099" s="148" t="s">
        <v>540</v>
      </c>
      <c r="J1099" s="176" t="s">
        <v>20</v>
      </c>
      <c r="K1099" s="163" t="str">
        <f>IF(tbTransactions[[#This Row],[Sub-Type]]="Transfer","Neutral",IF(tbTransactions[[#This Row],[Qty]]&lt;0,"Debit",IF(tbTransactions[[#This Row],[Qty]]&gt;0,"Credit","Neutral")))</f>
        <v>Credit</v>
      </c>
      <c r="L1099" s="163" t="s">
        <v>518</v>
      </c>
      <c r="M1099" s="171" t="s">
        <v>465</v>
      </c>
    </row>
    <row r="1100" spans="3:13" ht="30" customHeight="1" x14ac:dyDescent="0.25">
      <c r="C1100" s="175">
        <v>1099</v>
      </c>
      <c r="D1100" s="163">
        <v>44770</v>
      </c>
      <c r="E1100" s="171">
        <v>0.19980505879999999</v>
      </c>
      <c r="F1100" s="171">
        <v>0</v>
      </c>
      <c r="G1100" s="172">
        <v>1</v>
      </c>
      <c r="H1100" s="171">
        <f>tbTransactions[[#This Row],[Qty]]*tbTransactions[[#This Row],[Unit Cost]]*tbTransactions[[#This Row],[Exchange Rate]]</f>
        <v>0</v>
      </c>
      <c r="I1100" s="148" t="s">
        <v>540</v>
      </c>
      <c r="J1100" s="176" t="s">
        <v>22</v>
      </c>
      <c r="K1100" s="163" t="str">
        <f>IF(tbTransactions[[#This Row],[Sub-Type]]="Transfer","Neutral",IF(tbTransactions[[#This Row],[Qty]]&lt;0,"Debit",IF(tbTransactions[[#This Row],[Qty]]&gt;0,"Credit","Neutral")))</f>
        <v>Credit</v>
      </c>
      <c r="L1100" s="163" t="s">
        <v>770</v>
      </c>
      <c r="M1100" s="171" t="s">
        <v>771</v>
      </c>
    </row>
    <row r="1101" spans="3:13" ht="30" customHeight="1" x14ac:dyDescent="0.25">
      <c r="C1101" s="175">
        <v>1100</v>
      </c>
      <c r="D1101" s="163">
        <v>44770</v>
      </c>
      <c r="E1101" s="171">
        <v>-0.19980000000000001</v>
      </c>
      <c r="F1101" s="171">
        <v>2211</v>
      </c>
      <c r="G1101" s="172">
        <v>1</v>
      </c>
      <c r="H1101" s="171">
        <f>tbTransactions[[#This Row],[Qty]]*tbTransactions[[#This Row],[Unit Cost]]*tbTransactions[[#This Row],[Exchange Rate]]</f>
        <v>-441.75780000000003</v>
      </c>
      <c r="I1101" s="148" t="s">
        <v>540</v>
      </c>
      <c r="J1101" s="176" t="s">
        <v>22</v>
      </c>
      <c r="K1101" s="163" t="str">
        <f>IF(tbTransactions[[#This Row],[Sub-Type]]="Transfer","Neutral",IF(tbTransactions[[#This Row],[Qty]]&lt;0,"Debit",IF(tbTransactions[[#This Row],[Qty]]&gt;0,"Credit","Neutral")))</f>
        <v>Neutral</v>
      </c>
      <c r="L1101" s="163" t="s">
        <v>32</v>
      </c>
      <c r="M1101" s="171" t="s">
        <v>543</v>
      </c>
    </row>
    <row r="1102" spans="3:13" ht="30" customHeight="1" x14ac:dyDescent="0.25">
      <c r="C1102" s="175">
        <v>1101</v>
      </c>
      <c r="D1102" s="163">
        <v>44770</v>
      </c>
      <c r="E1102" s="171">
        <v>0.19980000000000001</v>
      </c>
      <c r="F1102" s="171">
        <v>2211</v>
      </c>
      <c r="G1102" s="172">
        <v>1</v>
      </c>
      <c r="H1102" s="171">
        <f>tbTransactions[[#This Row],[Qty]]*tbTransactions[[#This Row],[Unit Cost]]*tbTransactions[[#This Row],[Exchange Rate]]</f>
        <v>441.75780000000003</v>
      </c>
      <c r="I1102" s="148" t="s">
        <v>542</v>
      </c>
      <c r="J1102" s="176" t="s">
        <v>22</v>
      </c>
      <c r="K1102" s="163" t="str">
        <f>IF(tbTransactions[[#This Row],[Sub-Type]]="Transfer","Neutral",IF(tbTransactions[[#This Row],[Qty]]&lt;0,"Debit",IF(tbTransactions[[#This Row],[Qty]]&gt;0,"Credit","Neutral")))</f>
        <v>Neutral</v>
      </c>
      <c r="L1102" s="163" t="s">
        <v>32</v>
      </c>
      <c r="M1102" s="171" t="s">
        <v>543</v>
      </c>
    </row>
    <row r="1103" spans="3:13" ht="30" customHeight="1" x14ac:dyDescent="0.25">
      <c r="C1103" s="175">
        <v>1102</v>
      </c>
      <c r="D1103" s="163">
        <v>44771</v>
      </c>
      <c r="E1103" s="171">
        <v>7.9741960000000001E-2</v>
      </c>
      <c r="F1103" s="171">
        <v>0</v>
      </c>
      <c r="G1103" s="172">
        <v>1</v>
      </c>
      <c r="H1103" s="171">
        <f>tbTransactions[[#This Row],[Qty]]*tbTransactions[[#This Row],[Unit Cost]]*tbTransactions[[#This Row],[Exchange Rate]]</f>
        <v>0</v>
      </c>
      <c r="I1103" s="148" t="s">
        <v>540</v>
      </c>
      <c r="J1103" s="176" t="s">
        <v>20</v>
      </c>
      <c r="K1103" s="163" t="str">
        <f>IF(tbTransactions[[#This Row],[Sub-Type]]="Transfer","Neutral",IF(tbTransactions[[#This Row],[Qty]]&lt;0,"Debit",IF(tbTransactions[[#This Row],[Qty]]&gt;0,"Credit","Neutral")))</f>
        <v>Credit</v>
      </c>
      <c r="L1103" s="163" t="s">
        <v>518</v>
      </c>
      <c r="M1103" s="171" t="s">
        <v>465</v>
      </c>
    </row>
    <row r="1104" spans="3:13" ht="30" customHeight="1" x14ac:dyDescent="0.25">
      <c r="C1104" s="175">
        <v>1103</v>
      </c>
      <c r="D1104" s="163">
        <v>44771</v>
      </c>
      <c r="E1104" s="171">
        <v>1.6081285000000001E-2</v>
      </c>
      <c r="F1104" s="171">
        <v>0</v>
      </c>
      <c r="G1104" s="172">
        <v>1</v>
      </c>
      <c r="H1104" s="171">
        <f>tbTransactions[[#This Row],[Qty]]*tbTransactions[[#This Row],[Unit Cost]]*tbTransactions[[#This Row],[Exchange Rate]]</f>
        <v>0</v>
      </c>
      <c r="I1104" s="148" t="s">
        <v>542</v>
      </c>
      <c r="J1104" s="176" t="s">
        <v>22</v>
      </c>
      <c r="K1104" s="163" t="str">
        <f>IF(tbTransactions[[#This Row],[Sub-Type]]="Transfer","Neutral",IF(tbTransactions[[#This Row],[Qty]]&lt;0,"Debit",IF(tbTransactions[[#This Row],[Qty]]&gt;0,"Credit","Neutral")))</f>
        <v>Credit</v>
      </c>
      <c r="L1104" s="163" t="s">
        <v>518</v>
      </c>
      <c r="M1104" s="171" t="s">
        <v>556</v>
      </c>
    </row>
    <row r="1105" spans="3:13" ht="30" customHeight="1" x14ac:dyDescent="0.25">
      <c r="C1105" s="175">
        <v>1104</v>
      </c>
      <c r="D1105" s="163">
        <v>44775</v>
      </c>
      <c r="E1105" s="171">
        <v>0.10643194</v>
      </c>
      <c r="F1105" s="171">
        <v>0</v>
      </c>
      <c r="G1105" s="172">
        <v>1</v>
      </c>
      <c r="H1105" s="171">
        <f>tbTransactions[[#This Row],[Qty]]*tbTransactions[[#This Row],[Unit Cost]]*tbTransactions[[#This Row],[Exchange Rate]]</f>
        <v>0</v>
      </c>
      <c r="I1105" s="148" t="s">
        <v>540</v>
      </c>
      <c r="J1105" s="176" t="s">
        <v>20</v>
      </c>
      <c r="K1105" s="163" t="str">
        <f>IF(tbTransactions[[#This Row],[Sub-Type]]="Transfer","Neutral",IF(tbTransactions[[#This Row],[Qty]]&lt;0,"Debit",IF(tbTransactions[[#This Row],[Qty]]&gt;0,"Credit","Neutral")))</f>
        <v>Credit</v>
      </c>
      <c r="L1105" s="163" t="s">
        <v>518</v>
      </c>
      <c r="M1105" s="171" t="s">
        <v>465</v>
      </c>
    </row>
    <row r="1106" spans="3:13" ht="30" customHeight="1" x14ac:dyDescent="0.25">
      <c r="C1106" s="175">
        <v>1105</v>
      </c>
      <c r="D1106" s="163">
        <v>44778</v>
      </c>
      <c r="E1106" s="171">
        <v>7.9894960000000001E-2</v>
      </c>
      <c r="F1106" s="171">
        <v>0</v>
      </c>
      <c r="G1106" s="172">
        <v>1</v>
      </c>
      <c r="H1106" s="171">
        <f>tbTransactions[[#This Row],[Qty]]*tbTransactions[[#This Row],[Unit Cost]]*tbTransactions[[#This Row],[Exchange Rate]]</f>
        <v>0</v>
      </c>
      <c r="I1106" s="148" t="s">
        <v>540</v>
      </c>
      <c r="J1106" s="176" t="s">
        <v>20</v>
      </c>
      <c r="K1106" s="163" t="str">
        <f>IF(tbTransactions[[#This Row],[Sub-Type]]="Transfer","Neutral",IF(tbTransactions[[#This Row],[Qty]]&lt;0,"Debit",IF(tbTransactions[[#This Row],[Qty]]&gt;0,"Credit","Neutral")))</f>
        <v>Credit</v>
      </c>
      <c r="L1106" s="163" t="s">
        <v>518</v>
      </c>
      <c r="M1106" s="171" t="s">
        <v>465</v>
      </c>
    </row>
    <row r="1107" spans="3:13" ht="30" customHeight="1" x14ac:dyDescent="0.25">
      <c r="C1107" s="175">
        <v>1106</v>
      </c>
      <c r="D1107" s="163">
        <v>44780</v>
      </c>
      <c r="E1107" s="171">
        <v>1.6284079999999999E-2</v>
      </c>
      <c r="F1107" s="171">
        <v>0</v>
      </c>
      <c r="G1107" s="172">
        <v>1</v>
      </c>
      <c r="H1107" s="171">
        <f>tbTransactions[[#This Row],[Qty]]*tbTransactions[[#This Row],[Unit Cost]]*tbTransactions[[#This Row],[Exchange Rate]]</f>
        <v>0</v>
      </c>
      <c r="I1107" s="148" t="s">
        <v>542</v>
      </c>
      <c r="J1107" s="176" t="s">
        <v>22</v>
      </c>
      <c r="K1107" s="163" t="str">
        <f>IF(tbTransactions[[#This Row],[Sub-Type]]="Transfer","Neutral",IF(tbTransactions[[#This Row],[Qty]]&lt;0,"Debit",IF(tbTransactions[[#This Row],[Qty]]&gt;0,"Credit","Neutral")))</f>
        <v>Credit</v>
      </c>
      <c r="L1107" s="163" t="s">
        <v>518</v>
      </c>
      <c r="M1107" s="171" t="s">
        <v>556</v>
      </c>
    </row>
    <row r="1108" spans="3:13" ht="30" customHeight="1" x14ac:dyDescent="0.25">
      <c r="C1108" s="175">
        <v>1107</v>
      </c>
      <c r="D1108" s="163">
        <v>44782</v>
      </c>
      <c r="E1108" s="171">
        <v>0.10663562</v>
      </c>
      <c r="F1108" s="171">
        <v>0</v>
      </c>
      <c r="G1108" s="172">
        <v>1</v>
      </c>
      <c r="H1108" s="171">
        <f>tbTransactions[[#This Row],[Qty]]*tbTransactions[[#This Row],[Unit Cost]]*tbTransactions[[#This Row],[Exchange Rate]]</f>
        <v>0</v>
      </c>
      <c r="I1108" s="148" t="s">
        <v>540</v>
      </c>
      <c r="J1108" s="176" t="s">
        <v>20</v>
      </c>
      <c r="K1108" s="163" t="str">
        <f>IF(tbTransactions[[#This Row],[Sub-Type]]="Transfer","Neutral",IF(tbTransactions[[#This Row],[Qty]]&lt;0,"Debit",IF(tbTransactions[[#This Row],[Qty]]&gt;0,"Credit","Neutral")))</f>
        <v>Credit</v>
      </c>
      <c r="L1108" s="163" t="s">
        <v>518</v>
      </c>
      <c r="M1108" s="171" t="s">
        <v>465</v>
      </c>
    </row>
    <row r="1109" spans="3:13" ht="30" customHeight="1" x14ac:dyDescent="0.25">
      <c r="C1109" s="175">
        <v>1108</v>
      </c>
      <c r="D1109" s="163">
        <v>44785</v>
      </c>
      <c r="E1109" s="171">
        <v>8.0048010000000003E-2</v>
      </c>
      <c r="F1109" s="171">
        <v>0</v>
      </c>
      <c r="G1109" s="172">
        <v>1</v>
      </c>
      <c r="H1109" s="171">
        <f>tbTransactions[[#This Row],[Qty]]*tbTransactions[[#This Row],[Unit Cost]]*tbTransactions[[#This Row],[Exchange Rate]]</f>
        <v>0</v>
      </c>
      <c r="I1109" s="148" t="s">
        <v>540</v>
      </c>
      <c r="J1109" s="176" t="s">
        <v>20</v>
      </c>
      <c r="K1109" s="163" t="str">
        <f>IF(tbTransactions[[#This Row],[Sub-Type]]="Transfer","Neutral",IF(tbTransactions[[#This Row],[Qty]]&lt;0,"Debit",IF(tbTransactions[[#This Row],[Qty]]&gt;0,"Credit","Neutral")))</f>
        <v>Credit</v>
      </c>
      <c r="L1109" s="163" t="s">
        <v>518</v>
      </c>
      <c r="M1109" s="171" t="s">
        <v>465</v>
      </c>
    </row>
    <row r="1110" spans="3:13" ht="30" customHeight="1" x14ac:dyDescent="0.25">
      <c r="C1110" s="175">
        <v>1109</v>
      </c>
      <c r="D1110" s="163">
        <v>44786</v>
      </c>
      <c r="E1110" s="171">
        <v>0.76712499999999995</v>
      </c>
      <c r="F1110" s="171">
        <v>0</v>
      </c>
      <c r="G1110" s="172">
        <v>1</v>
      </c>
      <c r="H1110" s="171">
        <f>tbTransactions[[#This Row],[Qty]]*tbTransactions[[#This Row],[Unit Cost]]*tbTransactions[[#This Row],[Exchange Rate]]</f>
        <v>0</v>
      </c>
      <c r="I1110" s="148" t="s">
        <v>431</v>
      </c>
      <c r="J1110" s="176" t="s">
        <v>18</v>
      </c>
      <c r="K1110" s="163" t="str">
        <f>IF(tbTransactions[[#This Row],[Sub-Type]]="Transfer","Neutral",IF(tbTransactions[[#This Row],[Qty]]&lt;0,"Debit",IF(tbTransactions[[#This Row],[Qty]]&gt;0,"Credit","Neutral")))</f>
        <v>Credit</v>
      </c>
      <c r="L1110" s="163" t="s">
        <v>518</v>
      </c>
      <c r="M1110" s="171" t="s">
        <v>40</v>
      </c>
    </row>
    <row r="1111" spans="3:13" ht="30" customHeight="1" x14ac:dyDescent="0.25">
      <c r="C1111" s="175">
        <v>1110</v>
      </c>
      <c r="D1111" s="163">
        <v>44787</v>
      </c>
      <c r="E1111" s="171">
        <v>1.6256949E-2</v>
      </c>
      <c r="F1111" s="171">
        <v>0</v>
      </c>
      <c r="G1111" s="172">
        <v>1</v>
      </c>
      <c r="H1111" s="171">
        <f>tbTransactions[[#This Row],[Qty]]*tbTransactions[[#This Row],[Unit Cost]]*tbTransactions[[#This Row],[Exchange Rate]]</f>
        <v>0</v>
      </c>
      <c r="I1111" s="148" t="s">
        <v>542</v>
      </c>
      <c r="J1111" s="176" t="s">
        <v>22</v>
      </c>
      <c r="K1111" s="163" t="str">
        <f>IF(tbTransactions[[#This Row],[Sub-Type]]="Transfer","Neutral",IF(tbTransactions[[#This Row],[Qty]]&lt;0,"Debit",IF(tbTransactions[[#This Row],[Qty]]&gt;0,"Credit","Neutral")))</f>
        <v>Credit</v>
      </c>
      <c r="L1111" s="163" t="s">
        <v>518</v>
      </c>
      <c r="M1111" s="171" t="s">
        <v>556</v>
      </c>
    </row>
    <row r="1112" spans="3:13" ht="30" customHeight="1" x14ac:dyDescent="0.25">
      <c r="C1112" s="175">
        <v>1111</v>
      </c>
      <c r="D1112" s="163">
        <v>44789</v>
      </c>
      <c r="E1112" s="171">
        <v>0.10684024</v>
      </c>
      <c r="F1112" s="171">
        <v>0</v>
      </c>
      <c r="G1112" s="172">
        <v>1</v>
      </c>
      <c r="H1112" s="171">
        <f>tbTransactions[[#This Row],[Qty]]*tbTransactions[[#This Row],[Unit Cost]]*tbTransactions[[#This Row],[Exchange Rate]]</f>
        <v>0</v>
      </c>
      <c r="I1112" s="148" t="s">
        <v>540</v>
      </c>
      <c r="J1112" s="176" t="s">
        <v>20</v>
      </c>
      <c r="K1112" s="163" t="str">
        <f>IF(tbTransactions[[#This Row],[Sub-Type]]="Transfer","Neutral",IF(tbTransactions[[#This Row],[Qty]]&lt;0,"Debit",IF(tbTransactions[[#This Row],[Qty]]&gt;0,"Credit","Neutral")))</f>
        <v>Credit</v>
      </c>
      <c r="L1112" s="163" t="s">
        <v>518</v>
      </c>
      <c r="M1112" s="171" t="s">
        <v>465</v>
      </c>
    </row>
    <row r="1113" spans="3:13" ht="30" customHeight="1" x14ac:dyDescent="0.25">
      <c r="C1113" s="175">
        <v>1112</v>
      </c>
      <c r="D1113" s="163">
        <v>44792</v>
      </c>
      <c r="E1113" s="171">
        <v>8.0201170000000002E-2</v>
      </c>
      <c r="F1113" s="171">
        <v>0</v>
      </c>
      <c r="G1113" s="172">
        <v>1</v>
      </c>
      <c r="H1113" s="171">
        <f>tbTransactions[[#This Row],[Qty]]*tbTransactions[[#This Row],[Unit Cost]]*tbTransactions[[#This Row],[Exchange Rate]]</f>
        <v>0</v>
      </c>
      <c r="I1113" s="148" t="s">
        <v>540</v>
      </c>
      <c r="J1113" s="176" t="s">
        <v>20</v>
      </c>
      <c r="K1113" s="163" t="str">
        <f>IF(tbTransactions[[#This Row],[Sub-Type]]="Transfer","Neutral",IF(tbTransactions[[#This Row],[Qty]]&lt;0,"Debit",IF(tbTransactions[[#This Row],[Qty]]&gt;0,"Credit","Neutral")))</f>
        <v>Credit</v>
      </c>
      <c r="L1113" s="163" t="s">
        <v>518</v>
      </c>
      <c r="M1113" s="171" t="s">
        <v>465</v>
      </c>
    </row>
    <row r="1114" spans="3:13" ht="30" customHeight="1" x14ac:dyDescent="0.25">
      <c r="C1114" s="175">
        <v>1113</v>
      </c>
      <c r="D1114" s="163">
        <v>44794</v>
      </c>
      <c r="E1114" s="171">
        <v>1.6116759000000001E-2</v>
      </c>
      <c r="F1114" s="171">
        <v>0</v>
      </c>
      <c r="G1114" s="172">
        <v>1</v>
      </c>
      <c r="H1114" s="171">
        <f>tbTransactions[[#This Row],[Qty]]*tbTransactions[[#This Row],[Unit Cost]]*tbTransactions[[#This Row],[Exchange Rate]]</f>
        <v>0</v>
      </c>
      <c r="I1114" s="148" t="s">
        <v>542</v>
      </c>
      <c r="J1114" s="176" t="s">
        <v>22</v>
      </c>
      <c r="K1114" s="163" t="str">
        <f>IF(tbTransactions[[#This Row],[Sub-Type]]="Transfer","Neutral",IF(tbTransactions[[#This Row],[Qty]]&lt;0,"Debit",IF(tbTransactions[[#This Row],[Qty]]&gt;0,"Credit","Neutral")))</f>
        <v>Credit</v>
      </c>
      <c r="L1114" s="163" t="s">
        <v>518</v>
      </c>
      <c r="M1114" s="171" t="s">
        <v>556</v>
      </c>
    </row>
    <row r="1115" spans="3:13" ht="30" customHeight="1" x14ac:dyDescent="0.25">
      <c r="C1115" s="175">
        <v>1114</v>
      </c>
      <c r="D1115" s="163">
        <v>44796</v>
      </c>
      <c r="E1115" s="171">
        <v>0.10704402</v>
      </c>
      <c r="F1115" s="171">
        <v>0</v>
      </c>
      <c r="G1115" s="172">
        <v>1</v>
      </c>
      <c r="H1115" s="171">
        <f>tbTransactions[[#This Row],[Qty]]*tbTransactions[[#This Row],[Unit Cost]]*tbTransactions[[#This Row],[Exchange Rate]]</f>
        <v>0</v>
      </c>
      <c r="I1115" s="148" t="s">
        <v>540</v>
      </c>
      <c r="J1115" s="176" t="s">
        <v>20</v>
      </c>
      <c r="K1115" s="163" t="str">
        <f>IF(tbTransactions[[#This Row],[Sub-Type]]="Transfer","Neutral",IF(tbTransactions[[#This Row],[Qty]]&lt;0,"Debit",IF(tbTransactions[[#This Row],[Qty]]&gt;0,"Credit","Neutral")))</f>
        <v>Credit</v>
      </c>
      <c r="L1115" s="163" t="s">
        <v>518</v>
      </c>
      <c r="M1115" s="171" t="s">
        <v>465</v>
      </c>
    </row>
    <row r="1116" spans="3:13" ht="30" customHeight="1" x14ac:dyDescent="0.25">
      <c r="C1116" s="175">
        <v>1115</v>
      </c>
      <c r="D1116" s="163">
        <v>44799</v>
      </c>
      <c r="E1116" s="171">
        <v>8.0353800000000003E-2</v>
      </c>
      <c r="F1116" s="171">
        <v>0</v>
      </c>
      <c r="G1116" s="172">
        <v>1</v>
      </c>
      <c r="H1116" s="171">
        <f>tbTransactions[[#This Row],[Qty]]*tbTransactions[[#This Row],[Unit Cost]]*tbTransactions[[#This Row],[Exchange Rate]]</f>
        <v>0</v>
      </c>
      <c r="I1116" s="148" t="s">
        <v>540</v>
      </c>
      <c r="J1116" s="176" t="s">
        <v>20</v>
      </c>
      <c r="K1116" s="163" t="str">
        <f>IF(tbTransactions[[#This Row],[Sub-Type]]="Transfer","Neutral",IF(tbTransactions[[#This Row],[Qty]]&lt;0,"Debit",IF(tbTransactions[[#This Row],[Qty]]&gt;0,"Credit","Neutral")))</f>
        <v>Credit</v>
      </c>
      <c r="L1116" s="163" t="s">
        <v>518</v>
      </c>
      <c r="M1116" s="171" t="s">
        <v>465</v>
      </c>
    </row>
    <row r="1117" spans="3:13" ht="30" customHeight="1" x14ac:dyDescent="0.25">
      <c r="C1117" s="175">
        <v>1116</v>
      </c>
      <c r="D1117" s="163">
        <v>44801</v>
      </c>
      <c r="E1117" s="171">
        <v>1.6066012000000001E-2</v>
      </c>
      <c r="F1117" s="171">
        <v>0</v>
      </c>
      <c r="G1117" s="172">
        <v>1</v>
      </c>
      <c r="H1117" s="171">
        <f>tbTransactions[[#This Row],[Qty]]*tbTransactions[[#This Row],[Unit Cost]]*tbTransactions[[#This Row],[Exchange Rate]]</f>
        <v>0</v>
      </c>
      <c r="I1117" s="148" t="s">
        <v>542</v>
      </c>
      <c r="J1117" s="176" t="s">
        <v>22</v>
      </c>
      <c r="K1117" s="163" t="str">
        <f>IF(tbTransactions[[#This Row],[Sub-Type]]="Transfer","Neutral",IF(tbTransactions[[#This Row],[Qty]]&lt;0,"Debit",IF(tbTransactions[[#This Row],[Qty]]&gt;0,"Credit","Neutral")))</f>
        <v>Credit</v>
      </c>
      <c r="L1117" s="163" t="s">
        <v>518</v>
      </c>
      <c r="M1117" s="171" t="s">
        <v>556</v>
      </c>
    </row>
    <row r="1118" spans="3:13" ht="30" customHeight="1" x14ac:dyDescent="0.25">
      <c r="C1118" s="175">
        <v>1117</v>
      </c>
      <c r="D1118" s="163">
        <v>44800</v>
      </c>
      <c r="E1118" s="171">
        <v>0.51304700000000003</v>
      </c>
      <c r="F1118" s="171">
        <v>0</v>
      </c>
      <c r="G1118" s="172">
        <v>1</v>
      </c>
      <c r="H1118" s="171">
        <f>tbTransactions[[#This Row],[Qty]]*tbTransactions[[#This Row],[Unit Cost]]*tbTransactions[[#This Row],[Exchange Rate]]</f>
        <v>0</v>
      </c>
      <c r="I1118" s="148" t="s">
        <v>431</v>
      </c>
      <c r="J1118" s="176" t="s">
        <v>18</v>
      </c>
      <c r="K1118" s="163" t="str">
        <f>IF(tbTransactions[[#This Row],[Sub-Type]]="Transfer","Neutral",IF(tbTransactions[[#This Row],[Qty]]&lt;0,"Debit",IF(tbTransactions[[#This Row],[Qty]]&gt;0,"Credit","Neutral")))</f>
        <v>Credit</v>
      </c>
      <c r="L1118" s="163" t="s">
        <v>518</v>
      </c>
      <c r="M1118" s="171" t="s">
        <v>40</v>
      </c>
    </row>
    <row r="1119" spans="3:13" ht="30" customHeight="1" x14ac:dyDescent="0.25">
      <c r="C1119" s="175">
        <v>1118</v>
      </c>
      <c r="D1119" s="163">
        <v>44803</v>
      </c>
      <c r="E1119" s="171">
        <v>0.10724828</v>
      </c>
      <c r="F1119" s="171">
        <v>0</v>
      </c>
      <c r="G1119" s="172">
        <v>1</v>
      </c>
      <c r="H1119" s="171">
        <f>tbTransactions[[#This Row],[Qty]]*tbTransactions[[#This Row],[Unit Cost]]*tbTransactions[[#This Row],[Exchange Rate]]</f>
        <v>0</v>
      </c>
      <c r="I1119" s="148" t="s">
        <v>540</v>
      </c>
      <c r="J1119" s="176" t="s">
        <v>20</v>
      </c>
      <c r="K1119" s="163" t="str">
        <f>IF(tbTransactions[[#This Row],[Sub-Type]]="Transfer","Neutral",IF(tbTransactions[[#This Row],[Qty]]&lt;0,"Debit",IF(tbTransactions[[#This Row],[Qty]]&gt;0,"Credit","Neutral")))</f>
        <v>Credit</v>
      </c>
      <c r="L1119" s="163" t="s">
        <v>518</v>
      </c>
      <c r="M1119" s="171" t="s">
        <v>465</v>
      </c>
    </row>
    <row r="1120" spans="3:13" ht="30" customHeight="1" x14ac:dyDescent="0.25">
      <c r="C1120" s="175">
        <v>1119</v>
      </c>
      <c r="D1120" s="163">
        <v>44806</v>
      </c>
      <c r="E1120" s="171">
        <v>8.050496E-2</v>
      </c>
      <c r="F1120" s="171">
        <v>0</v>
      </c>
      <c r="G1120" s="172">
        <v>1</v>
      </c>
      <c r="H1120" s="171">
        <f>tbTransactions[[#This Row],[Qty]]*tbTransactions[[#This Row],[Unit Cost]]*tbTransactions[[#This Row],[Exchange Rate]]</f>
        <v>0</v>
      </c>
      <c r="I1120" s="148" t="s">
        <v>540</v>
      </c>
      <c r="J1120" s="176" t="s">
        <v>20</v>
      </c>
      <c r="K1120" s="163" t="str">
        <f>IF(tbTransactions[[#This Row],[Sub-Type]]="Transfer","Neutral",IF(tbTransactions[[#This Row],[Qty]]&lt;0,"Debit",IF(tbTransactions[[#This Row],[Qty]]&gt;0,"Credit","Neutral")))</f>
        <v>Credit</v>
      </c>
      <c r="L1120" s="163" t="s">
        <v>518</v>
      </c>
      <c r="M1120" s="171" t="s">
        <v>465</v>
      </c>
    </row>
    <row r="1121" spans="3:13" ht="30" customHeight="1" x14ac:dyDescent="0.25">
      <c r="C1121" s="175">
        <v>1120</v>
      </c>
      <c r="D1121" s="163">
        <v>44808</v>
      </c>
      <c r="E1121" s="171">
        <v>1.6131605E-2</v>
      </c>
      <c r="F1121" s="171">
        <v>0</v>
      </c>
      <c r="G1121" s="172">
        <v>1</v>
      </c>
      <c r="H1121" s="171">
        <f>tbTransactions[[#This Row],[Qty]]*tbTransactions[[#This Row],[Unit Cost]]*tbTransactions[[#This Row],[Exchange Rate]]</f>
        <v>0</v>
      </c>
      <c r="I1121" s="148" t="s">
        <v>542</v>
      </c>
      <c r="J1121" s="176" t="s">
        <v>22</v>
      </c>
      <c r="K1121" s="163" t="str">
        <f>IF(tbTransactions[[#This Row],[Sub-Type]]="Transfer","Neutral",IF(tbTransactions[[#This Row],[Qty]]&lt;0,"Debit",IF(tbTransactions[[#This Row],[Qty]]&gt;0,"Credit","Neutral")))</f>
        <v>Credit</v>
      </c>
      <c r="L1121" s="163" t="s">
        <v>518</v>
      </c>
      <c r="M1121" s="171" t="s">
        <v>556</v>
      </c>
    </row>
    <row r="1122" spans="3:13" ht="30" customHeight="1" x14ac:dyDescent="0.25">
      <c r="C1122" s="175">
        <v>1121</v>
      </c>
      <c r="D1122" s="163">
        <v>44810</v>
      </c>
      <c r="E1122" s="171">
        <v>0.10745265</v>
      </c>
      <c r="F1122" s="171">
        <v>0</v>
      </c>
      <c r="G1122" s="172">
        <v>1</v>
      </c>
      <c r="H1122" s="171">
        <f>tbTransactions[[#This Row],[Qty]]*tbTransactions[[#This Row],[Unit Cost]]*tbTransactions[[#This Row],[Exchange Rate]]</f>
        <v>0</v>
      </c>
      <c r="I1122" s="148" t="s">
        <v>540</v>
      </c>
      <c r="J1122" s="176" t="s">
        <v>20</v>
      </c>
      <c r="K1122" s="163" t="str">
        <f>IF(tbTransactions[[#This Row],[Sub-Type]]="Transfer","Neutral",IF(tbTransactions[[#This Row],[Qty]]&lt;0,"Debit",IF(tbTransactions[[#This Row],[Qty]]&gt;0,"Credit","Neutral")))</f>
        <v>Credit</v>
      </c>
      <c r="L1122" s="163" t="s">
        <v>518</v>
      </c>
      <c r="M1122" s="171" t="s">
        <v>465</v>
      </c>
    </row>
    <row r="1123" spans="3:13" ht="30" customHeight="1" x14ac:dyDescent="0.25">
      <c r="C1123" s="175">
        <v>1122</v>
      </c>
      <c r="D1123" s="163">
        <v>44813</v>
      </c>
      <c r="E1123" s="171">
        <v>8.0658530000000006E-2</v>
      </c>
      <c r="F1123" s="171">
        <v>0</v>
      </c>
      <c r="G1123" s="172">
        <v>1</v>
      </c>
      <c r="H1123" s="171">
        <f>tbTransactions[[#This Row],[Qty]]*tbTransactions[[#This Row],[Unit Cost]]*tbTransactions[[#This Row],[Exchange Rate]]</f>
        <v>0</v>
      </c>
      <c r="I1123" s="148" t="s">
        <v>540</v>
      </c>
      <c r="J1123" s="176" t="s">
        <v>20</v>
      </c>
      <c r="K1123" s="163" t="str">
        <f>IF(tbTransactions[[#This Row],[Sub-Type]]="Transfer","Neutral",IF(tbTransactions[[#This Row],[Qty]]&lt;0,"Debit",IF(tbTransactions[[#This Row],[Qty]]&gt;0,"Credit","Neutral")))</f>
        <v>Credit</v>
      </c>
      <c r="L1123" s="163" t="s">
        <v>518</v>
      </c>
      <c r="M1123" s="171" t="s">
        <v>465</v>
      </c>
    </row>
    <row r="1124" spans="3:13" ht="30" customHeight="1" x14ac:dyDescent="0.25">
      <c r="C1124" s="175">
        <v>1123</v>
      </c>
      <c r="D1124" s="163">
        <v>44815</v>
      </c>
      <c r="E1124" s="171">
        <v>1.5915678999999999E-2</v>
      </c>
      <c r="F1124" s="171">
        <v>0</v>
      </c>
      <c r="G1124" s="172">
        <v>1</v>
      </c>
      <c r="H1124" s="171">
        <f>tbTransactions[[#This Row],[Qty]]*tbTransactions[[#This Row],[Unit Cost]]*tbTransactions[[#This Row],[Exchange Rate]]</f>
        <v>0</v>
      </c>
      <c r="I1124" s="148" t="s">
        <v>542</v>
      </c>
      <c r="J1124" s="176" t="s">
        <v>22</v>
      </c>
      <c r="K1124" s="163" t="str">
        <f>IF(tbTransactions[[#This Row],[Sub-Type]]="Transfer","Neutral",IF(tbTransactions[[#This Row],[Qty]]&lt;0,"Debit",IF(tbTransactions[[#This Row],[Qty]]&gt;0,"Credit","Neutral")))</f>
        <v>Credit</v>
      </c>
      <c r="L1124" s="163" t="s">
        <v>518</v>
      </c>
      <c r="M1124" s="171" t="s">
        <v>556</v>
      </c>
    </row>
    <row r="1125" spans="3:13" ht="30" customHeight="1" x14ac:dyDescent="0.25">
      <c r="C1125" s="175">
        <v>1124</v>
      </c>
      <c r="D1125" s="163">
        <v>44814</v>
      </c>
      <c r="E1125" s="171">
        <v>0.51648000000000005</v>
      </c>
      <c r="F1125" s="171">
        <v>0</v>
      </c>
      <c r="G1125" s="172">
        <v>1</v>
      </c>
      <c r="H1125" s="171">
        <f>tbTransactions[[#This Row],[Qty]]*tbTransactions[[#This Row],[Unit Cost]]*tbTransactions[[#This Row],[Exchange Rate]]</f>
        <v>0</v>
      </c>
      <c r="I1125" s="148" t="s">
        <v>431</v>
      </c>
      <c r="J1125" s="176" t="s">
        <v>18</v>
      </c>
      <c r="K1125" s="163" t="str">
        <f>IF(tbTransactions[[#This Row],[Sub-Type]]="Transfer","Neutral",IF(tbTransactions[[#This Row],[Qty]]&lt;0,"Debit",IF(tbTransactions[[#This Row],[Qty]]&gt;0,"Credit","Neutral")))</f>
        <v>Credit</v>
      </c>
      <c r="L1125" s="163" t="s">
        <v>518</v>
      </c>
      <c r="M1125" s="171" t="s">
        <v>40</v>
      </c>
    </row>
    <row r="1126" spans="3:13" ht="30" customHeight="1" x14ac:dyDescent="0.25">
      <c r="C1126" s="175">
        <v>1125</v>
      </c>
      <c r="D1126" s="163">
        <v>44817</v>
      </c>
      <c r="E1126" s="171">
        <v>0.1076582</v>
      </c>
      <c r="F1126" s="171">
        <v>0</v>
      </c>
      <c r="G1126" s="172">
        <v>1</v>
      </c>
      <c r="H1126" s="171">
        <f>tbTransactions[[#This Row],[Qty]]*tbTransactions[[#This Row],[Unit Cost]]*tbTransactions[[#This Row],[Exchange Rate]]</f>
        <v>0</v>
      </c>
      <c r="I1126" s="148" t="s">
        <v>540</v>
      </c>
      <c r="J1126" s="176" t="s">
        <v>20</v>
      </c>
      <c r="K1126" s="163" t="str">
        <f>IF(tbTransactions[[#This Row],[Sub-Type]]="Transfer","Neutral",IF(tbTransactions[[#This Row],[Qty]]&lt;0,"Debit",IF(tbTransactions[[#This Row],[Qty]]&gt;0,"Credit","Neutral")))</f>
        <v>Credit</v>
      </c>
      <c r="L1126" s="163" t="s">
        <v>518</v>
      </c>
      <c r="M1126" s="171" t="s">
        <v>465</v>
      </c>
    </row>
    <row r="1127" spans="3:13" ht="30" customHeight="1" x14ac:dyDescent="0.25">
      <c r="C1127" s="175">
        <v>1126</v>
      </c>
      <c r="D1127" s="163">
        <v>44820</v>
      </c>
      <c r="E1127" s="171">
        <v>8.0813709999999997E-2</v>
      </c>
      <c r="F1127" s="171">
        <v>0</v>
      </c>
      <c r="G1127" s="172">
        <v>1</v>
      </c>
      <c r="H1127" s="171">
        <f>tbTransactions[[#This Row],[Qty]]*tbTransactions[[#This Row],[Unit Cost]]*tbTransactions[[#This Row],[Exchange Rate]]</f>
        <v>0</v>
      </c>
      <c r="I1127" s="148" t="s">
        <v>540</v>
      </c>
      <c r="J1127" s="176" t="s">
        <v>20</v>
      </c>
      <c r="K1127" s="163" t="str">
        <f>IF(tbTransactions[[#This Row],[Sub-Type]]="Transfer","Neutral",IF(tbTransactions[[#This Row],[Qty]]&lt;0,"Debit",IF(tbTransactions[[#This Row],[Qty]]&gt;0,"Credit","Neutral")))</f>
        <v>Credit</v>
      </c>
      <c r="L1127" s="163" t="s">
        <v>518</v>
      </c>
      <c r="M1127" s="171" t="s">
        <v>465</v>
      </c>
    </row>
    <row r="1128" spans="3:13" ht="30" customHeight="1" x14ac:dyDescent="0.25">
      <c r="C1128" s="175">
        <v>1127</v>
      </c>
      <c r="D1128" s="163">
        <v>44822</v>
      </c>
      <c r="E1128" s="171">
        <v>1.5795238999999999E-2</v>
      </c>
      <c r="F1128" s="171">
        <v>0</v>
      </c>
      <c r="G1128" s="172">
        <v>1</v>
      </c>
      <c r="H1128" s="171">
        <f>tbTransactions[[#This Row],[Qty]]*tbTransactions[[#This Row],[Unit Cost]]*tbTransactions[[#This Row],[Exchange Rate]]</f>
        <v>0</v>
      </c>
      <c r="I1128" s="148" t="s">
        <v>542</v>
      </c>
      <c r="J1128" s="176" t="s">
        <v>22</v>
      </c>
      <c r="K1128" s="163" t="str">
        <f>IF(tbTransactions[[#This Row],[Sub-Type]]="Transfer","Neutral",IF(tbTransactions[[#This Row],[Qty]]&lt;0,"Debit",IF(tbTransactions[[#This Row],[Qty]]&gt;0,"Credit","Neutral")))</f>
        <v>Credit</v>
      </c>
      <c r="L1128" s="163" t="s">
        <v>518</v>
      </c>
      <c r="M1128" s="171" t="s">
        <v>556</v>
      </c>
    </row>
    <row r="1129" spans="3:13" ht="30" customHeight="1" x14ac:dyDescent="0.25">
      <c r="C1129" s="175">
        <v>1128</v>
      </c>
      <c r="D1129" s="163">
        <v>44823</v>
      </c>
      <c r="E1129" s="171">
        <v>-200</v>
      </c>
      <c r="F1129" s="171">
        <v>1</v>
      </c>
      <c r="G1129" s="172">
        <v>1</v>
      </c>
      <c r="H1129" s="171">
        <f>tbTransactions[[#This Row],[Qty]]*tbTransactions[[#This Row],[Unit Cost]]*tbTransactions[[#This Row],[Exchange Rate]]</f>
        <v>-200</v>
      </c>
      <c r="I1129" s="148" t="s">
        <v>499</v>
      </c>
      <c r="J1129" s="176" t="s">
        <v>411</v>
      </c>
      <c r="K1129" s="163" t="str">
        <f>IF(tbTransactions[[#This Row],[Sub-Type]]="Transfer","Neutral",IF(tbTransactions[[#This Row],[Qty]]&lt;0,"Debit",IF(tbTransactions[[#This Row],[Qty]]&gt;0,"Credit","Neutral")))</f>
        <v>Neutral</v>
      </c>
      <c r="L1129" s="163" t="s">
        <v>32</v>
      </c>
      <c r="M1129" s="171" t="s">
        <v>823</v>
      </c>
    </row>
    <row r="1130" spans="3:13" ht="30" customHeight="1" x14ac:dyDescent="0.25">
      <c r="C1130" s="175">
        <v>1129</v>
      </c>
      <c r="D1130" s="163">
        <v>44823</v>
      </c>
      <c r="E1130" s="171">
        <v>200</v>
      </c>
      <c r="F1130" s="171">
        <v>1</v>
      </c>
      <c r="G1130" s="172">
        <v>1</v>
      </c>
      <c r="H1130" s="171">
        <f>tbTransactions[[#This Row],[Qty]]*tbTransactions[[#This Row],[Unit Cost]]*tbTransactions[[#This Row],[Exchange Rate]]</f>
        <v>200</v>
      </c>
      <c r="I1130" s="148" t="s">
        <v>714</v>
      </c>
      <c r="J1130" s="176" t="s">
        <v>411</v>
      </c>
      <c r="K1130" s="163" t="str">
        <f>IF(tbTransactions[[#This Row],[Sub-Type]]="Transfer","Neutral",IF(tbTransactions[[#This Row],[Qty]]&lt;0,"Debit",IF(tbTransactions[[#This Row],[Qty]]&gt;0,"Credit","Neutral")))</f>
        <v>Neutral</v>
      </c>
      <c r="L1130" s="163" t="s">
        <v>32</v>
      </c>
      <c r="M1130" s="171" t="s">
        <v>823</v>
      </c>
    </row>
    <row r="1131" spans="3:13" ht="30" customHeight="1" x14ac:dyDescent="0.25">
      <c r="C1131" s="175">
        <v>1130</v>
      </c>
      <c r="D1131" s="163">
        <v>44823</v>
      </c>
      <c r="E1131" s="171">
        <v>-203.52</v>
      </c>
      <c r="F1131" s="171">
        <v>1</v>
      </c>
      <c r="G1131" s="172">
        <v>1</v>
      </c>
      <c r="H1131" s="171">
        <f>tbTransactions[[#This Row],[Qty]]*tbTransactions[[#This Row],[Unit Cost]]*tbTransactions[[#This Row],[Exchange Rate]]</f>
        <v>-203.52</v>
      </c>
      <c r="I1131" s="148" t="s">
        <v>714</v>
      </c>
      <c r="J1131" s="176" t="s">
        <v>411</v>
      </c>
      <c r="K1131" s="163" t="str">
        <f>IF(tbTransactions[[#This Row],[Sub-Type]]="Transfer","Neutral",IF(tbTransactions[[#This Row],[Qty]]&lt;0,"Debit",IF(tbTransactions[[#This Row],[Qty]]&gt;0,"Credit","Neutral")))</f>
        <v>Debit</v>
      </c>
      <c r="L1131" s="163" t="s">
        <v>522</v>
      </c>
      <c r="M1131" s="171" t="s">
        <v>824</v>
      </c>
    </row>
    <row r="1132" spans="3:13" ht="30" customHeight="1" x14ac:dyDescent="0.25">
      <c r="C1132" s="175">
        <v>1131</v>
      </c>
      <c r="D1132" s="163">
        <v>44823</v>
      </c>
      <c r="E1132" s="171">
        <v>32</v>
      </c>
      <c r="F1132" s="171">
        <v>6.35</v>
      </c>
      <c r="G1132" s="172">
        <v>1</v>
      </c>
      <c r="H1132" s="171">
        <f>tbTransactions[[#This Row],[Qty]]*tbTransactions[[#This Row],[Unit Cost]]*tbTransactions[[#This Row],[Exchange Rate]]</f>
        <v>203.2</v>
      </c>
      <c r="I1132" s="148" t="s">
        <v>714</v>
      </c>
      <c r="J1132" s="176" t="s">
        <v>762</v>
      </c>
      <c r="K1132" s="163" t="str">
        <f>IF(tbTransactions[[#This Row],[Sub-Type]]="Transfer","Neutral",IF(tbTransactions[[#This Row],[Qty]]&lt;0,"Debit",IF(tbTransactions[[#This Row],[Qty]]&gt;0,"Credit","Neutral")))</f>
        <v>Credit</v>
      </c>
      <c r="L1132" s="163" t="s">
        <v>740</v>
      </c>
      <c r="M1132" s="171" t="s">
        <v>825</v>
      </c>
    </row>
    <row r="1133" spans="3:13" ht="30" customHeight="1" x14ac:dyDescent="0.25">
      <c r="C1133" s="175">
        <v>1132</v>
      </c>
      <c r="D1133" s="163">
        <v>44824</v>
      </c>
      <c r="E1133" s="171">
        <v>0.10786378000000001</v>
      </c>
      <c r="F1133" s="171">
        <v>0</v>
      </c>
      <c r="G1133" s="172">
        <v>1</v>
      </c>
      <c r="H1133" s="171">
        <f>tbTransactions[[#This Row],[Qty]]*tbTransactions[[#This Row],[Unit Cost]]*tbTransactions[[#This Row],[Exchange Rate]]</f>
        <v>0</v>
      </c>
      <c r="I1133" s="148" t="s">
        <v>540</v>
      </c>
      <c r="J1133" s="176" t="s">
        <v>20</v>
      </c>
      <c r="K1133" s="163" t="str">
        <f>IF(tbTransactions[[#This Row],[Sub-Type]]="Transfer","Neutral",IF(tbTransactions[[#This Row],[Qty]]&lt;0,"Debit",IF(tbTransactions[[#This Row],[Qty]]&gt;0,"Credit","Neutral")))</f>
        <v>Credit</v>
      </c>
      <c r="L1133" s="163" t="s">
        <v>518</v>
      </c>
      <c r="M1133" s="171" t="s">
        <v>465</v>
      </c>
    </row>
    <row r="1134" spans="3:13" ht="30" customHeight="1" x14ac:dyDescent="0.25">
      <c r="C1134" s="175">
        <v>1133</v>
      </c>
      <c r="D1134" s="163">
        <v>44827</v>
      </c>
      <c r="E1134" s="171">
        <v>8.0967750000000005E-2</v>
      </c>
      <c r="F1134" s="171">
        <v>0</v>
      </c>
      <c r="G1134" s="172">
        <v>1</v>
      </c>
      <c r="H1134" s="171">
        <f>tbTransactions[[#This Row],[Qty]]*tbTransactions[[#This Row],[Unit Cost]]*tbTransactions[[#This Row],[Exchange Rate]]</f>
        <v>0</v>
      </c>
      <c r="I1134" s="148" t="s">
        <v>540</v>
      </c>
      <c r="J1134" s="176" t="s">
        <v>20</v>
      </c>
      <c r="K1134" s="163" t="str">
        <f>IF(tbTransactions[[#This Row],[Sub-Type]]="Transfer","Neutral",IF(tbTransactions[[#This Row],[Qty]]&lt;0,"Debit",IF(tbTransactions[[#This Row],[Qty]]&gt;0,"Credit","Neutral")))</f>
        <v>Credit</v>
      </c>
      <c r="L1134" s="163" t="s">
        <v>518</v>
      </c>
      <c r="M1134" s="171" t="s">
        <v>465</v>
      </c>
    </row>
    <row r="1135" spans="3:13" ht="30" customHeight="1" x14ac:dyDescent="0.25">
      <c r="C1135" s="175">
        <v>1134</v>
      </c>
      <c r="D1135" s="163">
        <v>44829</v>
      </c>
      <c r="E1135" s="171">
        <v>1.5742683E-2</v>
      </c>
      <c r="F1135" s="171">
        <v>0</v>
      </c>
      <c r="G1135" s="172">
        <v>1</v>
      </c>
      <c r="H1135" s="171">
        <f>tbTransactions[[#This Row],[Qty]]*tbTransactions[[#This Row],[Unit Cost]]*tbTransactions[[#This Row],[Exchange Rate]]</f>
        <v>0</v>
      </c>
      <c r="I1135" s="148" t="s">
        <v>542</v>
      </c>
      <c r="J1135" s="176" t="s">
        <v>22</v>
      </c>
      <c r="K1135" s="163" t="str">
        <f>IF(tbTransactions[[#This Row],[Sub-Type]]="Transfer","Neutral",IF(tbTransactions[[#This Row],[Qty]]&lt;0,"Debit",IF(tbTransactions[[#This Row],[Qty]]&gt;0,"Credit","Neutral")))</f>
        <v>Credit</v>
      </c>
      <c r="L1135" s="163" t="s">
        <v>518</v>
      </c>
      <c r="M1135" s="171" t="s">
        <v>556</v>
      </c>
    </row>
    <row r="1136" spans="3:13" ht="30" customHeight="1" x14ac:dyDescent="0.25">
      <c r="C1136" s="175">
        <v>1135</v>
      </c>
      <c r="D1136" s="163">
        <v>44828</v>
      </c>
      <c r="E1136" s="171">
        <v>0.52072799999999997</v>
      </c>
      <c r="F1136" s="171">
        <v>0</v>
      </c>
      <c r="G1136" s="172">
        <v>1</v>
      </c>
      <c r="H1136" s="171">
        <f>tbTransactions[[#This Row],[Qty]]*tbTransactions[[#This Row],[Unit Cost]]*tbTransactions[[#This Row],[Exchange Rate]]</f>
        <v>0</v>
      </c>
      <c r="I1136" s="148" t="s">
        <v>431</v>
      </c>
      <c r="J1136" s="176" t="s">
        <v>18</v>
      </c>
      <c r="K1136" s="163" t="str">
        <f>IF(tbTransactions[[#This Row],[Sub-Type]]="Transfer","Neutral",IF(tbTransactions[[#This Row],[Qty]]&lt;0,"Debit",IF(tbTransactions[[#This Row],[Qty]]&gt;0,"Credit","Neutral")))</f>
        <v>Credit</v>
      </c>
      <c r="L1136" s="163" t="s">
        <v>518</v>
      </c>
      <c r="M1136" s="171" t="s">
        <v>40</v>
      </c>
    </row>
    <row r="1137" spans="3:13" ht="30" customHeight="1" x14ac:dyDescent="0.25">
      <c r="C1137" s="175">
        <v>1136</v>
      </c>
      <c r="D1137" s="163">
        <v>44831</v>
      </c>
      <c r="E1137" s="171">
        <v>0.10807006</v>
      </c>
      <c r="F1137" s="171">
        <v>0</v>
      </c>
      <c r="G1137" s="172">
        <v>1</v>
      </c>
      <c r="H1137" s="171">
        <f>tbTransactions[[#This Row],[Qty]]*tbTransactions[[#This Row],[Unit Cost]]*tbTransactions[[#This Row],[Exchange Rate]]</f>
        <v>0</v>
      </c>
      <c r="I1137" s="148" t="s">
        <v>540</v>
      </c>
      <c r="J1137" s="176" t="s">
        <v>20</v>
      </c>
      <c r="K1137" s="163" t="str">
        <f>IF(tbTransactions[[#This Row],[Sub-Type]]="Transfer","Neutral",IF(tbTransactions[[#This Row],[Qty]]&lt;0,"Debit",IF(tbTransactions[[#This Row],[Qty]]&gt;0,"Credit","Neutral")))</f>
        <v>Credit</v>
      </c>
      <c r="L1137" s="163" t="s">
        <v>518</v>
      </c>
      <c r="M1137" s="171" t="s">
        <v>465</v>
      </c>
    </row>
    <row r="1138" spans="3:13" ht="30" customHeight="1" x14ac:dyDescent="0.25">
      <c r="C1138" s="175">
        <v>1137</v>
      </c>
      <c r="D1138" s="163">
        <v>44834</v>
      </c>
      <c r="E1138" s="171">
        <v>8.112163E-2</v>
      </c>
      <c r="F1138" s="171">
        <v>0</v>
      </c>
      <c r="G1138" s="172">
        <v>1</v>
      </c>
      <c r="H1138" s="171">
        <f>tbTransactions[[#This Row],[Qty]]*tbTransactions[[#This Row],[Unit Cost]]*tbTransactions[[#This Row],[Exchange Rate]]</f>
        <v>0</v>
      </c>
      <c r="I1138" s="148" t="s">
        <v>540</v>
      </c>
      <c r="J1138" s="176" t="s">
        <v>20</v>
      </c>
      <c r="K1138" s="163" t="str">
        <f>IF(tbTransactions[[#This Row],[Sub-Type]]="Transfer","Neutral",IF(tbTransactions[[#This Row],[Qty]]&lt;0,"Debit",IF(tbTransactions[[#This Row],[Qty]]&gt;0,"Credit","Neutral")))</f>
        <v>Credit</v>
      </c>
      <c r="L1138" s="163" t="s">
        <v>518</v>
      </c>
      <c r="M1138" s="171" t="s">
        <v>465</v>
      </c>
    </row>
    <row r="1139" spans="3:13" ht="30" customHeight="1" x14ac:dyDescent="0.25">
      <c r="C1139" s="175">
        <v>1138</v>
      </c>
      <c r="D1139" s="163">
        <v>44836</v>
      </c>
      <c r="E1139" s="171">
        <v>1.566642E-2</v>
      </c>
      <c r="F1139" s="171">
        <v>0</v>
      </c>
      <c r="G1139" s="172">
        <v>1</v>
      </c>
      <c r="H1139" s="171">
        <f>tbTransactions[[#This Row],[Qty]]*tbTransactions[[#This Row],[Unit Cost]]*tbTransactions[[#This Row],[Exchange Rate]]</f>
        <v>0</v>
      </c>
      <c r="I1139" s="148" t="s">
        <v>542</v>
      </c>
      <c r="J1139" s="176" t="s">
        <v>22</v>
      </c>
      <c r="K1139" s="163" t="str">
        <f>IF(tbTransactions[[#This Row],[Sub-Type]]="Transfer","Neutral",IF(tbTransactions[[#This Row],[Qty]]&lt;0,"Debit",IF(tbTransactions[[#This Row],[Qty]]&gt;0,"Credit","Neutral")))</f>
        <v>Credit</v>
      </c>
      <c r="L1139" s="163" t="s">
        <v>518</v>
      </c>
      <c r="M1139" s="171" t="s">
        <v>556</v>
      </c>
    </row>
    <row r="1140" spans="3:13" ht="30" customHeight="1" x14ac:dyDescent="0.25">
      <c r="C1140" s="175">
        <v>1139</v>
      </c>
      <c r="D1140" s="163">
        <v>44836</v>
      </c>
      <c r="E1140" s="171">
        <v>5.6620000000000004E-3</v>
      </c>
      <c r="F1140" s="171">
        <v>0</v>
      </c>
      <c r="G1140" s="172">
        <v>1</v>
      </c>
      <c r="H1140" s="171">
        <f>tbTransactions[[#This Row],[Qty]]*tbTransactions[[#This Row],[Unit Cost]]*tbTransactions[[#This Row],[Exchange Rate]]</f>
        <v>0</v>
      </c>
      <c r="I1140" s="148" t="s">
        <v>540</v>
      </c>
      <c r="J1140" s="176" t="s">
        <v>22</v>
      </c>
      <c r="K1140" s="163" t="str">
        <f>IF(tbTransactions[[#This Row],[Sub-Type]]="Transfer","Neutral",IF(tbTransactions[[#This Row],[Qty]]&lt;0,"Debit",IF(tbTransactions[[#This Row],[Qty]]&gt;0,"Credit","Neutral")))</f>
        <v>Credit</v>
      </c>
      <c r="L1140" s="163" t="s">
        <v>518</v>
      </c>
      <c r="M1140" s="171" t="s">
        <v>556</v>
      </c>
    </row>
    <row r="1141" spans="3:13" ht="30" customHeight="1" x14ac:dyDescent="0.25">
      <c r="C1141" s="175">
        <v>1140</v>
      </c>
      <c r="D1141" s="163">
        <v>44837</v>
      </c>
      <c r="E1141" s="171">
        <f>442*6.46*-1</f>
        <v>-2855.32</v>
      </c>
      <c r="F1141" s="171">
        <v>1</v>
      </c>
      <c r="G1141" s="172">
        <v>1</v>
      </c>
      <c r="H1141" s="171">
        <f>tbTransactions[[#This Row],[Qty]]*tbTransactions[[#This Row],[Unit Cost]]*tbTransactions[[#This Row],[Exchange Rate]]</f>
        <v>-2855.32</v>
      </c>
      <c r="I1141" s="148" t="s">
        <v>724</v>
      </c>
      <c r="J1141" s="176" t="s">
        <v>411</v>
      </c>
      <c r="K1141" s="163" t="str">
        <f>IF(tbTransactions[[#This Row],[Sub-Type]]="Transfer","Neutral",IF(tbTransactions[[#This Row],[Qty]]&lt;0,"Debit",IF(tbTransactions[[#This Row],[Qty]]&gt;0,"Credit","Neutral")))</f>
        <v>Debit</v>
      </c>
      <c r="L1141" s="163" t="s">
        <v>522</v>
      </c>
      <c r="M1141" s="171" t="s">
        <v>826</v>
      </c>
    </row>
    <row r="1142" spans="3:13" ht="30" customHeight="1" x14ac:dyDescent="0.25">
      <c r="C1142" s="175">
        <v>1141</v>
      </c>
      <c r="D1142" s="163">
        <v>44837</v>
      </c>
      <c r="E1142" s="171">
        <v>442</v>
      </c>
      <c r="F1142" s="171">
        <v>6.46</v>
      </c>
      <c r="G1142" s="172">
        <v>1</v>
      </c>
      <c r="H1142" s="171">
        <f>tbTransactions[[#This Row],[Qty]]*tbTransactions[[#This Row],[Unit Cost]]*tbTransactions[[#This Row],[Exchange Rate]]</f>
        <v>2855.32</v>
      </c>
      <c r="I1142" s="148" t="s">
        <v>724</v>
      </c>
      <c r="J1142" s="176" t="s">
        <v>762</v>
      </c>
      <c r="K1142" s="163" t="str">
        <f>IF(tbTransactions[[#This Row],[Sub-Type]]="Transfer","Neutral",IF(tbTransactions[[#This Row],[Qty]]&lt;0,"Debit",IF(tbTransactions[[#This Row],[Qty]]&gt;0,"Credit","Neutral")))</f>
        <v>Credit</v>
      </c>
      <c r="L1142" s="163" t="s">
        <v>740</v>
      </c>
      <c r="M1142" s="171" t="s">
        <v>826</v>
      </c>
    </row>
    <row r="1143" spans="3:13" ht="30" customHeight="1" x14ac:dyDescent="0.25">
      <c r="C1143" s="175">
        <v>1142</v>
      </c>
      <c r="D1143" s="163">
        <v>44840</v>
      </c>
      <c r="E1143" s="171">
        <v>-312.8</v>
      </c>
      <c r="F1143" s="171">
        <v>1</v>
      </c>
      <c r="G1143" s="172">
        <v>1</v>
      </c>
      <c r="H1143" s="171">
        <f>tbTransactions[[#This Row],[Qty]]*tbTransactions[[#This Row],[Unit Cost]]*tbTransactions[[#This Row],[Exchange Rate]]</f>
        <v>-312.8</v>
      </c>
      <c r="I1143" s="148" t="s">
        <v>714</v>
      </c>
      <c r="J1143" s="176" t="s">
        <v>411</v>
      </c>
      <c r="K1143" s="163" t="str">
        <f>IF(tbTransactions[[#This Row],[Sub-Type]]="Transfer","Neutral",IF(tbTransactions[[#This Row],[Qty]]&lt;0,"Debit",IF(tbTransactions[[#This Row],[Qty]]&gt;0,"Credit","Neutral")))</f>
        <v>Debit</v>
      </c>
      <c r="L1143" s="163" t="s">
        <v>522</v>
      </c>
      <c r="M1143" s="171" t="s">
        <v>825</v>
      </c>
    </row>
    <row r="1144" spans="3:13" ht="30" customHeight="1" x14ac:dyDescent="0.25">
      <c r="C1144" s="175">
        <v>1143</v>
      </c>
      <c r="D1144" s="163">
        <v>44840</v>
      </c>
      <c r="E1144" s="171">
        <v>46</v>
      </c>
      <c r="F1144" s="171">
        <v>6.8</v>
      </c>
      <c r="G1144" s="172">
        <v>1</v>
      </c>
      <c r="H1144" s="171">
        <f>tbTransactions[[#This Row],[Qty]]*tbTransactions[[#This Row],[Unit Cost]]*tbTransactions[[#This Row],[Exchange Rate]]</f>
        <v>312.8</v>
      </c>
      <c r="I1144" s="148" t="s">
        <v>714</v>
      </c>
      <c r="J1144" s="176" t="s">
        <v>762</v>
      </c>
      <c r="K1144" s="163" t="str">
        <f>IF(tbTransactions[[#This Row],[Sub-Type]]="Transfer","Neutral",IF(tbTransactions[[#This Row],[Qty]]&lt;0,"Debit",IF(tbTransactions[[#This Row],[Qty]]&gt;0,"Credit","Neutral")))</f>
        <v>Credit</v>
      </c>
      <c r="L1144" s="163" t="s">
        <v>740</v>
      </c>
      <c r="M1144" s="171" t="s">
        <v>825</v>
      </c>
    </row>
    <row r="1145" spans="3:13" ht="30" customHeight="1" x14ac:dyDescent="0.25">
      <c r="C1145" s="175">
        <v>1144</v>
      </c>
      <c r="D1145" s="163">
        <v>44838</v>
      </c>
      <c r="E1145" s="171">
        <v>0.10827726999999999</v>
      </c>
      <c r="F1145" s="171">
        <v>0</v>
      </c>
      <c r="G1145" s="172">
        <v>1</v>
      </c>
      <c r="H1145" s="171">
        <f>tbTransactions[[#This Row],[Qty]]*tbTransactions[[#This Row],[Unit Cost]]*tbTransactions[[#This Row],[Exchange Rate]]</f>
        <v>0</v>
      </c>
      <c r="I1145" s="148" t="s">
        <v>540</v>
      </c>
      <c r="J1145" s="176" t="s">
        <v>20</v>
      </c>
      <c r="K1145" s="163" t="str">
        <f>IF(tbTransactions[[#This Row],[Sub-Type]]="Transfer","Neutral",IF(tbTransactions[[#This Row],[Qty]]&lt;0,"Debit",IF(tbTransactions[[#This Row],[Qty]]&gt;0,"Credit","Neutral")))</f>
        <v>Credit</v>
      </c>
      <c r="L1145" s="163" t="s">
        <v>518</v>
      </c>
      <c r="M1145" s="171" t="s">
        <v>465</v>
      </c>
    </row>
    <row r="1146" spans="3:13" ht="30" customHeight="1" x14ac:dyDescent="0.25">
      <c r="C1146" s="175">
        <v>1145</v>
      </c>
      <c r="D1146" s="163">
        <v>44841</v>
      </c>
      <c r="E1146" s="171">
        <v>8.1277450000000001E-2</v>
      </c>
      <c r="F1146" s="171">
        <v>0</v>
      </c>
      <c r="G1146" s="172">
        <v>1</v>
      </c>
      <c r="H1146" s="171">
        <f>tbTransactions[[#This Row],[Qty]]*tbTransactions[[#This Row],[Unit Cost]]*tbTransactions[[#This Row],[Exchange Rate]]</f>
        <v>0</v>
      </c>
      <c r="I1146" s="148" t="s">
        <v>540</v>
      </c>
      <c r="J1146" s="176" t="s">
        <v>20</v>
      </c>
      <c r="K1146" s="163" t="str">
        <f>IF(tbTransactions[[#This Row],[Sub-Type]]="Transfer","Neutral",IF(tbTransactions[[#This Row],[Qty]]&lt;0,"Debit",IF(tbTransactions[[#This Row],[Qty]]&gt;0,"Credit","Neutral")))</f>
        <v>Credit</v>
      </c>
      <c r="L1146" s="163" t="s">
        <v>518</v>
      </c>
      <c r="M1146" s="171" t="s">
        <v>465</v>
      </c>
    </row>
    <row r="1147" spans="3:13" ht="30" customHeight="1" x14ac:dyDescent="0.25">
      <c r="C1147" s="175">
        <v>1146</v>
      </c>
      <c r="D1147" s="163">
        <v>44843</v>
      </c>
      <c r="E1147" s="171">
        <v>1.5487894E-2</v>
      </c>
      <c r="F1147" s="171">
        <v>0</v>
      </c>
      <c r="G1147" s="172">
        <v>1</v>
      </c>
      <c r="H1147" s="171">
        <f>tbTransactions[[#This Row],[Qty]]*tbTransactions[[#This Row],[Unit Cost]]*tbTransactions[[#This Row],[Exchange Rate]]</f>
        <v>0</v>
      </c>
      <c r="I1147" s="148" t="s">
        <v>542</v>
      </c>
      <c r="J1147" s="176" t="s">
        <v>22</v>
      </c>
      <c r="K1147" s="163" t="str">
        <f>IF(tbTransactions[[#This Row],[Sub-Type]]="Transfer","Neutral",IF(tbTransactions[[#This Row],[Qty]]&lt;0,"Debit",IF(tbTransactions[[#This Row],[Qty]]&gt;0,"Credit","Neutral")))</f>
        <v>Credit</v>
      </c>
      <c r="L1147" s="163" t="s">
        <v>518</v>
      </c>
      <c r="M1147" s="171" t="s">
        <v>556</v>
      </c>
    </row>
    <row r="1148" spans="3:13" ht="30" customHeight="1" x14ac:dyDescent="0.25">
      <c r="C1148" s="175">
        <v>1147</v>
      </c>
      <c r="D1148" s="163">
        <v>44843</v>
      </c>
      <c r="E1148" s="171">
        <v>4.7298660000000001E-3</v>
      </c>
      <c r="F1148" s="171">
        <v>0</v>
      </c>
      <c r="G1148" s="172">
        <v>1</v>
      </c>
      <c r="H1148" s="171">
        <f>tbTransactions[[#This Row],[Qty]]*tbTransactions[[#This Row],[Unit Cost]]*tbTransactions[[#This Row],[Exchange Rate]]</f>
        <v>0</v>
      </c>
      <c r="I1148" s="148" t="s">
        <v>540</v>
      </c>
      <c r="J1148" s="176" t="s">
        <v>22</v>
      </c>
      <c r="K1148" s="163" t="str">
        <f>IF(tbTransactions[[#This Row],[Sub-Type]]="Transfer","Neutral",IF(tbTransactions[[#This Row],[Qty]]&lt;0,"Debit",IF(tbTransactions[[#This Row],[Qty]]&gt;0,"Credit","Neutral")))</f>
        <v>Credit</v>
      </c>
      <c r="L1148" s="163" t="s">
        <v>518</v>
      </c>
      <c r="M1148" s="171" t="s">
        <v>556</v>
      </c>
    </row>
    <row r="1149" spans="3:13" ht="30" customHeight="1" x14ac:dyDescent="0.25">
      <c r="C1149" s="175">
        <v>1148</v>
      </c>
      <c r="D1149" s="163">
        <v>44842</v>
      </c>
      <c r="E1149" s="171">
        <v>0.52566400000000002</v>
      </c>
      <c r="F1149" s="171">
        <v>0</v>
      </c>
      <c r="G1149" s="172">
        <v>1</v>
      </c>
      <c r="H1149" s="171">
        <f>tbTransactions[[#This Row],[Qty]]*tbTransactions[[#This Row],[Unit Cost]]*tbTransactions[[#This Row],[Exchange Rate]]</f>
        <v>0</v>
      </c>
      <c r="I1149" s="148" t="s">
        <v>431</v>
      </c>
      <c r="J1149" s="176" t="s">
        <v>18</v>
      </c>
      <c r="K1149" s="163" t="str">
        <f>IF(tbTransactions[[#This Row],[Sub-Type]]="Transfer","Neutral",IF(tbTransactions[[#This Row],[Qty]]&lt;0,"Debit",IF(tbTransactions[[#This Row],[Qty]]&gt;0,"Credit","Neutral")))</f>
        <v>Credit</v>
      </c>
      <c r="L1149" s="163" t="s">
        <v>518</v>
      </c>
      <c r="M1149" s="171" t="s">
        <v>40</v>
      </c>
    </row>
    <row r="1150" spans="3:13" ht="30" customHeight="1" x14ac:dyDescent="0.25">
      <c r="C1150" s="175">
        <v>1149</v>
      </c>
      <c r="D1150" s="163">
        <v>44845</v>
      </c>
      <c r="E1150" s="171">
        <v>0.10848705</v>
      </c>
      <c r="F1150" s="171">
        <v>0</v>
      </c>
      <c r="G1150" s="172">
        <v>1</v>
      </c>
      <c r="H1150" s="171">
        <f>tbTransactions[[#This Row],[Qty]]*tbTransactions[[#This Row],[Unit Cost]]*tbTransactions[[#This Row],[Exchange Rate]]</f>
        <v>0</v>
      </c>
      <c r="I1150" s="148" t="s">
        <v>540</v>
      </c>
      <c r="J1150" s="176" t="s">
        <v>20</v>
      </c>
      <c r="K1150" s="163" t="str">
        <f>IF(tbTransactions[[#This Row],[Sub-Type]]="Transfer","Neutral",IF(tbTransactions[[#This Row],[Qty]]&lt;0,"Debit",IF(tbTransactions[[#This Row],[Qty]]&gt;0,"Credit","Neutral")))</f>
        <v>Credit</v>
      </c>
      <c r="L1150" s="163" t="s">
        <v>518</v>
      </c>
      <c r="M1150" s="171" t="s">
        <v>465</v>
      </c>
    </row>
    <row r="1151" spans="3:13" ht="30" customHeight="1" x14ac:dyDescent="0.25">
      <c r="C1151" s="175">
        <v>1150</v>
      </c>
      <c r="D1151" s="163">
        <v>44848</v>
      </c>
      <c r="E1151" s="171">
        <v>8.1436540000000002E-2</v>
      </c>
      <c r="F1151" s="171">
        <v>0</v>
      </c>
      <c r="G1151" s="172">
        <v>1</v>
      </c>
      <c r="H1151" s="171">
        <f>tbTransactions[[#This Row],[Qty]]*tbTransactions[[#This Row],[Unit Cost]]*tbTransactions[[#This Row],[Exchange Rate]]</f>
        <v>0</v>
      </c>
      <c r="I1151" s="148" t="s">
        <v>540</v>
      </c>
      <c r="J1151" s="176" t="s">
        <v>20</v>
      </c>
      <c r="K1151" s="163" t="str">
        <f>IF(tbTransactions[[#This Row],[Sub-Type]]="Transfer","Neutral",IF(tbTransactions[[#This Row],[Qty]]&lt;0,"Debit",IF(tbTransactions[[#This Row],[Qty]]&gt;0,"Credit","Neutral")))</f>
        <v>Credit</v>
      </c>
      <c r="L1151" s="163" t="s">
        <v>518</v>
      </c>
      <c r="M1151" s="171" t="s">
        <v>465</v>
      </c>
    </row>
    <row r="1152" spans="3:13" ht="30" customHeight="1" x14ac:dyDescent="0.25">
      <c r="C1152" s="175">
        <v>1151</v>
      </c>
      <c r="D1152" s="163">
        <v>44850</v>
      </c>
      <c r="E1152" s="171">
        <v>1.5657303000000001E-2</v>
      </c>
      <c r="F1152" s="171">
        <v>0</v>
      </c>
      <c r="G1152" s="172">
        <v>1</v>
      </c>
      <c r="H1152" s="171">
        <f>tbTransactions[[#This Row],[Qty]]*tbTransactions[[#This Row],[Unit Cost]]*tbTransactions[[#This Row],[Exchange Rate]]</f>
        <v>0</v>
      </c>
      <c r="I1152" s="148" t="s">
        <v>542</v>
      </c>
      <c r="J1152" s="176" t="s">
        <v>22</v>
      </c>
      <c r="K1152" s="163" t="str">
        <f>IF(tbTransactions[[#This Row],[Sub-Type]]="Transfer","Neutral",IF(tbTransactions[[#This Row],[Qty]]&lt;0,"Debit",IF(tbTransactions[[#This Row],[Qty]]&gt;0,"Credit","Neutral")))</f>
        <v>Credit</v>
      </c>
      <c r="L1152" s="163" t="s">
        <v>518</v>
      </c>
      <c r="M1152" s="171" t="s">
        <v>556</v>
      </c>
    </row>
    <row r="1153" spans="3:13" ht="30" customHeight="1" x14ac:dyDescent="0.25">
      <c r="C1153" s="175">
        <v>1152</v>
      </c>
      <c r="D1153" s="163">
        <v>44850</v>
      </c>
      <c r="E1153" s="171">
        <v>4.60247E-3</v>
      </c>
      <c r="F1153" s="171">
        <v>0</v>
      </c>
      <c r="G1153" s="172">
        <v>1</v>
      </c>
      <c r="H1153" s="171">
        <f>tbTransactions[[#This Row],[Qty]]*tbTransactions[[#This Row],[Unit Cost]]*tbTransactions[[#This Row],[Exchange Rate]]</f>
        <v>0</v>
      </c>
      <c r="I1153" s="148" t="s">
        <v>540</v>
      </c>
      <c r="J1153" s="176" t="s">
        <v>22</v>
      </c>
      <c r="K1153" s="163" t="str">
        <f>IF(tbTransactions[[#This Row],[Sub-Type]]="Transfer","Neutral",IF(tbTransactions[[#This Row],[Qty]]&lt;0,"Debit",IF(tbTransactions[[#This Row],[Qty]]&gt;0,"Credit","Neutral")))</f>
        <v>Credit</v>
      </c>
      <c r="L1153" s="163" t="s">
        <v>518</v>
      </c>
      <c r="M1153" s="171" t="s">
        <v>556</v>
      </c>
    </row>
    <row r="1154" spans="3:13" ht="30" customHeight="1" x14ac:dyDescent="0.25">
      <c r="C1154" s="175">
        <v>1153</v>
      </c>
      <c r="D1154" s="163">
        <v>44851</v>
      </c>
      <c r="E1154" s="171">
        <v>300</v>
      </c>
      <c r="F1154" s="171">
        <v>1</v>
      </c>
      <c r="G1154" s="172">
        <v>1</v>
      </c>
      <c r="H1154" s="171">
        <f>tbTransactions[[#This Row],[Qty]]*tbTransactions[[#This Row],[Unit Cost]]*tbTransactions[[#This Row],[Exchange Rate]]</f>
        <v>300</v>
      </c>
      <c r="I1154" s="148" t="s">
        <v>714</v>
      </c>
      <c r="J1154" s="176" t="s">
        <v>411</v>
      </c>
      <c r="K1154" s="163" t="str">
        <f>IF(tbTransactions[[#This Row],[Sub-Type]]="Transfer","Neutral",IF(tbTransactions[[#This Row],[Qty]]&lt;0,"Debit",IF(tbTransactions[[#This Row],[Qty]]&gt;0,"Credit","Neutral")))</f>
        <v>Credit</v>
      </c>
      <c r="L1154" s="163" t="s">
        <v>502</v>
      </c>
      <c r="M1154" s="171" t="s">
        <v>827</v>
      </c>
    </row>
    <row r="1155" spans="3:13" ht="30" customHeight="1" x14ac:dyDescent="0.25">
      <c r="C1155" s="175">
        <v>1154</v>
      </c>
      <c r="D1155" s="163">
        <v>44851</v>
      </c>
      <c r="E1155" s="171">
        <f>45*-1*6.62</f>
        <v>-297.89999999999998</v>
      </c>
      <c r="F1155" s="171">
        <v>1</v>
      </c>
      <c r="G1155" s="172">
        <v>1</v>
      </c>
      <c r="H1155" s="171">
        <f>tbTransactions[[#This Row],[Qty]]*tbTransactions[[#This Row],[Unit Cost]]*tbTransactions[[#This Row],[Exchange Rate]]</f>
        <v>-297.89999999999998</v>
      </c>
      <c r="I1155" s="148" t="s">
        <v>714</v>
      </c>
      <c r="J1155" s="176" t="s">
        <v>411</v>
      </c>
      <c r="K1155" s="163" t="str">
        <f>IF(tbTransactions[[#This Row],[Sub-Type]]="Transfer","Neutral",IF(tbTransactions[[#This Row],[Qty]]&lt;0,"Debit",IF(tbTransactions[[#This Row],[Qty]]&gt;0,"Credit","Neutral")))</f>
        <v>Debit</v>
      </c>
      <c r="L1155" s="163" t="s">
        <v>522</v>
      </c>
      <c r="M1155" s="171" t="s">
        <v>825</v>
      </c>
    </row>
    <row r="1156" spans="3:13" ht="30" customHeight="1" x14ac:dyDescent="0.25">
      <c r="C1156" s="175">
        <v>1155</v>
      </c>
      <c r="D1156" s="163">
        <v>44851</v>
      </c>
      <c r="E1156" s="171">
        <v>45</v>
      </c>
      <c r="F1156" s="171">
        <v>6.62</v>
      </c>
      <c r="G1156" s="172">
        <v>1</v>
      </c>
      <c r="H1156" s="171">
        <f>tbTransactions[[#This Row],[Qty]]*tbTransactions[[#This Row],[Unit Cost]]*tbTransactions[[#This Row],[Exchange Rate]]</f>
        <v>297.89999999999998</v>
      </c>
      <c r="I1156" s="148" t="s">
        <v>714</v>
      </c>
      <c r="J1156" s="176" t="s">
        <v>762</v>
      </c>
      <c r="K1156" s="163" t="str">
        <f>IF(tbTransactions[[#This Row],[Sub-Type]]="Transfer","Neutral",IF(tbTransactions[[#This Row],[Qty]]&lt;0,"Debit",IF(tbTransactions[[#This Row],[Qty]]&gt;0,"Credit","Neutral")))</f>
        <v>Credit</v>
      </c>
      <c r="L1156" s="163" t="s">
        <v>740</v>
      </c>
      <c r="M1156" s="171" t="s">
        <v>825</v>
      </c>
    </row>
    <row r="1157" spans="3:13" ht="30" customHeight="1" x14ac:dyDescent="0.25">
      <c r="C1157" s="175">
        <v>1156</v>
      </c>
      <c r="D1157" s="163">
        <v>44840</v>
      </c>
      <c r="E1157" s="171">
        <v>300</v>
      </c>
      <c r="F1157" s="171">
        <v>1</v>
      </c>
      <c r="G1157" s="172">
        <v>1</v>
      </c>
      <c r="H1157" s="171">
        <f>tbTransactions[[#This Row],[Qty]]*tbTransactions[[#This Row],[Unit Cost]]*tbTransactions[[#This Row],[Exchange Rate]]</f>
        <v>300</v>
      </c>
      <c r="I1157" s="148" t="s">
        <v>714</v>
      </c>
      <c r="J1157" s="176" t="s">
        <v>411</v>
      </c>
      <c r="K1157" s="163" t="str">
        <f>IF(tbTransactions[[#This Row],[Sub-Type]]="Transfer","Neutral",IF(tbTransactions[[#This Row],[Qty]]&lt;0,"Debit",IF(tbTransactions[[#This Row],[Qty]]&gt;0,"Credit","Neutral")))</f>
        <v>Credit</v>
      </c>
      <c r="L1157" s="163" t="s">
        <v>502</v>
      </c>
      <c r="M1157" s="171" t="s">
        <v>827</v>
      </c>
    </row>
    <row r="1158" spans="3:13" ht="30" customHeight="1" x14ac:dyDescent="0.25">
      <c r="C1158" s="175">
        <v>1157</v>
      </c>
      <c r="D1158" s="163">
        <v>44854</v>
      </c>
      <c r="E1158" s="171">
        <v>200</v>
      </c>
      <c r="F1158" s="171">
        <v>1</v>
      </c>
      <c r="G1158" s="172">
        <v>1</v>
      </c>
      <c r="H1158" s="171">
        <f>tbTransactions[[#This Row],[Qty]]*tbTransactions[[#This Row],[Unit Cost]]*tbTransactions[[#This Row],[Exchange Rate]]</f>
        <v>200</v>
      </c>
      <c r="I1158" s="148" t="s">
        <v>714</v>
      </c>
      <c r="J1158" s="176" t="s">
        <v>411</v>
      </c>
      <c r="K1158" s="163" t="str">
        <f>IF(tbTransactions[[#This Row],[Sub-Type]]="Transfer","Neutral",IF(tbTransactions[[#This Row],[Qty]]&lt;0,"Debit",IF(tbTransactions[[#This Row],[Qty]]&gt;0,"Credit","Neutral")))</f>
        <v>Credit</v>
      </c>
      <c r="L1158" s="163" t="s">
        <v>502</v>
      </c>
      <c r="M1158" s="171" t="s">
        <v>828</v>
      </c>
    </row>
    <row r="1159" spans="3:13" ht="30" customHeight="1" x14ac:dyDescent="0.25">
      <c r="C1159" s="175">
        <v>1158</v>
      </c>
      <c r="D1159" s="163">
        <v>44854</v>
      </c>
      <c r="E1159" s="171">
        <v>-205.44</v>
      </c>
      <c r="F1159" s="171">
        <v>1</v>
      </c>
      <c r="G1159" s="172">
        <v>1</v>
      </c>
      <c r="H1159" s="171">
        <f>tbTransactions[[#This Row],[Qty]]*tbTransactions[[#This Row],[Unit Cost]]*tbTransactions[[#This Row],[Exchange Rate]]</f>
        <v>-205.44</v>
      </c>
      <c r="I1159" s="148" t="s">
        <v>714</v>
      </c>
      <c r="J1159" s="176" t="s">
        <v>411</v>
      </c>
      <c r="K1159" s="163" t="str">
        <f>IF(tbTransactions[[#This Row],[Sub-Type]]="Transfer","Neutral",IF(tbTransactions[[#This Row],[Qty]]&lt;0,"Debit",IF(tbTransactions[[#This Row],[Qty]]&gt;0,"Credit","Neutral")))</f>
        <v>Debit</v>
      </c>
      <c r="L1159" s="163" t="s">
        <v>522</v>
      </c>
      <c r="M1159" s="171" t="s">
        <v>826</v>
      </c>
    </row>
    <row r="1160" spans="3:13" ht="30" customHeight="1" x14ac:dyDescent="0.25">
      <c r="C1160" s="175">
        <v>1159</v>
      </c>
      <c r="D1160" s="163">
        <v>44854</v>
      </c>
      <c r="E1160" s="171">
        <v>32</v>
      </c>
      <c r="F1160" s="171">
        <v>6.42</v>
      </c>
      <c r="G1160" s="172">
        <v>1</v>
      </c>
      <c r="H1160" s="171">
        <f>tbTransactions[[#This Row],[Qty]]*tbTransactions[[#This Row],[Unit Cost]]*tbTransactions[[#This Row],[Exchange Rate]]</f>
        <v>205.44</v>
      </c>
      <c r="I1160" s="148" t="s">
        <v>714</v>
      </c>
      <c r="J1160" s="176" t="s">
        <v>762</v>
      </c>
      <c r="K1160" s="163" t="str">
        <f>IF(tbTransactions[[#This Row],[Sub-Type]]="Transfer","Neutral",IF(tbTransactions[[#This Row],[Qty]]&lt;0,"Debit",IF(tbTransactions[[#This Row],[Qty]]&gt;0,"Credit","Neutral")))</f>
        <v>Credit</v>
      </c>
      <c r="L1160" s="163" t="s">
        <v>740</v>
      </c>
      <c r="M1160" s="171" t="s">
        <v>826</v>
      </c>
    </row>
    <row r="1161" spans="3:13" ht="30" customHeight="1" x14ac:dyDescent="0.25">
      <c r="C1161" s="175">
        <v>1160</v>
      </c>
      <c r="D1161" s="163">
        <v>44852</v>
      </c>
      <c r="E1161" s="171">
        <v>0.10869487999999999</v>
      </c>
      <c r="F1161" s="171">
        <v>0</v>
      </c>
      <c r="G1161" s="172">
        <v>1</v>
      </c>
      <c r="H1161" s="171">
        <f>tbTransactions[[#This Row],[Qty]]*tbTransactions[[#This Row],[Unit Cost]]*tbTransactions[[#This Row],[Exchange Rate]]</f>
        <v>0</v>
      </c>
      <c r="I1161" s="148" t="s">
        <v>540</v>
      </c>
      <c r="J1161" s="176" t="s">
        <v>20</v>
      </c>
      <c r="K1161" s="163" t="str">
        <f>IF(tbTransactions[[#This Row],[Sub-Type]]="Transfer","Neutral",IF(tbTransactions[[#This Row],[Qty]]&lt;0,"Debit",IF(tbTransactions[[#This Row],[Qty]]&gt;0,"Credit","Neutral")))</f>
        <v>Credit</v>
      </c>
      <c r="L1161" s="163" t="s">
        <v>518</v>
      </c>
      <c r="M1161" s="171" t="s">
        <v>465</v>
      </c>
    </row>
    <row r="1162" spans="3:13" ht="30" customHeight="1" x14ac:dyDescent="0.25">
      <c r="C1162" s="175">
        <v>1161</v>
      </c>
      <c r="D1162" s="163">
        <v>44855</v>
      </c>
      <c r="E1162" s="171">
        <v>8.1592600000000001E-2</v>
      </c>
      <c r="F1162" s="171">
        <v>0</v>
      </c>
      <c r="G1162" s="172">
        <v>1</v>
      </c>
      <c r="H1162" s="171">
        <f>tbTransactions[[#This Row],[Qty]]*tbTransactions[[#This Row],[Unit Cost]]*tbTransactions[[#This Row],[Exchange Rate]]</f>
        <v>0</v>
      </c>
      <c r="I1162" s="148" t="s">
        <v>540</v>
      </c>
      <c r="J1162" s="176" t="s">
        <v>20</v>
      </c>
      <c r="K1162" s="163" t="str">
        <f>IF(tbTransactions[[#This Row],[Sub-Type]]="Transfer","Neutral",IF(tbTransactions[[#This Row],[Qty]]&lt;0,"Debit",IF(tbTransactions[[#This Row],[Qty]]&gt;0,"Credit","Neutral")))</f>
        <v>Credit</v>
      </c>
      <c r="L1162" s="163" t="s">
        <v>518</v>
      </c>
      <c r="M1162" s="171" t="s">
        <v>465</v>
      </c>
    </row>
    <row r="1163" spans="3:13" ht="30" customHeight="1" x14ac:dyDescent="0.25">
      <c r="C1163" s="175">
        <v>1162</v>
      </c>
      <c r="D1163" s="163">
        <v>44857</v>
      </c>
      <c r="E1163" s="171">
        <v>1.5520971999999999E-2</v>
      </c>
      <c r="F1163" s="171">
        <v>0</v>
      </c>
      <c r="G1163" s="172">
        <v>1</v>
      </c>
      <c r="H1163" s="171">
        <f>tbTransactions[[#This Row],[Qty]]*tbTransactions[[#This Row],[Unit Cost]]*tbTransactions[[#This Row],[Exchange Rate]]</f>
        <v>0</v>
      </c>
      <c r="I1163" s="148" t="s">
        <v>542</v>
      </c>
      <c r="J1163" s="176" t="s">
        <v>22</v>
      </c>
      <c r="K1163" s="163" t="str">
        <f>IF(tbTransactions[[#This Row],[Sub-Type]]="Transfer","Neutral",IF(tbTransactions[[#This Row],[Qty]]&lt;0,"Debit",IF(tbTransactions[[#This Row],[Qty]]&gt;0,"Credit","Neutral")))</f>
        <v>Credit</v>
      </c>
      <c r="L1163" s="163" t="s">
        <v>518</v>
      </c>
      <c r="M1163" s="171" t="s">
        <v>556</v>
      </c>
    </row>
    <row r="1164" spans="3:13" ht="30" customHeight="1" x14ac:dyDescent="0.25">
      <c r="C1164" s="175">
        <v>1163</v>
      </c>
      <c r="D1164" s="163">
        <v>44857</v>
      </c>
      <c r="E1164" s="171">
        <v>5.7946430000000004E-3</v>
      </c>
      <c r="F1164" s="171">
        <v>0</v>
      </c>
      <c r="G1164" s="172">
        <v>1</v>
      </c>
      <c r="H1164" s="171">
        <f>tbTransactions[[#This Row],[Qty]]*tbTransactions[[#This Row],[Unit Cost]]*tbTransactions[[#This Row],[Exchange Rate]]</f>
        <v>0</v>
      </c>
      <c r="I1164" s="148" t="s">
        <v>540</v>
      </c>
      <c r="J1164" s="176" t="s">
        <v>22</v>
      </c>
      <c r="K1164" s="163" t="str">
        <f>IF(tbTransactions[[#This Row],[Sub-Type]]="Transfer","Neutral",IF(tbTransactions[[#This Row],[Qty]]&lt;0,"Debit",IF(tbTransactions[[#This Row],[Qty]]&gt;0,"Credit","Neutral")))</f>
        <v>Credit</v>
      </c>
      <c r="L1164" s="163" t="s">
        <v>518</v>
      </c>
      <c r="M1164" s="171" t="s">
        <v>556</v>
      </c>
    </row>
    <row r="1165" spans="3:13" ht="30" customHeight="1" x14ac:dyDescent="0.25">
      <c r="C1165" s="175">
        <v>1164</v>
      </c>
      <c r="D1165" s="163">
        <v>44856</v>
      </c>
      <c r="E1165" s="171">
        <v>0.52958899999999998</v>
      </c>
      <c r="F1165" s="171">
        <v>0</v>
      </c>
      <c r="G1165" s="172">
        <v>1</v>
      </c>
      <c r="H1165" s="171">
        <f>tbTransactions[[#This Row],[Qty]]*tbTransactions[[#This Row],[Unit Cost]]*tbTransactions[[#This Row],[Exchange Rate]]</f>
        <v>0</v>
      </c>
      <c r="I1165" s="148" t="s">
        <v>431</v>
      </c>
      <c r="J1165" s="176" t="s">
        <v>18</v>
      </c>
      <c r="K1165" s="163" t="str">
        <f>IF(tbTransactions[[#This Row],[Sub-Type]]="Transfer","Neutral",IF(tbTransactions[[#This Row],[Qty]]&lt;0,"Debit",IF(tbTransactions[[#This Row],[Qty]]&gt;0,"Credit","Neutral")))</f>
        <v>Credit</v>
      </c>
      <c r="L1165" s="163" t="s">
        <v>518</v>
      </c>
      <c r="M1165" s="171" t="s">
        <v>40</v>
      </c>
    </row>
    <row r="1166" spans="3:13" ht="30" customHeight="1" x14ac:dyDescent="0.25">
      <c r="C1166" s="175">
        <v>1165</v>
      </c>
      <c r="D1166" s="163">
        <v>44859</v>
      </c>
      <c r="E1166" s="171">
        <v>0.10890299000000001</v>
      </c>
      <c r="F1166" s="171">
        <v>0</v>
      </c>
      <c r="G1166" s="172">
        <v>1</v>
      </c>
      <c r="H1166" s="171">
        <f>tbTransactions[[#This Row],[Qty]]*tbTransactions[[#This Row],[Unit Cost]]*tbTransactions[[#This Row],[Exchange Rate]]</f>
        <v>0</v>
      </c>
      <c r="I1166" s="148" t="s">
        <v>540</v>
      </c>
      <c r="J1166" s="176" t="s">
        <v>20</v>
      </c>
      <c r="K1166" s="163" t="str">
        <f>IF(tbTransactions[[#This Row],[Sub-Type]]="Transfer","Neutral",IF(tbTransactions[[#This Row],[Qty]]&lt;0,"Debit",IF(tbTransactions[[#This Row],[Qty]]&gt;0,"Credit","Neutral")))</f>
        <v>Credit</v>
      </c>
      <c r="L1166" s="163" t="s">
        <v>518</v>
      </c>
      <c r="M1166" s="171" t="s">
        <v>465</v>
      </c>
    </row>
    <row r="1167" spans="3:13" ht="30" customHeight="1" x14ac:dyDescent="0.25">
      <c r="C1167" s="175">
        <v>1166</v>
      </c>
      <c r="D1167" s="163">
        <v>44862</v>
      </c>
      <c r="E1167" s="171">
        <v>8.1748379999999995E-2</v>
      </c>
      <c r="F1167" s="171">
        <v>0</v>
      </c>
      <c r="G1167" s="172">
        <v>1</v>
      </c>
      <c r="H1167" s="171">
        <f>tbTransactions[[#This Row],[Qty]]*tbTransactions[[#This Row],[Unit Cost]]*tbTransactions[[#This Row],[Exchange Rate]]</f>
        <v>0</v>
      </c>
      <c r="I1167" s="148" t="s">
        <v>540</v>
      </c>
      <c r="J1167" s="176" t="s">
        <v>20</v>
      </c>
      <c r="K1167" s="163" t="str">
        <f>IF(tbTransactions[[#This Row],[Sub-Type]]="Transfer","Neutral",IF(tbTransactions[[#This Row],[Qty]]&lt;0,"Debit",IF(tbTransactions[[#This Row],[Qty]]&gt;0,"Credit","Neutral")))</f>
        <v>Credit</v>
      </c>
      <c r="L1167" s="163" t="s">
        <v>518</v>
      </c>
      <c r="M1167" s="171" t="s">
        <v>465</v>
      </c>
    </row>
    <row r="1168" spans="3:13" ht="30" customHeight="1" x14ac:dyDescent="0.25">
      <c r="C1168" s="175">
        <v>1167</v>
      </c>
      <c r="D1168" s="163">
        <v>44864</v>
      </c>
      <c r="E1168" s="171">
        <v>1.5344572000000001E-2</v>
      </c>
      <c r="F1168" s="171">
        <v>0</v>
      </c>
      <c r="G1168" s="172">
        <v>1</v>
      </c>
      <c r="H1168" s="171">
        <f>tbTransactions[[#This Row],[Qty]]*tbTransactions[[#This Row],[Unit Cost]]*tbTransactions[[#This Row],[Exchange Rate]]</f>
        <v>0</v>
      </c>
      <c r="I1168" s="148" t="s">
        <v>542</v>
      </c>
      <c r="J1168" s="176" t="s">
        <v>22</v>
      </c>
      <c r="K1168" s="163" t="str">
        <f>IF(tbTransactions[[#This Row],[Sub-Type]]="Transfer","Neutral",IF(tbTransactions[[#This Row],[Qty]]&lt;0,"Debit",IF(tbTransactions[[#This Row],[Qty]]&gt;0,"Credit","Neutral")))</f>
        <v>Credit</v>
      </c>
      <c r="L1168" s="163" t="s">
        <v>518</v>
      </c>
      <c r="M1168" s="171" t="s">
        <v>556</v>
      </c>
    </row>
    <row r="1169" spans="3:13" ht="30" customHeight="1" x14ac:dyDescent="0.25">
      <c r="C1169" s="175">
        <v>1168</v>
      </c>
      <c r="D1169" s="163">
        <v>44864</v>
      </c>
      <c r="E1169" s="171">
        <v>5.5327609999999998E-3</v>
      </c>
      <c r="F1169" s="171">
        <v>0</v>
      </c>
      <c r="G1169" s="172">
        <v>1</v>
      </c>
      <c r="H1169" s="171">
        <f>tbTransactions[[#This Row],[Qty]]*tbTransactions[[#This Row],[Unit Cost]]*tbTransactions[[#This Row],[Exchange Rate]]</f>
        <v>0</v>
      </c>
      <c r="I1169" s="148" t="s">
        <v>540</v>
      </c>
      <c r="J1169" s="176" t="s">
        <v>22</v>
      </c>
      <c r="K1169" s="163" t="str">
        <f>IF(tbTransactions[[#This Row],[Sub-Type]]="Transfer","Neutral",IF(tbTransactions[[#This Row],[Qty]]&lt;0,"Debit",IF(tbTransactions[[#This Row],[Qty]]&gt;0,"Credit","Neutral")))</f>
        <v>Credit</v>
      </c>
      <c r="L1169" s="163" t="s">
        <v>518</v>
      </c>
      <c r="M1169" s="171" t="s">
        <v>556</v>
      </c>
    </row>
    <row r="1170" spans="3:13" ht="30" customHeight="1" x14ac:dyDescent="0.25">
      <c r="C1170" s="175">
        <v>1169</v>
      </c>
      <c r="D1170" s="163">
        <v>44866</v>
      </c>
      <c r="E1170" s="171">
        <v>300</v>
      </c>
      <c r="F1170" s="171">
        <v>1</v>
      </c>
      <c r="G1170" s="172">
        <v>1</v>
      </c>
      <c r="H1170" s="171">
        <f>tbTransactions[[#This Row],[Qty]]*tbTransactions[[#This Row],[Unit Cost]]*tbTransactions[[#This Row],[Exchange Rate]]</f>
        <v>300</v>
      </c>
      <c r="I1170" s="148" t="s">
        <v>714</v>
      </c>
      <c r="J1170" s="176" t="s">
        <v>411</v>
      </c>
      <c r="K1170" s="163" t="str">
        <f>IF(tbTransactions[[#This Row],[Sub-Type]]="Transfer","Neutral",IF(tbTransactions[[#This Row],[Qty]]&lt;0,"Debit",IF(tbTransactions[[#This Row],[Qty]]&gt;0,"Credit","Neutral")))</f>
        <v>Credit</v>
      </c>
      <c r="L1170" s="163" t="s">
        <v>502</v>
      </c>
      <c r="M1170" s="171" t="s">
        <v>827</v>
      </c>
    </row>
    <row r="1171" spans="3:13" ht="30" customHeight="1" x14ac:dyDescent="0.25">
      <c r="C1171" s="175">
        <v>1170</v>
      </c>
      <c r="D1171" s="163">
        <v>44866</v>
      </c>
      <c r="E1171" s="171">
        <v>-297.16000000000003</v>
      </c>
      <c r="F1171" s="171">
        <v>1</v>
      </c>
      <c r="G1171" s="172">
        <v>1</v>
      </c>
      <c r="H1171" s="171">
        <f>tbTransactions[[#This Row],[Qty]]*tbTransactions[[#This Row],[Unit Cost]]*tbTransactions[[#This Row],[Exchange Rate]]</f>
        <v>-297.16000000000003</v>
      </c>
      <c r="I1171" s="148" t="s">
        <v>714</v>
      </c>
      <c r="J1171" s="176" t="s">
        <v>411</v>
      </c>
      <c r="K1171" s="163" t="str">
        <f>IF(tbTransactions[[#This Row],[Sub-Type]]="Transfer","Neutral",IF(tbTransactions[[#This Row],[Qty]]&lt;0,"Debit",IF(tbTransactions[[#This Row],[Qty]]&gt;0,"Credit","Neutral")))</f>
        <v>Debit</v>
      </c>
      <c r="L1171" s="163" t="s">
        <v>522</v>
      </c>
      <c r="M1171" s="171" t="s">
        <v>825</v>
      </c>
    </row>
    <row r="1172" spans="3:13" ht="30" customHeight="1" x14ac:dyDescent="0.25">
      <c r="C1172" s="175">
        <v>1171</v>
      </c>
      <c r="D1172" s="163">
        <v>44866</v>
      </c>
      <c r="E1172" s="171">
        <v>38</v>
      </c>
      <c r="F1172" s="171">
        <v>7.82</v>
      </c>
      <c r="G1172" s="172">
        <v>1</v>
      </c>
      <c r="H1172" s="171">
        <f>tbTransactions[[#This Row],[Qty]]*tbTransactions[[#This Row],[Unit Cost]]*tbTransactions[[#This Row],[Exchange Rate]]</f>
        <v>297.16000000000003</v>
      </c>
      <c r="I1172" s="148" t="s">
        <v>714</v>
      </c>
      <c r="J1172" s="176" t="s">
        <v>762</v>
      </c>
      <c r="K1172" s="163" t="str">
        <f>IF(tbTransactions[[#This Row],[Sub-Type]]="Transfer","Neutral",IF(tbTransactions[[#This Row],[Qty]]&lt;0,"Debit",IF(tbTransactions[[#This Row],[Qty]]&gt;0,"Credit","Neutral")))</f>
        <v>Credit</v>
      </c>
      <c r="L1172" s="163" t="s">
        <v>740</v>
      </c>
      <c r="M1172" s="171" t="s">
        <v>825</v>
      </c>
    </row>
    <row r="1173" spans="3:13" ht="30" customHeight="1" x14ac:dyDescent="0.25">
      <c r="C1173" s="175">
        <v>1172</v>
      </c>
      <c r="D1173" s="163">
        <v>44866</v>
      </c>
      <c r="E1173" s="171">
        <v>0.10911086</v>
      </c>
      <c r="F1173" s="171">
        <v>0</v>
      </c>
      <c r="G1173" s="172">
        <v>1</v>
      </c>
      <c r="H1173" s="171">
        <f>tbTransactions[[#This Row],[Qty]]*tbTransactions[[#This Row],[Unit Cost]]*tbTransactions[[#This Row],[Exchange Rate]]</f>
        <v>0</v>
      </c>
      <c r="I1173" s="148" t="s">
        <v>540</v>
      </c>
      <c r="J1173" s="176" t="s">
        <v>20</v>
      </c>
      <c r="K1173" s="163" t="str">
        <f>IF(tbTransactions[[#This Row],[Sub-Type]]="Transfer","Neutral",IF(tbTransactions[[#This Row],[Qty]]&lt;0,"Debit",IF(tbTransactions[[#This Row],[Qty]]&gt;0,"Credit","Neutral")))</f>
        <v>Credit</v>
      </c>
      <c r="L1173" s="163" t="s">
        <v>518</v>
      </c>
      <c r="M1173" s="171" t="s">
        <v>465</v>
      </c>
    </row>
    <row r="1174" spans="3:13" ht="30" customHeight="1" x14ac:dyDescent="0.25">
      <c r="C1174" s="175">
        <v>1173</v>
      </c>
      <c r="D1174" s="163">
        <v>44869</v>
      </c>
      <c r="E1174" s="171">
        <v>8.1903900000000002E-2</v>
      </c>
      <c r="F1174" s="171">
        <v>0</v>
      </c>
      <c r="G1174" s="172">
        <v>1</v>
      </c>
      <c r="H1174" s="171">
        <f>tbTransactions[[#This Row],[Qty]]*tbTransactions[[#This Row],[Unit Cost]]*tbTransactions[[#This Row],[Exchange Rate]]</f>
        <v>0</v>
      </c>
      <c r="I1174" s="148" t="s">
        <v>540</v>
      </c>
      <c r="J1174" s="176" t="s">
        <v>20</v>
      </c>
      <c r="K1174" s="163" t="str">
        <f>IF(tbTransactions[[#This Row],[Sub-Type]]="Transfer","Neutral",IF(tbTransactions[[#This Row],[Qty]]&lt;0,"Debit",IF(tbTransactions[[#This Row],[Qty]]&gt;0,"Credit","Neutral")))</f>
        <v>Credit</v>
      </c>
      <c r="L1174" s="163" t="s">
        <v>518</v>
      </c>
      <c r="M1174" s="171" t="s">
        <v>465</v>
      </c>
    </row>
    <row r="1175" spans="3:13" ht="30" customHeight="1" x14ac:dyDescent="0.25">
      <c r="C1175" s="175">
        <v>1174</v>
      </c>
      <c r="D1175" s="163">
        <v>44871</v>
      </c>
      <c r="E1175" s="171">
        <v>1.5265452000000001E-2</v>
      </c>
      <c r="F1175" s="171">
        <v>0</v>
      </c>
      <c r="G1175" s="172">
        <v>1</v>
      </c>
      <c r="H1175" s="171">
        <f>tbTransactions[[#This Row],[Qty]]*tbTransactions[[#This Row],[Unit Cost]]*tbTransactions[[#This Row],[Exchange Rate]]</f>
        <v>0</v>
      </c>
      <c r="I1175" s="148" t="s">
        <v>542</v>
      </c>
      <c r="J1175" s="176" t="s">
        <v>22</v>
      </c>
      <c r="K1175" s="163" t="str">
        <f>IF(tbTransactions[[#This Row],[Sub-Type]]="Transfer","Neutral",IF(tbTransactions[[#This Row],[Qty]]&lt;0,"Debit",IF(tbTransactions[[#This Row],[Qty]]&gt;0,"Credit","Neutral")))</f>
        <v>Credit</v>
      </c>
      <c r="L1175" s="163" t="s">
        <v>518</v>
      </c>
      <c r="M1175" s="171" t="s">
        <v>556</v>
      </c>
    </row>
    <row r="1176" spans="3:13" ht="30" customHeight="1" x14ac:dyDescent="0.25">
      <c r="C1176" s="175">
        <v>1175</v>
      </c>
      <c r="D1176" s="163">
        <v>44871</v>
      </c>
      <c r="E1176" s="171">
        <v>1.1060375000000001E-2</v>
      </c>
      <c r="F1176" s="171">
        <v>0</v>
      </c>
      <c r="G1176" s="172">
        <v>1</v>
      </c>
      <c r="H1176" s="171">
        <f>tbTransactions[[#This Row],[Qty]]*tbTransactions[[#This Row],[Unit Cost]]*tbTransactions[[#This Row],[Exchange Rate]]</f>
        <v>0</v>
      </c>
      <c r="I1176" s="148" t="s">
        <v>540</v>
      </c>
      <c r="J1176" s="176" t="s">
        <v>22</v>
      </c>
      <c r="K1176" s="163" t="str">
        <f>IF(tbTransactions[[#This Row],[Sub-Type]]="Transfer","Neutral",IF(tbTransactions[[#This Row],[Qty]]&lt;0,"Debit",IF(tbTransactions[[#This Row],[Qty]]&gt;0,"Credit","Neutral")))</f>
        <v>Credit</v>
      </c>
      <c r="L1176" s="163" t="s">
        <v>518</v>
      </c>
      <c r="M1176" s="171" t="s">
        <v>556</v>
      </c>
    </row>
    <row r="1177" spans="3:13" ht="30" customHeight="1" x14ac:dyDescent="0.25">
      <c r="C1177" s="175">
        <v>1176</v>
      </c>
      <c r="D1177" s="163">
        <v>44870</v>
      </c>
      <c r="E1177" s="171">
        <v>0.53703500000000004</v>
      </c>
      <c r="F1177" s="171">
        <v>0</v>
      </c>
      <c r="G1177" s="172">
        <v>1</v>
      </c>
      <c r="H1177" s="171">
        <f>tbTransactions[[#This Row],[Qty]]*tbTransactions[[#This Row],[Unit Cost]]*tbTransactions[[#This Row],[Exchange Rate]]</f>
        <v>0</v>
      </c>
      <c r="I1177" s="148" t="s">
        <v>431</v>
      </c>
      <c r="J1177" s="176" t="s">
        <v>18</v>
      </c>
      <c r="K1177" s="163" t="str">
        <f>IF(tbTransactions[[#This Row],[Sub-Type]]="Transfer","Neutral",IF(tbTransactions[[#This Row],[Qty]]&lt;0,"Debit",IF(tbTransactions[[#This Row],[Qty]]&gt;0,"Credit","Neutral")))</f>
        <v>Credit</v>
      </c>
      <c r="L1177" s="163" t="s">
        <v>518</v>
      </c>
      <c r="M1177" s="171" t="s">
        <v>40</v>
      </c>
    </row>
    <row r="1178" spans="3:13" ht="30" customHeight="1" x14ac:dyDescent="0.25">
      <c r="C1178" s="175">
        <v>1177</v>
      </c>
      <c r="D1178" s="163">
        <v>44873</v>
      </c>
      <c r="E1178" s="171">
        <v>0.10931999000000001</v>
      </c>
      <c r="F1178" s="171">
        <v>0</v>
      </c>
      <c r="G1178" s="172">
        <v>1</v>
      </c>
      <c r="H1178" s="171">
        <f>tbTransactions[[#This Row],[Qty]]*tbTransactions[[#This Row],[Unit Cost]]*tbTransactions[[#This Row],[Exchange Rate]]</f>
        <v>0</v>
      </c>
      <c r="I1178" s="148" t="s">
        <v>540</v>
      </c>
      <c r="J1178" s="176" t="s">
        <v>20</v>
      </c>
      <c r="K1178" s="163" t="str">
        <f>IF(tbTransactions[[#This Row],[Sub-Type]]="Transfer","Neutral",IF(tbTransactions[[#This Row],[Qty]]&lt;0,"Debit",IF(tbTransactions[[#This Row],[Qty]]&gt;0,"Credit","Neutral")))</f>
        <v>Credit</v>
      </c>
      <c r="L1178" s="163" t="s">
        <v>518</v>
      </c>
      <c r="M1178" s="171" t="s">
        <v>465</v>
      </c>
    </row>
    <row r="1179" spans="3:13" ht="30" customHeight="1" x14ac:dyDescent="0.25">
      <c r="C1179" s="175">
        <v>1178</v>
      </c>
      <c r="D1179" s="163">
        <v>44876</v>
      </c>
      <c r="E1179" s="171">
        <v>8.2078670000000006E-2</v>
      </c>
      <c r="F1179" s="171">
        <v>0</v>
      </c>
      <c r="G1179" s="172">
        <v>1</v>
      </c>
      <c r="H1179" s="171">
        <f>tbTransactions[[#This Row],[Qty]]*tbTransactions[[#This Row],[Unit Cost]]*tbTransactions[[#This Row],[Exchange Rate]]</f>
        <v>0</v>
      </c>
      <c r="I1179" s="148" t="s">
        <v>540</v>
      </c>
      <c r="J1179" s="176" t="s">
        <v>20</v>
      </c>
      <c r="K1179" s="163" t="str">
        <f>IF(tbTransactions[[#This Row],[Sub-Type]]="Transfer","Neutral",IF(tbTransactions[[#This Row],[Qty]]&lt;0,"Debit",IF(tbTransactions[[#This Row],[Qty]]&gt;0,"Credit","Neutral")))</f>
        <v>Credit</v>
      </c>
      <c r="L1179" s="163" t="s">
        <v>518</v>
      </c>
      <c r="M1179" s="171" t="s">
        <v>465</v>
      </c>
    </row>
    <row r="1180" spans="3:13" ht="30" customHeight="1" x14ac:dyDescent="0.25">
      <c r="C1180" s="175">
        <v>1179</v>
      </c>
      <c r="D1180" s="163">
        <v>44878</v>
      </c>
      <c r="E1180" s="171">
        <v>1.5200603E-2</v>
      </c>
      <c r="F1180" s="171">
        <v>0</v>
      </c>
      <c r="G1180" s="172">
        <v>1</v>
      </c>
      <c r="H1180" s="171">
        <f>tbTransactions[[#This Row],[Qty]]*tbTransactions[[#This Row],[Unit Cost]]*tbTransactions[[#This Row],[Exchange Rate]]</f>
        <v>0</v>
      </c>
      <c r="I1180" s="148" t="s">
        <v>542</v>
      </c>
      <c r="J1180" s="176" t="s">
        <v>22</v>
      </c>
      <c r="K1180" s="163" t="str">
        <f>IF(tbTransactions[[#This Row],[Sub-Type]]="Transfer","Neutral",IF(tbTransactions[[#This Row],[Qty]]&lt;0,"Debit",IF(tbTransactions[[#This Row],[Qty]]&gt;0,"Credit","Neutral")))</f>
        <v>Credit</v>
      </c>
      <c r="L1180" s="163" t="s">
        <v>518</v>
      </c>
      <c r="M1180" s="171" t="s">
        <v>556</v>
      </c>
    </row>
    <row r="1181" spans="3:13" ht="30" customHeight="1" x14ac:dyDescent="0.25">
      <c r="C1181" s="175">
        <v>1180</v>
      </c>
      <c r="D1181" s="163">
        <v>44878</v>
      </c>
      <c r="E1181" s="171">
        <v>2.2371443000000001E-2</v>
      </c>
      <c r="F1181" s="171">
        <v>0</v>
      </c>
      <c r="G1181" s="172">
        <v>1</v>
      </c>
      <c r="H1181" s="171">
        <f>tbTransactions[[#This Row],[Qty]]*tbTransactions[[#This Row],[Unit Cost]]*tbTransactions[[#This Row],[Exchange Rate]]</f>
        <v>0</v>
      </c>
      <c r="I1181" s="148" t="s">
        <v>540</v>
      </c>
      <c r="J1181" s="176" t="s">
        <v>22</v>
      </c>
      <c r="K1181" s="163" t="str">
        <f>IF(tbTransactions[[#This Row],[Sub-Type]]="Transfer","Neutral",IF(tbTransactions[[#This Row],[Qty]]&lt;0,"Debit",IF(tbTransactions[[#This Row],[Qty]]&gt;0,"Credit","Neutral")))</f>
        <v>Credit</v>
      </c>
      <c r="L1181" s="163" t="s">
        <v>518</v>
      </c>
      <c r="M1181" s="171" t="s">
        <v>556</v>
      </c>
    </row>
    <row r="1182" spans="3:13" ht="30" customHeight="1" x14ac:dyDescent="0.25">
      <c r="C1182" s="175">
        <v>1181</v>
      </c>
      <c r="D1182" s="163">
        <v>44878</v>
      </c>
      <c r="E1182" s="171">
        <v>500</v>
      </c>
      <c r="F1182" s="171">
        <v>1</v>
      </c>
      <c r="G1182" s="172">
        <v>1</v>
      </c>
      <c r="H1182" s="171">
        <f>tbTransactions[[#This Row],[Qty]]*tbTransactions[[#This Row],[Unit Cost]]*tbTransactions[[#This Row],[Exchange Rate]]</f>
        <v>500</v>
      </c>
      <c r="I1182" s="148" t="s">
        <v>714</v>
      </c>
      <c r="J1182" s="176" t="s">
        <v>411</v>
      </c>
      <c r="K1182" s="163" t="str">
        <f>IF(tbTransactions[[#This Row],[Sub-Type]]="Transfer","Neutral",IF(tbTransactions[[#This Row],[Qty]]&lt;0,"Debit",IF(tbTransactions[[#This Row],[Qty]]&gt;0,"Credit","Neutral")))</f>
        <v>Credit</v>
      </c>
      <c r="L1182" s="163" t="s">
        <v>502</v>
      </c>
      <c r="M1182" s="171" t="s">
        <v>827</v>
      </c>
    </row>
    <row r="1183" spans="3:13" ht="30" customHeight="1" x14ac:dyDescent="0.25">
      <c r="C1183" s="175">
        <v>1182</v>
      </c>
      <c r="D1183" s="163">
        <v>44878</v>
      </c>
      <c r="E1183" s="171">
        <v>-502.86</v>
      </c>
      <c r="F1183" s="171">
        <v>1</v>
      </c>
      <c r="G1183" s="172">
        <v>1</v>
      </c>
      <c r="H1183" s="171">
        <f>tbTransactions[[#This Row],[Qty]]*tbTransactions[[#This Row],[Unit Cost]]*tbTransactions[[#This Row],[Exchange Rate]]</f>
        <v>-502.86</v>
      </c>
      <c r="I1183" s="148" t="s">
        <v>714</v>
      </c>
      <c r="J1183" s="176" t="s">
        <v>411</v>
      </c>
      <c r="K1183" s="163" t="str">
        <f>IF(tbTransactions[[#This Row],[Sub-Type]]="Transfer","Neutral",IF(tbTransactions[[#This Row],[Qty]]&lt;0,"Debit",IF(tbTransactions[[#This Row],[Qty]]&gt;0,"Credit","Neutral")))</f>
        <v>Debit</v>
      </c>
      <c r="L1183" s="163" t="s">
        <v>522</v>
      </c>
      <c r="M1183" s="171" t="s">
        <v>825</v>
      </c>
    </row>
    <row r="1184" spans="3:13" ht="30" customHeight="1" x14ac:dyDescent="0.25">
      <c r="C1184" s="175">
        <v>1183</v>
      </c>
      <c r="D1184" s="163">
        <v>44878</v>
      </c>
      <c r="E1184" s="171">
        <v>87</v>
      </c>
      <c r="F1184" s="171">
        <v>5.78</v>
      </c>
      <c r="G1184" s="172">
        <v>1</v>
      </c>
      <c r="H1184" s="171">
        <f>tbTransactions[[#This Row],[Qty]]*tbTransactions[[#This Row],[Unit Cost]]*tbTransactions[[#This Row],[Exchange Rate]]</f>
        <v>502.86</v>
      </c>
      <c r="I1184" s="148" t="s">
        <v>714</v>
      </c>
      <c r="J1184" s="176" t="s">
        <v>762</v>
      </c>
      <c r="K1184" s="163" t="str">
        <f>IF(tbTransactions[[#This Row],[Sub-Type]]="Transfer","Neutral",IF(tbTransactions[[#This Row],[Qty]]&lt;0,"Debit",IF(tbTransactions[[#This Row],[Qty]]&gt;0,"Credit","Neutral")))</f>
        <v>Credit</v>
      </c>
      <c r="L1184" s="163" t="s">
        <v>740</v>
      </c>
      <c r="M1184" s="171" t="s">
        <v>825</v>
      </c>
    </row>
    <row r="1185" spans="3:13" ht="30" customHeight="1" x14ac:dyDescent="0.25">
      <c r="C1185" s="175">
        <v>1184</v>
      </c>
      <c r="D1185" s="163">
        <v>44878</v>
      </c>
      <c r="E1185" s="171">
        <v>200</v>
      </c>
      <c r="F1185" s="171">
        <v>1</v>
      </c>
      <c r="G1185" s="172">
        <v>1</v>
      </c>
      <c r="H1185" s="171">
        <f>tbTransactions[[#This Row],[Qty]]*tbTransactions[[#This Row],[Unit Cost]]*tbTransactions[[#This Row],[Exchange Rate]]</f>
        <v>200</v>
      </c>
      <c r="I1185" s="148" t="s">
        <v>714</v>
      </c>
      <c r="J1185" s="176" t="s">
        <v>411</v>
      </c>
      <c r="K1185" s="163" t="str">
        <f>IF(tbTransactions[[#This Row],[Sub-Type]]="Transfer","Neutral",IF(tbTransactions[[#This Row],[Qty]]&lt;0,"Debit",IF(tbTransactions[[#This Row],[Qty]]&gt;0,"Credit","Neutral")))</f>
        <v>Credit</v>
      </c>
      <c r="L1185" s="163" t="s">
        <v>502</v>
      </c>
      <c r="M1185" s="171" t="s">
        <v>828</v>
      </c>
    </row>
    <row r="1186" spans="3:13" ht="30" customHeight="1" x14ac:dyDescent="0.25">
      <c r="C1186" s="175">
        <v>1185</v>
      </c>
      <c r="D1186" s="163">
        <v>44878</v>
      </c>
      <c r="E1186" s="171">
        <v>-240.66</v>
      </c>
      <c r="F1186" s="171">
        <v>1</v>
      </c>
      <c r="G1186" s="172">
        <v>1</v>
      </c>
      <c r="H1186" s="171">
        <f>tbTransactions[[#This Row],[Qty]]*tbTransactions[[#This Row],[Unit Cost]]*tbTransactions[[#This Row],[Exchange Rate]]</f>
        <v>-240.66</v>
      </c>
      <c r="I1186" s="148" t="s">
        <v>714</v>
      </c>
      <c r="J1186" s="176" t="s">
        <v>411</v>
      </c>
      <c r="K1186" s="163" t="str">
        <f>IF(tbTransactions[[#This Row],[Sub-Type]]="Transfer","Neutral",IF(tbTransactions[[#This Row],[Qty]]&lt;0,"Debit",IF(tbTransactions[[#This Row],[Qty]]&gt;0,"Credit","Neutral")))</f>
        <v>Debit</v>
      </c>
      <c r="L1186" s="163" t="s">
        <v>522</v>
      </c>
      <c r="M1186" s="171" t="s">
        <v>826</v>
      </c>
    </row>
    <row r="1187" spans="3:13" ht="30" customHeight="1" x14ac:dyDescent="0.25">
      <c r="C1187" s="175">
        <v>1186</v>
      </c>
      <c r="D1187" s="163">
        <v>44878</v>
      </c>
      <c r="E1187" s="171">
        <v>42</v>
      </c>
      <c r="F1187" s="171">
        <v>5.73</v>
      </c>
      <c r="G1187" s="172">
        <v>1</v>
      </c>
      <c r="H1187" s="171">
        <f>tbTransactions[[#This Row],[Qty]]*tbTransactions[[#This Row],[Unit Cost]]*tbTransactions[[#This Row],[Exchange Rate]]</f>
        <v>240.66000000000003</v>
      </c>
      <c r="I1187" s="148" t="s">
        <v>714</v>
      </c>
      <c r="J1187" s="176" t="s">
        <v>762</v>
      </c>
      <c r="K1187" s="163" t="str">
        <f>IF(tbTransactions[[#This Row],[Sub-Type]]="Transfer","Neutral",IF(tbTransactions[[#This Row],[Qty]]&lt;0,"Debit",IF(tbTransactions[[#This Row],[Qty]]&gt;0,"Credit","Neutral")))</f>
        <v>Credit</v>
      </c>
      <c r="L1187" s="163" t="s">
        <v>740</v>
      </c>
      <c r="M1187" s="171" t="s">
        <v>826</v>
      </c>
    </row>
    <row r="1188" spans="3:13" ht="30" customHeight="1" x14ac:dyDescent="0.25">
      <c r="C1188" s="175">
        <v>1187</v>
      </c>
      <c r="D1188" s="163">
        <v>44880</v>
      </c>
      <c r="E1188" s="171">
        <v>0.10955449</v>
      </c>
      <c r="F1188" s="171">
        <v>0</v>
      </c>
      <c r="G1188" s="172">
        <v>1</v>
      </c>
      <c r="H1188" s="171">
        <f>tbTransactions[[#This Row],[Qty]]*tbTransactions[[#This Row],[Unit Cost]]*tbTransactions[[#This Row],[Exchange Rate]]</f>
        <v>0</v>
      </c>
      <c r="I1188" s="148" t="s">
        <v>540</v>
      </c>
      <c r="J1188" s="176" t="s">
        <v>20</v>
      </c>
      <c r="K1188" s="163" t="str">
        <f>IF(tbTransactions[[#This Row],[Sub-Type]]="Transfer","Neutral",IF(tbTransactions[[#This Row],[Qty]]&lt;0,"Debit",IF(tbTransactions[[#This Row],[Qty]]&gt;0,"Credit","Neutral")))</f>
        <v>Credit</v>
      </c>
      <c r="L1188" s="163" t="s">
        <v>518</v>
      </c>
      <c r="M1188" s="171" t="s">
        <v>465</v>
      </c>
    </row>
    <row r="1189" spans="3:13" ht="30" customHeight="1" x14ac:dyDescent="0.25">
      <c r="C1189" s="175">
        <v>1188</v>
      </c>
      <c r="D1189" s="163">
        <v>44883</v>
      </c>
      <c r="E1189" s="171">
        <v>8.2252270000000002E-2</v>
      </c>
      <c r="F1189" s="171">
        <v>0</v>
      </c>
      <c r="G1189" s="172">
        <v>1</v>
      </c>
      <c r="H1189" s="171">
        <f>tbTransactions[[#This Row],[Qty]]*tbTransactions[[#This Row],[Unit Cost]]*tbTransactions[[#This Row],[Exchange Rate]]</f>
        <v>0</v>
      </c>
      <c r="I1189" s="148" t="s">
        <v>540</v>
      </c>
      <c r="J1189" s="176" t="s">
        <v>20</v>
      </c>
      <c r="K1189" s="163" t="str">
        <f>IF(tbTransactions[[#This Row],[Sub-Type]]="Transfer","Neutral",IF(tbTransactions[[#This Row],[Qty]]&lt;0,"Debit",IF(tbTransactions[[#This Row],[Qty]]&gt;0,"Credit","Neutral")))</f>
        <v>Credit</v>
      </c>
      <c r="L1189" s="163" t="s">
        <v>518</v>
      </c>
      <c r="M1189" s="171" t="s">
        <v>465</v>
      </c>
    </row>
    <row r="1190" spans="3:13" ht="30" customHeight="1" x14ac:dyDescent="0.25">
      <c r="C1190" s="175">
        <v>1189</v>
      </c>
      <c r="D1190" s="163">
        <v>44885</v>
      </c>
      <c r="E1190" s="171">
        <v>1.502068E-2</v>
      </c>
      <c r="F1190" s="171">
        <v>0</v>
      </c>
      <c r="G1190" s="172">
        <v>1</v>
      </c>
      <c r="H1190" s="171">
        <f>tbTransactions[[#This Row],[Qty]]*tbTransactions[[#This Row],[Unit Cost]]*tbTransactions[[#This Row],[Exchange Rate]]</f>
        <v>0</v>
      </c>
      <c r="I1190" s="148" t="s">
        <v>542</v>
      </c>
      <c r="J1190" s="176" t="s">
        <v>22</v>
      </c>
      <c r="K1190" s="163" t="str">
        <f>IF(tbTransactions[[#This Row],[Sub-Type]]="Transfer","Neutral",IF(tbTransactions[[#This Row],[Qty]]&lt;0,"Debit",IF(tbTransactions[[#This Row],[Qty]]&gt;0,"Credit","Neutral")))</f>
        <v>Credit</v>
      </c>
      <c r="L1190" s="163" t="s">
        <v>518</v>
      </c>
      <c r="M1190" s="171" t="s">
        <v>556</v>
      </c>
    </row>
    <row r="1191" spans="3:13" ht="30" customHeight="1" x14ac:dyDescent="0.25">
      <c r="C1191" s="175">
        <v>1190</v>
      </c>
      <c r="D1191" s="163">
        <v>44885</v>
      </c>
      <c r="E1191" s="171">
        <v>0</v>
      </c>
      <c r="F1191" s="171">
        <v>0</v>
      </c>
      <c r="G1191" s="172">
        <v>1</v>
      </c>
      <c r="H1191" s="171">
        <f>tbTransactions[[#This Row],[Qty]]*tbTransactions[[#This Row],[Unit Cost]]*tbTransactions[[#This Row],[Exchange Rate]]</f>
        <v>0</v>
      </c>
      <c r="I1191" s="148" t="s">
        <v>540</v>
      </c>
      <c r="J1191" s="176" t="s">
        <v>22</v>
      </c>
      <c r="K1191" s="163" t="str">
        <f>IF(tbTransactions[[#This Row],[Sub-Type]]="Transfer","Neutral",IF(tbTransactions[[#This Row],[Qty]]&lt;0,"Debit",IF(tbTransactions[[#This Row],[Qty]]&gt;0,"Credit","Neutral")))</f>
        <v>Neutral</v>
      </c>
      <c r="L1191" s="163" t="s">
        <v>518</v>
      </c>
      <c r="M1191" s="171" t="s">
        <v>556</v>
      </c>
    </row>
    <row r="1192" spans="3:13" ht="30" customHeight="1" x14ac:dyDescent="0.25">
      <c r="C1192" s="175">
        <v>1191</v>
      </c>
      <c r="D1192" s="163">
        <v>44884</v>
      </c>
      <c r="E1192" s="171">
        <v>0.55815300000000001</v>
      </c>
      <c r="F1192" s="171">
        <v>0</v>
      </c>
      <c r="G1192" s="172">
        <v>1</v>
      </c>
      <c r="H1192" s="171">
        <f>tbTransactions[[#This Row],[Qty]]*tbTransactions[[#This Row],[Unit Cost]]*tbTransactions[[#This Row],[Exchange Rate]]</f>
        <v>0</v>
      </c>
      <c r="I1192" s="148" t="s">
        <v>431</v>
      </c>
      <c r="J1192" s="176" t="s">
        <v>18</v>
      </c>
      <c r="K1192" s="163" t="str">
        <f>IF(tbTransactions[[#This Row],[Sub-Type]]="Transfer","Neutral",IF(tbTransactions[[#This Row],[Qty]]&lt;0,"Debit",IF(tbTransactions[[#This Row],[Qty]]&gt;0,"Credit","Neutral")))</f>
        <v>Credit</v>
      </c>
      <c r="L1192" s="163" t="s">
        <v>518</v>
      </c>
      <c r="M1192" s="171" t="s">
        <v>40</v>
      </c>
    </row>
    <row r="1193" spans="3:13" ht="30" customHeight="1" x14ac:dyDescent="0.25">
      <c r="C1193" s="175">
        <v>1192</v>
      </c>
      <c r="D1193" s="163">
        <v>44887</v>
      </c>
      <c r="E1193" s="171">
        <v>0.10976447</v>
      </c>
      <c r="F1193" s="171">
        <v>0</v>
      </c>
      <c r="G1193" s="172">
        <v>1</v>
      </c>
      <c r="H1193" s="171">
        <f>tbTransactions[[#This Row],[Qty]]*tbTransactions[[#This Row],[Unit Cost]]*tbTransactions[[#This Row],[Exchange Rate]]</f>
        <v>0</v>
      </c>
      <c r="I1193" s="148" t="s">
        <v>540</v>
      </c>
      <c r="J1193" s="176" t="s">
        <v>20</v>
      </c>
      <c r="K1193" s="163" t="str">
        <f>IF(tbTransactions[[#This Row],[Sub-Type]]="Transfer","Neutral",IF(tbTransactions[[#This Row],[Qty]]&lt;0,"Debit",IF(tbTransactions[[#This Row],[Qty]]&gt;0,"Credit","Neutral")))</f>
        <v>Credit</v>
      </c>
      <c r="L1193" s="163" t="s">
        <v>518</v>
      </c>
      <c r="M1193" s="171" t="s">
        <v>465</v>
      </c>
    </row>
    <row r="1194" spans="3:13" ht="30" customHeight="1" x14ac:dyDescent="0.25">
      <c r="C1194" s="175">
        <v>1193</v>
      </c>
      <c r="D1194" s="163">
        <v>44890</v>
      </c>
      <c r="E1194" s="171">
        <v>8.2409590000000005E-2</v>
      </c>
      <c r="F1194" s="171">
        <v>0</v>
      </c>
      <c r="G1194" s="172">
        <v>1</v>
      </c>
      <c r="H1194" s="171">
        <f>tbTransactions[[#This Row],[Qty]]*tbTransactions[[#This Row],[Unit Cost]]*tbTransactions[[#This Row],[Exchange Rate]]</f>
        <v>0</v>
      </c>
      <c r="I1194" s="148" t="s">
        <v>540</v>
      </c>
      <c r="J1194" s="176" t="s">
        <v>20</v>
      </c>
      <c r="K1194" s="163" t="str">
        <f>IF(tbTransactions[[#This Row],[Sub-Type]]="Transfer","Neutral",IF(tbTransactions[[#This Row],[Qty]]&lt;0,"Debit",IF(tbTransactions[[#This Row],[Qty]]&gt;0,"Credit","Neutral")))</f>
        <v>Credit</v>
      </c>
      <c r="L1194" s="163" t="s">
        <v>518</v>
      </c>
      <c r="M1194" s="171" t="s">
        <v>465</v>
      </c>
    </row>
    <row r="1195" spans="3:13" ht="30" customHeight="1" x14ac:dyDescent="0.25">
      <c r="C1195" s="175">
        <v>1194</v>
      </c>
      <c r="D1195" s="163">
        <v>44892</v>
      </c>
      <c r="E1195" s="171">
        <v>1.4984383E-2</v>
      </c>
      <c r="F1195" s="171">
        <v>0</v>
      </c>
      <c r="G1195" s="172">
        <v>1</v>
      </c>
      <c r="H1195" s="171">
        <f>tbTransactions[[#This Row],[Qty]]*tbTransactions[[#This Row],[Unit Cost]]*tbTransactions[[#This Row],[Exchange Rate]]</f>
        <v>0</v>
      </c>
      <c r="I1195" s="148" t="s">
        <v>542</v>
      </c>
      <c r="J1195" s="176" t="s">
        <v>22</v>
      </c>
      <c r="K1195" s="163" t="str">
        <f>IF(tbTransactions[[#This Row],[Sub-Type]]="Transfer","Neutral",IF(tbTransactions[[#This Row],[Qty]]&lt;0,"Debit",IF(tbTransactions[[#This Row],[Qty]]&gt;0,"Credit","Neutral")))</f>
        <v>Credit</v>
      </c>
      <c r="L1195" s="163" t="s">
        <v>518</v>
      </c>
      <c r="M1195" s="171" t="s">
        <v>556</v>
      </c>
    </row>
    <row r="1196" spans="3:13" ht="30" customHeight="1" x14ac:dyDescent="0.25">
      <c r="C1196" s="175">
        <v>1195</v>
      </c>
      <c r="D1196" s="163">
        <v>44892</v>
      </c>
      <c r="E1196" s="171">
        <v>7.3859140000000004E-3</v>
      </c>
      <c r="F1196" s="171">
        <v>0</v>
      </c>
      <c r="G1196" s="172">
        <v>1</v>
      </c>
      <c r="H1196" s="171">
        <f>tbTransactions[[#This Row],[Qty]]*tbTransactions[[#This Row],[Unit Cost]]*tbTransactions[[#This Row],[Exchange Rate]]</f>
        <v>0</v>
      </c>
      <c r="I1196" s="148" t="s">
        <v>540</v>
      </c>
      <c r="J1196" s="176" t="s">
        <v>22</v>
      </c>
      <c r="K1196" s="163" t="str">
        <f>IF(tbTransactions[[#This Row],[Sub-Type]]="Transfer","Neutral",IF(tbTransactions[[#This Row],[Qty]]&lt;0,"Debit",IF(tbTransactions[[#This Row],[Qty]]&gt;0,"Credit","Neutral")))</f>
        <v>Credit</v>
      </c>
      <c r="L1196" s="163" t="s">
        <v>518</v>
      </c>
      <c r="M1196" s="171" t="s">
        <v>556</v>
      </c>
    </row>
    <row r="1197" spans="3:13" ht="30" customHeight="1" x14ac:dyDescent="0.25">
      <c r="C1197" s="175">
        <v>1196</v>
      </c>
      <c r="D1197" s="163">
        <v>44896</v>
      </c>
      <c r="E1197" s="171">
        <v>500</v>
      </c>
      <c r="F1197" s="171">
        <v>1</v>
      </c>
      <c r="G1197" s="172">
        <v>1</v>
      </c>
      <c r="H1197" s="171">
        <f>tbTransactions[[#This Row],[Qty]]*tbTransactions[[#This Row],[Unit Cost]]*tbTransactions[[#This Row],[Exchange Rate]]</f>
        <v>500</v>
      </c>
      <c r="I1197" s="148" t="s">
        <v>714</v>
      </c>
      <c r="J1197" s="176" t="s">
        <v>411</v>
      </c>
      <c r="K1197" s="163" t="str">
        <f>IF(tbTransactions[[#This Row],[Sub-Type]]="Transfer","Neutral",IF(tbTransactions[[#This Row],[Qty]]&lt;0,"Debit",IF(tbTransactions[[#This Row],[Qty]]&gt;0,"Credit","Neutral")))</f>
        <v>Credit</v>
      </c>
      <c r="L1197" s="163" t="s">
        <v>502</v>
      </c>
      <c r="M1197" s="171" t="s">
        <v>827</v>
      </c>
    </row>
    <row r="1198" spans="3:13" ht="30" customHeight="1" x14ac:dyDescent="0.25">
      <c r="C1198" s="175">
        <v>1197</v>
      </c>
      <c r="D1198" s="163">
        <v>44896</v>
      </c>
      <c r="E1198" s="171">
        <v>-497.34</v>
      </c>
      <c r="F1198" s="171">
        <v>1</v>
      </c>
      <c r="G1198" s="172">
        <v>1</v>
      </c>
      <c r="H1198" s="171">
        <f>tbTransactions[[#This Row],[Qty]]*tbTransactions[[#This Row],[Unit Cost]]*tbTransactions[[#This Row],[Exchange Rate]]</f>
        <v>-497.34</v>
      </c>
      <c r="I1198" s="148" t="s">
        <v>714</v>
      </c>
      <c r="J1198" s="176" t="s">
        <v>411</v>
      </c>
      <c r="K1198" s="163" t="str">
        <f>IF(tbTransactions[[#This Row],[Sub-Type]]="Transfer","Neutral",IF(tbTransactions[[#This Row],[Qty]]&lt;0,"Debit",IF(tbTransactions[[#This Row],[Qty]]&gt;0,"Credit","Neutral")))</f>
        <v>Debit</v>
      </c>
      <c r="L1198" s="163" t="s">
        <v>522</v>
      </c>
      <c r="M1198" s="171" t="s">
        <v>825</v>
      </c>
    </row>
    <row r="1199" spans="3:13" ht="30" customHeight="1" x14ac:dyDescent="0.25">
      <c r="C1199" s="175">
        <v>1198</v>
      </c>
      <c r="D1199" s="163">
        <v>44896</v>
      </c>
      <c r="E1199" s="171">
        <v>81</v>
      </c>
      <c r="F1199" s="171">
        <v>6.14</v>
      </c>
      <c r="G1199" s="172">
        <v>1</v>
      </c>
      <c r="H1199" s="171">
        <f>tbTransactions[[#This Row],[Qty]]*tbTransactions[[#This Row],[Unit Cost]]*tbTransactions[[#This Row],[Exchange Rate]]</f>
        <v>497.34</v>
      </c>
      <c r="I1199" s="148" t="s">
        <v>714</v>
      </c>
      <c r="J1199" s="176" t="s">
        <v>762</v>
      </c>
      <c r="K1199" s="163" t="str">
        <f>IF(tbTransactions[[#This Row],[Sub-Type]]="Transfer","Neutral",IF(tbTransactions[[#This Row],[Qty]]&lt;0,"Debit",IF(tbTransactions[[#This Row],[Qty]]&gt;0,"Credit","Neutral")))</f>
        <v>Credit</v>
      </c>
      <c r="L1199" s="163" t="s">
        <v>740</v>
      </c>
      <c r="M1199" s="171" t="s">
        <v>825</v>
      </c>
    </row>
    <row r="1200" spans="3:13" ht="30" customHeight="1" x14ac:dyDescent="0.25">
      <c r="C1200" s="175">
        <v>1199</v>
      </c>
      <c r="D1200" s="163">
        <v>44894</v>
      </c>
      <c r="E1200" s="171">
        <v>0.10997469999999999</v>
      </c>
      <c r="F1200" s="171">
        <v>0</v>
      </c>
      <c r="G1200" s="172">
        <v>1</v>
      </c>
      <c r="H1200" s="171">
        <f>tbTransactions[[#This Row],[Qty]]*tbTransactions[[#This Row],[Unit Cost]]*tbTransactions[[#This Row],[Exchange Rate]]</f>
        <v>0</v>
      </c>
      <c r="I1200" s="148" t="s">
        <v>540</v>
      </c>
      <c r="J1200" s="176" t="s">
        <v>20</v>
      </c>
      <c r="K1200" s="163" t="str">
        <f>IF(tbTransactions[[#This Row],[Sub-Type]]="Transfer","Neutral",IF(tbTransactions[[#This Row],[Qty]]&lt;0,"Debit",IF(tbTransactions[[#This Row],[Qty]]&gt;0,"Credit","Neutral")))</f>
        <v>Credit</v>
      </c>
      <c r="L1200" s="163" t="s">
        <v>518</v>
      </c>
      <c r="M1200" s="171" t="s">
        <v>465</v>
      </c>
    </row>
    <row r="1201" spans="3:13" ht="30" customHeight="1" x14ac:dyDescent="0.25">
      <c r="C1201" s="175">
        <v>1200</v>
      </c>
      <c r="D1201" s="163">
        <v>44897</v>
      </c>
      <c r="E1201" s="171">
        <v>8.256732E-2</v>
      </c>
      <c r="F1201" s="171">
        <v>0</v>
      </c>
      <c r="G1201" s="172">
        <v>1</v>
      </c>
      <c r="H1201" s="171">
        <f>tbTransactions[[#This Row],[Qty]]*tbTransactions[[#This Row],[Unit Cost]]*tbTransactions[[#This Row],[Exchange Rate]]</f>
        <v>0</v>
      </c>
      <c r="I1201" s="148" t="s">
        <v>540</v>
      </c>
      <c r="J1201" s="176" t="s">
        <v>20</v>
      </c>
      <c r="K1201" s="163" t="str">
        <f>IF(tbTransactions[[#This Row],[Sub-Type]]="Transfer","Neutral",IF(tbTransactions[[#This Row],[Qty]]&lt;0,"Debit",IF(tbTransactions[[#This Row],[Qty]]&gt;0,"Credit","Neutral")))</f>
        <v>Credit</v>
      </c>
      <c r="L1201" s="163" t="s">
        <v>518</v>
      </c>
      <c r="M1201" s="171" t="s">
        <v>465</v>
      </c>
    </row>
    <row r="1202" spans="3:13" ht="30" customHeight="1" x14ac:dyDescent="0.25">
      <c r="C1202" s="175">
        <v>1201</v>
      </c>
      <c r="D1202" s="163">
        <v>44899</v>
      </c>
      <c r="E1202" s="171">
        <v>1.481817E-2</v>
      </c>
      <c r="F1202" s="171">
        <v>0</v>
      </c>
      <c r="G1202" s="172">
        <v>1</v>
      </c>
      <c r="H1202" s="171">
        <f>tbTransactions[[#This Row],[Qty]]*tbTransactions[[#This Row],[Unit Cost]]*tbTransactions[[#This Row],[Exchange Rate]]</f>
        <v>0</v>
      </c>
      <c r="I1202" s="148" t="s">
        <v>542</v>
      </c>
      <c r="J1202" s="176" t="s">
        <v>22</v>
      </c>
      <c r="K1202" s="163" t="str">
        <f>IF(tbTransactions[[#This Row],[Sub-Type]]="Transfer","Neutral",IF(tbTransactions[[#This Row],[Qty]]&lt;0,"Debit",IF(tbTransactions[[#This Row],[Qty]]&gt;0,"Credit","Neutral")))</f>
        <v>Credit</v>
      </c>
      <c r="L1202" s="163" t="s">
        <v>518</v>
      </c>
      <c r="M1202" s="171" t="s">
        <v>556</v>
      </c>
    </row>
    <row r="1203" spans="3:13" ht="30" customHeight="1" x14ac:dyDescent="0.25">
      <c r="C1203" s="175">
        <v>1202</v>
      </c>
      <c r="D1203" s="163">
        <v>44899</v>
      </c>
      <c r="E1203" s="171">
        <v>6.868229E-3</v>
      </c>
      <c r="F1203" s="171">
        <v>0</v>
      </c>
      <c r="G1203" s="172">
        <v>1</v>
      </c>
      <c r="H1203" s="171">
        <f>tbTransactions[[#This Row],[Qty]]*tbTransactions[[#This Row],[Unit Cost]]*tbTransactions[[#This Row],[Exchange Rate]]</f>
        <v>0</v>
      </c>
      <c r="I1203" s="148" t="s">
        <v>540</v>
      </c>
      <c r="J1203" s="176" t="s">
        <v>22</v>
      </c>
      <c r="K1203" s="163" t="str">
        <f>IF(tbTransactions[[#This Row],[Sub-Type]]="Transfer","Neutral",IF(tbTransactions[[#This Row],[Qty]]&lt;0,"Debit",IF(tbTransactions[[#This Row],[Qty]]&gt;0,"Credit","Neutral")))</f>
        <v>Credit</v>
      </c>
      <c r="L1203" s="163" t="s">
        <v>518</v>
      </c>
      <c r="M1203" s="171" t="s">
        <v>556</v>
      </c>
    </row>
    <row r="1204" spans="3:13" ht="30" customHeight="1" x14ac:dyDescent="0.25">
      <c r="C1204" s="175">
        <v>1203</v>
      </c>
      <c r="D1204" s="163">
        <v>44898</v>
      </c>
      <c r="E1204" s="171">
        <v>0.60456699999999997</v>
      </c>
      <c r="F1204" s="171">
        <v>0</v>
      </c>
      <c r="G1204" s="172">
        <v>1</v>
      </c>
      <c r="H1204" s="171">
        <f>tbTransactions[[#This Row],[Qty]]*tbTransactions[[#This Row],[Unit Cost]]*tbTransactions[[#This Row],[Exchange Rate]]</f>
        <v>0</v>
      </c>
      <c r="I1204" s="148" t="s">
        <v>431</v>
      </c>
      <c r="J1204" s="176" t="s">
        <v>18</v>
      </c>
      <c r="K1204" s="163" t="str">
        <f>IF(tbTransactions[[#This Row],[Sub-Type]]="Transfer","Neutral",IF(tbTransactions[[#This Row],[Qty]]&lt;0,"Debit",IF(tbTransactions[[#This Row],[Qty]]&gt;0,"Credit","Neutral")))</f>
        <v>Credit</v>
      </c>
      <c r="L1204" s="163" t="s">
        <v>518</v>
      </c>
      <c r="M1204" s="171" t="s">
        <v>40</v>
      </c>
    </row>
    <row r="1205" spans="3:13" ht="30" customHeight="1" x14ac:dyDescent="0.25">
      <c r="C1205" s="175">
        <v>1204</v>
      </c>
      <c r="D1205" s="163">
        <v>44901</v>
      </c>
      <c r="E1205" s="171">
        <v>4.3182719999999997E-3</v>
      </c>
      <c r="F1205" s="171">
        <v>0</v>
      </c>
      <c r="G1205" s="172">
        <v>1</v>
      </c>
      <c r="H1205" s="171">
        <f>tbTransactions[[#This Row],[Qty]]*tbTransactions[[#This Row],[Unit Cost]]*tbTransactions[[#This Row],[Exchange Rate]]</f>
        <v>0</v>
      </c>
      <c r="I1205" s="148" t="s">
        <v>540</v>
      </c>
      <c r="J1205" s="176" t="s">
        <v>20</v>
      </c>
      <c r="K1205" s="163" t="str">
        <f>IF(tbTransactions[[#This Row],[Sub-Type]]="Transfer","Neutral",IF(tbTransactions[[#This Row],[Qty]]&lt;0,"Debit",IF(tbTransactions[[#This Row],[Qty]]&gt;0,"Credit","Neutral")))</f>
        <v>Credit</v>
      </c>
      <c r="L1205" s="163" t="s">
        <v>518</v>
      </c>
      <c r="M1205" s="171" t="s">
        <v>465</v>
      </c>
    </row>
    <row r="1206" spans="3:13" ht="30" customHeight="1" x14ac:dyDescent="0.25">
      <c r="C1206" s="175">
        <v>1205</v>
      </c>
      <c r="D1206" s="163">
        <v>44904</v>
      </c>
      <c r="E1206" s="171">
        <v>1.4766191999999999E-2</v>
      </c>
      <c r="F1206" s="171">
        <v>0</v>
      </c>
      <c r="G1206" s="172">
        <v>1</v>
      </c>
      <c r="H1206" s="171">
        <f>tbTransactions[[#This Row],[Qty]]*tbTransactions[[#This Row],[Unit Cost]]*tbTransactions[[#This Row],[Exchange Rate]]</f>
        <v>0</v>
      </c>
      <c r="I1206" s="148" t="s">
        <v>540</v>
      </c>
      <c r="J1206" s="176" t="s">
        <v>20</v>
      </c>
      <c r="K1206" s="163" t="str">
        <f>IF(tbTransactions[[#This Row],[Sub-Type]]="Transfer","Neutral",IF(tbTransactions[[#This Row],[Qty]]&lt;0,"Debit",IF(tbTransactions[[#This Row],[Qty]]&gt;0,"Credit","Neutral")))</f>
        <v>Credit</v>
      </c>
      <c r="L1206" s="163" t="s">
        <v>518</v>
      </c>
      <c r="M1206" s="171" t="s">
        <v>465</v>
      </c>
    </row>
    <row r="1207" spans="3:13" ht="30" customHeight="1" x14ac:dyDescent="0.25">
      <c r="C1207" s="175">
        <v>1206</v>
      </c>
      <c r="D1207" s="163">
        <v>44906</v>
      </c>
      <c r="E1207" s="171">
        <v>8.2726250000000001E-2</v>
      </c>
      <c r="F1207" s="171">
        <v>0</v>
      </c>
      <c r="G1207" s="172">
        <v>1</v>
      </c>
      <c r="H1207" s="171">
        <f>tbTransactions[[#This Row],[Qty]]*tbTransactions[[#This Row],[Unit Cost]]*tbTransactions[[#This Row],[Exchange Rate]]</f>
        <v>0</v>
      </c>
      <c r="I1207" s="148" t="s">
        <v>542</v>
      </c>
      <c r="J1207" s="176" t="s">
        <v>22</v>
      </c>
      <c r="K1207" s="163" t="str">
        <f>IF(tbTransactions[[#This Row],[Sub-Type]]="Transfer","Neutral",IF(tbTransactions[[#This Row],[Qty]]&lt;0,"Debit",IF(tbTransactions[[#This Row],[Qty]]&gt;0,"Credit","Neutral")))</f>
        <v>Credit</v>
      </c>
      <c r="L1207" s="163" t="s">
        <v>518</v>
      </c>
      <c r="M1207" s="171" t="s">
        <v>556</v>
      </c>
    </row>
    <row r="1208" spans="3:13" ht="30" customHeight="1" x14ac:dyDescent="0.25">
      <c r="C1208" s="175">
        <v>1207</v>
      </c>
      <c r="D1208" s="163">
        <v>44906</v>
      </c>
      <c r="E1208" s="171">
        <v>0.11018558000000001</v>
      </c>
      <c r="F1208" s="171">
        <v>0</v>
      </c>
      <c r="G1208" s="172">
        <v>1</v>
      </c>
      <c r="H1208" s="171">
        <f>tbTransactions[[#This Row],[Qty]]*tbTransactions[[#This Row],[Unit Cost]]*tbTransactions[[#This Row],[Exchange Rate]]</f>
        <v>0</v>
      </c>
      <c r="I1208" s="148" t="s">
        <v>540</v>
      </c>
      <c r="J1208" s="176" t="s">
        <v>22</v>
      </c>
      <c r="K1208" s="163" t="str">
        <f>IF(tbTransactions[[#This Row],[Sub-Type]]="Transfer","Neutral",IF(tbTransactions[[#This Row],[Qty]]&lt;0,"Debit",IF(tbTransactions[[#This Row],[Qty]]&gt;0,"Credit","Neutral")))</f>
        <v>Credit</v>
      </c>
      <c r="L1208" s="163" t="s">
        <v>518</v>
      </c>
      <c r="M1208" s="171" t="s">
        <v>556</v>
      </c>
    </row>
    <row r="1209" spans="3:13" ht="30" customHeight="1" x14ac:dyDescent="0.25">
      <c r="C1209" s="175">
        <v>1208</v>
      </c>
      <c r="D1209" s="163">
        <v>44911</v>
      </c>
      <c r="E1209" s="171">
        <v>300</v>
      </c>
      <c r="F1209" s="171">
        <v>1</v>
      </c>
      <c r="G1209" s="172">
        <v>1</v>
      </c>
      <c r="H1209" s="171">
        <f>tbTransactions[[#This Row],[Qty]]*tbTransactions[[#This Row],[Unit Cost]]*tbTransactions[[#This Row],[Exchange Rate]]</f>
        <v>300</v>
      </c>
      <c r="I1209" s="148" t="s">
        <v>714</v>
      </c>
      <c r="J1209" s="176" t="s">
        <v>411</v>
      </c>
      <c r="K1209" s="163" t="str">
        <f>IF(tbTransactions[[#This Row],[Sub-Type]]="Transfer","Neutral",IF(tbTransactions[[#This Row],[Qty]]&lt;0,"Debit",IF(tbTransactions[[#This Row],[Qty]]&gt;0,"Credit","Neutral")))</f>
        <v>Credit</v>
      </c>
      <c r="L1209" s="163" t="s">
        <v>502</v>
      </c>
      <c r="M1209" s="171" t="s">
        <v>827</v>
      </c>
    </row>
    <row r="1210" spans="3:13" ht="30" customHeight="1" x14ac:dyDescent="0.25">
      <c r="C1210" s="175">
        <v>1209</v>
      </c>
      <c r="D1210" s="163">
        <v>44911</v>
      </c>
      <c r="E1210" s="171">
        <f>F1211*48</f>
        <v>296.64</v>
      </c>
      <c r="F1210" s="171">
        <v>1</v>
      </c>
      <c r="G1210" s="172">
        <v>1</v>
      </c>
      <c r="H1210" s="171">
        <f>tbTransactions[[#This Row],[Qty]]*tbTransactions[[#This Row],[Unit Cost]]*tbTransactions[[#This Row],[Exchange Rate]]</f>
        <v>296.64</v>
      </c>
      <c r="I1210" s="148" t="s">
        <v>714</v>
      </c>
      <c r="J1210" s="176" t="s">
        <v>411</v>
      </c>
      <c r="K1210" s="163" t="str">
        <f>IF(tbTransactions[[#This Row],[Sub-Type]]="Transfer","Neutral",IF(tbTransactions[[#This Row],[Qty]]&lt;0,"Debit",IF(tbTransactions[[#This Row],[Qty]]&gt;0,"Credit","Neutral")))</f>
        <v>Credit</v>
      </c>
      <c r="L1210" s="163" t="s">
        <v>522</v>
      </c>
      <c r="M1210" s="171" t="s">
        <v>825</v>
      </c>
    </row>
    <row r="1211" spans="3:13" ht="30" customHeight="1" x14ac:dyDescent="0.25">
      <c r="C1211" s="175">
        <v>1210</v>
      </c>
      <c r="D1211" s="163">
        <v>44911</v>
      </c>
      <c r="E1211" s="171">
        <v>48</v>
      </c>
      <c r="F1211" s="171">
        <v>6.18</v>
      </c>
      <c r="G1211" s="172">
        <v>1</v>
      </c>
      <c r="H1211" s="171">
        <f>tbTransactions[[#This Row],[Qty]]*tbTransactions[[#This Row],[Unit Cost]]*tbTransactions[[#This Row],[Exchange Rate]]</f>
        <v>296.64</v>
      </c>
      <c r="I1211" s="148" t="s">
        <v>714</v>
      </c>
      <c r="J1211" s="176" t="s">
        <v>762</v>
      </c>
      <c r="K1211" s="163" t="str">
        <f>IF(tbTransactions[[#This Row],[Sub-Type]]="Transfer","Neutral",IF(tbTransactions[[#This Row],[Qty]]&lt;0,"Debit",IF(tbTransactions[[#This Row],[Qty]]&gt;0,"Credit","Neutral")))</f>
        <v>Credit</v>
      </c>
      <c r="L1211" s="163" t="s">
        <v>740</v>
      </c>
      <c r="M1211" s="171" t="s">
        <v>825</v>
      </c>
    </row>
    <row r="1212" spans="3:13" ht="30" customHeight="1" x14ac:dyDescent="0.25">
      <c r="C1212" s="175">
        <v>1211</v>
      </c>
      <c r="D1212" s="163">
        <v>44908</v>
      </c>
      <c r="E1212" s="171">
        <v>0.11039688</v>
      </c>
      <c r="F1212" s="171">
        <v>0</v>
      </c>
      <c r="G1212" s="172">
        <v>1</v>
      </c>
      <c r="H1212" s="171">
        <f>tbTransactions[[#This Row],[Qty]]*tbTransactions[[#This Row],[Unit Cost]]*tbTransactions[[#This Row],[Exchange Rate]]</f>
        <v>0</v>
      </c>
      <c r="I1212" s="148" t="s">
        <v>540</v>
      </c>
      <c r="J1212" s="176" t="s">
        <v>20</v>
      </c>
      <c r="K1212" s="163" t="str">
        <f>IF(tbTransactions[[#This Row],[Sub-Type]]="Transfer","Neutral",IF(tbTransactions[[#This Row],[Qty]]&lt;0,"Debit",IF(tbTransactions[[#This Row],[Qty]]&gt;0,"Credit","Neutral")))</f>
        <v>Credit</v>
      </c>
      <c r="L1212" s="163" t="s">
        <v>518</v>
      </c>
      <c r="M1212" s="171" t="s">
        <v>465</v>
      </c>
    </row>
    <row r="1213" spans="3:13" ht="30" customHeight="1" x14ac:dyDescent="0.25">
      <c r="C1213" s="175">
        <v>1212</v>
      </c>
      <c r="D1213" s="163">
        <v>44911</v>
      </c>
      <c r="E1213" s="171">
        <v>8.2883879999999993E-2</v>
      </c>
      <c r="F1213" s="171">
        <v>0</v>
      </c>
      <c r="G1213" s="172">
        <v>1</v>
      </c>
      <c r="H1213" s="171">
        <f>tbTransactions[[#This Row],[Qty]]*tbTransactions[[#This Row],[Unit Cost]]*tbTransactions[[#This Row],[Exchange Rate]]</f>
        <v>0</v>
      </c>
      <c r="I1213" s="148" t="s">
        <v>540</v>
      </c>
      <c r="J1213" s="176" t="s">
        <v>20</v>
      </c>
      <c r="K1213" s="163" t="str">
        <f>IF(tbTransactions[[#This Row],[Sub-Type]]="Transfer","Neutral",IF(tbTransactions[[#This Row],[Qty]]&lt;0,"Debit",IF(tbTransactions[[#This Row],[Qty]]&gt;0,"Credit","Neutral")))</f>
        <v>Credit</v>
      </c>
      <c r="L1213" s="163" t="s">
        <v>518</v>
      </c>
      <c r="M1213" s="171" t="s">
        <v>465</v>
      </c>
    </row>
    <row r="1214" spans="3:13" ht="30" customHeight="1" x14ac:dyDescent="0.25">
      <c r="C1214" s="175">
        <v>1213</v>
      </c>
      <c r="D1214" s="163">
        <v>44913</v>
      </c>
      <c r="E1214" s="171">
        <v>1.4839646E-2</v>
      </c>
      <c r="F1214" s="171">
        <v>0</v>
      </c>
      <c r="G1214" s="172">
        <v>1</v>
      </c>
      <c r="H1214" s="171">
        <f>tbTransactions[[#This Row],[Qty]]*tbTransactions[[#This Row],[Unit Cost]]*tbTransactions[[#This Row],[Exchange Rate]]</f>
        <v>0</v>
      </c>
      <c r="I1214" s="148" t="s">
        <v>542</v>
      </c>
      <c r="J1214" s="176" t="s">
        <v>22</v>
      </c>
      <c r="K1214" s="163" t="str">
        <f>IF(tbTransactions[[#This Row],[Sub-Type]]="Transfer","Neutral",IF(tbTransactions[[#This Row],[Qty]]&lt;0,"Debit",IF(tbTransactions[[#This Row],[Qty]]&gt;0,"Credit","Neutral")))</f>
        <v>Credit</v>
      </c>
      <c r="L1214" s="163" t="s">
        <v>518</v>
      </c>
      <c r="M1214" s="171" t="s">
        <v>556</v>
      </c>
    </row>
    <row r="1215" spans="3:13" ht="30" customHeight="1" x14ac:dyDescent="0.25">
      <c r="C1215" s="175">
        <v>1214</v>
      </c>
      <c r="D1215" s="163">
        <v>44913</v>
      </c>
      <c r="E1215" s="171">
        <v>5.5268009999999996E-3</v>
      </c>
      <c r="F1215" s="171">
        <v>0</v>
      </c>
      <c r="G1215" s="172">
        <v>1</v>
      </c>
      <c r="H1215" s="171">
        <f>tbTransactions[[#This Row],[Qty]]*tbTransactions[[#This Row],[Unit Cost]]*tbTransactions[[#This Row],[Exchange Rate]]</f>
        <v>0</v>
      </c>
      <c r="I1215" s="148" t="s">
        <v>540</v>
      </c>
      <c r="J1215" s="176" t="s">
        <v>22</v>
      </c>
      <c r="K1215" s="163" t="str">
        <f>IF(tbTransactions[[#This Row],[Sub-Type]]="Transfer","Neutral",IF(tbTransactions[[#This Row],[Qty]]&lt;0,"Debit",IF(tbTransactions[[#This Row],[Qty]]&gt;0,"Credit","Neutral")))</f>
        <v>Credit</v>
      </c>
      <c r="L1215" s="163" t="s">
        <v>518</v>
      </c>
      <c r="M1215" s="171" t="s">
        <v>556</v>
      </c>
    </row>
    <row r="1216" spans="3:13" ht="30" customHeight="1" x14ac:dyDescent="0.25">
      <c r="C1216" s="175">
        <v>1215</v>
      </c>
      <c r="D1216" s="163">
        <v>44912</v>
      </c>
      <c r="E1216" s="171">
        <v>0.61904800000000004</v>
      </c>
      <c r="F1216" s="171">
        <v>0</v>
      </c>
      <c r="G1216" s="172">
        <v>1</v>
      </c>
      <c r="H1216" s="171">
        <f>tbTransactions[[#This Row],[Qty]]*tbTransactions[[#This Row],[Unit Cost]]*tbTransactions[[#This Row],[Exchange Rate]]</f>
        <v>0</v>
      </c>
      <c r="I1216" s="148" t="s">
        <v>431</v>
      </c>
      <c r="J1216" s="176" t="s">
        <v>18</v>
      </c>
      <c r="K1216" s="163" t="str">
        <f>IF(tbTransactions[[#This Row],[Sub-Type]]="Transfer","Neutral",IF(tbTransactions[[#This Row],[Qty]]&lt;0,"Debit",IF(tbTransactions[[#This Row],[Qty]]&gt;0,"Credit","Neutral")))</f>
        <v>Credit</v>
      </c>
      <c r="L1216" s="163" t="s">
        <v>518</v>
      </c>
      <c r="M1216" s="171" t="s">
        <v>40</v>
      </c>
    </row>
    <row r="1217" spans="3:13" ht="30" customHeight="1" x14ac:dyDescent="0.25">
      <c r="C1217" s="175">
        <v>1216</v>
      </c>
      <c r="D1217" s="163">
        <v>44915</v>
      </c>
      <c r="E1217" s="171">
        <v>0.11060826999999999</v>
      </c>
      <c r="F1217" s="171">
        <v>0</v>
      </c>
      <c r="G1217" s="172">
        <v>1</v>
      </c>
      <c r="H1217" s="171">
        <f>tbTransactions[[#This Row],[Qty]]*tbTransactions[[#This Row],[Unit Cost]]*tbTransactions[[#This Row],[Exchange Rate]]</f>
        <v>0</v>
      </c>
      <c r="I1217" s="148" t="s">
        <v>540</v>
      </c>
      <c r="J1217" s="176" t="s">
        <v>20</v>
      </c>
      <c r="K1217" s="163" t="str">
        <f>IF(tbTransactions[[#This Row],[Sub-Type]]="Transfer","Neutral",IF(tbTransactions[[#This Row],[Qty]]&lt;0,"Debit",IF(tbTransactions[[#This Row],[Qty]]&gt;0,"Credit","Neutral")))</f>
        <v>Credit</v>
      </c>
      <c r="L1217" s="163" t="s">
        <v>518</v>
      </c>
      <c r="M1217" s="171" t="s">
        <v>465</v>
      </c>
    </row>
    <row r="1218" spans="3:13" ht="30" customHeight="1" x14ac:dyDescent="0.25">
      <c r="C1218" s="175">
        <v>1217</v>
      </c>
      <c r="D1218" s="163">
        <v>44918</v>
      </c>
      <c r="E1218" s="171">
        <v>8.3043049999999993E-2</v>
      </c>
      <c r="F1218" s="171">
        <v>0</v>
      </c>
      <c r="G1218" s="172">
        <v>1</v>
      </c>
      <c r="H1218" s="171">
        <f>tbTransactions[[#This Row],[Qty]]*tbTransactions[[#This Row],[Unit Cost]]*tbTransactions[[#This Row],[Exchange Rate]]</f>
        <v>0</v>
      </c>
      <c r="I1218" s="148" t="s">
        <v>540</v>
      </c>
      <c r="J1218" s="176" t="s">
        <v>20</v>
      </c>
      <c r="K1218" s="163" t="str">
        <f>IF(tbTransactions[[#This Row],[Sub-Type]]="Transfer","Neutral",IF(tbTransactions[[#This Row],[Qty]]&lt;0,"Debit",IF(tbTransactions[[#This Row],[Qty]]&gt;0,"Credit","Neutral")))</f>
        <v>Credit</v>
      </c>
      <c r="L1218" s="163" t="s">
        <v>518</v>
      </c>
      <c r="M1218" s="171" t="s">
        <v>465</v>
      </c>
    </row>
    <row r="1219" spans="3:13" ht="30" customHeight="1" x14ac:dyDescent="0.25">
      <c r="C1219" s="175">
        <v>1218</v>
      </c>
      <c r="D1219" s="163">
        <v>44920</v>
      </c>
      <c r="E1219" s="171">
        <v>1.4790159000000001E-2</v>
      </c>
      <c r="F1219" s="171">
        <v>0</v>
      </c>
      <c r="G1219" s="172">
        <v>1</v>
      </c>
      <c r="H1219" s="171">
        <f>tbTransactions[[#This Row],[Qty]]*tbTransactions[[#This Row],[Unit Cost]]*tbTransactions[[#This Row],[Exchange Rate]]</f>
        <v>0</v>
      </c>
      <c r="I1219" s="148" t="s">
        <v>542</v>
      </c>
      <c r="J1219" s="176" t="s">
        <v>22</v>
      </c>
      <c r="K1219" s="163" t="str">
        <f>IF(tbTransactions[[#This Row],[Sub-Type]]="Transfer","Neutral",IF(tbTransactions[[#This Row],[Qty]]&lt;0,"Debit",IF(tbTransactions[[#This Row],[Qty]]&gt;0,"Credit","Neutral")))</f>
        <v>Credit</v>
      </c>
      <c r="L1219" s="163" t="s">
        <v>518</v>
      </c>
      <c r="M1219" s="171" t="s">
        <v>556</v>
      </c>
    </row>
    <row r="1220" spans="3:13" ht="30" customHeight="1" x14ac:dyDescent="0.25">
      <c r="C1220" s="175">
        <v>1219</v>
      </c>
      <c r="D1220" s="163">
        <v>44920</v>
      </c>
      <c r="E1220" s="171">
        <v>3.555969E-3</v>
      </c>
      <c r="F1220" s="171">
        <v>0</v>
      </c>
      <c r="G1220" s="172">
        <v>1</v>
      </c>
      <c r="H1220" s="171">
        <f>tbTransactions[[#This Row],[Qty]]*tbTransactions[[#This Row],[Unit Cost]]*tbTransactions[[#This Row],[Exchange Rate]]</f>
        <v>0</v>
      </c>
      <c r="I1220" s="148" t="s">
        <v>540</v>
      </c>
      <c r="J1220" s="176" t="s">
        <v>22</v>
      </c>
      <c r="K1220" s="163" t="str">
        <f>IF(tbTransactions[[#This Row],[Sub-Type]]="Transfer","Neutral",IF(tbTransactions[[#This Row],[Qty]]&lt;0,"Debit",IF(tbTransactions[[#This Row],[Qty]]&gt;0,"Credit","Neutral")))</f>
        <v>Credit</v>
      </c>
      <c r="L1220" s="163" t="s">
        <v>518</v>
      </c>
      <c r="M1220" s="171" t="s">
        <v>556</v>
      </c>
    </row>
    <row r="1221" spans="3:13" ht="30" customHeight="1" x14ac:dyDescent="0.25">
      <c r="C1221" s="175">
        <v>1220</v>
      </c>
      <c r="D1221" s="163">
        <v>44922</v>
      </c>
      <c r="E1221" s="171">
        <v>0.11082048999999999</v>
      </c>
      <c r="F1221" s="171">
        <v>0</v>
      </c>
      <c r="G1221" s="172">
        <v>1</v>
      </c>
      <c r="H1221" s="171">
        <f>tbTransactions[[#This Row],[Qty]]*tbTransactions[[#This Row],[Unit Cost]]*tbTransactions[[#This Row],[Exchange Rate]]</f>
        <v>0</v>
      </c>
      <c r="I1221" s="148" t="s">
        <v>540</v>
      </c>
      <c r="J1221" s="176" t="s">
        <v>20</v>
      </c>
      <c r="K1221" s="163" t="str">
        <f>IF(tbTransactions[[#This Row],[Sub-Type]]="Transfer","Neutral",IF(tbTransactions[[#This Row],[Qty]]&lt;0,"Debit",IF(tbTransactions[[#This Row],[Qty]]&gt;0,"Credit","Neutral")))</f>
        <v>Credit</v>
      </c>
      <c r="L1221" s="163" t="s">
        <v>518</v>
      </c>
      <c r="M1221" s="171" t="s">
        <v>465</v>
      </c>
    </row>
    <row r="1222" spans="3:13" ht="30" customHeight="1" x14ac:dyDescent="0.25">
      <c r="C1222" s="175">
        <v>1221</v>
      </c>
      <c r="D1222" s="163">
        <v>44925</v>
      </c>
      <c r="E1222" s="171">
        <v>8.3202300000000007E-2</v>
      </c>
      <c r="F1222" s="171">
        <v>0</v>
      </c>
      <c r="G1222" s="172">
        <v>1</v>
      </c>
      <c r="H1222" s="171">
        <f>tbTransactions[[#This Row],[Qty]]*tbTransactions[[#This Row],[Unit Cost]]*tbTransactions[[#This Row],[Exchange Rate]]</f>
        <v>0</v>
      </c>
      <c r="I1222" s="148" t="s">
        <v>540</v>
      </c>
      <c r="J1222" s="176" t="s">
        <v>20</v>
      </c>
      <c r="K1222" s="163" t="str">
        <f>IF(tbTransactions[[#This Row],[Sub-Type]]="Transfer","Neutral",IF(tbTransactions[[#This Row],[Qty]]&lt;0,"Debit",IF(tbTransactions[[#This Row],[Qty]]&gt;0,"Credit","Neutral")))</f>
        <v>Credit</v>
      </c>
      <c r="L1222" s="163" t="s">
        <v>518</v>
      </c>
      <c r="M1222" s="171" t="s">
        <v>465</v>
      </c>
    </row>
    <row r="1223" spans="3:13" ht="30" customHeight="1" x14ac:dyDescent="0.25">
      <c r="C1223" s="175">
        <v>1222</v>
      </c>
      <c r="D1223" s="163">
        <v>44927</v>
      </c>
      <c r="E1223" s="171">
        <v>1.4791452E-2</v>
      </c>
      <c r="F1223" s="171">
        <v>0</v>
      </c>
      <c r="G1223" s="172">
        <v>1</v>
      </c>
      <c r="H1223" s="171">
        <f>tbTransactions[[#This Row],[Qty]]*tbTransactions[[#This Row],[Unit Cost]]*tbTransactions[[#This Row],[Exchange Rate]]</f>
        <v>0</v>
      </c>
      <c r="I1223" s="148" t="s">
        <v>542</v>
      </c>
      <c r="J1223" s="176" t="s">
        <v>22</v>
      </c>
      <c r="K1223" s="163" t="str">
        <f>IF(tbTransactions[[#This Row],[Sub-Type]]="Transfer","Neutral",IF(tbTransactions[[#This Row],[Qty]]&lt;0,"Debit",IF(tbTransactions[[#This Row],[Qty]]&gt;0,"Credit","Neutral")))</f>
        <v>Credit</v>
      </c>
      <c r="L1223" s="163" t="s">
        <v>518</v>
      </c>
      <c r="M1223" s="171" t="s">
        <v>556</v>
      </c>
    </row>
    <row r="1224" spans="3:13" ht="30" customHeight="1" x14ac:dyDescent="0.25">
      <c r="C1224" s="175">
        <v>1223</v>
      </c>
      <c r="D1224" s="163">
        <v>44927</v>
      </c>
      <c r="E1224" s="171">
        <v>3.8942289999999999E-3</v>
      </c>
      <c r="F1224" s="171">
        <v>0</v>
      </c>
      <c r="G1224" s="172">
        <v>1</v>
      </c>
      <c r="H1224" s="171">
        <f>tbTransactions[[#This Row],[Qty]]*tbTransactions[[#This Row],[Unit Cost]]*tbTransactions[[#This Row],[Exchange Rate]]</f>
        <v>0</v>
      </c>
      <c r="I1224" s="148" t="s">
        <v>540</v>
      </c>
      <c r="J1224" s="176" t="s">
        <v>22</v>
      </c>
      <c r="K1224" s="163" t="str">
        <f>IF(tbTransactions[[#This Row],[Sub-Type]]="Transfer","Neutral",IF(tbTransactions[[#This Row],[Qty]]&lt;0,"Debit",IF(tbTransactions[[#This Row],[Qty]]&gt;0,"Credit","Neutral")))</f>
        <v>Credit</v>
      </c>
      <c r="L1224" s="163" t="s">
        <v>518</v>
      </c>
      <c r="M1224" s="171" t="s">
        <v>556</v>
      </c>
    </row>
    <row r="1225" spans="3:13" ht="30" customHeight="1" x14ac:dyDescent="0.25">
      <c r="C1225" s="175">
        <v>1224</v>
      </c>
      <c r="D1225" s="163">
        <v>44927</v>
      </c>
      <c r="E1225" s="171">
        <v>0.61918200000000001</v>
      </c>
      <c r="F1225" s="171">
        <v>0</v>
      </c>
      <c r="G1225" s="172">
        <v>1</v>
      </c>
      <c r="H1225" s="171">
        <f>tbTransactions[[#This Row],[Qty]]*tbTransactions[[#This Row],[Unit Cost]]*tbTransactions[[#This Row],[Exchange Rate]]</f>
        <v>0</v>
      </c>
      <c r="I1225" s="148" t="s">
        <v>431</v>
      </c>
      <c r="J1225" s="176" t="s">
        <v>18</v>
      </c>
      <c r="K1225" s="163" t="str">
        <f>IF(tbTransactions[[#This Row],[Sub-Type]]="Transfer","Neutral",IF(tbTransactions[[#This Row],[Qty]]&lt;0,"Debit",IF(tbTransactions[[#This Row],[Qty]]&gt;0,"Credit","Neutral")))</f>
        <v>Credit</v>
      </c>
      <c r="L1225" s="163" t="s">
        <v>518</v>
      </c>
      <c r="M1225" s="171" t="s">
        <v>40</v>
      </c>
    </row>
    <row r="1226" spans="3:13" ht="30" customHeight="1" x14ac:dyDescent="0.25">
      <c r="C1226" s="175">
        <v>1225</v>
      </c>
      <c r="D1226" s="163">
        <v>44929</v>
      </c>
      <c r="E1226" s="171">
        <v>0.1110334</v>
      </c>
      <c r="F1226" s="171">
        <v>0</v>
      </c>
      <c r="G1226" s="172">
        <v>1</v>
      </c>
      <c r="H1226" s="171">
        <f>tbTransactions[[#This Row],[Qty]]*tbTransactions[[#This Row],[Unit Cost]]*tbTransactions[[#This Row],[Exchange Rate]]</f>
        <v>0</v>
      </c>
      <c r="I1226" s="148" t="s">
        <v>540</v>
      </c>
      <c r="J1226" s="176" t="s">
        <v>20</v>
      </c>
      <c r="K1226" s="163" t="str">
        <f>IF(tbTransactions[[#This Row],[Sub-Type]]="Transfer","Neutral",IF(tbTransactions[[#This Row],[Qty]]&lt;0,"Debit",IF(tbTransactions[[#This Row],[Qty]]&gt;0,"Credit","Neutral")))</f>
        <v>Credit</v>
      </c>
      <c r="L1226" s="163" t="s">
        <v>518</v>
      </c>
      <c r="M1226" s="171" t="s">
        <v>465</v>
      </c>
    </row>
    <row r="1227" spans="3:13" ht="30" customHeight="1" x14ac:dyDescent="0.25">
      <c r="C1227" s="175">
        <v>1226</v>
      </c>
      <c r="D1227" s="163">
        <v>44932</v>
      </c>
      <c r="E1227" s="171">
        <v>8.3360470000000006E-2</v>
      </c>
      <c r="F1227" s="171">
        <v>0</v>
      </c>
      <c r="G1227" s="172">
        <v>1</v>
      </c>
      <c r="H1227" s="171">
        <f>tbTransactions[[#This Row],[Qty]]*tbTransactions[[#This Row],[Unit Cost]]*tbTransactions[[#This Row],[Exchange Rate]]</f>
        <v>0</v>
      </c>
      <c r="I1227" s="148" t="s">
        <v>540</v>
      </c>
      <c r="J1227" s="176" t="s">
        <v>20</v>
      </c>
      <c r="K1227" s="163" t="str">
        <f>IF(tbTransactions[[#This Row],[Sub-Type]]="Transfer","Neutral",IF(tbTransactions[[#This Row],[Qty]]&lt;0,"Debit",IF(tbTransactions[[#This Row],[Qty]]&gt;0,"Credit","Neutral")))</f>
        <v>Credit</v>
      </c>
      <c r="L1227" s="163" t="s">
        <v>518</v>
      </c>
      <c r="M1227" s="171" t="s">
        <v>465</v>
      </c>
    </row>
    <row r="1228" spans="3:13" ht="30" customHeight="1" x14ac:dyDescent="0.25">
      <c r="C1228" s="175">
        <v>1227</v>
      </c>
      <c r="D1228" s="163">
        <v>44934</v>
      </c>
      <c r="E1228" s="171">
        <v>1.4807044E-2</v>
      </c>
      <c r="F1228" s="171">
        <v>0</v>
      </c>
      <c r="G1228" s="172">
        <v>1</v>
      </c>
      <c r="H1228" s="171">
        <f>tbTransactions[[#This Row],[Qty]]*tbTransactions[[#This Row],[Unit Cost]]*tbTransactions[[#This Row],[Exchange Rate]]</f>
        <v>0</v>
      </c>
      <c r="I1228" s="148" t="s">
        <v>542</v>
      </c>
      <c r="J1228" s="176" t="s">
        <v>22</v>
      </c>
      <c r="K1228" s="163" t="str">
        <f>IF(tbTransactions[[#This Row],[Sub-Type]]="Transfer","Neutral",IF(tbTransactions[[#This Row],[Qty]]&lt;0,"Debit",IF(tbTransactions[[#This Row],[Qty]]&gt;0,"Credit","Neutral")))</f>
        <v>Credit</v>
      </c>
      <c r="L1228" s="163" t="s">
        <v>518</v>
      </c>
      <c r="M1228" s="171" t="s">
        <v>556</v>
      </c>
    </row>
    <row r="1229" spans="3:13" ht="30" customHeight="1" x14ac:dyDescent="0.25">
      <c r="C1229" s="175">
        <v>1228</v>
      </c>
      <c r="D1229" s="163">
        <v>44934</v>
      </c>
      <c r="E1229" s="171">
        <v>5.869694E-3</v>
      </c>
      <c r="F1229" s="171">
        <v>0</v>
      </c>
      <c r="G1229" s="172">
        <v>1</v>
      </c>
      <c r="H1229" s="171">
        <f>tbTransactions[[#This Row],[Qty]]*tbTransactions[[#This Row],[Unit Cost]]*tbTransactions[[#This Row],[Exchange Rate]]</f>
        <v>0</v>
      </c>
      <c r="I1229" s="148" t="s">
        <v>540</v>
      </c>
      <c r="J1229" s="176" t="s">
        <v>22</v>
      </c>
      <c r="K1229" s="163" t="str">
        <f>IF(tbTransactions[[#This Row],[Sub-Type]]="Transfer","Neutral",IF(tbTransactions[[#This Row],[Qty]]&lt;0,"Debit",IF(tbTransactions[[#This Row],[Qty]]&gt;0,"Credit","Neutral")))</f>
        <v>Credit</v>
      </c>
      <c r="L1229" s="163" t="s">
        <v>518</v>
      </c>
      <c r="M1229" s="171" t="s">
        <v>556</v>
      </c>
    </row>
    <row r="1230" spans="3:13" ht="30" customHeight="1" x14ac:dyDescent="0.25">
      <c r="C1230" s="175">
        <v>1229</v>
      </c>
      <c r="D1230" s="163">
        <v>44939</v>
      </c>
      <c r="E1230" s="171">
        <v>300</v>
      </c>
      <c r="F1230" s="171">
        <v>1</v>
      </c>
      <c r="G1230" s="172">
        <v>1</v>
      </c>
      <c r="H1230" s="171">
        <f>tbTransactions[[#This Row],[Qty]]*tbTransactions[[#This Row],[Unit Cost]]*tbTransactions[[#This Row],[Exchange Rate]]</f>
        <v>300</v>
      </c>
      <c r="I1230" s="148" t="s">
        <v>724</v>
      </c>
      <c r="J1230" s="176" t="s">
        <v>411</v>
      </c>
      <c r="K1230" s="163" t="str">
        <f>IF(tbTransactions[[#This Row],[Sub-Type]]="Transfer","Neutral",IF(tbTransactions[[#This Row],[Qty]]&lt;0,"Debit",IF(tbTransactions[[#This Row],[Qty]]&gt;0,"Credit","Neutral")))</f>
        <v>Credit</v>
      </c>
      <c r="L1230" s="163" t="s">
        <v>502</v>
      </c>
      <c r="M1230" s="171" t="s">
        <v>828</v>
      </c>
    </row>
    <row r="1231" spans="3:13" ht="30" customHeight="1" x14ac:dyDescent="0.25">
      <c r="C1231" s="175">
        <v>1230</v>
      </c>
      <c r="D1231" s="163">
        <v>44939</v>
      </c>
      <c r="E1231" s="171">
        <v>-296.52</v>
      </c>
      <c r="F1231" s="171">
        <v>1</v>
      </c>
      <c r="G1231" s="172">
        <v>1</v>
      </c>
      <c r="H1231" s="171">
        <f>tbTransactions[[#This Row],[Qty]]*tbTransactions[[#This Row],[Unit Cost]]*tbTransactions[[#This Row],[Exchange Rate]]</f>
        <v>-296.52</v>
      </c>
      <c r="I1231" s="148" t="s">
        <v>724</v>
      </c>
      <c r="J1231" s="176" t="s">
        <v>411</v>
      </c>
      <c r="K1231" s="163" t="str">
        <f>IF(tbTransactions[[#This Row],[Sub-Type]]="Transfer","Neutral",IF(tbTransactions[[#This Row],[Qty]]&lt;0,"Debit",IF(tbTransactions[[#This Row],[Qty]]&gt;0,"Credit","Neutral")))</f>
        <v>Debit</v>
      </c>
      <c r="L1231" s="163" t="s">
        <v>522</v>
      </c>
      <c r="M1231" s="171" t="s">
        <v>826</v>
      </c>
    </row>
    <row r="1232" spans="3:13" ht="30" customHeight="1" x14ac:dyDescent="0.25">
      <c r="C1232" s="175">
        <v>1231</v>
      </c>
      <c r="D1232" s="163">
        <v>44939</v>
      </c>
      <c r="E1232" s="171">
        <v>42</v>
      </c>
      <c r="F1232" s="171">
        <v>6.86</v>
      </c>
      <c r="G1232" s="172">
        <v>1</v>
      </c>
      <c r="H1232" s="171">
        <f>tbTransactions[[#This Row],[Qty]]*tbTransactions[[#This Row],[Unit Cost]]*tbTransactions[[#This Row],[Exchange Rate]]</f>
        <v>288.12</v>
      </c>
      <c r="I1232" s="148" t="s">
        <v>724</v>
      </c>
      <c r="J1232" s="176" t="s">
        <v>762</v>
      </c>
      <c r="K1232" s="163" t="str">
        <f>IF(tbTransactions[[#This Row],[Sub-Type]]="Transfer","Neutral",IF(tbTransactions[[#This Row],[Qty]]&lt;0,"Debit",IF(tbTransactions[[#This Row],[Qty]]&gt;0,"Credit","Neutral")))</f>
        <v>Credit</v>
      </c>
      <c r="L1232" s="163" t="s">
        <v>740</v>
      </c>
      <c r="M1232" s="171" t="s">
        <v>826</v>
      </c>
    </row>
    <row r="1233" spans="3:13" ht="30" customHeight="1" x14ac:dyDescent="0.25">
      <c r="C1233" s="175">
        <v>1232</v>
      </c>
      <c r="D1233" s="163">
        <v>44936</v>
      </c>
      <c r="E1233" s="171">
        <v>0.111246</v>
      </c>
      <c r="F1233" s="171">
        <v>0</v>
      </c>
      <c r="G1233" s="172">
        <v>1</v>
      </c>
      <c r="H1233" s="171">
        <f>tbTransactions[[#This Row],[Qty]]*tbTransactions[[#This Row],[Unit Cost]]*tbTransactions[[#This Row],[Exchange Rate]]</f>
        <v>0</v>
      </c>
      <c r="I1233" s="148" t="s">
        <v>540</v>
      </c>
      <c r="J1233" s="176" t="s">
        <v>20</v>
      </c>
      <c r="K1233" s="163" t="str">
        <f>IF(tbTransactions[[#This Row],[Sub-Type]]="Transfer","Neutral",IF(tbTransactions[[#This Row],[Qty]]&lt;0,"Debit",IF(tbTransactions[[#This Row],[Qty]]&gt;0,"Credit","Neutral")))</f>
        <v>Credit</v>
      </c>
      <c r="L1233" s="163" t="s">
        <v>518</v>
      </c>
      <c r="M1233" s="171" t="s">
        <v>465</v>
      </c>
    </row>
    <row r="1234" spans="3:13" ht="30" customHeight="1" x14ac:dyDescent="0.25">
      <c r="C1234" s="175">
        <v>1233</v>
      </c>
      <c r="D1234" s="163">
        <v>44939</v>
      </c>
      <c r="E1234" s="171">
        <v>8.3521070000000003E-2</v>
      </c>
      <c r="F1234" s="171">
        <v>0</v>
      </c>
      <c r="G1234" s="172">
        <v>1</v>
      </c>
      <c r="H1234" s="171">
        <f>tbTransactions[[#This Row],[Qty]]*tbTransactions[[#This Row],[Unit Cost]]*tbTransactions[[#This Row],[Exchange Rate]]</f>
        <v>0</v>
      </c>
      <c r="I1234" s="148" t="s">
        <v>540</v>
      </c>
      <c r="J1234" s="176" t="s">
        <v>20</v>
      </c>
      <c r="K1234" s="163" t="str">
        <f>IF(tbTransactions[[#This Row],[Sub-Type]]="Transfer","Neutral",IF(tbTransactions[[#This Row],[Qty]]&lt;0,"Debit",IF(tbTransactions[[#This Row],[Qty]]&gt;0,"Credit","Neutral")))</f>
        <v>Credit</v>
      </c>
      <c r="L1234" s="163" t="s">
        <v>518</v>
      </c>
      <c r="M1234" s="171" t="s">
        <v>465</v>
      </c>
    </row>
    <row r="1235" spans="3:13" ht="30" customHeight="1" x14ac:dyDescent="0.25">
      <c r="C1235" s="175">
        <v>1234</v>
      </c>
      <c r="D1235" s="163">
        <v>44941</v>
      </c>
      <c r="E1235" s="171">
        <v>1.4572208999999999E-2</v>
      </c>
      <c r="F1235" s="171">
        <v>0</v>
      </c>
      <c r="G1235" s="172">
        <v>1</v>
      </c>
      <c r="H1235" s="171">
        <f>tbTransactions[[#This Row],[Qty]]*tbTransactions[[#This Row],[Unit Cost]]*tbTransactions[[#This Row],[Exchange Rate]]</f>
        <v>0</v>
      </c>
      <c r="I1235" s="148" t="s">
        <v>542</v>
      </c>
      <c r="J1235" s="176" t="s">
        <v>22</v>
      </c>
      <c r="K1235" s="163" t="str">
        <f>IF(tbTransactions[[#This Row],[Sub-Type]]="Transfer","Neutral",IF(tbTransactions[[#This Row],[Qty]]&lt;0,"Debit",IF(tbTransactions[[#This Row],[Qty]]&gt;0,"Credit","Neutral")))</f>
        <v>Credit</v>
      </c>
      <c r="L1235" s="163" t="s">
        <v>518</v>
      </c>
      <c r="M1235" s="171" t="s">
        <v>556</v>
      </c>
    </row>
    <row r="1236" spans="3:13" ht="30" customHeight="1" x14ac:dyDescent="0.25">
      <c r="C1236" s="175">
        <v>1235</v>
      </c>
      <c r="D1236" s="163">
        <v>44941</v>
      </c>
      <c r="E1236" s="171">
        <v>7.3436830000000002E-3</v>
      </c>
      <c r="F1236" s="171">
        <v>0</v>
      </c>
      <c r="G1236" s="172">
        <v>1</v>
      </c>
      <c r="H1236" s="171">
        <f>tbTransactions[[#This Row],[Qty]]*tbTransactions[[#This Row],[Unit Cost]]*tbTransactions[[#This Row],[Exchange Rate]]</f>
        <v>0</v>
      </c>
      <c r="I1236" s="148" t="s">
        <v>540</v>
      </c>
      <c r="J1236" s="176" t="s">
        <v>22</v>
      </c>
      <c r="K1236" s="163" t="str">
        <f>IF(tbTransactions[[#This Row],[Sub-Type]]="Transfer","Neutral",IF(tbTransactions[[#This Row],[Qty]]&lt;0,"Debit",IF(tbTransactions[[#This Row],[Qty]]&gt;0,"Credit","Neutral")))</f>
        <v>Credit</v>
      </c>
      <c r="L1236" s="163" t="s">
        <v>518</v>
      </c>
      <c r="M1236" s="171" t="s">
        <v>556</v>
      </c>
    </row>
    <row r="1237" spans="3:13" ht="30" customHeight="1" x14ac:dyDescent="0.25">
      <c r="C1237" s="175">
        <v>1236</v>
      </c>
      <c r="D1237" s="163">
        <v>44940</v>
      </c>
      <c r="E1237" s="171">
        <v>0.54780399999999996</v>
      </c>
      <c r="F1237" s="171">
        <v>0</v>
      </c>
      <c r="G1237" s="172">
        <v>1</v>
      </c>
      <c r="H1237" s="171">
        <f>tbTransactions[[#This Row],[Qty]]*tbTransactions[[#This Row],[Unit Cost]]*tbTransactions[[#This Row],[Exchange Rate]]</f>
        <v>0</v>
      </c>
      <c r="I1237" s="148" t="s">
        <v>431</v>
      </c>
      <c r="J1237" s="176" t="s">
        <v>18</v>
      </c>
      <c r="K1237" s="163" t="str">
        <f>IF(tbTransactions[[#This Row],[Sub-Type]]="Transfer","Neutral",IF(tbTransactions[[#This Row],[Qty]]&lt;0,"Debit",IF(tbTransactions[[#This Row],[Qty]]&gt;0,"Credit","Neutral")))</f>
        <v>Credit</v>
      </c>
      <c r="L1237" s="163" t="s">
        <v>518</v>
      </c>
      <c r="M1237" s="171" t="s">
        <v>40</v>
      </c>
    </row>
    <row r="1238" spans="3:13" ht="30" customHeight="1" x14ac:dyDescent="0.25">
      <c r="C1238" s="175">
        <v>1237</v>
      </c>
      <c r="D1238" s="163">
        <v>44942</v>
      </c>
      <c r="E1238" s="171">
        <v>500</v>
      </c>
      <c r="F1238" s="171">
        <v>1</v>
      </c>
      <c r="G1238" s="172">
        <v>1</v>
      </c>
      <c r="H1238" s="171">
        <f>tbTransactions[[#This Row],[Qty]]*tbTransactions[[#This Row],[Unit Cost]]*tbTransactions[[#This Row],[Exchange Rate]]</f>
        <v>500</v>
      </c>
      <c r="I1238" s="148" t="s">
        <v>714</v>
      </c>
      <c r="J1238" s="176" t="s">
        <v>411</v>
      </c>
      <c r="K1238" s="163" t="str">
        <f>IF(tbTransactions[[#This Row],[Sub-Type]]="Transfer","Neutral",IF(tbTransactions[[#This Row],[Qty]]&lt;0,"Debit",IF(tbTransactions[[#This Row],[Qty]]&gt;0,"Credit","Neutral")))</f>
        <v>Credit</v>
      </c>
      <c r="L1238" s="163" t="s">
        <v>502</v>
      </c>
      <c r="M1238" s="171" t="s">
        <v>827</v>
      </c>
    </row>
    <row r="1239" spans="3:13" ht="30" customHeight="1" x14ac:dyDescent="0.25">
      <c r="C1239" s="175">
        <v>1238</v>
      </c>
      <c r="D1239" s="163">
        <v>44942</v>
      </c>
      <c r="E1239" s="171">
        <v>-510</v>
      </c>
      <c r="F1239" s="171">
        <v>1</v>
      </c>
      <c r="G1239" s="172">
        <v>1</v>
      </c>
      <c r="H1239" s="171">
        <f>tbTransactions[[#This Row],[Qty]]*tbTransactions[[#This Row],[Unit Cost]]*tbTransactions[[#This Row],[Exchange Rate]]</f>
        <v>-510</v>
      </c>
      <c r="I1239" s="148" t="s">
        <v>714</v>
      </c>
      <c r="J1239" s="176" t="s">
        <v>411</v>
      </c>
      <c r="K1239" s="163" t="str">
        <f>IF(tbTransactions[[#This Row],[Sub-Type]]="Transfer","Neutral",IF(tbTransactions[[#This Row],[Qty]]&lt;0,"Debit",IF(tbTransactions[[#This Row],[Qty]]&gt;0,"Credit","Neutral")))</f>
        <v>Debit</v>
      </c>
      <c r="L1239" s="163" t="s">
        <v>522</v>
      </c>
      <c r="M1239" s="171" t="s">
        <v>825</v>
      </c>
    </row>
    <row r="1240" spans="3:13" ht="30" customHeight="1" x14ac:dyDescent="0.25">
      <c r="C1240" s="175">
        <v>1239</v>
      </c>
      <c r="D1240" s="163">
        <v>44942</v>
      </c>
      <c r="E1240" s="171">
        <v>68</v>
      </c>
      <c r="F1240" s="171">
        <v>7.5</v>
      </c>
      <c r="G1240" s="172">
        <v>1</v>
      </c>
      <c r="H1240" s="171">
        <f>tbTransactions[[#This Row],[Qty]]*tbTransactions[[#This Row],[Unit Cost]]*tbTransactions[[#This Row],[Exchange Rate]]</f>
        <v>510</v>
      </c>
      <c r="I1240" s="148" t="s">
        <v>714</v>
      </c>
      <c r="J1240" s="176" t="s">
        <v>762</v>
      </c>
      <c r="K1240" s="163" t="str">
        <f>IF(tbTransactions[[#This Row],[Sub-Type]]="Transfer","Neutral",IF(tbTransactions[[#This Row],[Qty]]&lt;0,"Debit",IF(tbTransactions[[#This Row],[Qty]]&gt;0,"Credit","Neutral")))</f>
        <v>Credit</v>
      </c>
      <c r="L1240" s="163" t="s">
        <v>740</v>
      </c>
      <c r="M1240" s="171" t="s">
        <v>825</v>
      </c>
    </row>
    <row r="1241" spans="3:13" ht="30" customHeight="1" x14ac:dyDescent="0.25">
      <c r="C1241" s="175">
        <v>1240</v>
      </c>
      <c r="D1241" s="163">
        <v>44943</v>
      </c>
      <c r="E1241" s="171">
        <v>0.11145964</v>
      </c>
      <c r="F1241" s="171">
        <v>0</v>
      </c>
      <c r="G1241" s="172">
        <v>1</v>
      </c>
      <c r="H1241" s="171">
        <f>tbTransactions[[#This Row],[Qty]]*tbTransactions[[#This Row],[Unit Cost]]*tbTransactions[[#This Row],[Exchange Rate]]</f>
        <v>0</v>
      </c>
      <c r="I1241" s="148" t="s">
        <v>540</v>
      </c>
      <c r="J1241" s="176" t="s">
        <v>20</v>
      </c>
      <c r="K1241" s="163" t="str">
        <f>IF(tbTransactions[[#This Row],[Sub-Type]]="Transfer","Neutral",IF(tbTransactions[[#This Row],[Qty]]&lt;0,"Debit",IF(tbTransactions[[#This Row],[Qty]]&gt;0,"Credit","Neutral")))</f>
        <v>Credit</v>
      </c>
      <c r="L1241" s="163" t="s">
        <v>518</v>
      </c>
      <c r="M1241" s="171" t="s">
        <v>465</v>
      </c>
    </row>
    <row r="1242" spans="3:13" ht="30" customHeight="1" x14ac:dyDescent="0.25">
      <c r="C1242" s="175">
        <v>1241</v>
      </c>
      <c r="D1242" s="163">
        <v>44946</v>
      </c>
      <c r="E1242" s="171">
        <v>8.3681099999999994E-2</v>
      </c>
      <c r="F1242" s="171">
        <v>0</v>
      </c>
      <c r="G1242" s="172">
        <v>1</v>
      </c>
      <c r="H1242" s="171">
        <f>tbTransactions[[#This Row],[Qty]]*tbTransactions[[#This Row],[Unit Cost]]*tbTransactions[[#This Row],[Exchange Rate]]</f>
        <v>0</v>
      </c>
      <c r="I1242" s="148" t="s">
        <v>540</v>
      </c>
      <c r="J1242" s="176" t="s">
        <v>20</v>
      </c>
      <c r="K1242" s="163" t="str">
        <f>IF(tbTransactions[[#This Row],[Sub-Type]]="Transfer","Neutral",IF(tbTransactions[[#This Row],[Qty]]&lt;0,"Debit",IF(tbTransactions[[#This Row],[Qty]]&gt;0,"Credit","Neutral")))</f>
        <v>Credit</v>
      </c>
      <c r="L1242" s="163" t="s">
        <v>518</v>
      </c>
      <c r="M1242" s="171" t="s">
        <v>465</v>
      </c>
    </row>
    <row r="1243" spans="3:13" ht="30" customHeight="1" x14ac:dyDescent="0.25">
      <c r="C1243" s="175">
        <v>1242</v>
      </c>
      <c r="D1243" s="163">
        <v>44948</v>
      </c>
      <c r="E1243" s="171">
        <v>1.4702012E-2</v>
      </c>
      <c r="F1243" s="171">
        <v>0</v>
      </c>
      <c r="G1243" s="172">
        <v>1</v>
      </c>
      <c r="H1243" s="171">
        <f>tbTransactions[[#This Row],[Qty]]*tbTransactions[[#This Row],[Unit Cost]]*tbTransactions[[#This Row],[Exchange Rate]]</f>
        <v>0</v>
      </c>
      <c r="I1243" s="148" t="s">
        <v>542</v>
      </c>
      <c r="J1243" s="176" t="s">
        <v>22</v>
      </c>
      <c r="K1243" s="163" t="str">
        <f>IF(tbTransactions[[#This Row],[Sub-Type]]="Transfer","Neutral",IF(tbTransactions[[#This Row],[Qty]]&lt;0,"Debit",IF(tbTransactions[[#This Row],[Qty]]&gt;0,"Credit","Neutral")))</f>
        <v>Credit</v>
      </c>
      <c r="L1243" s="163" t="s">
        <v>518</v>
      </c>
      <c r="M1243" s="171" t="s">
        <v>556</v>
      </c>
    </row>
    <row r="1244" spans="3:13" ht="30" customHeight="1" x14ac:dyDescent="0.25">
      <c r="C1244" s="175">
        <v>1243</v>
      </c>
      <c r="D1244" s="163">
        <v>44948</v>
      </c>
      <c r="E1244" s="171">
        <v>8.7942899999999997E-3</v>
      </c>
      <c r="F1244" s="171">
        <v>0</v>
      </c>
      <c r="G1244" s="172">
        <v>1</v>
      </c>
      <c r="H1244" s="171">
        <f>tbTransactions[[#This Row],[Qty]]*tbTransactions[[#This Row],[Unit Cost]]*tbTransactions[[#This Row],[Exchange Rate]]</f>
        <v>0</v>
      </c>
      <c r="I1244" s="148" t="s">
        <v>540</v>
      </c>
      <c r="J1244" s="176" t="s">
        <v>22</v>
      </c>
      <c r="K1244" s="163" t="str">
        <f>IF(tbTransactions[[#This Row],[Sub-Type]]="Transfer","Neutral",IF(tbTransactions[[#This Row],[Qty]]&lt;0,"Debit",IF(tbTransactions[[#This Row],[Qty]]&gt;0,"Credit","Neutral")))</f>
        <v>Credit</v>
      </c>
      <c r="L1244" s="163" t="s">
        <v>518</v>
      </c>
      <c r="M1244" s="171" t="s">
        <v>556</v>
      </c>
    </row>
    <row r="1245" spans="3:13" ht="30" customHeight="1" x14ac:dyDescent="0.25">
      <c r="C1245" s="175">
        <v>1244</v>
      </c>
      <c r="D1245" s="163">
        <v>44952</v>
      </c>
      <c r="E1245" s="171">
        <v>0.11970158</v>
      </c>
      <c r="F1245" s="171">
        <v>0</v>
      </c>
      <c r="G1245" s="172">
        <v>1</v>
      </c>
      <c r="H1245" s="171">
        <f>tbTransactions[[#This Row],[Qty]]*tbTransactions[[#This Row],[Unit Cost]]*tbTransactions[[#This Row],[Exchange Rate]]</f>
        <v>0</v>
      </c>
      <c r="I1245" s="148" t="s">
        <v>540</v>
      </c>
      <c r="J1245" s="176" t="s">
        <v>20</v>
      </c>
      <c r="K1245" s="163" t="str">
        <f>IF(tbTransactions[[#This Row],[Sub-Type]]="Transfer","Neutral",IF(tbTransactions[[#This Row],[Qty]]&lt;0,"Debit",IF(tbTransactions[[#This Row],[Qty]]&gt;0,"Credit","Neutral")))</f>
        <v>Credit</v>
      </c>
      <c r="L1245" s="163" t="s">
        <v>518</v>
      </c>
      <c r="M1245" s="171" t="s">
        <v>465</v>
      </c>
    </row>
    <row r="1246" spans="3:13" ht="30" customHeight="1" x14ac:dyDescent="0.25">
      <c r="C1246" s="175">
        <v>1245</v>
      </c>
      <c r="D1246" s="163">
        <v>44955</v>
      </c>
      <c r="E1246" s="171">
        <v>1.4692818999999999E-2</v>
      </c>
      <c r="F1246" s="171">
        <v>0</v>
      </c>
      <c r="G1246" s="172">
        <v>1</v>
      </c>
      <c r="H1246" s="171">
        <f>tbTransactions[[#This Row],[Qty]]*tbTransactions[[#This Row],[Unit Cost]]*tbTransactions[[#This Row],[Exchange Rate]]</f>
        <v>0</v>
      </c>
      <c r="I1246" s="148" t="s">
        <v>542</v>
      </c>
      <c r="J1246" s="176" t="s">
        <v>22</v>
      </c>
      <c r="K1246" s="163" t="str">
        <f>IF(tbTransactions[[#This Row],[Sub-Type]]="Transfer","Neutral",IF(tbTransactions[[#This Row],[Qty]]&lt;0,"Debit",IF(tbTransactions[[#This Row],[Qty]]&gt;0,"Credit","Neutral")))</f>
        <v>Credit</v>
      </c>
      <c r="L1246" s="163" t="s">
        <v>518</v>
      </c>
      <c r="M1246" s="171" t="s">
        <v>556</v>
      </c>
    </row>
    <row r="1247" spans="3:13" ht="30" customHeight="1" x14ac:dyDescent="0.25">
      <c r="C1247" s="175">
        <v>1246</v>
      </c>
      <c r="D1247" s="163">
        <v>44955</v>
      </c>
      <c r="E1247" s="171">
        <v>5.814952E-3</v>
      </c>
      <c r="F1247" s="171">
        <v>0</v>
      </c>
      <c r="G1247" s="172">
        <v>1</v>
      </c>
      <c r="H1247" s="171">
        <f>tbTransactions[[#This Row],[Qty]]*tbTransactions[[#This Row],[Unit Cost]]*tbTransactions[[#This Row],[Exchange Rate]]</f>
        <v>0</v>
      </c>
      <c r="I1247" s="148" t="s">
        <v>540</v>
      </c>
      <c r="J1247" s="176" t="s">
        <v>22</v>
      </c>
      <c r="K1247" s="163" t="str">
        <f>IF(tbTransactions[[#This Row],[Sub-Type]]="Transfer","Neutral",IF(tbTransactions[[#This Row],[Qty]]&lt;0,"Debit",IF(tbTransactions[[#This Row],[Qty]]&gt;0,"Credit","Neutral")))</f>
        <v>Credit</v>
      </c>
      <c r="L1247" s="163" t="s">
        <v>518</v>
      </c>
      <c r="M1247" s="171" t="s">
        <v>556</v>
      </c>
    </row>
    <row r="1248" spans="3:13" ht="30" customHeight="1" x14ac:dyDescent="0.25">
      <c r="C1248" s="175">
        <v>1247</v>
      </c>
      <c r="D1248" s="163">
        <v>44954</v>
      </c>
      <c r="E1248" s="171">
        <v>0.58220799999999995</v>
      </c>
      <c r="F1248" s="171">
        <v>0</v>
      </c>
      <c r="G1248" s="172">
        <v>1</v>
      </c>
      <c r="H1248" s="171">
        <f>tbTransactions[[#This Row],[Qty]]*tbTransactions[[#This Row],[Unit Cost]]*tbTransactions[[#This Row],[Exchange Rate]]</f>
        <v>0</v>
      </c>
      <c r="I1248" s="148" t="s">
        <v>431</v>
      </c>
      <c r="J1248" s="176" t="s">
        <v>18</v>
      </c>
      <c r="K1248" s="163" t="str">
        <f>IF(tbTransactions[[#This Row],[Sub-Type]]="Transfer","Neutral",IF(tbTransactions[[#This Row],[Qty]]&lt;0,"Debit",IF(tbTransactions[[#This Row],[Qty]]&gt;0,"Credit","Neutral")))</f>
        <v>Credit</v>
      </c>
      <c r="L1248" s="163" t="s">
        <v>518</v>
      </c>
      <c r="M1248" s="171" t="s">
        <v>40</v>
      </c>
    </row>
    <row r="1249" spans="3:13" ht="30" customHeight="1" x14ac:dyDescent="0.25">
      <c r="C1249" s="175">
        <v>1248</v>
      </c>
      <c r="D1249" s="163">
        <v>44956</v>
      </c>
      <c r="E1249" s="171">
        <v>9.2931669999999994E-2</v>
      </c>
      <c r="F1249" s="171">
        <v>0</v>
      </c>
      <c r="G1249" s="172">
        <v>1</v>
      </c>
      <c r="H1249" s="171">
        <f>tbTransactions[[#This Row],[Qty]]*tbTransactions[[#This Row],[Unit Cost]]*tbTransactions[[#This Row],[Exchange Rate]]</f>
        <v>0</v>
      </c>
      <c r="I1249" s="148" t="s">
        <v>540</v>
      </c>
      <c r="J1249" s="176" t="s">
        <v>20</v>
      </c>
      <c r="K1249" s="163" t="str">
        <f>IF(tbTransactions[[#This Row],[Sub-Type]]="Transfer","Neutral",IF(tbTransactions[[#This Row],[Qty]]&lt;0,"Debit",IF(tbTransactions[[#This Row],[Qty]]&gt;0,"Credit","Neutral")))</f>
        <v>Credit</v>
      </c>
      <c r="L1249" s="163" t="s">
        <v>518</v>
      </c>
      <c r="M1249" s="171" t="s">
        <v>465</v>
      </c>
    </row>
    <row r="1250" spans="3:13" ht="30" customHeight="1" x14ac:dyDescent="0.25">
      <c r="C1250" s="175">
        <v>1249</v>
      </c>
      <c r="D1250" s="163">
        <v>44959</v>
      </c>
      <c r="E1250" s="171">
        <v>4.4062810000000001E-2</v>
      </c>
      <c r="F1250" s="171">
        <v>0</v>
      </c>
      <c r="G1250" s="172">
        <v>1</v>
      </c>
      <c r="H1250" s="171">
        <f>tbTransactions[[#This Row],[Qty]]*tbTransactions[[#This Row],[Unit Cost]]*tbTransactions[[#This Row],[Exchange Rate]]</f>
        <v>0</v>
      </c>
      <c r="I1250" s="148" t="s">
        <v>540</v>
      </c>
      <c r="J1250" s="176" t="s">
        <v>20</v>
      </c>
      <c r="K1250" s="163" t="str">
        <f>IF(tbTransactions[[#This Row],[Sub-Type]]="Transfer","Neutral",IF(tbTransactions[[#This Row],[Qty]]&lt;0,"Debit",IF(tbTransactions[[#This Row],[Qty]]&gt;0,"Credit","Neutral")))</f>
        <v>Credit</v>
      </c>
      <c r="L1250" s="163" t="s">
        <v>518</v>
      </c>
      <c r="M1250" s="171" t="s">
        <v>465</v>
      </c>
    </row>
    <row r="1251" spans="3:13" ht="30" customHeight="1" x14ac:dyDescent="0.25">
      <c r="C1251" s="175">
        <v>1250</v>
      </c>
      <c r="D1251" s="163">
        <v>44962</v>
      </c>
      <c r="E1251" s="171">
        <v>1.4527925000000001E-2</v>
      </c>
      <c r="F1251" s="171">
        <v>0</v>
      </c>
      <c r="G1251" s="172">
        <v>1</v>
      </c>
      <c r="H1251" s="171">
        <f>tbTransactions[[#This Row],[Qty]]*tbTransactions[[#This Row],[Unit Cost]]*tbTransactions[[#This Row],[Exchange Rate]]</f>
        <v>0</v>
      </c>
      <c r="I1251" s="148" t="s">
        <v>542</v>
      </c>
      <c r="J1251" s="176" t="s">
        <v>22</v>
      </c>
      <c r="K1251" s="163" t="str">
        <f>IF(tbTransactions[[#This Row],[Sub-Type]]="Transfer","Neutral",IF(tbTransactions[[#This Row],[Qty]]&lt;0,"Debit",IF(tbTransactions[[#This Row],[Qty]]&gt;0,"Credit","Neutral")))</f>
        <v>Credit</v>
      </c>
      <c r="L1251" s="163" t="s">
        <v>518</v>
      </c>
      <c r="M1251" s="171" t="s">
        <v>556</v>
      </c>
    </row>
    <row r="1252" spans="3:13" ht="30" customHeight="1" x14ac:dyDescent="0.25">
      <c r="C1252" s="175">
        <v>1251</v>
      </c>
      <c r="D1252" s="163">
        <v>44962</v>
      </c>
      <c r="E1252" s="171">
        <v>5.8551929999999999E-3</v>
      </c>
      <c r="F1252" s="171">
        <v>0</v>
      </c>
      <c r="G1252" s="172">
        <v>1</v>
      </c>
      <c r="H1252" s="171">
        <f>tbTransactions[[#This Row],[Qty]]*tbTransactions[[#This Row],[Unit Cost]]*tbTransactions[[#This Row],[Exchange Rate]]</f>
        <v>0</v>
      </c>
      <c r="I1252" s="148" t="s">
        <v>540</v>
      </c>
      <c r="J1252" s="176" t="s">
        <v>22</v>
      </c>
      <c r="K1252" s="163" t="str">
        <f>IF(tbTransactions[[#This Row],[Sub-Type]]="Transfer","Neutral",IF(tbTransactions[[#This Row],[Qty]]&lt;0,"Debit",IF(tbTransactions[[#This Row],[Qty]]&gt;0,"Credit","Neutral")))</f>
        <v>Credit</v>
      </c>
      <c r="L1252" s="163" t="s">
        <v>518</v>
      </c>
      <c r="M1252" s="171" t="s">
        <v>556</v>
      </c>
    </row>
    <row r="1253" spans="3:13" ht="30" customHeight="1" x14ac:dyDescent="0.25">
      <c r="C1253" s="175">
        <v>1252</v>
      </c>
      <c r="D1253" s="163">
        <v>44966</v>
      </c>
      <c r="E1253" s="171">
        <v>0.13714984</v>
      </c>
      <c r="F1253" s="171">
        <v>0</v>
      </c>
      <c r="G1253" s="172">
        <v>1</v>
      </c>
      <c r="H1253" s="171">
        <f>tbTransactions[[#This Row],[Qty]]*tbTransactions[[#This Row],[Unit Cost]]*tbTransactions[[#This Row],[Exchange Rate]]</f>
        <v>0</v>
      </c>
      <c r="I1253" s="148" t="s">
        <v>540</v>
      </c>
      <c r="J1253" s="176" t="s">
        <v>20</v>
      </c>
      <c r="K1253" s="163" t="str">
        <f>IF(tbTransactions[[#This Row],[Sub-Type]]="Transfer","Neutral",IF(tbTransactions[[#This Row],[Qty]]&lt;0,"Debit",IF(tbTransactions[[#This Row],[Qty]]&gt;0,"Credit","Neutral")))</f>
        <v>Credit</v>
      </c>
      <c r="L1253" s="163" t="s">
        <v>518</v>
      </c>
      <c r="M1253" s="171" t="s">
        <v>465</v>
      </c>
    </row>
    <row r="1254" spans="3:13" ht="30" customHeight="1" x14ac:dyDescent="0.25">
      <c r="C1254" s="175">
        <v>1253</v>
      </c>
      <c r="D1254" s="163">
        <v>44969</v>
      </c>
      <c r="E1254" s="171">
        <v>1.4535199E-2</v>
      </c>
      <c r="F1254" s="171">
        <v>0</v>
      </c>
      <c r="G1254" s="172">
        <v>1</v>
      </c>
      <c r="H1254" s="171">
        <f>tbTransactions[[#This Row],[Qty]]*tbTransactions[[#This Row],[Unit Cost]]*tbTransactions[[#This Row],[Exchange Rate]]</f>
        <v>0</v>
      </c>
      <c r="I1254" s="148" t="s">
        <v>542</v>
      </c>
      <c r="J1254" s="176" t="s">
        <v>22</v>
      </c>
      <c r="K1254" s="163" t="str">
        <f>IF(tbTransactions[[#This Row],[Sub-Type]]="Transfer","Neutral",IF(tbTransactions[[#This Row],[Qty]]&lt;0,"Debit",IF(tbTransactions[[#This Row],[Qty]]&gt;0,"Credit","Neutral")))</f>
        <v>Credit</v>
      </c>
      <c r="L1254" s="163" t="s">
        <v>518</v>
      </c>
      <c r="M1254" s="171" t="s">
        <v>556</v>
      </c>
    </row>
    <row r="1255" spans="3:13" ht="30" customHeight="1" x14ac:dyDescent="0.25">
      <c r="C1255" s="175">
        <v>1254</v>
      </c>
      <c r="D1255" s="163">
        <v>44969</v>
      </c>
      <c r="E1255" s="171">
        <v>5.780678E-3</v>
      </c>
      <c r="F1255" s="171">
        <v>0</v>
      </c>
      <c r="G1255" s="172">
        <v>1</v>
      </c>
      <c r="H1255" s="171">
        <f>tbTransactions[[#This Row],[Qty]]*tbTransactions[[#This Row],[Unit Cost]]*tbTransactions[[#This Row],[Exchange Rate]]</f>
        <v>0</v>
      </c>
      <c r="I1255" s="148" t="s">
        <v>540</v>
      </c>
      <c r="J1255" s="176" t="s">
        <v>22</v>
      </c>
      <c r="K1255" s="163" t="str">
        <f>IF(tbTransactions[[#This Row],[Sub-Type]]="Transfer","Neutral",IF(tbTransactions[[#This Row],[Qty]]&lt;0,"Debit",IF(tbTransactions[[#This Row],[Qty]]&gt;0,"Credit","Neutral")))</f>
        <v>Credit</v>
      </c>
      <c r="L1255" s="163" t="s">
        <v>518</v>
      </c>
      <c r="M1255" s="171" t="s">
        <v>556</v>
      </c>
    </row>
    <row r="1256" spans="3:13" ht="30" customHeight="1" x14ac:dyDescent="0.25">
      <c r="C1256" s="175">
        <v>1255</v>
      </c>
      <c r="D1256" s="163">
        <v>44968</v>
      </c>
      <c r="E1256" s="171">
        <v>0.592032</v>
      </c>
      <c r="F1256" s="171">
        <v>0</v>
      </c>
      <c r="G1256" s="172">
        <v>1</v>
      </c>
      <c r="H1256" s="171">
        <f>tbTransactions[[#This Row],[Qty]]*tbTransactions[[#This Row],[Unit Cost]]*tbTransactions[[#This Row],[Exchange Rate]]</f>
        <v>0</v>
      </c>
      <c r="I1256" s="148" t="s">
        <v>431</v>
      </c>
      <c r="J1256" s="176" t="s">
        <v>18</v>
      </c>
      <c r="K1256" s="163" t="str">
        <f>IF(tbTransactions[[#This Row],[Sub-Type]]="Transfer","Neutral",IF(tbTransactions[[#This Row],[Qty]]&lt;0,"Debit",IF(tbTransactions[[#This Row],[Qty]]&gt;0,"Credit","Neutral")))</f>
        <v>Credit</v>
      </c>
      <c r="L1256" s="163" t="s">
        <v>518</v>
      </c>
      <c r="M1256" s="171" t="s">
        <v>40</v>
      </c>
    </row>
    <row r="1257" spans="3:13" ht="30" customHeight="1" x14ac:dyDescent="0.25">
      <c r="C1257" s="175">
        <v>1256</v>
      </c>
      <c r="D1257" s="163">
        <v>44971</v>
      </c>
      <c r="E1257" s="171">
        <v>200</v>
      </c>
      <c r="F1257" s="171">
        <v>1</v>
      </c>
      <c r="G1257" s="172">
        <v>1</v>
      </c>
      <c r="H1257" s="171">
        <f>tbTransactions[[#This Row],[Qty]]*tbTransactions[[#This Row],[Unit Cost]]*tbTransactions[[#This Row],[Exchange Rate]]</f>
        <v>200</v>
      </c>
      <c r="I1257" s="148" t="s">
        <v>724</v>
      </c>
      <c r="J1257" s="176" t="s">
        <v>411</v>
      </c>
      <c r="K1257" s="163" t="str">
        <f>IF(tbTransactions[[#This Row],[Sub-Type]]="Transfer","Neutral",IF(tbTransactions[[#This Row],[Qty]]&lt;0,"Debit",IF(tbTransactions[[#This Row],[Qty]]&gt;0,"Credit","Neutral")))</f>
        <v>Credit</v>
      </c>
      <c r="L1257" s="163" t="s">
        <v>502</v>
      </c>
      <c r="M1257" s="171" t="s">
        <v>836</v>
      </c>
    </row>
    <row r="1258" spans="3:13" ht="30" customHeight="1" x14ac:dyDescent="0.25">
      <c r="C1258" s="175">
        <v>1257</v>
      </c>
      <c r="D1258" s="163">
        <v>44971</v>
      </c>
      <c r="E1258" s="171">
        <v>-248.16</v>
      </c>
      <c r="F1258" s="171">
        <v>1</v>
      </c>
      <c r="G1258" s="172">
        <v>1</v>
      </c>
      <c r="H1258" s="171">
        <f>tbTransactions[[#This Row],[Qty]]*tbTransactions[[#This Row],[Unit Cost]]*tbTransactions[[#This Row],[Exchange Rate]]</f>
        <v>-248.16</v>
      </c>
      <c r="I1258" s="148" t="s">
        <v>724</v>
      </c>
      <c r="J1258" s="176" t="s">
        <v>411</v>
      </c>
      <c r="K1258" s="163" t="str">
        <f>IF(tbTransactions[[#This Row],[Sub-Type]]="Transfer","Neutral",IF(tbTransactions[[#This Row],[Qty]]&lt;0,"Debit",IF(tbTransactions[[#This Row],[Qty]]&gt;0,"Credit","Neutral")))</f>
        <v>Debit</v>
      </c>
      <c r="L1258" s="163" t="s">
        <v>522</v>
      </c>
      <c r="M1258" s="171" t="s">
        <v>826</v>
      </c>
    </row>
    <row r="1259" spans="3:13" ht="30" customHeight="1" x14ac:dyDescent="0.25">
      <c r="C1259" s="175">
        <v>1258</v>
      </c>
      <c r="D1259" s="163">
        <v>44971</v>
      </c>
      <c r="E1259" s="171">
        <v>33</v>
      </c>
      <c r="F1259" s="171">
        <v>7.52</v>
      </c>
      <c r="G1259" s="172">
        <v>1</v>
      </c>
      <c r="H1259" s="171">
        <f>tbTransactions[[#This Row],[Qty]]*tbTransactions[[#This Row],[Unit Cost]]*tbTransactions[[#This Row],[Exchange Rate]]</f>
        <v>248.16</v>
      </c>
      <c r="I1259" s="148" t="s">
        <v>724</v>
      </c>
      <c r="J1259" s="176" t="s">
        <v>762</v>
      </c>
      <c r="K1259" s="163" t="str">
        <f>IF(tbTransactions[[#This Row],[Sub-Type]]="Transfer","Neutral",IF(tbTransactions[[#This Row],[Qty]]&lt;0,"Debit",IF(tbTransactions[[#This Row],[Qty]]&gt;0,"Credit","Neutral")))</f>
        <v>Credit</v>
      </c>
      <c r="L1259" s="163" t="s">
        <v>740</v>
      </c>
      <c r="M1259" s="171" t="s">
        <v>826</v>
      </c>
    </row>
    <row r="1260" spans="3:13" ht="30" customHeight="1" x14ac:dyDescent="0.25">
      <c r="C1260" s="175">
        <v>1259</v>
      </c>
      <c r="D1260" s="163">
        <v>44973</v>
      </c>
      <c r="E1260" s="171">
        <v>-500</v>
      </c>
      <c r="F1260" s="171">
        <v>22.1</v>
      </c>
      <c r="G1260" s="172">
        <v>1</v>
      </c>
      <c r="H1260" s="171">
        <f>tbTransactions[[#This Row],[Qty]]*tbTransactions[[#This Row],[Unit Cost]]*tbTransactions[[#This Row],[Exchange Rate]]</f>
        <v>-11050</v>
      </c>
      <c r="I1260" s="148" t="s">
        <v>714</v>
      </c>
      <c r="J1260" s="176" t="s">
        <v>41</v>
      </c>
      <c r="K1260" s="163" t="str">
        <f>IF(tbTransactions[[#This Row],[Sub-Type]]="Transfer","Neutral",IF(tbTransactions[[#This Row],[Qty]]&lt;0,"Debit",IF(tbTransactions[[#This Row],[Qty]]&gt;0,"Credit","Neutral")))</f>
        <v>Debit</v>
      </c>
      <c r="L1260" s="163" t="s">
        <v>711</v>
      </c>
      <c r="M1260" s="171" t="s">
        <v>582</v>
      </c>
    </row>
    <row r="1261" spans="3:13" ht="30" customHeight="1" x14ac:dyDescent="0.25">
      <c r="C1261" s="175">
        <v>1260</v>
      </c>
      <c r="D1261" s="163">
        <v>44973</v>
      </c>
      <c r="E1261" s="171">
        <v>11050</v>
      </c>
      <c r="F1261" s="171">
        <v>1</v>
      </c>
      <c r="G1261" s="172">
        <v>1</v>
      </c>
      <c r="H1261" s="171">
        <f>tbTransactions[[#This Row],[Qty]]*tbTransactions[[#This Row],[Unit Cost]]*tbTransactions[[#This Row],[Exchange Rate]]</f>
        <v>11050</v>
      </c>
      <c r="I1261" s="148" t="s">
        <v>714</v>
      </c>
      <c r="J1261" s="176" t="s">
        <v>408</v>
      </c>
      <c r="K1261" s="163" t="str">
        <f>IF(tbTransactions[[#This Row],[Sub-Type]]="Transfer","Neutral",IF(tbTransactions[[#This Row],[Qty]]&lt;0,"Debit",IF(tbTransactions[[#This Row],[Qty]]&gt;0,"Credit","Neutral")))</f>
        <v>Credit</v>
      </c>
      <c r="L1261" s="163" t="s">
        <v>711</v>
      </c>
      <c r="M1261" s="171" t="s">
        <v>582</v>
      </c>
    </row>
    <row r="1262" spans="3:13" ht="30" customHeight="1" x14ac:dyDescent="0.25">
      <c r="C1262" s="175">
        <v>1261</v>
      </c>
      <c r="D1262" s="163">
        <v>44973</v>
      </c>
      <c r="E1262" s="171">
        <v>0.13733134</v>
      </c>
      <c r="F1262" s="171">
        <v>0</v>
      </c>
      <c r="G1262" s="172">
        <v>1</v>
      </c>
      <c r="H1262" s="171">
        <f>tbTransactions[[#This Row],[Qty]]*tbTransactions[[#This Row],[Unit Cost]]*tbTransactions[[#This Row],[Exchange Rate]]</f>
        <v>0</v>
      </c>
      <c r="I1262" s="148" t="s">
        <v>540</v>
      </c>
      <c r="J1262" s="176" t="s">
        <v>20</v>
      </c>
      <c r="K1262" s="163" t="str">
        <f>IF(tbTransactions[[#This Row],[Sub-Type]]="Transfer","Neutral",IF(tbTransactions[[#This Row],[Qty]]&lt;0,"Debit",IF(tbTransactions[[#This Row],[Qty]]&gt;0,"Credit","Neutral")))</f>
        <v>Credit</v>
      </c>
      <c r="L1262" s="163" t="s">
        <v>518</v>
      </c>
      <c r="M1262" s="171" t="s">
        <v>465</v>
      </c>
    </row>
    <row r="1263" spans="3:13" ht="30" customHeight="1" x14ac:dyDescent="0.25">
      <c r="C1263" s="175">
        <v>1262</v>
      </c>
      <c r="D1263" s="163">
        <v>44976</v>
      </c>
      <c r="E1263" s="171">
        <v>1.4470482999999999E-2</v>
      </c>
      <c r="F1263" s="171">
        <v>0</v>
      </c>
      <c r="G1263" s="172">
        <v>1</v>
      </c>
      <c r="H1263" s="171">
        <f>tbTransactions[[#This Row],[Qty]]*tbTransactions[[#This Row],[Unit Cost]]*tbTransactions[[#This Row],[Exchange Rate]]</f>
        <v>0</v>
      </c>
      <c r="I1263" s="148" t="s">
        <v>542</v>
      </c>
      <c r="J1263" s="176" t="s">
        <v>22</v>
      </c>
      <c r="K1263" s="163" t="str">
        <f>IF(tbTransactions[[#This Row],[Sub-Type]]="Transfer","Neutral",IF(tbTransactions[[#This Row],[Qty]]&lt;0,"Debit",IF(tbTransactions[[#This Row],[Qty]]&gt;0,"Credit","Neutral")))</f>
        <v>Credit</v>
      </c>
      <c r="L1263" s="163" t="s">
        <v>518</v>
      </c>
      <c r="M1263" s="171" t="s">
        <v>556</v>
      </c>
    </row>
    <row r="1264" spans="3:13" ht="30" customHeight="1" x14ac:dyDescent="0.25">
      <c r="C1264" s="175">
        <v>1263</v>
      </c>
      <c r="D1264" s="163">
        <v>44976</v>
      </c>
      <c r="E1264" s="171">
        <v>6.7537140000000001E-3</v>
      </c>
      <c r="F1264" s="171">
        <v>0</v>
      </c>
      <c r="G1264" s="172">
        <v>1</v>
      </c>
      <c r="H1264" s="171">
        <f>tbTransactions[[#This Row],[Qty]]*tbTransactions[[#This Row],[Unit Cost]]*tbTransactions[[#This Row],[Exchange Rate]]</f>
        <v>0</v>
      </c>
      <c r="I1264" s="148" t="s">
        <v>540</v>
      </c>
      <c r="J1264" s="176" t="s">
        <v>22</v>
      </c>
      <c r="K1264" s="163" t="str">
        <f>IF(tbTransactions[[#This Row],[Sub-Type]]="Transfer","Neutral",IF(tbTransactions[[#This Row],[Qty]]&lt;0,"Debit",IF(tbTransactions[[#This Row],[Qty]]&gt;0,"Credit","Neutral")))</f>
        <v>Credit</v>
      </c>
      <c r="L1264" s="163" t="s">
        <v>518</v>
      </c>
      <c r="M1264" s="171" t="s">
        <v>556</v>
      </c>
    </row>
    <row r="1265" spans="3:13" ht="30" customHeight="1" x14ac:dyDescent="0.25">
      <c r="C1265" s="175">
        <v>1264</v>
      </c>
      <c r="D1265" s="163">
        <v>44979</v>
      </c>
      <c r="E1265" s="171">
        <v>500</v>
      </c>
      <c r="F1265" s="171">
        <v>1</v>
      </c>
      <c r="G1265" s="172">
        <v>1</v>
      </c>
      <c r="H1265" s="171">
        <f>tbTransactions[[#This Row],[Qty]]*tbTransactions[[#This Row],[Unit Cost]]*tbTransactions[[#This Row],[Exchange Rate]]</f>
        <v>500</v>
      </c>
      <c r="I1265" s="148" t="s">
        <v>714</v>
      </c>
      <c r="J1265" s="176" t="s">
        <v>411</v>
      </c>
      <c r="K1265" s="163" t="str">
        <f>IF(tbTransactions[[#This Row],[Sub-Type]]="Transfer","Neutral",IF(tbTransactions[[#This Row],[Qty]]&lt;0,"Debit",IF(tbTransactions[[#This Row],[Qty]]&gt;0,"Credit","Neutral")))</f>
        <v>Credit</v>
      </c>
      <c r="L1265" s="163" t="s">
        <v>502</v>
      </c>
      <c r="M1265" s="171" t="s">
        <v>825</v>
      </c>
    </row>
    <row r="1266" spans="3:13" ht="30" customHeight="1" x14ac:dyDescent="0.25">
      <c r="C1266" s="175">
        <v>1265</v>
      </c>
      <c r="D1266" s="163">
        <v>44979</v>
      </c>
      <c r="E1266" s="171">
        <v>65</v>
      </c>
      <c r="F1266" s="171">
        <v>7.91</v>
      </c>
      <c r="G1266" s="172">
        <v>1</v>
      </c>
      <c r="H1266" s="171">
        <f>tbTransactions[[#This Row],[Qty]]*tbTransactions[[#This Row],[Unit Cost]]*tbTransactions[[#This Row],[Exchange Rate]]</f>
        <v>514.15</v>
      </c>
      <c r="I1266" s="148" t="s">
        <v>714</v>
      </c>
      <c r="J1266" s="176" t="s">
        <v>762</v>
      </c>
      <c r="K1266" s="163" t="str">
        <f>IF(tbTransactions[[#This Row],[Sub-Type]]="Transfer","Neutral",IF(tbTransactions[[#This Row],[Qty]]&lt;0,"Debit",IF(tbTransactions[[#This Row],[Qty]]&gt;0,"Credit","Neutral")))</f>
        <v>Credit</v>
      </c>
      <c r="L1266" s="163" t="s">
        <v>740</v>
      </c>
      <c r="M1266" s="171" t="s">
        <v>825</v>
      </c>
    </row>
    <row r="1267" spans="3:13" ht="30" customHeight="1" x14ac:dyDescent="0.25">
      <c r="C1267" s="175">
        <v>1266</v>
      </c>
      <c r="D1267" s="163">
        <v>44979</v>
      </c>
      <c r="E1267" s="171">
        <v>-514.15</v>
      </c>
      <c r="F1267" s="171">
        <v>1</v>
      </c>
      <c r="G1267" s="172">
        <v>1</v>
      </c>
      <c r="H1267" s="171">
        <f>tbTransactions[[#This Row],[Qty]]*tbTransactions[[#This Row],[Unit Cost]]*tbTransactions[[#This Row],[Exchange Rate]]</f>
        <v>-514.15</v>
      </c>
      <c r="I1267" s="148" t="s">
        <v>714</v>
      </c>
      <c r="J1267" s="176" t="s">
        <v>411</v>
      </c>
      <c r="K1267" s="163" t="str">
        <f>IF(tbTransactions[[#This Row],[Sub-Type]]="Transfer","Neutral",IF(tbTransactions[[#This Row],[Qty]]&lt;0,"Debit",IF(tbTransactions[[#This Row],[Qty]]&gt;0,"Credit","Neutral")))</f>
        <v>Debit</v>
      </c>
      <c r="L1267" s="163" t="s">
        <v>522</v>
      </c>
      <c r="M1267" s="171" t="s">
        <v>825</v>
      </c>
    </row>
    <row r="1268" spans="3:13" ht="30" customHeight="1" x14ac:dyDescent="0.25">
      <c r="C1268" s="175">
        <v>1267</v>
      </c>
      <c r="D1268" s="163">
        <v>44980</v>
      </c>
      <c r="E1268" s="171">
        <v>554</v>
      </c>
      <c r="F1268" s="171">
        <v>19.89</v>
      </c>
      <c r="G1268" s="172">
        <v>1</v>
      </c>
      <c r="H1268" s="171">
        <f>tbTransactions[[#This Row],[Qty]]*tbTransactions[[#This Row],[Unit Cost]]*tbTransactions[[#This Row],[Exchange Rate]]</f>
        <v>11019.06</v>
      </c>
      <c r="I1268" s="148" t="s">
        <v>714</v>
      </c>
      <c r="J1268" s="176" t="s">
        <v>41</v>
      </c>
      <c r="K1268" s="163" t="str">
        <f>IF(tbTransactions[[#This Row],[Sub-Type]]="Transfer","Neutral",IF(tbTransactions[[#This Row],[Qty]]&lt;0,"Debit",IF(tbTransactions[[#This Row],[Qty]]&gt;0,"Credit","Neutral")))</f>
        <v>Credit</v>
      </c>
      <c r="L1268" s="163" t="s">
        <v>740</v>
      </c>
      <c r="M1268" s="171" t="s">
        <v>839</v>
      </c>
    </row>
    <row r="1269" spans="3:13" ht="30" customHeight="1" x14ac:dyDescent="0.25">
      <c r="C1269" s="175">
        <v>1268</v>
      </c>
      <c r="D1269" s="163">
        <v>44980</v>
      </c>
      <c r="E1269" s="171">
        <v>-11019.06</v>
      </c>
      <c r="F1269" s="171">
        <v>1</v>
      </c>
      <c r="G1269" s="172">
        <v>1</v>
      </c>
      <c r="H1269" s="171">
        <f>tbTransactions[[#This Row],[Qty]]*tbTransactions[[#This Row],[Unit Cost]]*tbTransactions[[#This Row],[Exchange Rate]]</f>
        <v>-11019.06</v>
      </c>
      <c r="I1269" s="148" t="s">
        <v>714</v>
      </c>
      <c r="J1269" s="176" t="s">
        <v>411</v>
      </c>
      <c r="K1269" s="163" t="str">
        <f>IF(tbTransactions[[#This Row],[Sub-Type]]="Transfer","Neutral",IF(tbTransactions[[#This Row],[Qty]]&lt;0,"Debit",IF(tbTransactions[[#This Row],[Qty]]&gt;0,"Credit","Neutral")))</f>
        <v>Debit</v>
      </c>
      <c r="L1269" s="163" t="s">
        <v>522</v>
      </c>
      <c r="M1269" s="171" t="s">
        <v>839</v>
      </c>
    </row>
    <row r="1270" spans="3:13" ht="30" customHeight="1" x14ac:dyDescent="0.25">
      <c r="C1270" s="175">
        <v>1269</v>
      </c>
      <c r="D1270" s="163">
        <v>44980</v>
      </c>
      <c r="E1270" s="171">
        <v>0.13751673</v>
      </c>
      <c r="F1270" s="171">
        <v>0</v>
      </c>
      <c r="G1270" s="172">
        <v>1</v>
      </c>
      <c r="H1270" s="171">
        <f>tbTransactions[[#This Row],[Qty]]*tbTransactions[[#This Row],[Unit Cost]]*tbTransactions[[#This Row],[Exchange Rate]]</f>
        <v>0</v>
      </c>
      <c r="I1270" s="148" t="s">
        <v>540</v>
      </c>
      <c r="J1270" s="176" t="s">
        <v>20</v>
      </c>
      <c r="K1270" s="163" t="str">
        <f>IF(tbTransactions[[#This Row],[Sub-Type]]="Transfer","Neutral",IF(tbTransactions[[#This Row],[Qty]]&lt;0,"Debit",IF(tbTransactions[[#This Row],[Qty]]&gt;0,"Credit","Neutral")))</f>
        <v>Credit</v>
      </c>
      <c r="L1270" s="163" t="s">
        <v>518</v>
      </c>
      <c r="M1270" s="171" t="s">
        <v>465</v>
      </c>
    </row>
    <row r="1271" spans="3:13" ht="30" customHeight="1" x14ac:dyDescent="0.25">
      <c r="C1271" s="175">
        <v>1270</v>
      </c>
      <c r="D1271" s="163">
        <v>44983</v>
      </c>
      <c r="E1271" s="171">
        <v>1.4285625999999999E-2</v>
      </c>
      <c r="F1271" s="171">
        <v>0</v>
      </c>
      <c r="G1271" s="172">
        <v>1</v>
      </c>
      <c r="H1271" s="171">
        <f>tbTransactions[[#This Row],[Qty]]*tbTransactions[[#This Row],[Unit Cost]]*tbTransactions[[#This Row],[Exchange Rate]]</f>
        <v>0</v>
      </c>
      <c r="I1271" s="148" t="s">
        <v>542</v>
      </c>
      <c r="J1271" s="176" t="s">
        <v>22</v>
      </c>
      <c r="K1271" s="163" t="str">
        <f>IF(tbTransactions[[#This Row],[Sub-Type]]="Transfer","Neutral",IF(tbTransactions[[#This Row],[Qty]]&lt;0,"Debit",IF(tbTransactions[[#This Row],[Qty]]&gt;0,"Credit","Neutral")))</f>
        <v>Credit</v>
      </c>
      <c r="L1271" s="163" t="s">
        <v>518</v>
      </c>
      <c r="M1271" s="171" t="s">
        <v>556</v>
      </c>
    </row>
    <row r="1272" spans="3:13" ht="30" customHeight="1" x14ac:dyDescent="0.25">
      <c r="C1272" s="175">
        <v>1271</v>
      </c>
      <c r="D1272" s="163">
        <v>44983</v>
      </c>
      <c r="E1272" s="171">
        <v>6.0194230000000003E-3</v>
      </c>
      <c r="F1272" s="171">
        <v>0</v>
      </c>
      <c r="G1272" s="172">
        <v>1</v>
      </c>
      <c r="H1272" s="171">
        <f>tbTransactions[[#This Row],[Qty]]*tbTransactions[[#This Row],[Unit Cost]]*tbTransactions[[#This Row],[Exchange Rate]]</f>
        <v>0</v>
      </c>
      <c r="I1272" s="148" t="s">
        <v>540</v>
      </c>
      <c r="J1272" s="176" t="s">
        <v>22</v>
      </c>
      <c r="K1272" s="163" t="str">
        <f>IF(tbTransactions[[#This Row],[Sub-Type]]="Transfer","Neutral",IF(tbTransactions[[#This Row],[Qty]]&lt;0,"Debit",IF(tbTransactions[[#This Row],[Qty]]&gt;0,"Credit","Neutral")))</f>
        <v>Credit</v>
      </c>
      <c r="L1272" s="163" t="s">
        <v>518</v>
      </c>
      <c r="M1272" s="171" t="s">
        <v>556</v>
      </c>
    </row>
    <row r="1273" spans="3:13" ht="30" customHeight="1" x14ac:dyDescent="0.25">
      <c r="C1273" s="175">
        <v>1272</v>
      </c>
      <c r="D1273" s="163">
        <v>44983</v>
      </c>
      <c r="E1273" s="171">
        <v>0.61790400000000001</v>
      </c>
      <c r="F1273" s="171">
        <v>0</v>
      </c>
      <c r="G1273" s="172">
        <v>1</v>
      </c>
      <c r="H1273" s="171">
        <f>tbTransactions[[#This Row],[Qty]]*tbTransactions[[#This Row],[Unit Cost]]*tbTransactions[[#This Row],[Exchange Rate]]</f>
        <v>0</v>
      </c>
      <c r="I1273" s="148" t="s">
        <v>431</v>
      </c>
      <c r="J1273" s="176" t="s">
        <v>18</v>
      </c>
      <c r="K1273" s="163" t="str">
        <f>IF(tbTransactions[[#This Row],[Sub-Type]]="Transfer","Neutral",IF(tbTransactions[[#This Row],[Qty]]&lt;0,"Debit",IF(tbTransactions[[#This Row],[Qty]]&gt;0,"Credit","Neutral")))</f>
        <v>Credit</v>
      </c>
      <c r="L1273" s="163" t="s">
        <v>518</v>
      </c>
      <c r="M1273" s="171" t="s">
        <v>40</v>
      </c>
    </row>
    <row r="1274" spans="3:13" ht="30" customHeight="1" x14ac:dyDescent="0.25">
      <c r="C1274" s="175">
        <v>1273</v>
      </c>
      <c r="D1274" s="163">
        <v>44987</v>
      </c>
      <c r="E1274" s="171">
        <v>0.13769877999999999</v>
      </c>
      <c r="F1274" s="171">
        <v>0</v>
      </c>
      <c r="G1274" s="172">
        <v>1</v>
      </c>
      <c r="H1274" s="171">
        <f>tbTransactions[[#This Row],[Qty]]*tbTransactions[[#This Row],[Unit Cost]]*tbTransactions[[#This Row],[Exchange Rate]]</f>
        <v>0</v>
      </c>
      <c r="I1274" s="148" t="s">
        <v>540</v>
      </c>
      <c r="J1274" s="176" t="s">
        <v>20</v>
      </c>
      <c r="K1274" s="163" t="str">
        <f>IF(tbTransactions[[#This Row],[Sub-Type]]="Transfer","Neutral",IF(tbTransactions[[#This Row],[Qty]]&lt;0,"Debit",IF(tbTransactions[[#This Row],[Qty]]&gt;0,"Credit","Neutral")))</f>
        <v>Credit</v>
      </c>
      <c r="L1274" s="163" t="s">
        <v>518</v>
      </c>
      <c r="M1274" s="171" t="s">
        <v>465</v>
      </c>
    </row>
    <row r="1275" spans="3:13" ht="30" customHeight="1" x14ac:dyDescent="0.25">
      <c r="C1275" s="175">
        <v>1274</v>
      </c>
      <c r="D1275" s="163">
        <v>44990</v>
      </c>
      <c r="E1275" s="171">
        <v>1.4291718E-2</v>
      </c>
      <c r="F1275" s="171">
        <v>0</v>
      </c>
      <c r="G1275" s="172">
        <v>1</v>
      </c>
      <c r="H1275" s="171">
        <f>tbTransactions[[#This Row],[Qty]]*tbTransactions[[#This Row],[Unit Cost]]*tbTransactions[[#This Row],[Exchange Rate]]</f>
        <v>0</v>
      </c>
      <c r="I1275" s="148" t="s">
        <v>542</v>
      </c>
      <c r="J1275" s="176" t="s">
        <v>22</v>
      </c>
      <c r="K1275" s="163" t="str">
        <f>IF(tbTransactions[[#This Row],[Sub-Type]]="Transfer","Neutral",IF(tbTransactions[[#This Row],[Qty]]&lt;0,"Debit",IF(tbTransactions[[#This Row],[Qty]]&gt;0,"Credit","Neutral")))</f>
        <v>Credit</v>
      </c>
      <c r="L1275" s="163" t="s">
        <v>518</v>
      </c>
      <c r="M1275" s="171" t="s">
        <v>556</v>
      </c>
    </row>
    <row r="1276" spans="3:13" ht="30" customHeight="1" x14ac:dyDescent="0.25">
      <c r="C1276" s="175">
        <v>1275</v>
      </c>
      <c r="D1276" s="163">
        <v>44990</v>
      </c>
      <c r="E1276" s="171">
        <v>5.8447159999999998E-3</v>
      </c>
      <c r="F1276" s="171">
        <v>0</v>
      </c>
      <c r="G1276" s="172">
        <v>1</v>
      </c>
      <c r="H1276" s="171">
        <f>tbTransactions[[#This Row],[Qty]]*tbTransactions[[#This Row],[Unit Cost]]*tbTransactions[[#This Row],[Exchange Rate]]</f>
        <v>0</v>
      </c>
      <c r="I1276" s="148" t="s">
        <v>540</v>
      </c>
      <c r="J1276" s="176" t="s">
        <v>22</v>
      </c>
      <c r="K1276" s="163" t="str">
        <f>IF(tbTransactions[[#This Row],[Sub-Type]]="Transfer","Neutral",IF(tbTransactions[[#This Row],[Qty]]&lt;0,"Debit",IF(tbTransactions[[#This Row],[Qty]]&gt;0,"Credit","Neutral")))</f>
        <v>Credit</v>
      </c>
      <c r="L1276" s="163" t="s">
        <v>518</v>
      </c>
      <c r="M1276" s="171" t="s">
        <v>556</v>
      </c>
    </row>
    <row r="1277" spans="3:13" ht="30" customHeight="1" x14ac:dyDescent="0.25">
      <c r="C1277" s="175">
        <v>1276</v>
      </c>
      <c r="D1277" s="163">
        <v>44992</v>
      </c>
      <c r="E1277" s="171">
        <v>500</v>
      </c>
      <c r="F1277" s="171">
        <v>1</v>
      </c>
      <c r="G1277" s="172">
        <v>1</v>
      </c>
      <c r="H1277" s="171">
        <f>tbTransactions[[#This Row],[Qty]]*tbTransactions[[#This Row],[Unit Cost]]*tbTransactions[[#This Row],[Exchange Rate]]</f>
        <v>500</v>
      </c>
      <c r="I1277" s="148" t="s">
        <v>714</v>
      </c>
      <c r="J1277" s="176" t="s">
        <v>411</v>
      </c>
      <c r="K1277" s="163" t="str">
        <f>IF(tbTransactions[[#This Row],[Sub-Type]]="Transfer","Neutral",IF(tbTransactions[[#This Row],[Qty]]&lt;0,"Debit",IF(tbTransactions[[#This Row],[Qty]]&gt;0,"Credit","Neutral")))</f>
        <v>Credit</v>
      </c>
      <c r="L1277" s="163" t="s">
        <v>502</v>
      </c>
      <c r="M1277" s="171" t="s">
        <v>825</v>
      </c>
    </row>
    <row r="1278" spans="3:13" ht="30" customHeight="1" x14ac:dyDescent="0.25">
      <c r="C1278" s="175">
        <v>1277</v>
      </c>
      <c r="D1278" s="163">
        <v>44992</v>
      </c>
      <c r="E1278" s="171">
        <v>-496</v>
      </c>
      <c r="F1278" s="171">
        <v>1</v>
      </c>
      <c r="G1278" s="172">
        <v>1</v>
      </c>
      <c r="H1278" s="171">
        <f>tbTransactions[[#This Row],[Qty]]*tbTransactions[[#This Row],[Unit Cost]]*tbTransactions[[#This Row],[Exchange Rate]]</f>
        <v>-496</v>
      </c>
      <c r="I1278" s="148" t="s">
        <v>714</v>
      </c>
      <c r="J1278" s="176" t="s">
        <v>411</v>
      </c>
      <c r="K1278" s="163" t="str">
        <f>IF(tbTransactions[[#This Row],[Sub-Type]]="Transfer","Neutral",IF(tbTransactions[[#This Row],[Qty]]&lt;0,"Debit",IF(tbTransactions[[#This Row],[Qty]]&gt;0,"Credit","Neutral")))</f>
        <v>Debit</v>
      </c>
      <c r="L1278" s="163" t="s">
        <v>522</v>
      </c>
      <c r="M1278" s="171" t="s">
        <v>825</v>
      </c>
    </row>
    <row r="1279" spans="3:13" ht="30" customHeight="1" x14ac:dyDescent="0.25">
      <c r="C1279" s="175">
        <v>1278</v>
      </c>
      <c r="D1279" s="163">
        <v>44992</v>
      </c>
      <c r="E1279" s="171">
        <v>64</v>
      </c>
      <c r="F1279" s="171">
        <v>7.75</v>
      </c>
      <c r="G1279" s="172">
        <v>1</v>
      </c>
      <c r="H1279" s="171">
        <f>tbTransactions[[#This Row],[Qty]]*tbTransactions[[#This Row],[Unit Cost]]*tbTransactions[[#This Row],[Exchange Rate]]</f>
        <v>496</v>
      </c>
      <c r="I1279" s="148" t="s">
        <v>714</v>
      </c>
      <c r="J1279" s="176" t="s">
        <v>762</v>
      </c>
      <c r="K1279" s="163" t="str">
        <f>IF(tbTransactions[[#This Row],[Sub-Type]]="Transfer","Neutral",IF(tbTransactions[[#This Row],[Qty]]&lt;0,"Debit",IF(tbTransactions[[#This Row],[Qty]]&gt;0,"Credit","Neutral")))</f>
        <v>Credit</v>
      </c>
      <c r="L1279" s="163" t="s">
        <v>740</v>
      </c>
      <c r="M1279" s="171" t="s">
        <v>825</v>
      </c>
    </row>
    <row r="1280" spans="3:13" ht="30" customHeight="1" x14ac:dyDescent="0.25">
      <c r="C1280" s="175">
        <v>1279</v>
      </c>
      <c r="D1280" s="163">
        <v>44994</v>
      </c>
      <c r="E1280" s="171">
        <v>0.13788296999999999</v>
      </c>
      <c r="F1280" s="171">
        <v>0</v>
      </c>
      <c r="G1280" s="172">
        <v>1</v>
      </c>
      <c r="H1280" s="171">
        <f>tbTransactions[[#This Row],[Qty]]*tbTransactions[[#This Row],[Unit Cost]]*tbTransactions[[#This Row],[Exchange Rate]]</f>
        <v>0</v>
      </c>
      <c r="I1280" s="148" t="s">
        <v>540</v>
      </c>
      <c r="J1280" s="176" t="s">
        <v>20</v>
      </c>
      <c r="K1280" s="163" t="str">
        <f>IF(tbTransactions[[#This Row],[Sub-Type]]="Transfer","Neutral",IF(tbTransactions[[#This Row],[Qty]]&lt;0,"Debit",IF(tbTransactions[[#This Row],[Qty]]&gt;0,"Credit","Neutral")))</f>
        <v>Credit</v>
      </c>
      <c r="L1280" s="163" t="s">
        <v>518</v>
      </c>
      <c r="M1280" s="171" t="s">
        <v>465</v>
      </c>
    </row>
    <row r="1281" spans="3:13" ht="30" customHeight="1" x14ac:dyDescent="0.25">
      <c r="C1281" s="175">
        <v>1280</v>
      </c>
      <c r="D1281" s="163">
        <v>44997</v>
      </c>
      <c r="E1281" s="171">
        <v>1.4025266999999999E-2</v>
      </c>
      <c r="F1281" s="171">
        <v>0</v>
      </c>
      <c r="G1281" s="172">
        <v>1</v>
      </c>
      <c r="H1281" s="171">
        <f>tbTransactions[[#This Row],[Qty]]*tbTransactions[[#This Row],[Unit Cost]]*tbTransactions[[#This Row],[Exchange Rate]]</f>
        <v>0</v>
      </c>
      <c r="I1281" s="148" t="s">
        <v>542</v>
      </c>
      <c r="J1281" s="176" t="s">
        <v>22</v>
      </c>
      <c r="K1281" s="163" t="str">
        <f>IF(tbTransactions[[#This Row],[Sub-Type]]="Transfer","Neutral",IF(tbTransactions[[#This Row],[Qty]]&lt;0,"Debit",IF(tbTransactions[[#This Row],[Qty]]&gt;0,"Credit","Neutral")))</f>
        <v>Credit</v>
      </c>
      <c r="L1281" s="163" t="s">
        <v>518</v>
      </c>
      <c r="M1281" s="171" t="s">
        <v>556</v>
      </c>
    </row>
    <row r="1282" spans="3:13" ht="30" customHeight="1" x14ac:dyDescent="0.25">
      <c r="C1282" s="175">
        <v>1281</v>
      </c>
      <c r="D1282" s="163">
        <v>44997</v>
      </c>
      <c r="E1282" s="171">
        <v>1.254635E-2</v>
      </c>
      <c r="F1282" s="171">
        <v>0</v>
      </c>
      <c r="G1282" s="172">
        <v>1</v>
      </c>
      <c r="H1282" s="171">
        <f>tbTransactions[[#This Row],[Qty]]*tbTransactions[[#This Row],[Unit Cost]]*tbTransactions[[#This Row],[Exchange Rate]]</f>
        <v>0</v>
      </c>
      <c r="I1282" s="148" t="s">
        <v>540</v>
      </c>
      <c r="J1282" s="176" t="s">
        <v>22</v>
      </c>
      <c r="K1282" s="163" t="str">
        <f>IF(tbTransactions[[#This Row],[Sub-Type]]="Transfer","Neutral",IF(tbTransactions[[#This Row],[Qty]]&lt;0,"Debit",IF(tbTransactions[[#This Row],[Qty]]&gt;0,"Credit","Neutral")))</f>
        <v>Credit</v>
      </c>
      <c r="L1282" s="163" t="s">
        <v>518</v>
      </c>
      <c r="M1282" s="171" t="s">
        <v>556</v>
      </c>
    </row>
    <row r="1283" spans="3:13" ht="30" customHeight="1" x14ac:dyDescent="0.25">
      <c r="C1283" s="175">
        <v>1282</v>
      </c>
      <c r="D1283" s="163">
        <v>44996</v>
      </c>
      <c r="E1283" s="171">
        <v>0.66146099999999997</v>
      </c>
      <c r="F1283" s="171">
        <v>0</v>
      </c>
      <c r="G1283" s="172">
        <v>1</v>
      </c>
      <c r="H1283" s="171">
        <f>tbTransactions[[#This Row],[Qty]]*tbTransactions[[#This Row],[Unit Cost]]*tbTransactions[[#This Row],[Exchange Rate]]</f>
        <v>0</v>
      </c>
      <c r="I1283" s="148" t="s">
        <v>431</v>
      </c>
      <c r="J1283" s="176" t="s">
        <v>18</v>
      </c>
      <c r="K1283" s="163" t="str">
        <f>IF(tbTransactions[[#This Row],[Sub-Type]]="Transfer","Neutral",IF(tbTransactions[[#This Row],[Qty]]&lt;0,"Debit",IF(tbTransactions[[#This Row],[Qty]]&gt;0,"Credit","Neutral")))</f>
        <v>Credit</v>
      </c>
      <c r="L1283" s="163" t="s">
        <v>518</v>
      </c>
      <c r="M1283" s="171" t="s">
        <v>40</v>
      </c>
    </row>
    <row r="1284" spans="3:13" ht="30" customHeight="1" x14ac:dyDescent="0.25">
      <c r="C1284" s="175">
        <v>1283</v>
      </c>
      <c r="D1284" s="163">
        <v>45000</v>
      </c>
      <c r="E1284" s="171">
        <v>1500</v>
      </c>
      <c r="F1284" s="171">
        <v>1</v>
      </c>
      <c r="G1284" s="172">
        <v>1</v>
      </c>
      <c r="H1284" s="171">
        <f>tbTransactions[[#This Row],[Qty]]*tbTransactions[[#This Row],[Unit Cost]]*tbTransactions[[#This Row],[Exchange Rate]]</f>
        <v>1500</v>
      </c>
      <c r="I1284" s="148" t="s">
        <v>714</v>
      </c>
      <c r="J1284" s="176" t="s">
        <v>411</v>
      </c>
      <c r="K1284" s="163" t="str">
        <f>IF(tbTransactions[[#This Row],[Sub-Type]]="Transfer","Neutral",IF(tbTransactions[[#This Row],[Qty]]&lt;0,"Debit",IF(tbTransactions[[#This Row],[Qty]]&gt;0,"Credit","Neutral")))</f>
        <v>Credit</v>
      </c>
      <c r="L1284" s="163" t="s">
        <v>502</v>
      </c>
      <c r="M1284" s="171" t="s">
        <v>840</v>
      </c>
    </row>
    <row r="1285" spans="3:13" ht="30" customHeight="1" x14ac:dyDescent="0.25">
      <c r="C1285" s="175">
        <v>1284</v>
      </c>
      <c r="D1285" s="163">
        <v>44990</v>
      </c>
      <c r="E1285" s="171">
        <v>500</v>
      </c>
      <c r="F1285" s="171">
        <v>1</v>
      </c>
      <c r="G1285" s="172">
        <v>1</v>
      </c>
      <c r="H1285" s="171">
        <f>tbTransactions[[#This Row],[Qty]]*tbTransactions[[#This Row],[Unit Cost]]*tbTransactions[[#This Row],[Exchange Rate]]</f>
        <v>500</v>
      </c>
      <c r="I1285" s="148" t="s">
        <v>714</v>
      </c>
      <c r="J1285" s="176" t="s">
        <v>411</v>
      </c>
      <c r="K1285" s="163" t="str">
        <f>IF(tbTransactions[[#This Row],[Sub-Type]]="Transfer","Neutral",IF(tbTransactions[[#This Row],[Qty]]&lt;0,"Debit",IF(tbTransactions[[#This Row],[Qty]]&gt;0,"Credit","Neutral")))</f>
        <v>Credit</v>
      </c>
      <c r="L1285" s="163" t="s">
        <v>502</v>
      </c>
      <c r="M1285" s="171" t="s">
        <v>840</v>
      </c>
    </row>
    <row r="1286" spans="3:13" ht="30" customHeight="1" x14ac:dyDescent="0.25">
      <c r="C1286" s="175">
        <v>1285</v>
      </c>
      <c r="D1286" s="163">
        <v>44972</v>
      </c>
      <c r="E1286" s="171">
        <v>500</v>
      </c>
      <c r="F1286" s="171">
        <v>1</v>
      </c>
      <c r="G1286" s="172">
        <v>1</v>
      </c>
      <c r="H1286" s="171">
        <f>tbTransactions[[#This Row],[Qty]]*tbTransactions[[#This Row],[Unit Cost]]*tbTransactions[[#This Row],[Exchange Rate]]</f>
        <v>500</v>
      </c>
      <c r="I1286" s="148" t="s">
        <v>714</v>
      </c>
      <c r="J1286" s="176" t="s">
        <v>411</v>
      </c>
      <c r="K1286" s="163" t="str">
        <f>IF(tbTransactions[[#This Row],[Sub-Type]]="Transfer","Neutral",IF(tbTransactions[[#This Row],[Qty]]&lt;0,"Debit",IF(tbTransactions[[#This Row],[Qty]]&gt;0,"Credit","Neutral")))</f>
        <v>Credit</v>
      </c>
      <c r="L1286" s="163" t="s">
        <v>502</v>
      </c>
      <c r="M1286" s="171" t="s">
        <v>840</v>
      </c>
    </row>
    <row r="1287" spans="3:13" ht="30" customHeight="1" x14ac:dyDescent="0.25">
      <c r="C1287" s="175">
        <v>1286</v>
      </c>
      <c r="D1287" s="163">
        <v>44939</v>
      </c>
      <c r="E1287" s="171">
        <v>500</v>
      </c>
      <c r="F1287" s="171">
        <v>1</v>
      </c>
      <c r="G1287" s="172">
        <v>1</v>
      </c>
      <c r="H1287" s="171">
        <f>tbTransactions[[#This Row],[Qty]]*tbTransactions[[#This Row],[Unit Cost]]*tbTransactions[[#This Row],[Exchange Rate]]</f>
        <v>500</v>
      </c>
      <c r="I1287" s="148" t="s">
        <v>714</v>
      </c>
      <c r="J1287" s="176" t="s">
        <v>411</v>
      </c>
      <c r="K1287" s="163" t="str">
        <f>IF(tbTransactions[[#This Row],[Sub-Type]]="Transfer","Neutral",IF(tbTransactions[[#This Row],[Qty]]&lt;0,"Debit",IF(tbTransactions[[#This Row],[Qty]]&gt;0,"Credit","Neutral")))</f>
        <v>Credit</v>
      </c>
      <c r="L1287" s="163" t="s">
        <v>502</v>
      </c>
      <c r="M1287" s="171" t="s">
        <v>840</v>
      </c>
    </row>
    <row r="1288" spans="3:13" ht="30" customHeight="1" x14ac:dyDescent="0.25">
      <c r="C1288" s="175">
        <v>1287</v>
      </c>
      <c r="D1288" s="163">
        <v>44910</v>
      </c>
      <c r="E1288" s="171">
        <v>300</v>
      </c>
      <c r="F1288" s="171">
        <v>1</v>
      </c>
      <c r="G1288" s="172">
        <v>1</v>
      </c>
      <c r="H1288" s="171">
        <f>tbTransactions[[#This Row],[Qty]]*tbTransactions[[#This Row],[Unit Cost]]*tbTransactions[[#This Row],[Exchange Rate]]</f>
        <v>300</v>
      </c>
      <c r="I1288" s="148" t="s">
        <v>714</v>
      </c>
      <c r="J1288" s="176" t="s">
        <v>411</v>
      </c>
      <c r="K1288" s="163" t="str">
        <f>IF(tbTransactions[[#This Row],[Sub-Type]]="Transfer","Neutral",IF(tbTransactions[[#This Row],[Qty]]&lt;0,"Debit",IF(tbTransactions[[#This Row],[Qty]]&gt;0,"Credit","Neutral")))</f>
        <v>Credit</v>
      </c>
      <c r="L1288" s="163" t="s">
        <v>502</v>
      </c>
      <c r="M1288" s="171" t="s">
        <v>840</v>
      </c>
    </row>
    <row r="1289" spans="3:13" ht="30" customHeight="1" x14ac:dyDescent="0.25">
      <c r="C1289" s="175">
        <v>1288</v>
      </c>
      <c r="D1289" s="163">
        <v>44895</v>
      </c>
      <c r="E1289" s="171">
        <v>500</v>
      </c>
      <c r="F1289" s="171">
        <v>1</v>
      </c>
      <c r="G1289" s="172">
        <v>1</v>
      </c>
      <c r="H1289" s="171">
        <f>tbTransactions[[#This Row],[Qty]]*tbTransactions[[#This Row],[Unit Cost]]*tbTransactions[[#This Row],[Exchange Rate]]</f>
        <v>500</v>
      </c>
      <c r="I1289" s="148" t="s">
        <v>714</v>
      </c>
      <c r="J1289" s="176" t="s">
        <v>411</v>
      </c>
      <c r="K1289" s="163" t="str">
        <f>IF(tbTransactions[[#This Row],[Sub-Type]]="Transfer","Neutral",IF(tbTransactions[[#This Row],[Qty]]&lt;0,"Debit",IF(tbTransactions[[#This Row],[Qty]]&gt;0,"Credit","Neutral")))</f>
        <v>Credit</v>
      </c>
      <c r="L1289" s="163" t="s">
        <v>502</v>
      </c>
      <c r="M1289" s="171" t="s">
        <v>840</v>
      </c>
    </row>
    <row r="1290" spans="3:13" ht="30" customHeight="1" x14ac:dyDescent="0.25">
      <c r="C1290" s="175">
        <v>1289</v>
      </c>
      <c r="D1290" s="163">
        <v>44880</v>
      </c>
      <c r="E1290" s="171">
        <v>500</v>
      </c>
      <c r="F1290" s="171">
        <v>1</v>
      </c>
      <c r="G1290" s="172">
        <v>1</v>
      </c>
      <c r="H1290" s="171">
        <f>tbTransactions[[#This Row],[Qty]]*tbTransactions[[#This Row],[Unit Cost]]*tbTransactions[[#This Row],[Exchange Rate]]</f>
        <v>500</v>
      </c>
      <c r="I1290" s="148" t="s">
        <v>714</v>
      </c>
      <c r="J1290" s="176" t="s">
        <v>411</v>
      </c>
      <c r="K1290" s="163" t="str">
        <f>IF(tbTransactions[[#This Row],[Sub-Type]]="Transfer","Neutral",IF(tbTransactions[[#This Row],[Qty]]&lt;0,"Debit",IF(tbTransactions[[#This Row],[Qty]]&gt;0,"Credit","Neutral")))</f>
        <v>Credit</v>
      </c>
      <c r="L1290" s="163" t="s">
        <v>502</v>
      </c>
      <c r="M1290" s="171" t="s">
        <v>840</v>
      </c>
    </row>
    <row r="1291" spans="3:13" ht="30" customHeight="1" x14ac:dyDescent="0.25">
      <c r="C1291" s="175">
        <v>1290</v>
      </c>
      <c r="D1291" s="163">
        <v>44863</v>
      </c>
      <c r="E1291" s="171">
        <v>300</v>
      </c>
      <c r="F1291" s="171">
        <v>1</v>
      </c>
      <c r="G1291" s="172">
        <v>1</v>
      </c>
      <c r="H1291" s="171">
        <f>tbTransactions[[#This Row],[Qty]]*tbTransactions[[#This Row],[Unit Cost]]*tbTransactions[[#This Row],[Exchange Rate]]</f>
        <v>300</v>
      </c>
      <c r="I1291" s="148" t="s">
        <v>714</v>
      </c>
      <c r="J1291" s="176" t="s">
        <v>411</v>
      </c>
      <c r="K1291" s="163" t="str">
        <f>IF(tbTransactions[[#This Row],[Sub-Type]]="Transfer","Neutral",IF(tbTransactions[[#This Row],[Qty]]&lt;0,"Debit",IF(tbTransactions[[#This Row],[Qty]]&gt;0,"Credit","Neutral")))</f>
        <v>Credit</v>
      </c>
      <c r="L1291" s="163" t="s">
        <v>502</v>
      </c>
      <c r="M1291" s="171" t="s">
        <v>840</v>
      </c>
    </row>
    <row r="1292" spans="3:13" ht="30" customHeight="1" x14ac:dyDescent="0.25">
      <c r="C1292" s="175">
        <v>1291</v>
      </c>
      <c r="D1292" s="163">
        <v>44848</v>
      </c>
      <c r="E1292" s="171">
        <v>300</v>
      </c>
      <c r="F1292" s="171">
        <v>1</v>
      </c>
      <c r="G1292" s="172">
        <v>1</v>
      </c>
      <c r="H1292" s="171">
        <f>tbTransactions[[#This Row],[Qty]]*tbTransactions[[#This Row],[Unit Cost]]*tbTransactions[[#This Row],[Exchange Rate]]</f>
        <v>300</v>
      </c>
      <c r="I1292" s="148" t="s">
        <v>714</v>
      </c>
      <c r="J1292" s="176" t="s">
        <v>411</v>
      </c>
      <c r="K1292" s="163" t="str">
        <f>IF(tbTransactions[[#This Row],[Sub-Type]]="Transfer","Neutral",IF(tbTransactions[[#This Row],[Qty]]&lt;0,"Debit",IF(tbTransactions[[#This Row],[Qty]]&gt;0,"Credit","Neutral")))</f>
        <v>Credit</v>
      </c>
      <c r="L1292" s="163" t="s">
        <v>502</v>
      </c>
      <c r="M1292" s="171" t="s">
        <v>840</v>
      </c>
    </row>
    <row r="1293" spans="3:13" ht="30" customHeight="1" x14ac:dyDescent="0.25">
      <c r="C1293" s="175">
        <v>1292</v>
      </c>
      <c r="D1293" s="163">
        <v>44833</v>
      </c>
      <c r="E1293" s="171">
        <v>300</v>
      </c>
      <c r="F1293" s="171">
        <v>1</v>
      </c>
      <c r="G1293" s="172">
        <v>1</v>
      </c>
      <c r="H1293" s="171">
        <f>tbTransactions[[#This Row],[Qty]]*tbTransactions[[#This Row],[Unit Cost]]*tbTransactions[[#This Row],[Exchange Rate]]</f>
        <v>300</v>
      </c>
      <c r="I1293" s="148" t="s">
        <v>714</v>
      </c>
      <c r="J1293" s="176" t="s">
        <v>411</v>
      </c>
      <c r="K1293" s="163" t="str">
        <f>IF(tbTransactions[[#This Row],[Sub-Type]]="Transfer","Neutral",IF(tbTransactions[[#This Row],[Qty]]&lt;0,"Debit",IF(tbTransactions[[#This Row],[Qty]]&gt;0,"Credit","Neutral")))</f>
        <v>Credit</v>
      </c>
      <c r="L1293" s="163" t="s">
        <v>502</v>
      </c>
      <c r="M1293" s="171" t="s">
        <v>840</v>
      </c>
    </row>
    <row r="1294" spans="3:13" ht="30" customHeight="1" x14ac:dyDescent="0.25">
      <c r="C1294" s="175">
        <v>1293</v>
      </c>
      <c r="D1294" s="163">
        <v>44819</v>
      </c>
      <c r="E1294" s="171">
        <v>200</v>
      </c>
      <c r="F1294" s="171">
        <v>1</v>
      </c>
      <c r="G1294" s="172">
        <v>1</v>
      </c>
      <c r="H1294" s="171">
        <f>tbTransactions[[#This Row],[Qty]]*tbTransactions[[#This Row],[Unit Cost]]*tbTransactions[[#This Row],[Exchange Rate]]</f>
        <v>200</v>
      </c>
      <c r="I1294" s="148" t="s">
        <v>714</v>
      </c>
      <c r="J1294" s="176" t="s">
        <v>411</v>
      </c>
      <c r="K1294" s="163" t="str">
        <f>IF(tbTransactions[[#This Row],[Sub-Type]]="Transfer","Neutral",IF(tbTransactions[[#This Row],[Qty]]&lt;0,"Debit",IF(tbTransactions[[#This Row],[Qty]]&gt;0,"Credit","Neutral")))</f>
        <v>Credit</v>
      </c>
      <c r="L1294" s="163" t="s">
        <v>502</v>
      </c>
      <c r="M1294" s="171" t="s">
        <v>840</v>
      </c>
    </row>
    <row r="1295" spans="3:13" ht="30" customHeight="1" x14ac:dyDescent="0.25">
      <c r="C1295" s="175">
        <v>1294</v>
      </c>
      <c r="D1295" s="163">
        <v>45185</v>
      </c>
      <c r="E1295" s="171">
        <v>181</v>
      </c>
      <c r="F1295" s="171">
        <v>8.24</v>
      </c>
      <c r="G1295" s="172">
        <v>1</v>
      </c>
      <c r="H1295" s="171">
        <f>tbTransactions[[#This Row],[Qty]]*tbTransactions[[#This Row],[Unit Cost]]*tbTransactions[[#This Row],[Exchange Rate]]</f>
        <v>1491.44</v>
      </c>
      <c r="I1295" s="148" t="s">
        <v>714</v>
      </c>
      <c r="J1295" s="176" t="s">
        <v>762</v>
      </c>
      <c r="K1295" s="163" t="str">
        <f>IF(tbTransactions[[#This Row],[Sub-Type]]="Transfer","Neutral",IF(tbTransactions[[#This Row],[Qty]]&lt;0,"Debit",IF(tbTransactions[[#This Row],[Qty]]&gt;0,"Credit","Neutral")))</f>
        <v>Credit</v>
      </c>
      <c r="L1295" s="163" t="s">
        <v>740</v>
      </c>
      <c r="M1295" s="171" t="s">
        <v>825</v>
      </c>
    </row>
    <row r="1296" spans="3:13" ht="30" customHeight="1" x14ac:dyDescent="0.25">
      <c r="C1296" s="175">
        <v>1295</v>
      </c>
      <c r="D1296" s="163">
        <v>45185</v>
      </c>
      <c r="E1296" s="171">
        <v>-1491.44</v>
      </c>
      <c r="F1296" s="171">
        <v>1</v>
      </c>
      <c r="G1296" s="172">
        <v>1</v>
      </c>
      <c r="H1296" s="171">
        <f>tbTransactions[[#This Row],[Qty]]*tbTransactions[[#This Row],[Unit Cost]]*tbTransactions[[#This Row],[Exchange Rate]]</f>
        <v>-1491.44</v>
      </c>
      <c r="I1296" s="148" t="s">
        <v>714</v>
      </c>
      <c r="J1296" s="176" t="s">
        <v>411</v>
      </c>
      <c r="K1296" s="163" t="str">
        <f>IF(tbTransactions[[#This Row],[Sub-Type]]="Transfer","Neutral",IF(tbTransactions[[#This Row],[Qty]]&lt;0,"Debit",IF(tbTransactions[[#This Row],[Qty]]&gt;0,"Credit","Neutral")))</f>
        <v>Debit</v>
      </c>
      <c r="L1296" s="163" t="s">
        <v>522</v>
      </c>
      <c r="M1296" s="171" t="s">
        <v>825</v>
      </c>
    </row>
    <row r="1297" spans="3:13" ht="30" customHeight="1" x14ac:dyDescent="0.25">
      <c r="C1297" s="175">
        <v>1296</v>
      </c>
      <c r="D1297" s="163"/>
      <c r="G1297" s="172">
        <v>1</v>
      </c>
      <c r="H1297" s="171">
        <f>tbTransactions[[#This Row],[Qty]]*tbTransactions[[#This Row],[Unit Cost]]*tbTransactions[[#This Row],[Exchange Rate]]</f>
        <v>0</v>
      </c>
      <c r="J1297" s="176"/>
      <c r="K1297" s="163" t="str">
        <f>IF(tbTransactions[[#This Row],[Sub-Type]]="Transfer","Neutral",IF(tbTransactions[[#This Row],[Qty]]&lt;0,"Debit",IF(tbTransactions[[#This Row],[Qty]]&gt;0,"Credit","Neutral")))</f>
        <v>Neutral</v>
      </c>
      <c r="L1297" s="163"/>
      <c r="M1297" s="171"/>
    </row>
    <row r="1298" spans="3:13" ht="30" customHeight="1" x14ac:dyDescent="0.25">
      <c r="C1298" s="175">
        <v>1297</v>
      </c>
      <c r="D1298" s="163"/>
      <c r="G1298" s="172">
        <v>1</v>
      </c>
      <c r="H1298" s="171">
        <f>tbTransactions[[#This Row],[Qty]]*tbTransactions[[#This Row],[Unit Cost]]*tbTransactions[[#This Row],[Exchange Rate]]</f>
        <v>0</v>
      </c>
      <c r="J1298" s="176"/>
      <c r="K1298" s="163" t="str">
        <f>IF(tbTransactions[[#This Row],[Sub-Type]]="Transfer","Neutral",IF(tbTransactions[[#This Row],[Qty]]&lt;0,"Debit",IF(tbTransactions[[#This Row],[Qty]]&gt;0,"Credit","Neutral")))</f>
        <v>Neutral</v>
      </c>
      <c r="L1298" s="163"/>
      <c r="M1298" s="171"/>
    </row>
    <row r="1299" spans="3:13" ht="30" customHeight="1" x14ac:dyDescent="0.25">
      <c r="C1299" s="175">
        <v>1298</v>
      </c>
      <c r="D1299" s="163"/>
      <c r="G1299" s="172">
        <v>1</v>
      </c>
      <c r="H1299" s="171">
        <f>tbTransactions[[#This Row],[Qty]]*tbTransactions[[#This Row],[Unit Cost]]*tbTransactions[[#This Row],[Exchange Rate]]</f>
        <v>0</v>
      </c>
      <c r="J1299" s="176"/>
      <c r="K1299" s="163" t="str">
        <f>IF(tbTransactions[[#This Row],[Sub-Type]]="Transfer","Neutral",IF(tbTransactions[[#This Row],[Qty]]&lt;0,"Debit",IF(tbTransactions[[#This Row],[Qty]]&gt;0,"Credit","Neutral")))</f>
        <v>Neutral</v>
      </c>
      <c r="L1299" s="163"/>
      <c r="M1299" s="171"/>
    </row>
    <row r="1300" spans="3:13" ht="30" customHeight="1" x14ac:dyDescent="0.25">
      <c r="C1300" s="175">
        <v>1299</v>
      </c>
      <c r="D1300" s="163"/>
      <c r="G1300" s="172">
        <v>1</v>
      </c>
      <c r="H1300" s="171">
        <f>tbTransactions[[#This Row],[Qty]]*tbTransactions[[#This Row],[Unit Cost]]*tbTransactions[[#This Row],[Exchange Rate]]</f>
        <v>0</v>
      </c>
      <c r="J1300" s="176"/>
      <c r="K1300" s="163" t="str">
        <f>IF(tbTransactions[[#This Row],[Sub-Type]]="Transfer","Neutral",IF(tbTransactions[[#This Row],[Qty]]&lt;0,"Debit",IF(tbTransactions[[#This Row],[Qty]]&gt;0,"Credit","Neutral")))</f>
        <v>Neutral</v>
      </c>
      <c r="L1300" s="163"/>
      <c r="M1300" s="171"/>
    </row>
    <row r="1301" spans="3:13" ht="30" customHeight="1" x14ac:dyDescent="0.25">
      <c r="C1301" s="175">
        <v>1300</v>
      </c>
      <c r="D1301" s="163"/>
      <c r="G1301" s="172">
        <v>1</v>
      </c>
      <c r="H1301" s="171">
        <f>tbTransactions[[#This Row],[Qty]]*tbTransactions[[#This Row],[Unit Cost]]*tbTransactions[[#This Row],[Exchange Rate]]</f>
        <v>0</v>
      </c>
      <c r="J1301" s="176"/>
      <c r="K1301" s="163" t="str">
        <f>IF(tbTransactions[[#This Row],[Sub-Type]]="Transfer","Neutral",IF(tbTransactions[[#This Row],[Qty]]&lt;0,"Debit",IF(tbTransactions[[#This Row],[Qty]]&gt;0,"Credit","Neutral")))</f>
        <v>Neutral</v>
      </c>
      <c r="L1301" s="163"/>
      <c r="M1301" s="171"/>
    </row>
    <row r="1302" spans="3:13" ht="30" customHeight="1" x14ac:dyDescent="0.25">
      <c r="C1302" s="175">
        <v>1301</v>
      </c>
      <c r="D1302" s="163"/>
      <c r="G1302" s="172">
        <v>1</v>
      </c>
      <c r="H1302" s="171">
        <f>tbTransactions[[#This Row],[Qty]]*tbTransactions[[#This Row],[Unit Cost]]*tbTransactions[[#This Row],[Exchange Rate]]</f>
        <v>0</v>
      </c>
      <c r="J1302" s="176"/>
      <c r="K1302" s="163" t="str">
        <f>IF(tbTransactions[[#This Row],[Sub-Type]]="Transfer","Neutral",IF(tbTransactions[[#This Row],[Qty]]&lt;0,"Debit",IF(tbTransactions[[#This Row],[Qty]]&gt;0,"Credit","Neutral")))</f>
        <v>Neutral</v>
      </c>
      <c r="L1302" s="163"/>
      <c r="M1302" s="171"/>
    </row>
    <row r="1303" spans="3:13" ht="30" customHeight="1" x14ac:dyDescent="0.25">
      <c r="C1303" s="175">
        <v>1302</v>
      </c>
      <c r="D1303" s="163"/>
      <c r="G1303" s="172">
        <v>1</v>
      </c>
      <c r="H1303" s="171">
        <f>tbTransactions[[#This Row],[Qty]]*tbTransactions[[#This Row],[Unit Cost]]*tbTransactions[[#This Row],[Exchange Rate]]</f>
        <v>0</v>
      </c>
      <c r="J1303" s="176"/>
      <c r="K1303" s="163" t="str">
        <f>IF(tbTransactions[[#This Row],[Sub-Type]]="Transfer","Neutral",IF(tbTransactions[[#This Row],[Qty]]&lt;0,"Debit",IF(tbTransactions[[#This Row],[Qty]]&gt;0,"Credit","Neutral")))</f>
        <v>Neutral</v>
      </c>
      <c r="L1303" s="163"/>
      <c r="M1303" s="171"/>
    </row>
    <row r="1304" spans="3:13" ht="30" customHeight="1" x14ac:dyDescent="0.25">
      <c r="C1304" s="175">
        <v>1303</v>
      </c>
      <c r="D1304" s="163"/>
      <c r="G1304" s="172">
        <v>1</v>
      </c>
      <c r="H1304" s="171">
        <f>tbTransactions[[#This Row],[Qty]]*tbTransactions[[#This Row],[Unit Cost]]*tbTransactions[[#This Row],[Exchange Rate]]</f>
        <v>0</v>
      </c>
      <c r="J1304" s="176"/>
      <c r="K1304" s="163" t="str">
        <f>IF(tbTransactions[[#This Row],[Sub-Type]]="Transfer","Neutral",IF(tbTransactions[[#This Row],[Qty]]&lt;0,"Debit",IF(tbTransactions[[#This Row],[Qty]]&gt;0,"Credit","Neutral")))</f>
        <v>Neutral</v>
      </c>
      <c r="L1304" s="163"/>
      <c r="M1304" s="171"/>
    </row>
    <row r="1305" spans="3:13" ht="30" customHeight="1" x14ac:dyDescent="0.25">
      <c r="C1305" s="175">
        <v>1304</v>
      </c>
      <c r="D1305" s="163"/>
      <c r="G1305" s="172">
        <v>1</v>
      </c>
      <c r="H1305" s="171">
        <f>tbTransactions[[#This Row],[Qty]]*tbTransactions[[#This Row],[Unit Cost]]*tbTransactions[[#This Row],[Exchange Rate]]</f>
        <v>0</v>
      </c>
      <c r="J1305" s="176"/>
      <c r="K1305" s="163" t="str">
        <f>IF(tbTransactions[[#This Row],[Sub-Type]]="Transfer","Neutral",IF(tbTransactions[[#This Row],[Qty]]&lt;0,"Debit",IF(tbTransactions[[#This Row],[Qty]]&gt;0,"Credit","Neutral")))</f>
        <v>Neutral</v>
      </c>
      <c r="L1305" s="163"/>
      <c r="M1305" s="171"/>
    </row>
    <row r="1306" spans="3:13" ht="30" customHeight="1" x14ac:dyDescent="0.25">
      <c r="C1306" s="175">
        <v>1305</v>
      </c>
      <c r="D1306" s="163"/>
      <c r="G1306" s="172">
        <v>1</v>
      </c>
      <c r="H1306" s="171">
        <f>tbTransactions[[#This Row],[Qty]]*tbTransactions[[#This Row],[Unit Cost]]*tbTransactions[[#This Row],[Exchange Rate]]</f>
        <v>0</v>
      </c>
      <c r="J1306" s="176"/>
      <c r="K1306" s="163" t="str">
        <f>IF(tbTransactions[[#This Row],[Sub-Type]]="Transfer","Neutral",IF(tbTransactions[[#This Row],[Qty]]&lt;0,"Debit",IF(tbTransactions[[#This Row],[Qty]]&gt;0,"Credit","Neutral")))</f>
        <v>Neutral</v>
      </c>
      <c r="L1306" s="163"/>
      <c r="M1306" s="171"/>
    </row>
    <row r="1307" spans="3:13" ht="30" customHeight="1" x14ac:dyDescent="0.25">
      <c r="C1307" s="175">
        <v>1306</v>
      </c>
      <c r="D1307" s="163"/>
      <c r="G1307" s="172">
        <v>1</v>
      </c>
      <c r="H1307" s="171">
        <f>tbTransactions[[#This Row],[Qty]]*tbTransactions[[#This Row],[Unit Cost]]*tbTransactions[[#This Row],[Exchange Rate]]</f>
        <v>0</v>
      </c>
      <c r="J1307" s="176"/>
      <c r="K1307" s="163" t="str">
        <f>IF(tbTransactions[[#This Row],[Sub-Type]]="Transfer","Neutral",IF(tbTransactions[[#This Row],[Qty]]&lt;0,"Debit",IF(tbTransactions[[#This Row],[Qty]]&gt;0,"Credit","Neutral")))</f>
        <v>Neutral</v>
      </c>
      <c r="L1307" s="163"/>
      <c r="M1307" s="171"/>
    </row>
    <row r="1308" spans="3:13" ht="30" customHeight="1" x14ac:dyDescent="0.25">
      <c r="C1308" s="175">
        <v>1307</v>
      </c>
      <c r="D1308" s="163"/>
      <c r="G1308" s="172">
        <v>1</v>
      </c>
      <c r="H1308" s="171">
        <f>tbTransactions[[#This Row],[Qty]]*tbTransactions[[#This Row],[Unit Cost]]*tbTransactions[[#This Row],[Exchange Rate]]</f>
        <v>0</v>
      </c>
      <c r="J1308" s="176"/>
      <c r="K1308" s="163" t="str">
        <f>IF(tbTransactions[[#This Row],[Sub-Type]]="Transfer","Neutral",IF(tbTransactions[[#This Row],[Qty]]&lt;0,"Debit",IF(tbTransactions[[#This Row],[Qty]]&gt;0,"Credit","Neutral")))</f>
        <v>Neutral</v>
      </c>
      <c r="L1308" s="163"/>
      <c r="M1308" s="171"/>
    </row>
    <row r="1309" spans="3:13" ht="30" customHeight="1" x14ac:dyDescent="0.25">
      <c r="C1309" s="175">
        <v>1308</v>
      </c>
      <c r="D1309" s="163"/>
      <c r="G1309" s="172">
        <v>1</v>
      </c>
      <c r="H1309" s="171">
        <f>tbTransactions[[#This Row],[Qty]]*tbTransactions[[#This Row],[Unit Cost]]*tbTransactions[[#This Row],[Exchange Rate]]</f>
        <v>0</v>
      </c>
      <c r="J1309" s="176"/>
      <c r="K1309" s="163" t="str">
        <f>IF(tbTransactions[[#This Row],[Sub-Type]]="Transfer","Neutral",IF(tbTransactions[[#This Row],[Qty]]&lt;0,"Debit",IF(tbTransactions[[#This Row],[Qty]]&gt;0,"Credit","Neutral")))</f>
        <v>Neutral</v>
      </c>
      <c r="L1309" s="163"/>
      <c r="M1309" s="171"/>
    </row>
    <row r="1310" spans="3:13" ht="30" customHeight="1" x14ac:dyDescent="0.25">
      <c r="C1310" s="175">
        <v>1309</v>
      </c>
      <c r="D1310" s="163"/>
      <c r="G1310" s="172">
        <v>1</v>
      </c>
      <c r="H1310" s="171">
        <f>tbTransactions[[#This Row],[Qty]]*tbTransactions[[#This Row],[Unit Cost]]*tbTransactions[[#This Row],[Exchange Rate]]</f>
        <v>0</v>
      </c>
      <c r="J1310" s="176"/>
      <c r="K1310" s="163" t="str">
        <f>IF(tbTransactions[[#This Row],[Sub-Type]]="Transfer","Neutral",IF(tbTransactions[[#This Row],[Qty]]&lt;0,"Debit",IF(tbTransactions[[#This Row],[Qty]]&gt;0,"Credit","Neutral")))</f>
        <v>Neutral</v>
      </c>
      <c r="L1310" s="163"/>
      <c r="M1310" s="171"/>
    </row>
    <row r="1311" spans="3:13" ht="30" customHeight="1" x14ac:dyDescent="0.25">
      <c r="C1311" s="175">
        <v>1310</v>
      </c>
      <c r="D1311" s="163"/>
      <c r="G1311" s="172">
        <v>1</v>
      </c>
      <c r="H1311" s="171">
        <f>tbTransactions[[#This Row],[Qty]]*tbTransactions[[#This Row],[Unit Cost]]*tbTransactions[[#This Row],[Exchange Rate]]</f>
        <v>0</v>
      </c>
      <c r="J1311" s="176"/>
      <c r="K1311" s="163" t="str">
        <f>IF(tbTransactions[[#This Row],[Sub-Type]]="Transfer","Neutral",IF(tbTransactions[[#This Row],[Qty]]&lt;0,"Debit",IF(tbTransactions[[#This Row],[Qty]]&gt;0,"Credit","Neutral")))</f>
        <v>Neutral</v>
      </c>
      <c r="L1311" s="163"/>
      <c r="M1311" s="171"/>
    </row>
    <row r="1312" spans="3:13" ht="30" customHeight="1" x14ac:dyDescent="0.25">
      <c r="C1312" s="175">
        <v>1311</v>
      </c>
      <c r="D1312" s="163"/>
      <c r="G1312" s="172">
        <v>1</v>
      </c>
      <c r="H1312" s="171">
        <f>tbTransactions[[#This Row],[Qty]]*tbTransactions[[#This Row],[Unit Cost]]*tbTransactions[[#This Row],[Exchange Rate]]</f>
        <v>0</v>
      </c>
      <c r="J1312" s="176"/>
      <c r="K1312" s="163" t="str">
        <f>IF(tbTransactions[[#This Row],[Sub-Type]]="Transfer","Neutral",IF(tbTransactions[[#This Row],[Qty]]&lt;0,"Debit",IF(tbTransactions[[#This Row],[Qty]]&gt;0,"Credit","Neutral")))</f>
        <v>Neutral</v>
      </c>
      <c r="L1312" s="163"/>
      <c r="M1312" s="171"/>
    </row>
    <row r="1313" spans="3:13" ht="30" customHeight="1" x14ac:dyDescent="0.25">
      <c r="C1313" s="175">
        <v>1312</v>
      </c>
      <c r="D1313" s="163"/>
      <c r="G1313" s="172">
        <v>1</v>
      </c>
      <c r="H1313" s="171">
        <f>tbTransactions[[#This Row],[Qty]]*tbTransactions[[#This Row],[Unit Cost]]*tbTransactions[[#This Row],[Exchange Rate]]</f>
        <v>0</v>
      </c>
      <c r="J1313" s="176"/>
      <c r="K1313" s="163" t="str">
        <f>IF(tbTransactions[[#This Row],[Sub-Type]]="Transfer","Neutral",IF(tbTransactions[[#This Row],[Qty]]&lt;0,"Debit",IF(tbTransactions[[#This Row],[Qty]]&gt;0,"Credit","Neutral")))</f>
        <v>Neutral</v>
      </c>
      <c r="L1313" s="163"/>
      <c r="M1313" s="171"/>
    </row>
    <row r="1314" spans="3:13" ht="30" customHeight="1" x14ac:dyDescent="0.25">
      <c r="C1314" s="175">
        <v>1313</v>
      </c>
      <c r="D1314" s="163"/>
      <c r="G1314" s="172">
        <v>1</v>
      </c>
      <c r="H1314" s="171">
        <f>tbTransactions[[#This Row],[Qty]]*tbTransactions[[#This Row],[Unit Cost]]*tbTransactions[[#This Row],[Exchange Rate]]</f>
        <v>0</v>
      </c>
      <c r="J1314" s="176"/>
      <c r="K1314" s="163" t="str">
        <f>IF(tbTransactions[[#This Row],[Sub-Type]]="Transfer","Neutral",IF(tbTransactions[[#This Row],[Qty]]&lt;0,"Debit",IF(tbTransactions[[#This Row],[Qty]]&gt;0,"Credit","Neutral")))</f>
        <v>Neutral</v>
      </c>
      <c r="L1314" s="163"/>
      <c r="M1314" s="171"/>
    </row>
    <row r="1315" spans="3:13" ht="30" customHeight="1" x14ac:dyDescent="0.25">
      <c r="C1315" s="175">
        <v>1314</v>
      </c>
      <c r="D1315" s="163"/>
      <c r="G1315" s="172">
        <v>1</v>
      </c>
      <c r="H1315" s="171">
        <f>tbTransactions[[#This Row],[Qty]]*tbTransactions[[#This Row],[Unit Cost]]*tbTransactions[[#This Row],[Exchange Rate]]</f>
        <v>0</v>
      </c>
      <c r="J1315" s="176"/>
      <c r="K1315" s="163" t="str">
        <f>IF(tbTransactions[[#This Row],[Sub-Type]]="Transfer","Neutral",IF(tbTransactions[[#This Row],[Qty]]&lt;0,"Debit",IF(tbTransactions[[#This Row],[Qty]]&gt;0,"Credit","Neutral")))</f>
        <v>Neutral</v>
      </c>
      <c r="L1315" s="163"/>
      <c r="M1315" s="171"/>
    </row>
    <row r="1316" spans="3:13" ht="30" customHeight="1" x14ac:dyDescent="0.25">
      <c r="C1316" s="175">
        <v>1315</v>
      </c>
      <c r="D1316" s="163"/>
      <c r="G1316" s="172">
        <v>1</v>
      </c>
      <c r="H1316" s="171">
        <f>tbTransactions[[#This Row],[Qty]]*tbTransactions[[#This Row],[Unit Cost]]*tbTransactions[[#This Row],[Exchange Rate]]</f>
        <v>0</v>
      </c>
      <c r="J1316" s="176"/>
      <c r="K1316" s="163" t="str">
        <f>IF(tbTransactions[[#This Row],[Sub-Type]]="Transfer","Neutral",IF(tbTransactions[[#This Row],[Qty]]&lt;0,"Debit",IF(tbTransactions[[#This Row],[Qty]]&gt;0,"Credit","Neutral")))</f>
        <v>Neutral</v>
      </c>
      <c r="L1316" s="163"/>
      <c r="M1316" s="171"/>
    </row>
    <row r="1317" spans="3:13" ht="30" customHeight="1" x14ac:dyDescent="0.25">
      <c r="C1317" s="175">
        <v>1316</v>
      </c>
      <c r="D1317" s="163"/>
      <c r="G1317" s="172">
        <v>1</v>
      </c>
      <c r="H1317" s="171">
        <f>tbTransactions[[#This Row],[Qty]]*tbTransactions[[#This Row],[Unit Cost]]*tbTransactions[[#This Row],[Exchange Rate]]</f>
        <v>0</v>
      </c>
      <c r="J1317" s="176"/>
      <c r="K1317" s="163" t="str">
        <f>IF(tbTransactions[[#This Row],[Sub-Type]]="Transfer","Neutral",IF(tbTransactions[[#This Row],[Qty]]&lt;0,"Debit",IF(tbTransactions[[#This Row],[Qty]]&gt;0,"Credit","Neutral")))</f>
        <v>Neutral</v>
      </c>
      <c r="L1317" s="163"/>
      <c r="M1317" s="171"/>
    </row>
    <row r="1318" spans="3:13" ht="30" customHeight="1" x14ac:dyDescent="0.25">
      <c r="C1318" s="175">
        <v>1317</v>
      </c>
      <c r="D1318" s="163"/>
      <c r="G1318" s="172">
        <v>1</v>
      </c>
      <c r="H1318" s="171">
        <f>tbTransactions[[#This Row],[Qty]]*tbTransactions[[#This Row],[Unit Cost]]*tbTransactions[[#This Row],[Exchange Rate]]</f>
        <v>0</v>
      </c>
      <c r="J1318" s="176"/>
      <c r="K1318" s="163" t="str">
        <f>IF(tbTransactions[[#This Row],[Sub-Type]]="Transfer","Neutral",IF(tbTransactions[[#This Row],[Qty]]&lt;0,"Debit",IF(tbTransactions[[#This Row],[Qty]]&gt;0,"Credit","Neutral")))</f>
        <v>Neutral</v>
      </c>
      <c r="L1318" s="163"/>
      <c r="M1318" s="171"/>
    </row>
    <row r="1319" spans="3:13" ht="30" customHeight="1" x14ac:dyDescent="0.25">
      <c r="C1319" s="175">
        <v>1318</v>
      </c>
      <c r="D1319" s="163"/>
      <c r="G1319" s="172">
        <v>1</v>
      </c>
      <c r="H1319" s="171">
        <f>tbTransactions[[#This Row],[Qty]]*tbTransactions[[#This Row],[Unit Cost]]*tbTransactions[[#This Row],[Exchange Rate]]</f>
        <v>0</v>
      </c>
      <c r="J1319" s="176"/>
      <c r="K1319" s="163" t="str">
        <f>IF(tbTransactions[[#This Row],[Sub-Type]]="Transfer","Neutral",IF(tbTransactions[[#This Row],[Qty]]&lt;0,"Debit",IF(tbTransactions[[#This Row],[Qty]]&gt;0,"Credit","Neutral")))</f>
        <v>Neutral</v>
      </c>
      <c r="L1319" s="163"/>
      <c r="M1319" s="171"/>
    </row>
    <row r="1320" spans="3:13" ht="30" customHeight="1" x14ac:dyDescent="0.25">
      <c r="C1320" s="175">
        <v>1319</v>
      </c>
      <c r="D1320" s="163"/>
      <c r="G1320" s="172">
        <v>1</v>
      </c>
      <c r="H1320" s="171">
        <f>tbTransactions[[#This Row],[Qty]]*tbTransactions[[#This Row],[Unit Cost]]*tbTransactions[[#This Row],[Exchange Rate]]</f>
        <v>0</v>
      </c>
      <c r="J1320" s="176"/>
      <c r="K1320" s="163" t="str">
        <f>IF(tbTransactions[[#This Row],[Sub-Type]]="Transfer","Neutral",IF(tbTransactions[[#This Row],[Qty]]&lt;0,"Debit",IF(tbTransactions[[#This Row],[Qty]]&gt;0,"Credit","Neutral")))</f>
        <v>Neutral</v>
      </c>
      <c r="L1320" s="163"/>
      <c r="M1320" s="171"/>
    </row>
    <row r="1321" spans="3:13" ht="30" customHeight="1" x14ac:dyDescent="0.25">
      <c r="C1321" s="175">
        <v>1320</v>
      </c>
      <c r="D1321" s="163"/>
      <c r="G1321" s="172">
        <v>1</v>
      </c>
      <c r="H1321" s="171">
        <f>tbTransactions[[#This Row],[Qty]]*tbTransactions[[#This Row],[Unit Cost]]*tbTransactions[[#This Row],[Exchange Rate]]</f>
        <v>0</v>
      </c>
      <c r="J1321" s="176"/>
      <c r="K1321" s="163" t="str">
        <f>IF(tbTransactions[[#This Row],[Sub-Type]]="Transfer","Neutral",IF(tbTransactions[[#This Row],[Qty]]&lt;0,"Debit",IF(tbTransactions[[#This Row],[Qty]]&gt;0,"Credit","Neutral")))</f>
        <v>Neutral</v>
      </c>
      <c r="L1321" s="163"/>
      <c r="M1321" s="171"/>
    </row>
    <row r="1322" spans="3:13" ht="30" customHeight="1" x14ac:dyDescent="0.25">
      <c r="C1322" s="175">
        <v>1321</v>
      </c>
      <c r="D1322" s="163"/>
      <c r="G1322" s="172">
        <v>1</v>
      </c>
      <c r="H1322" s="171">
        <f>tbTransactions[[#This Row],[Qty]]*tbTransactions[[#This Row],[Unit Cost]]*tbTransactions[[#This Row],[Exchange Rate]]</f>
        <v>0</v>
      </c>
      <c r="J1322" s="176"/>
      <c r="K1322" s="163" t="str">
        <f>IF(tbTransactions[[#This Row],[Sub-Type]]="Transfer","Neutral",IF(tbTransactions[[#This Row],[Qty]]&lt;0,"Debit",IF(tbTransactions[[#This Row],[Qty]]&gt;0,"Credit","Neutral")))</f>
        <v>Neutral</v>
      </c>
      <c r="L1322" s="163"/>
      <c r="M1322" s="171"/>
    </row>
    <row r="1323" spans="3:13" ht="30" customHeight="1" x14ac:dyDescent="0.25">
      <c r="C1323" s="175">
        <v>1322</v>
      </c>
      <c r="D1323" s="163"/>
      <c r="G1323" s="172">
        <v>1</v>
      </c>
      <c r="H1323" s="171">
        <f>tbTransactions[[#This Row],[Qty]]*tbTransactions[[#This Row],[Unit Cost]]*tbTransactions[[#This Row],[Exchange Rate]]</f>
        <v>0</v>
      </c>
      <c r="J1323" s="176"/>
      <c r="K1323" s="163" t="str">
        <f>IF(tbTransactions[[#This Row],[Sub-Type]]="Transfer","Neutral",IF(tbTransactions[[#This Row],[Qty]]&lt;0,"Debit",IF(tbTransactions[[#This Row],[Qty]]&gt;0,"Credit","Neutral")))</f>
        <v>Neutral</v>
      </c>
      <c r="L1323" s="163"/>
      <c r="M1323" s="171"/>
    </row>
    <row r="1324" spans="3:13" ht="30" customHeight="1" x14ac:dyDescent="0.25">
      <c r="C1324" s="175">
        <v>1323</v>
      </c>
      <c r="D1324" s="163"/>
      <c r="G1324" s="172">
        <v>1</v>
      </c>
      <c r="H1324" s="171">
        <f>tbTransactions[[#This Row],[Qty]]*tbTransactions[[#This Row],[Unit Cost]]*tbTransactions[[#This Row],[Exchange Rate]]</f>
        <v>0</v>
      </c>
      <c r="J1324" s="176"/>
      <c r="K1324" s="163" t="str">
        <f>IF(tbTransactions[[#This Row],[Sub-Type]]="Transfer","Neutral",IF(tbTransactions[[#This Row],[Qty]]&lt;0,"Debit",IF(tbTransactions[[#This Row],[Qty]]&gt;0,"Credit","Neutral")))</f>
        <v>Neutral</v>
      </c>
      <c r="L1324" s="163"/>
      <c r="M1324" s="171"/>
    </row>
    <row r="1325" spans="3:13" ht="30" customHeight="1" x14ac:dyDescent="0.25">
      <c r="C1325" s="175">
        <v>1324</v>
      </c>
      <c r="D1325" s="163"/>
      <c r="G1325" s="172">
        <v>1</v>
      </c>
      <c r="H1325" s="171">
        <f>tbTransactions[[#This Row],[Qty]]*tbTransactions[[#This Row],[Unit Cost]]*tbTransactions[[#This Row],[Exchange Rate]]</f>
        <v>0</v>
      </c>
      <c r="J1325" s="176"/>
      <c r="K1325" s="163" t="str">
        <f>IF(tbTransactions[[#This Row],[Sub-Type]]="Transfer","Neutral",IF(tbTransactions[[#This Row],[Qty]]&lt;0,"Debit",IF(tbTransactions[[#This Row],[Qty]]&gt;0,"Credit","Neutral")))</f>
        <v>Neutral</v>
      </c>
      <c r="L1325" s="163"/>
      <c r="M1325" s="171"/>
    </row>
    <row r="1326" spans="3:13" ht="30" customHeight="1" x14ac:dyDescent="0.25">
      <c r="C1326" s="175">
        <v>1325</v>
      </c>
      <c r="D1326" s="163"/>
      <c r="G1326" s="172">
        <v>1</v>
      </c>
      <c r="H1326" s="171">
        <f>tbTransactions[[#This Row],[Qty]]*tbTransactions[[#This Row],[Unit Cost]]*tbTransactions[[#This Row],[Exchange Rate]]</f>
        <v>0</v>
      </c>
      <c r="J1326" s="176"/>
      <c r="K1326" s="163" t="str">
        <f>IF(tbTransactions[[#This Row],[Sub-Type]]="Transfer","Neutral",IF(tbTransactions[[#This Row],[Qty]]&lt;0,"Debit",IF(tbTransactions[[#This Row],[Qty]]&gt;0,"Credit","Neutral")))</f>
        <v>Neutral</v>
      </c>
      <c r="L1326" s="163"/>
      <c r="M1326" s="171"/>
    </row>
    <row r="1327" spans="3:13" ht="30" customHeight="1" x14ac:dyDescent="0.25">
      <c r="C1327" s="175">
        <v>1326</v>
      </c>
      <c r="D1327" s="163"/>
      <c r="G1327" s="172">
        <v>1</v>
      </c>
      <c r="H1327" s="171">
        <f>tbTransactions[[#This Row],[Qty]]*tbTransactions[[#This Row],[Unit Cost]]*tbTransactions[[#This Row],[Exchange Rate]]</f>
        <v>0</v>
      </c>
      <c r="J1327" s="176"/>
      <c r="K1327" s="163" t="str">
        <f>IF(tbTransactions[[#This Row],[Sub-Type]]="Transfer","Neutral",IF(tbTransactions[[#This Row],[Qty]]&lt;0,"Debit",IF(tbTransactions[[#This Row],[Qty]]&gt;0,"Credit","Neutral")))</f>
        <v>Neutral</v>
      </c>
      <c r="L1327" s="163"/>
      <c r="M1327" s="171"/>
    </row>
    <row r="1328" spans="3:13" ht="30" customHeight="1" x14ac:dyDescent="0.25">
      <c r="C1328" s="175">
        <v>1327</v>
      </c>
      <c r="D1328" s="163"/>
      <c r="G1328" s="172">
        <v>1</v>
      </c>
      <c r="H1328" s="171">
        <f>tbTransactions[[#This Row],[Qty]]*tbTransactions[[#This Row],[Unit Cost]]*tbTransactions[[#This Row],[Exchange Rate]]</f>
        <v>0</v>
      </c>
      <c r="J1328" s="176"/>
      <c r="K1328" s="163" t="str">
        <f>IF(tbTransactions[[#This Row],[Sub-Type]]="Transfer","Neutral",IF(tbTransactions[[#This Row],[Qty]]&lt;0,"Debit",IF(tbTransactions[[#This Row],[Qty]]&gt;0,"Credit","Neutral")))</f>
        <v>Neutral</v>
      </c>
      <c r="L1328" s="163"/>
      <c r="M1328" s="171"/>
    </row>
    <row r="1329" spans="3:13" ht="30" customHeight="1" x14ac:dyDescent="0.25">
      <c r="C1329" s="175">
        <v>1328</v>
      </c>
      <c r="D1329" s="163"/>
      <c r="G1329" s="172">
        <v>1</v>
      </c>
      <c r="H1329" s="171">
        <f>tbTransactions[[#This Row],[Qty]]*tbTransactions[[#This Row],[Unit Cost]]*tbTransactions[[#This Row],[Exchange Rate]]</f>
        <v>0</v>
      </c>
      <c r="J1329" s="176"/>
      <c r="K1329" s="163" t="str">
        <f>IF(tbTransactions[[#This Row],[Sub-Type]]="Transfer","Neutral",IF(tbTransactions[[#This Row],[Qty]]&lt;0,"Debit",IF(tbTransactions[[#This Row],[Qty]]&gt;0,"Credit","Neutral")))</f>
        <v>Neutral</v>
      </c>
      <c r="L1329" s="163"/>
      <c r="M1329" s="171"/>
    </row>
    <row r="1330" spans="3:13" ht="30" customHeight="1" x14ac:dyDescent="0.25">
      <c r="C1330" s="175">
        <v>1329</v>
      </c>
      <c r="D1330" s="163"/>
      <c r="G1330" s="172">
        <v>1</v>
      </c>
      <c r="H1330" s="171">
        <f>tbTransactions[[#This Row],[Qty]]*tbTransactions[[#This Row],[Unit Cost]]*tbTransactions[[#This Row],[Exchange Rate]]</f>
        <v>0</v>
      </c>
      <c r="J1330" s="176"/>
      <c r="K1330" s="163" t="str">
        <f>IF(tbTransactions[[#This Row],[Sub-Type]]="Transfer","Neutral",IF(tbTransactions[[#This Row],[Qty]]&lt;0,"Debit",IF(tbTransactions[[#This Row],[Qty]]&gt;0,"Credit","Neutral")))</f>
        <v>Neutral</v>
      </c>
      <c r="L1330" s="163"/>
      <c r="M1330" s="171"/>
    </row>
    <row r="1331" spans="3:13" ht="30" customHeight="1" x14ac:dyDescent="0.25">
      <c r="C1331" s="175">
        <v>1330</v>
      </c>
      <c r="D1331" s="163"/>
      <c r="G1331" s="172">
        <v>1</v>
      </c>
      <c r="H1331" s="171">
        <f>tbTransactions[[#This Row],[Qty]]*tbTransactions[[#This Row],[Unit Cost]]*tbTransactions[[#This Row],[Exchange Rate]]</f>
        <v>0</v>
      </c>
      <c r="J1331" s="176"/>
      <c r="K1331" s="163" t="str">
        <f>IF(tbTransactions[[#This Row],[Sub-Type]]="Transfer","Neutral",IF(tbTransactions[[#This Row],[Qty]]&lt;0,"Debit",IF(tbTransactions[[#This Row],[Qty]]&gt;0,"Credit","Neutral")))</f>
        <v>Neutral</v>
      </c>
      <c r="L1331" s="163"/>
      <c r="M1331" s="171"/>
    </row>
    <row r="1332" spans="3:13" ht="30" customHeight="1" x14ac:dyDescent="0.25">
      <c r="C1332" s="175">
        <v>1331</v>
      </c>
      <c r="D1332" s="163"/>
      <c r="G1332" s="172">
        <v>1</v>
      </c>
      <c r="H1332" s="171">
        <f>tbTransactions[[#This Row],[Qty]]*tbTransactions[[#This Row],[Unit Cost]]*tbTransactions[[#This Row],[Exchange Rate]]</f>
        <v>0</v>
      </c>
      <c r="J1332" s="176"/>
      <c r="K1332" s="163" t="str">
        <f>IF(tbTransactions[[#This Row],[Sub-Type]]="Transfer","Neutral",IF(tbTransactions[[#This Row],[Qty]]&lt;0,"Debit",IF(tbTransactions[[#This Row],[Qty]]&gt;0,"Credit","Neutral")))</f>
        <v>Neutral</v>
      </c>
      <c r="L1332" s="163"/>
      <c r="M1332" s="171"/>
    </row>
    <row r="1333" spans="3:13" ht="30" customHeight="1" x14ac:dyDescent="0.25">
      <c r="C1333" s="175">
        <v>1332</v>
      </c>
      <c r="D1333" s="163"/>
      <c r="G1333" s="172">
        <v>1</v>
      </c>
      <c r="H1333" s="171">
        <f>tbTransactions[[#This Row],[Qty]]*tbTransactions[[#This Row],[Unit Cost]]*tbTransactions[[#This Row],[Exchange Rate]]</f>
        <v>0</v>
      </c>
      <c r="J1333" s="176"/>
      <c r="K1333" s="163" t="str">
        <f>IF(tbTransactions[[#This Row],[Sub-Type]]="Transfer","Neutral",IF(tbTransactions[[#This Row],[Qty]]&lt;0,"Debit",IF(tbTransactions[[#This Row],[Qty]]&gt;0,"Credit","Neutral")))</f>
        <v>Neutral</v>
      </c>
      <c r="L1333" s="163"/>
      <c r="M1333" s="171"/>
    </row>
    <row r="1334" spans="3:13" ht="30" customHeight="1" x14ac:dyDescent="0.25">
      <c r="C1334" s="175">
        <v>1333</v>
      </c>
      <c r="D1334" s="163"/>
      <c r="G1334" s="172">
        <v>1</v>
      </c>
      <c r="H1334" s="171">
        <f>tbTransactions[[#This Row],[Qty]]*tbTransactions[[#This Row],[Unit Cost]]*tbTransactions[[#This Row],[Exchange Rate]]</f>
        <v>0</v>
      </c>
      <c r="J1334" s="176"/>
      <c r="K1334" s="163" t="str">
        <f>IF(tbTransactions[[#This Row],[Sub-Type]]="Transfer","Neutral",IF(tbTransactions[[#This Row],[Qty]]&lt;0,"Debit",IF(tbTransactions[[#This Row],[Qty]]&gt;0,"Credit","Neutral")))</f>
        <v>Neutral</v>
      </c>
      <c r="L1334" s="163"/>
      <c r="M1334" s="171"/>
    </row>
    <row r="1335" spans="3:13" ht="30" customHeight="1" x14ac:dyDescent="0.25">
      <c r="C1335" s="175">
        <v>1334</v>
      </c>
      <c r="D1335" s="163"/>
      <c r="G1335" s="172">
        <v>1</v>
      </c>
      <c r="H1335" s="171">
        <f>tbTransactions[[#This Row],[Qty]]*tbTransactions[[#This Row],[Unit Cost]]*tbTransactions[[#This Row],[Exchange Rate]]</f>
        <v>0</v>
      </c>
      <c r="J1335" s="176"/>
      <c r="K1335" s="163" t="str">
        <f>IF(tbTransactions[[#This Row],[Sub-Type]]="Transfer","Neutral",IF(tbTransactions[[#This Row],[Qty]]&lt;0,"Debit",IF(tbTransactions[[#This Row],[Qty]]&gt;0,"Credit","Neutral")))</f>
        <v>Neutral</v>
      </c>
      <c r="L1335" s="163"/>
      <c r="M1335" s="171"/>
    </row>
    <row r="1336" spans="3:13" ht="30" customHeight="1" x14ac:dyDescent="0.25">
      <c r="C1336" s="175">
        <v>1335</v>
      </c>
      <c r="D1336" s="163"/>
      <c r="G1336" s="172">
        <v>1</v>
      </c>
      <c r="H1336" s="171">
        <f>tbTransactions[[#This Row],[Qty]]*tbTransactions[[#This Row],[Unit Cost]]*tbTransactions[[#This Row],[Exchange Rate]]</f>
        <v>0</v>
      </c>
      <c r="J1336" s="176"/>
      <c r="K1336" s="163" t="str">
        <f>IF(tbTransactions[[#This Row],[Sub-Type]]="Transfer","Neutral",IF(tbTransactions[[#This Row],[Qty]]&lt;0,"Debit",IF(tbTransactions[[#This Row],[Qty]]&gt;0,"Credit","Neutral")))</f>
        <v>Neutral</v>
      </c>
      <c r="L1336" s="163"/>
      <c r="M1336" s="171"/>
    </row>
    <row r="1337" spans="3:13" ht="30" customHeight="1" x14ac:dyDescent="0.25">
      <c r="C1337" s="175">
        <v>1336</v>
      </c>
      <c r="D1337" s="163"/>
      <c r="G1337" s="172">
        <v>1</v>
      </c>
      <c r="H1337" s="171">
        <f>tbTransactions[[#This Row],[Qty]]*tbTransactions[[#This Row],[Unit Cost]]*tbTransactions[[#This Row],[Exchange Rate]]</f>
        <v>0</v>
      </c>
      <c r="J1337" s="176"/>
      <c r="K1337" s="163" t="str">
        <f>IF(tbTransactions[[#This Row],[Sub-Type]]="Transfer","Neutral",IF(tbTransactions[[#This Row],[Qty]]&lt;0,"Debit",IF(tbTransactions[[#This Row],[Qty]]&gt;0,"Credit","Neutral")))</f>
        <v>Neutral</v>
      </c>
      <c r="L1337" s="163"/>
      <c r="M1337" s="171"/>
    </row>
    <row r="1338" spans="3:13" ht="30" customHeight="1" x14ac:dyDescent="0.25">
      <c r="C1338" s="175">
        <v>1337</v>
      </c>
      <c r="D1338" s="163"/>
      <c r="G1338" s="172">
        <v>1</v>
      </c>
      <c r="H1338" s="171">
        <f>tbTransactions[[#This Row],[Qty]]*tbTransactions[[#This Row],[Unit Cost]]*tbTransactions[[#This Row],[Exchange Rate]]</f>
        <v>0</v>
      </c>
      <c r="J1338" s="176"/>
      <c r="K1338" s="163" t="str">
        <f>IF(tbTransactions[[#This Row],[Sub-Type]]="Transfer","Neutral",IF(tbTransactions[[#This Row],[Qty]]&lt;0,"Debit",IF(tbTransactions[[#This Row],[Qty]]&gt;0,"Credit","Neutral")))</f>
        <v>Neutral</v>
      </c>
      <c r="L1338" s="163"/>
      <c r="M1338" s="171"/>
    </row>
    <row r="1339" spans="3:13" ht="30" customHeight="1" x14ac:dyDescent="0.25">
      <c r="C1339" s="175">
        <v>1338</v>
      </c>
      <c r="D1339" s="163"/>
      <c r="G1339" s="172">
        <v>1</v>
      </c>
      <c r="H1339" s="171">
        <f>tbTransactions[[#This Row],[Qty]]*tbTransactions[[#This Row],[Unit Cost]]*tbTransactions[[#This Row],[Exchange Rate]]</f>
        <v>0</v>
      </c>
      <c r="J1339" s="176"/>
      <c r="K1339" s="163" t="str">
        <f>IF(tbTransactions[[#This Row],[Sub-Type]]="Transfer","Neutral",IF(tbTransactions[[#This Row],[Qty]]&lt;0,"Debit",IF(tbTransactions[[#This Row],[Qty]]&gt;0,"Credit","Neutral")))</f>
        <v>Neutral</v>
      </c>
      <c r="L1339" s="163"/>
      <c r="M1339" s="171"/>
    </row>
    <row r="1340" spans="3:13" ht="30" customHeight="1" x14ac:dyDescent="0.25">
      <c r="C1340" s="175">
        <v>1339</v>
      </c>
      <c r="D1340" s="163"/>
      <c r="G1340" s="172">
        <v>1</v>
      </c>
      <c r="H1340" s="171">
        <f>tbTransactions[[#This Row],[Qty]]*tbTransactions[[#This Row],[Unit Cost]]*tbTransactions[[#This Row],[Exchange Rate]]</f>
        <v>0</v>
      </c>
      <c r="J1340" s="176"/>
      <c r="K1340" s="163" t="str">
        <f>IF(tbTransactions[[#This Row],[Sub-Type]]="Transfer","Neutral",IF(tbTransactions[[#This Row],[Qty]]&lt;0,"Debit",IF(tbTransactions[[#This Row],[Qty]]&gt;0,"Credit","Neutral")))</f>
        <v>Neutral</v>
      </c>
      <c r="L1340" s="163"/>
      <c r="M1340" s="171"/>
    </row>
    <row r="1341" spans="3:13" ht="30" customHeight="1" x14ac:dyDescent="0.25">
      <c r="C1341" s="175">
        <v>1340</v>
      </c>
      <c r="D1341" s="163"/>
      <c r="G1341" s="172">
        <v>1</v>
      </c>
      <c r="H1341" s="171">
        <f>tbTransactions[[#This Row],[Qty]]*tbTransactions[[#This Row],[Unit Cost]]*tbTransactions[[#This Row],[Exchange Rate]]</f>
        <v>0</v>
      </c>
      <c r="J1341" s="176"/>
      <c r="K1341" s="163" t="str">
        <f>IF(tbTransactions[[#This Row],[Sub-Type]]="Transfer","Neutral",IF(tbTransactions[[#This Row],[Qty]]&lt;0,"Debit",IF(tbTransactions[[#This Row],[Qty]]&gt;0,"Credit","Neutral")))</f>
        <v>Neutral</v>
      </c>
      <c r="L1341" s="163"/>
      <c r="M1341" s="171"/>
    </row>
    <row r="1342" spans="3:13" ht="30" customHeight="1" x14ac:dyDescent="0.25">
      <c r="C1342" s="175">
        <v>1341</v>
      </c>
      <c r="D1342" s="163"/>
      <c r="G1342" s="172">
        <v>1</v>
      </c>
      <c r="H1342" s="171">
        <f>tbTransactions[[#This Row],[Qty]]*tbTransactions[[#This Row],[Unit Cost]]*tbTransactions[[#This Row],[Exchange Rate]]</f>
        <v>0</v>
      </c>
      <c r="J1342" s="176"/>
      <c r="K1342" s="163" t="str">
        <f>IF(tbTransactions[[#This Row],[Sub-Type]]="Transfer","Neutral",IF(tbTransactions[[#This Row],[Qty]]&lt;0,"Debit",IF(tbTransactions[[#This Row],[Qty]]&gt;0,"Credit","Neutral")))</f>
        <v>Neutral</v>
      </c>
      <c r="L1342" s="163"/>
      <c r="M1342" s="171"/>
    </row>
    <row r="1343" spans="3:13" ht="30" customHeight="1" x14ac:dyDescent="0.25">
      <c r="C1343" s="175">
        <v>1342</v>
      </c>
      <c r="D1343" s="163"/>
      <c r="G1343" s="172">
        <v>1</v>
      </c>
      <c r="H1343" s="171">
        <f>tbTransactions[[#This Row],[Qty]]*tbTransactions[[#This Row],[Unit Cost]]*tbTransactions[[#This Row],[Exchange Rate]]</f>
        <v>0</v>
      </c>
      <c r="J1343" s="176"/>
      <c r="K1343" s="163" t="str">
        <f>IF(tbTransactions[[#This Row],[Sub-Type]]="Transfer","Neutral",IF(tbTransactions[[#This Row],[Qty]]&lt;0,"Debit",IF(tbTransactions[[#This Row],[Qty]]&gt;0,"Credit","Neutral")))</f>
        <v>Neutral</v>
      </c>
      <c r="L1343" s="163"/>
      <c r="M1343" s="171"/>
    </row>
    <row r="1344" spans="3:13" ht="30" customHeight="1" x14ac:dyDescent="0.25">
      <c r="C1344" s="175">
        <v>1343</v>
      </c>
      <c r="D1344" s="163"/>
      <c r="G1344" s="172">
        <v>1</v>
      </c>
      <c r="H1344" s="171">
        <f>tbTransactions[[#This Row],[Qty]]*tbTransactions[[#This Row],[Unit Cost]]*tbTransactions[[#This Row],[Exchange Rate]]</f>
        <v>0</v>
      </c>
      <c r="J1344" s="176"/>
      <c r="K1344" s="163" t="str">
        <f>IF(tbTransactions[[#This Row],[Sub-Type]]="Transfer","Neutral",IF(tbTransactions[[#This Row],[Qty]]&lt;0,"Debit",IF(tbTransactions[[#This Row],[Qty]]&gt;0,"Credit","Neutral")))</f>
        <v>Neutral</v>
      </c>
      <c r="L1344" s="163"/>
      <c r="M1344" s="171"/>
    </row>
    <row r="1345" spans="3:13" ht="30" customHeight="1" x14ac:dyDescent="0.25">
      <c r="C1345" s="175">
        <v>1344</v>
      </c>
      <c r="D1345" s="163"/>
      <c r="G1345" s="172">
        <v>1</v>
      </c>
      <c r="H1345" s="171">
        <f>tbTransactions[[#This Row],[Qty]]*tbTransactions[[#This Row],[Unit Cost]]*tbTransactions[[#This Row],[Exchange Rate]]</f>
        <v>0</v>
      </c>
      <c r="J1345" s="176"/>
      <c r="K1345" s="163" t="str">
        <f>IF(tbTransactions[[#This Row],[Sub-Type]]="Transfer","Neutral",IF(tbTransactions[[#This Row],[Qty]]&lt;0,"Debit",IF(tbTransactions[[#This Row],[Qty]]&gt;0,"Credit","Neutral")))</f>
        <v>Neutral</v>
      </c>
      <c r="L1345" s="163"/>
      <c r="M1345" s="171"/>
    </row>
    <row r="1346" spans="3:13" ht="30" customHeight="1" x14ac:dyDescent="0.25">
      <c r="C1346" s="175">
        <v>1345</v>
      </c>
      <c r="D1346" s="163"/>
      <c r="G1346" s="172">
        <v>1</v>
      </c>
      <c r="H1346" s="171">
        <f>tbTransactions[[#This Row],[Qty]]*tbTransactions[[#This Row],[Unit Cost]]*tbTransactions[[#This Row],[Exchange Rate]]</f>
        <v>0</v>
      </c>
      <c r="J1346" s="176"/>
      <c r="K1346" s="163" t="str">
        <f>IF(tbTransactions[[#This Row],[Sub-Type]]="Transfer","Neutral",IF(tbTransactions[[#This Row],[Qty]]&lt;0,"Debit",IF(tbTransactions[[#This Row],[Qty]]&gt;0,"Credit","Neutral")))</f>
        <v>Neutral</v>
      </c>
      <c r="L1346" s="163"/>
      <c r="M1346" s="171"/>
    </row>
    <row r="1347" spans="3:13" ht="30" customHeight="1" x14ac:dyDescent="0.25">
      <c r="C1347" s="175">
        <v>1346</v>
      </c>
      <c r="D1347" s="163"/>
      <c r="G1347" s="172">
        <v>1</v>
      </c>
      <c r="H1347" s="171">
        <f>tbTransactions[[#This Row],[Qty]]*tbTransactions[[#This Row],[Unit Cost]]*tbTransactions[[#This Row],[Exchange Rate]]</f>
        <v>0</v>
      </c>
      <c r="J1347" s="176"/>
      <c r="K1347" s="163" t="str">
        <f>IF(tbTransactions[[#This Row],[Sub-Type]]="Transfer","Neutral",IF(tbTransactions[[#This Row],[Qty]]&lt;0,"Debit",IF(tbTransactions[[#This Row],[Qty]]&gt;0,"Credit","Neutral")))</f>
        <v>Neutral</v>
      </c>
      <c r="L1347" s="163"/>
      <c r="M1347" s="171"/>
    </row>
    <row r="1348" spans="3:13" ht="30" customHeight="1" x14ac:dyDescent="0.25">
      <c r="C1348" s="175">
        <v>1347</v>
      </c>
      <c r="D1348" s="163"/>
      <c r="G1348" s="172">
        <v>1</v>
      </c>
      <c r="H1348" s="171">
        <f>tbTransactions[[#This Row],[Qty]]*tbTransactions[[#This Row],[Unit Cost]]*tbTransactions[[#This Row],[Exchange Rate]]</f>
        <v>0</v>
      </c>
      <c r="J1348" s="176"/>
      <c r="K1348" s="163" t="str">
        <f>IF(tbTransactions[[#This Row],[Sub-Type]]="Transfer","Neutral",IF(tbTransactions[[#This Row],[Qty]]&lt;0,"Debit",IF(tbTransactions[[#This Row],[Qty]]&gt;0,"Credit","Neutral")))</f>
        <v>Neutral</v>
      </c>
      <c r="L1348" s="163"/>
      <c r="M1348" s="171"/>
    </row>
    <row r="1349" spans="3:13" ht="30" customHeight="1" x14ac:dyDescent="0.25">
      <c r="C1349" s="175">
        <v>1348</v>
      </c>
      <c r="D1349" s="163"/>
      <c r="G1349" s="172">
        <v>1</v>
      </c>
      <c r="H1349" s="171">
        <f>tbTransactions[[#This Row],[Qty]]*tbTransactions[[#This Row],[Unit Cost]]*tbTransactions[[#This Row],[Exchange Rate]]</f>
        <v>0</v>
      </c>
      <c r="J1349" s="176"/>
      <c r="K1349" s="163" t="str">
        <f>IF(tbTransactions[[#This Row],[Sub-Type]]="Transfer","Neutral",IF(tbTransactions[[#This Row],[Qty]]&lt;0,"Debit",IF(tbTransactions[[#This Row],[Qty]]&gt;0,"Credit","Neutral")))</f>
        <v>Neutral</v>
      </c>
      <c r="L1349" s="163"/>
      <c r="M1349" s="171"/>
    </row>
    <row r="1350" spans="3:13" ht="30" customHeight="1" x14ac:dyDescent="0.25">
      <c r="C1350" s="175">
        <v>1349</v>
      </c>
      <c r="D1350" s="163"/>
      <c r="G1350" s="172">
        <v>1</v>
      </c>
      <c r="H1350" s="171">
        <f>tbTransactions[[#This Row],[Qty]]*tbTransactions[[#This Row],[Unit Cost]]*tbTransactions[[#This Row],[Exchange Rate]]</f>
        <v>0</v>
      </c>
      <c r="J1350" s="176"/>
      <c r="K1350" s="163" t="str">
        <f>IF(tbTransactions[[#This Row],[Sub-Type]]="Transfer","Neutral",IF(tbTransactions[[#This Row],[Qty]]&lt;0,"Debit",IF(tbTransactions[[#This Row],[Qty]]&gt;0,"Credit","Neutral")))</f>
        <v>Neutral</v>
      </c>
      <c r="L1350" s="163"/>
      <c r="M1350" s="171"/>
    </row>
    <row r="1351" spans="3:13" ht="30" customHeight="1" x14ac:dyDescent="0.25">
      <c r="C1351" s="175">
        <v>1350</v>
      </c>
      <c r="D1351" s="163"/>
      <c r="G1351" s="172">
        <v>1</v>
      </c>
      <c r="H1351" s="171">
        <f>tbTransactions[[#This Row],[Qty]]*tbTransactions[[#This Row],[Unit Cost]]*tbTransactions[[#This Row],[Exchange Rate]]</f>
        <v>0</v>
      </c>
      <c r="J1351" s="176"/>
      <c r="K1351" s="163" t="str">
        <f>IF(tbTransactions[[#This Row],[Sub-Type]]="Transfer","Neutral",IF(tbTransactions[[#This Row],[Qty]]&lt;0,"Debit",IF(tbTransactions[[#This Row],[Qty]]&gt;0,"Credit","Neutral")))</f>
        <v>Neutral</v>
      </c>
      <c r="L1351" s="163"/>
      <c r="M1351" s="171"/>
    </row>
    <row r="1352" spans="3:13" ht="30" customHeight="1" x14ac:dyDescent="0.25">
      <c r="C1352" s="175">
        <v>1351</v>
      </c>
      <c r="D1352" s="163"/>
      <c r="G1352" s="172">
        <v>1</v>
      </c>
      <c r="H1352" s="171">
        <f>tbTransactions[[#This Row],[Qty]]*tbTransactions[[#This Row],[Unit Cost]]*tbTransactions[[#This Row],[Exchange Rate]]</f>
        <v>0</v>
      </c>
      <c r="J1352" s="176"/>
      <c r="K1352" s="163" t="str">
        <f>IF(tbTransactions[[#This Row],[Sub-Type]]="Transfer","Neutral",IF(tbTransactions[[#This Row],[Qty]]&lt;0,"Debit",IF(tbTransactions[[#This Row],[Qty]]&gt;0,"Credit","Neutral")))</f>
        <v>Neutral</v>
      </c>
      <c r="L1352" s="163"/>
      <c r="M1352" s="171"/>
    </row>
    <row r="1353" spans="3:13" ht="30" customHeight="1" x14ac:dyDescent="0.25">
      <c r="C1353" s="175">
        <v>1352</v>
      </c>
      <c r="D1353" s="163"/>
      <c r="G1353" s="172">
        <v>1</v>
      </c>
      <c r="H1353" s="171">
        <f>tbTransactions[[#This Row],[Qty]]*tbTransactions[[#This Row],[Unit Cost]]*tbTransactions[[#This Row],[Exchange Rate]]</f>
        <v>0</v>
      </c>
      <c r="J1353" s="176"/>
      <c r="K1353" s="163" t="str">
        <f>IF(tbTransactions[[#This Row],[Sub-Type]]="Transfer","Neutral",IF(tbTransactions[[#This Row],[Qty]]&lt;0,"Debit",IF(tbTransactions[[#This Row],[Qty]]&gt;0,"Credit","Neutral")))</f>
        <v>Neutral</v>
      </c>
      <c r="L1353" s="163"/>
      <c r="M1353" s="171"/>
    </row>
    <row r="1354" spans="3:13" ht="30" customHeight="1" x14ac:dyDescent="0.25">
      <c r="C1354" s="175">
        <v>1353</v>
      </c>
      <c r="D1354" s="163"/>
      <c r="G1354" s="172">
        <v>1</v>
      </c>
      <c r="H1354" s="171">
        <f>tbTransactions[[#This Row],[Qty]]*tbTransactions[[#This Row],[Unit Cost]]*tbTransactions[[#This Row],[Exchange Rate]]</f>
        <v>0</v>
      </c>
      <c r="J1354" s="176"/>
      <c r="K1354" s="163" t="str">
        <f>IF(tbTransactions[[#This Row],[Sub-Type]]="Transfer","Neutral",IF(tbTransactions[[#This Row],[Qty]]&lt;0,"Debit",IF(tbTransactions[[#This Row],[Qty]]&gt;0,"Credit","Neutral")))</f>
        <v>Neutral</v>
      </c>
      <c r="L1354" s="163"/>
      <c r="M1354" s="171"/>
    </row>
    <row r="1355" spans="3:13" ht="30" customHeight="1" x14ac:dyDescent="0.25">
      <c r="C1355" s="175">
        <v>1354</v>
      </c>
      <c r="D1355" s="163"/>
      <c r="G1355" s="172">
        <v>1</v>
      </c>
      <c r="H1355" s="171">
        <f>tbTransactions[[#This Row],[Qty]]*tbTransactions[[#This Row],[Unit Cost]]*tbTransactions[[#This Row],[Exchange Rate]]</f>
        <v>0</v>
      </c>
      <c r="J1355" s="176"/>
      <c r="K1355" s="163" t="str">
        <f>IF(tbTransactions[[#This Row],[Sub-Type]]="Transfer","Neutral",IF(tbTransactions[[#This Row],[Qty]]&lt;0,"Debit",IF(tbTransactions[[#This Row],[Qty]]&gt;0,"Credit","Neutral")))</f>
        <v>Neutral</v>
      </c>
      <c r="L1355" s="163"/>
      <c r="M1355" s="171"/>
    </row>
    <row r="1356" spans="3:13" ht="30" customHeight="1" x14ac:dyDescent="0.25">
      <c r="C1356" s="175">
        <v>1355</v>
      </c>
      <c r="D1356" s="163"/>
      <c r="G1356" s="172">
        <v>1</v>
      </c>
      <c r="H1356" s="171">
        <f>tbTransactions[[#This Row],[Qty]]*tbTransactions[[#This Row],[Unit Cost]]*tbTransactions[[#This Row],[Exchange Rate]]</f>
        <v>0</v>
      </c>
      <c r="J1356" s="176"/>
      <c r="K1356" s="163" t="str">
        <f>IF(tbTransactions[[#This Row],[Sub-Type]]="Transfer","Neutral",IF(tbTransactions[[#This Row],[Qty]]&lt;0,"Debit",IF(tbTransactions[[#This Row],[Qty]]&gt;0,"Credit","Neutral")))</f>
        <v>Neutral</v>
      </c>
      <c r="L1356" s="163"/>
      <c r="M1356" s="171"/>
    </row>
    <row r="1357" spans="3:13" ht="30" customHeight="1" x14ac:dyDescent="0.25">
      <c r="C1357" s="175">
        <v>1356</v>
      </c>
      <c r="D1357" s="163"/>
      <c r="G1357" s="172">
        <v>1</v>
      </c>
      <c r="H1357" s="171">
        <f>tbTransactions[[#This Row],[Qty]]*tbTransactions[[#This Row],[Unit Cost]]*tbTransactions[[#This Row],[Exchange Rate]]</f>
        <v>0</v>
      </c>
      <c r="J1357" s="176"/>
      <c r="K1357" s="163" t="str">
        <f>IF(tbTransactions[[#This Row],[Sub-Type]]="Transfer","Neutral",IF(tbTransactions[[#This Row],[Qty]]&lt;0,"Debit",IF(tbTransactions[[#This Row],[Qty]]&gt;0,"Credit","Neutral")))</f>
        <v>Neutral</v>
      </c>
      <c r="L1357" s="163"/>
      <c r="M1357" s="171"/>
    </row>
    <row r="1358" spans="3:13" ht="30" customHeight="1" x14ac:dyDescent="0.25">
      <c r="C1358" s="175">
        <v>1357</v>
      </c>
      <c r="D1358" s="163"/>
      <c r="G1358" s="172">
        <v>1</v>
      </c>
      <c r="H1358" s="171">
        <f>tbTransactions[[#This Row],[Qty]]*tbTransactions[[#This Row],[Unit Cost]]*tbTransactions[[#This Row],[Exchange Rate]]</f>
        <v>0</v>
      </c>
      <c r="J1358" s="176"/>
      <c r="K1358" s="163" t="str">
        <f>IF(tbTransactions[[#This Row],[Sub-Type]]="Transfer","Neutral",IF(tbTransactions[[#This Row],[Qty]]&lt;0,"Debit",IF(tbTransactions[[#This Row],[Qty]]&gt;0,"Credit","Neutral")))</f>
        <v>Neutral</v>
      </c>
      <c r="L1358" s="163"/>
      <c r="M1358" s="171"/>
    </row>
    <row r="1359" spans="3:13" ht="30" customHeight="1" x14ac:dyDescent="0.25">
      <c r="C1359" s="175">
        <v>1358</v>
      </c>
      <c r="D1359" s="163"/>
      <c r="G1359" s="172">
        <v>1</v>
      </c>
      <c r="H1359" s="171">
        <f>tbTransactions[[#This Row],[Qty]]*tbTransactions[[#This Row],[Unit Cost]]*tbTransactions[[#This Row],[Exchange Rate]]</f>
        <v>0</v>
      </c>
      <c r="J1359" s="176"/>
      <c r="K1359" s="163" t="str">
        <f>IF(tbTransactions[[#This Row],[Sub-Type]]="Transfer","Neutral",IF(tbTransactions[[#This Row],[Qty]]&lt;0,"Debit",IF(tbTransactions[[#This Row],[Qty]]&gt;0,"Credit","Neutral")))</f>
        <v>Neutral</v>
      </c>
      <c r="L1359" s="163"/>
      <c r="M1359" s="171"/>
    </row>
    <row r="1360" spans="3:13" ht="30" customHeight="1" x14ac:dyDescent="0.25">
      <c r="C1360" s="175">
        <v>1359</v>
      </c>
      <c r="D1360" s="163"/>
      <c r="G1360" s="172">
        <v>1</v>
      </c>
      <c r="H1360" s="171">
        <f>tbTransactions[[#This Row],[Qty]]*tbTransactions[[#This Row],[Unit Cost]]*tbTransactions[[#This Row],[Exchange Rate]]</f>
        <v>0</v>
      </c>
      <c r="J1360" s="176"/>
      <c r="K1360" s="163" t="str">
        <f>IF(tbTransactions[[#This Row],[Sub-Type]]="Transfer","Neutral",IF(tbTransactions[[#This Row],[Qty]]&lt;0,"Debit",IF(tbTransactions[[#This Row],[Qty]]&gt;0,"Credit","Neutral")))</f>
        <v>Neutral</v>
      </c>
      <c r="L1360" s="163"/>
      <c r="M1360" s="171"/>
    </row>
    <row r="1361" spans="3:13" ht="30" customHeight="1" x14ac:dyDescent="0.25">
      <c r="C1361" s="175">
        <v>1360</v>
      </c>
      <c r="D1361" s="163"/>
      <c r="G1361" s="172">
        <v>1</v>
      </c>
      <c r="H1361" s="171">
        <f>tbTransactions[[#This Row],[Qty]]*tbTransactions[[#This Row],[Unit Cost]]*tbTransactions[[#This Row],[Exchange Rate]]</f>
        <v>0</v>
      </c>
      <c r="J1361" s="176"/>
      <c r="K1361" s="163" t="str">
        <f>IF(tbTransactions[[#This Row],[Sub-Type]]="Transfer","Neutral",IF(tbTransactions[[#This Row],[Qty]]&lt;0,"Debit",IF(tbTransactions[[#This Row],[Qty]]&gt;0,"Credit","Neutral")))</f>
        <v>Neutral</v>
      </c>
      <c r="L1361" s="163"/>
      <c r="M1361" s="171"/>
    </row>
    <row r="1362" spans="3:13" ht="30" customHeight="1" x14ac:dyDescent="0.25">
      <c r="C1362" s="175">
        <v>1361</v>
      </c>
      <c r="D1362" s="163"/>
      <c r="G1362" s="172">
        <v>1</v>
      </c>
      <c r="H1362" s="171">
        <f>tbTransactions[[#This Row],[Qty]]*tbTransactions[[#This Row],[Unit Cost]]*tbTransactions[[#This Row],[Exchange Rate]]</f>
        <v>0</v>
      </c>
      <c r="J1362" s="176"/>
      <c r="K1362" s="163" t="str">
        <f>IF(tbTransactions[[#This Row],[Sub-Type]]="Transfer","Neutral",IF(tbTransactions[[#This Row],[Qty]]&lt;0,"Debit",IF(tbTransactions[[#This Row],[Qty]]&gt;0,"Credit","Neutral")))</f>
        <v>Neutral</v>
      </c>
      <c r="L1362" s="163"/>
      <c r="M1362" s="171"/>
    </row>
    <row r="1363" spans="3:13" ht="30" customHeight="1" x14ac:dyDescent="0.25">
      <c r="C1363" s="175">
        <v>1362</v>
      </c>
      <c r="D1363" s="163"/>
      <c r="G1363" s="172">
        <v>1</v>
      </c>
      <c r="H1363" s="171">
        <f>tbTransactions[[#This Row],[Qty]]*tbTransactions[[#This Row],[Unit Cost]]*tbTransactions[[#This Row],[Exchange Rate]]</f>
        <v>0</v>
      </c>
      <c r="J1363" s="176"/>
      <c r="K1363" s="163" t="str">
        <f>IF(tbTransactions[[#This Row],[Sub-Type]]="Transfer","Neutral",IF(tbTransactions[[#This Row],[Qty]]&lt;0,"Debit",IF(tbTransactions[[#This Row],[Qty]]&gt;0,"Credit","Neutral")))</f>
        <v>Neutral</v>
      </c>
      <c r="L1363" s="163"/>
      <c r="M1363" s="171"/>
    </row>
    <row r="1364" spans="3:13" ht="30" customHeight="1" x14ac:dyDescent="0.25">
      <c r="C1364" s="175">
        <v>1363</v>
      </c>
      <c r="D1364" s="163"/>
      <c r="G1364" s="172">
        <v>1</v>
      </c>
      <c r="H1364" s="171">
        <f>tbTransactions[[#This Row],[Qty]]*tbTransactions[[#This Row],[Unit Cost]]*tbTransactions[[#This Row],[Exchange Rate]]</f>
        <v>0</v>
      </c>
      <c r="J1364" s="176"/>
      <c r="K1364" s="163" t="str">
        <f>IF(tbTransactions[[#This Row],[Sub-Type]]="Transfer","Neutral",IF(tbTransactions[[#This Row],[Qty]]&lt;0,"Debit",IF(tbTransactions[[#This Row],[Qty]]&gt;0,"Credit","Neutral")))</f>
        <v>Neutral</v>
      </c>
      <c r="L1364" s="163"/>
      <c r="M1364" s="171"/>
    </row>
    <row r="1365" spans="3:13" ht="30" customHeight="1" x14ac:dyDescent="0.25">
      <c r="C1365" s="175">
        <v>1364</v>
      </c>
      <c r="D1365" s="163"/>
      <c r="G1365" s="172">
        <v>1</v>
      </c>
      <c r="H1365" s="171">
        <f>tbTransactions[[#This Row],[Qty]]*tbTransactions[[#This Row],[Unit Cost]]*tbTransactions[[#This Row],[Exchange Rate]]</f>
        <v>0</v>
      </c>
      <c r="J1365" s="176"/>
      <c r="K1365" s="163" t="str">
        <f>IF(tbTransactions[[#This Row],[Sub-Type]]="Transfer","Neutral",IF(tbTransactions[[#This Row],[Qty]]&lt;0,"Debit",IF(tbTransactions[[#This Row],[Qty]]&gt;0,"Credit","Neutral")))</f>
        <v>Neutral</v>
      </c>
      <c r="L1365" s="163"/>
      <c r="M1365" s="171"/>
    </row>
    <row r="1366" spans="3:13" ht="30" customHeight="1" x14ac:dyDescent="0.25">
      <c r="C1366" s="175">
        <v>1365</v>
      </c>
      <c r="D1366" s="163"/>
      <c r="G1366" s="172">
        <v>1</v>
      </c>
      <c r="H1366" s="171">
        <f>tbTransactions[[#This Row],[Qty]]*tbTransactions[[#This Row],[Unit Cost]]*tbTransactions[[#This Row],[Exchange Rate]]</f>
        <v>0</v>
      </c>
      <c r="J1366" s="176"/>
      <c r="K1366" s="163" t="str">
        <f>IF(tbTransactions[[#This Row],[Sub-Type]]="Transfer","Neutral",IF(tbTransactions[[#This Row],[Qty]]&lt;0,"Debit",IF(tbTransactions[[#This Row],[Qty]]&gt;0,"Credit","Neutral")))</f>
        <v>Neutral</v>
      </c>
      <c r="L1366" s="163"/>
      <c r="M1366" s="171"/>
    </row>
    <row r="1367" spans="3:13" ht="30" customHeight="1" x14ac:dyDescent="0.25">
      <c r="C1367" s="175">
        <v>1366</v>
      </c>
      <c r="D1367" s="163"/>
      <c r="G1367" s="172">
        <v>1</v>
      </c>
      <c r="H1367" s="171">
        <f>tbTransactions[[#This Row],[Qty]]*tbTransactions[[#This Row],[Unit Cost]]*tbTransactions[[#This Row],[Exchange Rate]]</f>
        <v>0</v>
      </c>
      <c r="J1367" s="176"/>
      <c r="K1367" s="163" t="str">
        <f>IF(tbTransactions[[#This Row],[Sub-Type]]="Transfer","Neutral",IF(tbTransactions[[#This Row],[Qty]]&lt;0,"Debit",IF(tbTransactions[[#This Row],[Qty]]&gt;0,"Credit","Neutral")))</f>
        <v>Neutral</v>
      </c>
      <c r="L1367" s="163"/>
      <c r="M1367" s="171"/>
    </row>
    <row r="1368" spans="3:13" ht="30" customHeight="1" x14ac:dyDescent="0.25">
      <c r="C1368" s="175">
        <v>1367</v>
      </c>
      <c r="D1368" s="163"/>
      <c r="G1368" s="172">
        <v>1</v>
      </c>
      <c r="H1368" s="171">
        <f>tbTransactions[[#This Row],[Qty]]*tbTransactions[[#This Row],[Unit Cost]]*tbTransactions[[#This Row],[Exchange Rate]]</f>
        <v>0</v>
      </c>
      <c r="J1368" s="176"/>
      <c r="K1368" s="163" t="str">
        <f>IF(tbTransactions[[#This Row],[Sub-Type]]="Transfer","Neutral",IF(tbTransactions[[#This Row],[Qty]]&lt;0,"Debit",IF(tbTransactions[[#This Row],[Qty]]&gt;0,"Credit","Neutral")))</f>
        <v>Neutral</v>
      </c>
      <c r="L1368" s="163"/>
      <c r="M1368" s="171"/>
    </row>
    <row r="1369" spans="3:13" ht="30" customHeight="1" x14ac:dyDescent="0.25">
      <c r="C1369" s="175">
        <v>1368</v>
      </c>
      <c r="D1369" s="163"/>
      <c r="G1369" s="172">
        <v>1</v>
      </c>
      <c r="H1369" s="171">
        <f>tbTransactions[[#This Row],[Qty]]*tbTransactions[[#This Row],[Unit Cost]]*tbTransactions[[#This Row],[Exchange Rate]]</f>
        <v>0</v>
      </c>
      <c r="J1369" s="176"/>
      <c r="K1369" s="163" t="str">
        <f>IF(tbTransactions[[#This Row],[Sub-Type]]="Transfer","Neutral",IF(tbTransactions[[#This Row],[Qty]]&lt;0,"Debit",IF(tbTransactions[[#This Row],[Qty]]&gt;0,"Credit","Neutral")))</f>
        <v>Neutral</v>
      </c>
      <c r="L1369" s="163"/>
      <c r="M1369" s="171"/>
    </row>
    <row r="1370" spans="3:13" ht="30" customHeight="1" x14ac:dyDescent="0.25">
      <c r="C1370" s="175">
        <v>1369</v>
      </c>
      <c r="D1370" s="163"/>
      <c r="G1370" s="172">
        <v>1</v>
      </c>
      <c r="H1370" s="171">
        <f>tbTransactions[[#This Row],[Qty]]*tbTransactions[[#This Row],[Unit Cost]]*tbTransactions[[#This Row],[Exchange Rate]]</f>
        <v>0</v>
      </c>
      <c r="J1370" s="176"/>
      <c r="K1370" s="163" t="str">
        <f>IF(tbTransactions[[#This Row],[Sub-Type]]="Transfer","Neutral",IF(tbTransactions[[#This Row],[Qty]]&lt;0,"Debit",IF(tbTransactions[[#This Row],[Qty]]&gt;0,"Credit","Neutral")))</f>
        <v>Neutral</v>
      </c>
      <c r="L1370" s="163"/>
      <c r="M1370" s="171"/>
    </row>
    <row r="1371" spans="3:13" ht="30" customHeight="1" x14ac:dyDescent="0.25">
      <c r="C1371" s="175">
        <v>1370</v>
      </c>
      <c r="D1371" s="163"/>
      <c r="G1371" s="172">
        <v>1</v>
      </c>
      <c r="H1371" s="171">
        <f>tbTransactions[[#This Row],[Qty]]*tbTransactions[[#This Row],[Unit Cost]]*tbTransactions[[#This Row],[Exchange Rate]]</f>
        <v>0</v>
      </c>
      <c r="J1371" s="176"/>
      <c r="K1371" s="163" t="str">
        <f>IF(tbTransactions[[#This Row],[Sub-Type]]="Transfer","Neutral",IF(tbTransactions[[#This Row],[Qty]]&lt;0,"Debit",IF(tbTransactions[[#This Row],[Qty]]&gt;0,"Credit","Neutral")))</f>
        <v>Neutral</v>
      </c>
      <c r="L1371" s="163"/>
      <c r="M1371" s="171"/>
    </row>
    <row r="1372" spans="3:13" ht="30" customHeight="1" x14ac:dyDescent="0.25">
      <c r="C1372" s="175">
        <v>1371</v>
      </c>
      <c r="D1372" s="163"/>
      <c r="G1372" s="172">
        <v>1</v>
      </c>
      <c r="H1372" s="171">
        <f>tbTransactions[[#This Row],[Qty]]*tbTransactions[[#This Row],[Unit Cost]]*tbTransactions[[#This Row],[Exchange Rate]]</f>
        <v>0</v>
      </c>
      <c r="J1372" s="176"/>
      <c r="K1372" s="163" t="str">
        <f>IF(tbTransactions[[#This Row],[Sub-Type]]="Transfer","Neutral",IF(tbTransactions[[#This Row],[Qty]]&lt;0,"Debit",IF(tbTransactions[[#This Row],[Qty]]&gt;0,"Credit","Neutral")))</f>
        <v>Neutral</v>
      </c>
      <c r="L1372" s="163"/>
      <c r="M1372" s="171"/>
    </row>
    <row r="1373" spans="3:13" ht="30" customHeight="1" x14ac:dyDescent="0.25">
      <c r="C1373" s="175">
        <v>1372</v>
      </c>
      <c r="D1373" s="163"/>
      <c r="G1373" s="172">
        <v>1</v>
      </c>
      <c r="H1373" s="171">
        <f>tbTransactions[[#This Row],[Qty]]*tbTransactions[[#This Row],[Unit Cost]]*tbTransactions[[#This Row],[Exchange Rate]]</f>
        <v>0</v>
      </c>
      <c r="J1373" s="176"/>
      <c r="K1373" s="163" t="str">
        <f>IF(tbTransactions[[#This Row],[Sub-Type]]="Transfer","Neutral",IF(tbTransactions[[#This Row],[Qty]]&lt;0,"Debit",IF(tbTransactions[[#This Row],[Qty]]&gt;0,"Credit","Neutral")))</f>
        <v>Neutral</v>
      </c>
      <c r="L1373" s="163"/>
      <c r="M1373" s="171"/>
    </row>
    <row r="1374" spans="3:13" ht="30" customHeight="1" x14ac:dyDescent="0.25">
      <c r="C1374" s="175">
        <v>1373</v>
      </c>
      <c r="D1374" s="163"/>
      <c r="G1374" s="172">
        <v>1</v>
      </c>
      <c r="H1374" s="171">
        <f>tbTransactions[[#This Row],[Qty]]*tbTransactions[[#This Row],[Unit Cost]]*tbTransactions[[#This Row],[Exchange Rate]]</f>
        <v>0</v>
      </c>
      <c r="J1374" s="176"/>
      <c r="K1374" s="163" t="str">
        <f>IF(tbTransactions[[#This Row],[Sub-Type]]="Transfer","Neutral",IF(tbTransactions[[#This Row],[Qty]]&lt;0,"Debit",IF(tbTransactions[[#This Row],[Qty]]&gt;0,"Credit","Neutral")))</f>
        <v>Neutral</v>
      </c>
      <c r="L1374" s="163"/>
      <c r="M1374" s="171"/>
    </row>
    <row r="1375" spans="3:13" ht="30" customHeight="1" x14ac:dyDescent="0.25">
      <c r="C1375" s="175">
        <v>1374</v>
      </c>
      <c r="D1375" s="163"/>
      <c r="G1375" s="172">
        <v>1</v>
      </c>
      <c r="H1375" s="171">
        <f>tbTransactions[[#This Row],[Qty]]*tbTransactions[[#This Row],[Unit Cost]]*tbTransactions[[#This Row],[Exchange Rate]]</f>
        <v>0</v>
      </c>
      <c r="J1375" s="176"/>
      <c r="K1375" s="163" t="str">
        <f>IF(tbTransactions[[#This Row],[Sub-Type]]="Transfer","Neutral",IF(tbTransactions[[#This Row],[Qty]]&lt;0,"Debit",IF(tbTransactions[[#This Row],[Qty]]&gt;0,"Credit","Neutral")))</f>
        <v>Neutral</v>
      </c>
      <c r="L1375" s="163"/>
      <c r="M1375" s="171"/>
    </row>
    <row r="1376" spans="3:13" ht="30" customHeight="1" x14ac:dyDescent="0.25">
      <c r="C1376" s="175">
        <v>1375</v>
      </c>
      <c r="D1376" s="163"/>
      <c r="G1376" s="172">
        <v>1</v>
      </c>
      <c r="H1376" s="171">
        <f>tbTransactions[[#This Row],[Qty]]*tbTransactions[[#This Row],[Unit Cost]]*tbTransactions[[#This Row],[Exchange Rate]]</f>
        <v>0</v>
      </c>
      <c r="J1376" s="176"/>
      <c r="K1376" s="163" t="str">
        <f>IF(tbTransactions[[#This Row],[Sub-Type]]="Transfer","Neutral",IF(tbTransactions[[#This Row],[Qty]]&lt;0,"Debit",IF(tbTransactions[[#This Row],[Qty]]&gt;0,"Credit","Neutral")))</f>
        <v>Neutral</v>
      </c>
      <c r="L1376" s="163"/>
      <c r="M1376" s="171"/>
    </row>
    <row r="1377" spans="3:13" ht="30" customHeight="1" x14ac:dyDescent="0.25">
      <c r="C1377" s="175">
        <v>1376</v>
      </c>
      <c r="D1377" s="163"/>
      <c r="G1377" s="172">
        <v>1</v>
      </c>
      <c r="H1377" s="171">
        <f>tbTransactions[[#This Row],[Qty]]*tbTransactions[[#This Row],[Unit Cost]]*tbTransactions[[#This Row],[Exchange Rate]]</f>
        <v>0</v>
      </c>
      <c r="J1377" s="176"/>
      <c r="K1377" s="163" t="str">
        <f>IF(tbTransactions[[#This Row],[Sub-Type]]="Transfer","Neutral",IF(tbTransactions[[#This Row],[Qty]]&lt;0,"Debit",IF(tbTransactions[[#This Row],[Qty]]&gt;0,"Credit","Neutral")))</f>
        <v>Neutral</v>
      </c>
      <c r="L1377" s="163"/>
      <c r="M1377" s="171"/>
    </row>
    <row r="1378" spans="3:13" ht="30" customHeight="1" x14ac:dyDescent="0.25">
      <c r="C1378" s="175">
        <v>1377</v>
      </c>
      <c r="D1378" s="163"/>
      <c r="G1378" s="172">
        <v>1</v>
      </c>
      <c r="H1378" s="171">
        <f>tbTransactions[[#This Row],[Qty]]*tbTransactions[[#This Row],[Unit Cost]]*tbTransactions[[#This Row],[Exchange Rate]]</f>
        <v>0</v>
      </c>
      <c r="J1378" s="176"/>
      <c r="K1378" s="163" t="str">
        <f>IF(tbTransactions[[#This Row],[Sub-Type]]="Transfer","Neutral",IF(tbTransactions[[#This Row],[Qty]]&lt;0,"Debit",IF(tbTransactions[[#This Row],[Qty]]&gt;0,"Credit","Neutral")))</f>
        <v>Neutral</v>
      </c>
      <c r="L1378" s="163"/>
      <c r="M1378" s="171"/>
    </row>
    <row r="1379" spans="3:13" ht="30" customHeight="1" x14ac:dyDescent="0.25">
      <c r="C1379" s="175">
        <v>1378</v>
      </c>
      <c r="D1379" s="163"/>
      <c r="G1379" s="172">
        <v>1</v>
      </c>
      <c r="H1379" s="171">
        <f>tbTransactions[[#This Row],[Qty]]*tbTransactions[[#This Row],[Unit Cost]]*tbTransactions[[#This Row],[Exchange Rate]]</f>
        <v>0</v>
      </c>
      <c r="J1379" s="176"/>
      <c r="K1379" s="163" t="str">
        <f>IF(tbTransactions[[#This Row],[Sub-Type]]="Transfer","Neutral",IF(tbTransactions[[#This Row],[Qty]]&lt;0,"Debit",IF(tbTransactions[[#This Row],[Qty]]&gt;0,"Credit","Neutral")))</f>
        <v>Neutral</v>
      </c>
      <c r="L1379" s="163"/>
      <c r="M1379" s="171"/>
    </row>
    <row r="1380" spans="3:13" ht="30" customHeight="1" x14ac:dyDescent="0.25">
      <c r="C1380" s="175">
        <v>1379</v>
      </c>
      <c r="D1380" s="163"/>
      <c r="G1380" s="172">
        <v>1</v>
      </c>
      <c r="H1380" s="171">
        <f>tbTransactions[[#This Row],[Qty]]*tbTransactions[[#This Row],[Unit Cost]]*tbTransactions[[#This Row],[Exchange Rate]]</f>
        <v>0</v>
      </c>
      <c r="J1380" s="176"/>
      <c r="K1380" s="163" t="str">
        <f>IF(tbTransactions[[#This Row],[Sub-Type]]="Transfer","Neutral",IF(tbTransactions[[#This Row],[Qty]]&lt;0,"Debit",IF(tbTransactions[[#This Row],[Qty]]&gt;0,"Credit","Neutral")))</f>
        <v>Neutral</v>
      </c>
      <c r="L1380" s="163"/>
      <c r="M1380" s="171"/>
    </row>
    <row r="1381" spans="3:13" ht="30" customHeight="1" x14ac:dyDescent="0.25">
      <c r="C1381" s="175">
        <v>1380</v>
      </c>
      <c r="D1381" s="163"/>
      <c r="G1381" s="172">
        <v>1</v>
      </c>
      <c r="H1381" s="171">
        <f>tbTransactions[[#This Row],[Qty]]*tbTransactions[[#This Row],[Unit Cost]]*tbTransactions[[#This Row],[Exchange Rate]]</f>
        <v>0</v>
      </c>
      <c r="J1381" s="176"/>
      <c r="K1381" s="163" t="str">
        <f>IF(tbTransactions[[#This Row],[Sub-Type]]="Transfer","Neutral",IF(tbTransactions[[#This Row],[Qty]]&lt;0,"Debit",IF(tbTransactions[[#This Row],[Qty]]&gt;0,"Credit","Neutral")))</f>
        <v>Neutral</v>
      </c>
      <c r="L1381" s="163"/>
      <c r="M1381" s="171"/>
    </row>
    <row r="1382" spans="3:13" ht="30" customHeight="1" x14ac:dyDescent="0.25">
      <c r="C1382" s="175">
        <v>1381</v>
      </c>
      <c r="D1382" s="163"/>
      <c r="G1382" s="172">
        <v>1</v>
      </c>
      <c r="H1382" s="171">
        <f>tbTransactions[[#This Row],[Qty]]*tbTransactions[[#This Row],[Unit Cost]]*tbTransactions[[#This Row],[Exchange Rate]]</f>
        <v>0</v>
      </c>
      <c r="J1382" s="176"/>
      <c r="K1382" s="163" t="str">
        <f>IF(tbTransactions[[#This Row],[Sub-Type]]="Transfer","Neutral",IF(tbTransactions[[#This Row],[Qty]]&lt;0,"Debit",IF(tbTransactions[[#This Row],[Qty]]&gt;0,"Credit","Neutral")))</f>
        <v>Neutral</v>
      </c>
      <c r="L1382" s="163"/>
      <c r="M1382" s="171"/>
    </row>
    <row r="1383" spans="3:13" ht="30" customHeight="1" x14ac:dyDescent="0.25">
      <c r="C1383" s="175">
        <v>1382</v>
      </c>
      <c r="D1383" s="163"/>
      <c r="G1383" s="172">
        <v>1</v>
      </c>
      <c r="H1383" s="171">
        <f>tbTransactions[[#This Row],[Qty]]*tbTransactions[[#This Row],[Unit Cost]]*tbTransactions[[#This Row],[Exchange Rate]]</f>
        <v>0</v>
      </c>
      <c r="J1383" s="176"/>
      <c r="K1383" s="163" t="str">
        <f>IF(tbTransactions[[#This Row],[Sub-Type]]="Transfer","Neutral",IF(tbTransactions[[#This Row],[Qty]]&lt;0,"Debit",IF(tbTransactions[[#This Row],[Qty]]&gt;0,"Credit","Neutral")))</f>
        <v>Neutral</v>
      </c>
      <c r="L1383" s="163"/>
      <c r="M1383" s="171"/>
    </row>
    <row r="1384" spans="3:13" ht="30" customHeight="1" x14ac:dyDescent="0.25">
      <c r="C1384" s="175">
        <v>1383</v>
      </c>
      <c r="D1384" s="163"/>
      <c r="G1384" s="172">
        <v>1</v>
      </c>
      <c r="H1384" s="171">
        <f>tbTransactions[[#This Row],[Qty]]*tbTransactions[[#This Row],[Unit Cost]]*tbTransactions[[#This Row],[Exchange Rate]]</f>
        <v>0</v>
      </c>
      <c r="J1384" s="176" t="s">
        <v>6</v>
      </c>
      <c r="K1384" s="163" t="str">
        <f>IF(tbTransactions[[#This Row],[Sub-Type]]="Transfer","Neutral",IF(tbTransactions[[#This Row],[Qty]]&lt;0,"Debit",IF(tbTransactions[[#This Row],[Qty]]&gt;0,"Credit","Neutral")))</f>
        <v>Neutral</v>
      </c>
      <c r="L1384" s="163"/>
      <c r="M1384" s="171"/>
    </row>
    <row r="1385" spans="3:13" ht="30" customHeight="1" x14ac:dyDescent="0.25">
      <c r="D1385" s="148" t="s">
        <v>2</v>
      </c>
      <c r="E1385" s="171" t="s">
        <v>645</v>
      </c>
      <c r="H1385" s="171">
        <f>SUBTOTAL(109,tbTransactions[Total])</f>
        <v>-21550.692690140218</v>
      </c>
      <c r="L1385" s="163"/>
    </row>
  </sheetData>
  <phoneticPr fontId="36" type="noConversion"/>
  <conditionalFormatting sqref="G3:G185 G187:G196 G199 G217:G218 G319:G324 G326:G348 G658:G659 G801 G794:G797 G822 G972:G989 G1044:G1045 G1129:G1130 G1132 G1140:G1144 G1148 G1153:G1160 G1164 G1169:G1172 G1176 G1181:G1187 G1191 G1196:G1199 G1203 G1208:G1211 G1215 G1220 G1224 G1229:G1232 G1236 G1238:G1240 G1244 G1247 G1252 G1255 G1257:G1261 G1264:G1269 G1272 G1276:G1279 G1282 G1284:G1384">
    <cfRule type="cellIs" dxfId="454" priority="445" operator="greaterThan">
      <formula>1</formula>
    </cfRule>
  </conditionalFormatting>
  <conditionalFormatting sqref="G197">
    <cfRule type="cellIs" dxfId="453" priority="443" operator="greaterThan">
      <formula>1</formula>
    </cfRule>
  </conditionalFormatting>
  <conditionalFormatting sqref="G198">
    <cfRule type="cellIs" dxfId="452" priority="442" operator="greaterThan">
      <formula>1</formula>
    </cfRule>
  </conditionalFormatting>
  <conditionalFormatting sqref="G202:G212 G215:G216 G219:G222">
    <cfRule type="cellIs" dxfId="451" priority="441" operator="greaterThan">
      <formula>1</formula>
    </cfRule>
  </conditionalFormatting>
  <conditionalFormatting sqref="G200">
    <cfRule type="cellIs" dxfId="450" priority="440" operator="greaterThan">
      <formula>1</formula>
    </cfRule>
  </conditionalFormatting>
  <conditionalFormatting sqref="G201">
    <cfRule type="cellIs" dxfId="449" priority="439" operator="greaterThan">
      <formula>1</formula>
    </cfRule>
  </conditionalFormatting>
  <conditionalFormatting sqref="G213:G214">
    <cfRule type="cellIs" dxfId="448" priority="438" operator="greaterThan">
      <formula>1</formula>
    </cfRule>
  </conditionalFormatting>
  <conditionalFormatting sqref="G225:G231 G234 G236:G258">
    <cfRule type="cellIs" dxfId="447" priority="437" operator="greaterThan">
      <formula>1</formula>
    </cfRule>
  </conditionalFormatting>
  <conditionalFormatting sqref="G223">
    <cfRule type="cellIs" dxfId="446" priority="436" operator="greaterThan">
      <formula>1</formula>
    </cfRule>
  </conditionalFormatting>
  <conditionalFormatting sqref="G224">
    <cfRule type="cellIs" dxfId="445" priority="435" operator="greaterThan">
      <formula>1</formula>
    </cfRule>
  </conditionalFormatting>
  <conditionalFormatting sqref="G232">
    <cfRule type="cellIs" dxfId="444" priority="434" operator="greaterThan">
      <formula>1</formula>
    </cfRule>
  </conditionalFormatting>
  <conditionalFormatting sqref="G233">
    <cfRule type="cellIs" dxfId="443" priority="433" operator="greaterThan">
      <formula>1</formula>
    </cfRule>
  </conditionalFormatting>
  <conditionalFormatting sqref="G235">
    <cfRule type="cellIs" dxfId="442" priority="432" operator="greaterThan">
      <formula>1</formula>
    </cfRule>
  </conditionalFormatting>
  <conditionalFormatting sqref="G259:G271">
    <cfRule type="cellIs" dxfId="441" priority="431" operator="greaterThan">
      <formula>1</formula>
    </cfRule>
  </conditionalFormatting>
  <conditionalFormatting sqref="G272:G303">
    <cfRule type="cellIs" dxfId="440" priority="430" operator="greaterThan">
      <formula>1</formula>
    </cfRule>
  </conditionalFormatting>
  <conditionalFormatting sqref="G304:G317">
    <cfRule type="cellIs" dxfId="439" priority="429" operator="greaterThan">
      <formula>1</formula>
    </cfRule>
  </conditionalFormatting>
  <conditionalFormatting sqref="G318">
    <cfRule type="cellIs" dxfId="438" priority="428" operator="greaterThan">
      <formula>1</formula>
    </cfRule>
  </conditionalFormatting>
  <conditionalFormatting sqref="G325">
    <cfRule type="cellIs" dxfId="437" priority="427" operator="greaterThan">
      <formula>1</formula>
    </cfRule>
  </conditionalFormatting>
  <conditionalFormatting sqref="G349:G351 G368:G387">
    <cfRule type="cellIs" dxfId="436" priority="426" operator="greaterThan">
      <formula>1</formula>
    </cfRule>
  </conditionalFormatting>
  <conditionalFormatting sqref="G352">
    <cfRule type="cellIs" dxfId="435" priority="425" operator="greaterThan">
      <formula>1</formula>
    </cfRule>
  </conditionalFormatting>
  <conditionalFormatting sqref="G353">
    <cfRule type="cellIs" dxfId="434" priority="424" operator="greaterThan">
      <formula>1</formula>
    </cfRule>
  </conditionalFormatting>
  <conditionalFormatting sqref="G354">
    <cfRule type="cellIs" dxfId="433" priority="423" operator="greaterThan">
      <formula>1</formula>
    </cfRule>
  </conditionalFormatting>
  <conditionalFormatting sqref="G355">
    <cfRule type="cellIs" dxfId="432" priority="422" operator="greaterThan">
      <formula>1</formula>
    </cfRule>
  </conditionalFormatting>
  <conditionalFormatting sqref="G356">
    <cfRule type="cellIs" dxfId="431" priority="421" operator="greaterThan">
      <formula>1</formula>
    </cfRule>
  </conditionalFormatting>
  <conditionalFormatting sqref="G358">
    <cfRule type="cellIs" dxfId="430" priority="419" operator="greaterThan">
      <formula>1</formula>
    </cfRule>
  </conditionalFormatting>
  <conditionalFormatting sqref="G359:G366">
    <cfRule type="cellIs" dxfId="429" priority="418" operator="greaterThan">
      <formula>1</formula>
    </cfRule>
  </conditionalFormatting>
  <conditionalFormatting sqref="G367">
    <cfRule type="cellIs" dxfId="428" priority="417" operator="greaterThan">
      <formula>1</formula>
    </cfRule>
  </conditionalFormatting>
  <conditionalFormatting sqref="G357">
    <cfRule type="cellIs" dxfId="427" priority="416" operator="greaterThan">
      <formula>1</formula>
    </cfRule>
  </conditionalFormatting>
  <conditionalFormatting sqref="G388:G403 G407:G408">
    <cfRule type="cellIs" dxfId="426" priority="415" operator="greaterThan">
      <formula>1</formula>
    </cfRule>
  </conditionalFormatting>
  <conditionalFormatting sqref="G404:G406">
    <cfRule type="cellIs" dxfId="425" priority="414" operator="greaterThan">
      <formula>1</formula>
    </cfRule>
  </conditionalFormatting>
  <conditionalFormatting sqref="G409:G426">
    <cfRule type="cellIs" dxfId="424" priority="413" operator="greaterThan">
      <formula>1</formula>
    </cfRule>
  </conditionalFormatting>
  <conditionalFormatting sqref="G427:G436">
    <cfRule type="cellIs" dxfId="423" priority="412" operator="greaterThan">
      <formula>1</formula>
    </cfRule>
  </conditionalFormatting>
  <conditionalFormatting sqref="G437:G448 G461">
    <cfRule type="cellIs" dxfId="422" priority="411" operator="greaterThan">
      <formula>1</formula>
    </cfRule>
  </conditionalFormatting>
  <conditionalFormatting sqref="G449:G460">
    <cfRule type="cellIs" dxfId="421" priority="410" operator="greaterThan">
      <formula>1</formula>
    </cfRule>
  </conditionalFormatting>
  <conditionalFormatting sqref="G463">
    <cfRule type="cellIs" dxfId="420" priority="409" operator="greaterThan">
      <formula>1</formula>
    </cfRule>
  </conditionalFormatting>
  <conditionalFormatting sqref="G462">
    <cfRule type="cellIs" dxfId="419" priority="408" operator="greaterThan">
      <formula>1</formula>
    </cfRule>
  </conditionalFormatting>
  <conditionalFormatting sqref="G465">
    <cfRule type="cellIs" dxfId="418" priority="407" operator="greaterThan">
      <formula>1</formula>
    </cfRule>
  </conditionalFormatting>
  <conditionalFormatting sqref="G464">
    <cfRule type="cellIs" dxfId="417" priority="406" operator="greaterThan">
      <formula>1</formula>
    </cfRule>
  </conditionalFormatting>
  <conditionalFormatting sqref="G466:G512 G529:G533 G578:G579">
    <cfRule type="cellIs" dxfId="416" priority="405" operator="greaterThan">
      <formula>1</formula>
    </cfRule>
  </conditionalFormatting>
  <conditionalFormatting sqref="G517:G528">
    <cfRule type="cellIs" dxfId="415" priority="404" operator="greaterThan">
      <formula>1</formula>
    </cfRule>
  </conditionalFormatting>
  <conditionalFormatting sqref="G513:G516">
    <cfRule type="cellIs" dxfId="414" priority="403" operator="greaterThan">
      <formula>1</formula>
    </cfRule>
  </conditionalFormatting>
  <conditionalFormatting sqref="G538 G540:G546 G548:G554 G557:G570 G576:G577">
    <cfRule type="cellIs" dxfId="413" priority="402" operator="greaterThan">
      <formula>1</formula>
    </cfRule>
  </conditionalFormatting>
  <conditionalFormatting sqref="G536:G537">
    <cfRule type="cellIs" dxfId="412" priority="401" operator="greaterThan">
      <formula>1</formula>
    </cfRule>
  </conditionalFormatting>
  <conditionalFormatting sqref="G534:G535">
    <cfRule type="cellIs" dxfId="411" priority="400" operator="greaterThan">
      <formula>1</formula>
    </cfRule>
  </conditionalFormatting>
  <conditionalFormatting sqref="G539">
    <cfRule type="cellIs" dxfId="410" priority="399" operator="greaterThan">
      <formula>1</formula>
    </cfRule>
  </conditionalFormatting>
  <conditionalFormatting sqref="G547">
    <cfRule type="cellIs" dxfId="409" priority="398" operator="greaterThan">
      <formula>1</formula>
    </cfRule>
  </conditionalFormatting>
  <conditionalFormatting sqref="G555">
    <cfRule type="cellIs" dxfId="408" priority="397" operator="greaterThan">
      <formula>1</formula>
    </cfRule>
  </conditionalFormatting>
  <conditionalFormatting sqref="G556">
    <cfRule type="cellIs" dxfId="407" priority="396" operator="greaterThan">
      <formula>1</formula>
    </cfRule>
  </conditionalFormatting>
  <conditionalFormatting sqref="G571">
    <cfRule type="cellIs" dxfId="406" priority="395" operator="greaterThan">
      <formula>1</formula>
    </cfRule>
  </conditionalFormatting>
  <conditionalFormatting sqref="G580:G587 G590:G596">
    <cfRule type="cellIs" dxfId="405" priority="394" operator="greaterThan">
      <formula>1</formula>
    </cfRule>
  </conditionalFormatting>
  <conditionalFormatting sqref="G572">
    <cfRule type="cellIs" dxfId="404" priority="393" operator="greaterThan">
      <formula>1</formula>
    </cfRule>
  </conditionalFormatting>
  <conditionalFormatting sqref="G573">
    <cfRule type="cellIs" dxfId="403" priority="392" operator="greaterThan">
      <formula>1</formula>
    </cfRule>
  </conditionalFormatting>
  <conditionalFormatting sqref="G574">
    <cfRule type="cellIs" dxfId="402" priority="391" operator="greaterThan">
      <formula>1</formula>
    </cfRule>
  </conditionalFormatting>
  <conditionalFormatting sqref="G575">
    <cfRule type="cellIs" dxfId="401" priority="390" operator="greaterThan">
      <formula>1</formula>
    </cfRule>
  </conditionalFormatting>
  <conditionalFormatting sqref="G588">
    <cfRule type="cellIs" dxfId="400" priority="389" operator="greaterThan">
      <formula>1</formula>
    </cfRule>
  </conditionalFormatting>
  <conditionalFormatting sqref="G589">
    <cfRule type="cellIs" dxfId="399" priority="388" operator="greaterThan">
      <formula>1</formula>
    </cfRule>
  </conditionalFormatting>
  <conditionalFormatting sqref="G597:G601 G605:G613 G616:G617 G619 G624:G639 G645:G649 G652:G655">
    <cfRule type="cellIs" dxfId="398" priority="387" operator="greaterThan">
      <formula>1</formula>
    </cfRule>
  </conditionalFormatting>
  <conditionalFormatting sqref="G602">
    <cfRule type="cellIs" dxfId="397" priority="386" operator="greaterThan">
      <formula>1</formula>
    </cfRule>
  </conditionalFormatting>
  <conditionalFormatting sqref="G603">
    <cfRule type="cellIs" dxfId="396" priority="385" operator="greaterThan">
      <formula>1</formula>
    </cfRule>
  </conditionalFormatting>
  <conditionalFormatting sqref="G604">
    <cfRule type="cellIs" dxfId="395" priority="384" operator="greaterThan">
      <formula>1</formula>
    </cfRule>
  </conditionalFormatting>
  <conditionalFormatting sqref="G614">
    <cfRule type="cellIs" dxfId="394" priority="383" operator="greaterThan">
      <formula>1</formula>
    </cfRule>
  </conditionalFormatting>
  <conditionalFormatting sqref="G615">
    <cfRule type="cellIs" dxfId="393" priority="381" operator="greaterThan">
      <formula>1</formula>
    </cfRule>
  </conditionalFormatting>
  <conditionalFormatting sqref="G618">
    <cfRule type="cellIs" dxfId="392" priority="380" operator="greaterThan">
      <formula>1</formula>
    </cfRule>
  </conditionalFormatting>
  <conditionalFormatting sqref="G620:G621">
    <cfRule type="cellIs" dxfId="391" priority="379" operator="greaterThan">
      <formula>1</formula>
    </cfRule>
  </conditionalFormatting>
  <conditionalFormatting sqref="G622:G623">
    <cfRule type="cellIs" dxfId="390" priority="378" operator="greaterThan">
      <formula>1</formula>
    </cfRule>
  </conditionalFormatting>
  <conditionalFormatting sqref="G640">
    <cfRule type="cellIs" dxfId="389" priority="377" operator="greaterThan">
      <formula>1</formula>
    </cfRule>
  </conditionalFormatting>
  <conditionalFormatting sqref="G641">
    <cfRule type="cellIs" dxfId="388" priority="376" operator="greaterThan">
      <formula>1</formula>
    </cfRule>
  </conditionalFormatting>
  <conditionalFormatting sqref="G662 G681:G684">
    <cfRule type="cellIs" dxfId="387" priority="375" operator="greaterThan">
      <formula>1</formula>
    </cfRule>
  </conditionalFormatting>
  <conditionalFormatting sqref="G642">
    <cfRule type="cellIs" dxfId="386" priority="374" operator="greaterThan">
      <formula>1</formula>
    </cfRule>
  </conditionalFormatting>
  <conditionalFormatting sqref="G643">
    <cfRule type="cellIs" dxfId="385" priority="373" operator="greaterThan">
      <formula>1</formula>
    </cfRule>
  </conditionalFormatting>
  <conditionalFormatting sqref="G644">
    <cfRule type="cellIs" dxfId="384" priority="372" operator="greaterThan">
      <formula>1</formula>
    </cfRule>
  </conditionalFormatting>
  <conditionalFormatting sqref="G650">
    <cfRule type="cellIs" dxfId="383" priority="371" operator="greaterThan">
      <formula>1</formula>
    </cfRule>
  </conditionalFormatting>
  <conditionalFormatting sqref="G651">
    <cfRule type="cellIs" dxfId="382" priority="370" operator="greaterThan">
      <formula>1</formula>
    </cfRule>
  </conditionalFormatting>
  <conditionalFormatting sqref="G656">
    <cfRule type="cellIs" dxfId="381" priority="369" operator="greaterThan">
      <formula>1</formula>
    </cfRule>
  </conditionalFormatting>
  <conditionalFormatting sqref="G657">
    <cfRule type="cellIs" dxfId="380" priority="368" operator="greaterThan">
      <formula>1</formula>
    </cfRule>
  </conditionalFormatting>
  <conditionalFormatting sqref="G660">
    <cfRule type="cellIs" dxfId="379" priority="367" operator="greaterThan">
      <formula>1</formula>
    </cfRule>
  </conditionalFormatting>
  <conditionalFormatting sqref="G661">
    <cfRule type="cellIs" dxfId="378" priority="366" operator="greaterThan">
      <formula>1</formula>
    </cfRule>
  </conditionalFormatting>
  <conditionalFormatting sqref="G663:G665 G670:G672 G677:G678">
    <cfRule type="cellIs" dxfId="377" priority="365" operator="greaterThan">
      <formula>1</formula>
    </cfRule>
  </conditionalFormatting>
  <conditionalFormatting sqref="G666">
    <cfRule type="cellIs" dxfId="376" priority="364" operator="greaterThan">
      <formula>1</formula>
    </cfRule>
  </conditionalFormatting>
  <conditionalFormatting sqref="G667">
    <cfRule type="cellIs" dxfId="375" priority="363" operator="greaterThan">
      <formula>1</formula>
    </cfRule>
  </conditionalFormatting>
  <conditionalFormatting sqref="G668">
    <cfRule type="cellIs" dxfId="374" priority="362" operator="greaterThan">
      <formula>1</formula>
    </cfRule>
  </conditionalFormatting>
  <conditionalFormatting sqref="G669">
    <cfRule type="cellIs" dxfId="373" priority="361" operator="greaterThan">
      <formula>1</formula>
    </cfRule>
  </conditionalFormatting>
  <conditionalFormatting sqref="G673">
    <cfRule type="cellIs" dxfId="372" priority="360" operator="greaterThan">
      <formula>1</formula>
    </cfRule>
  </conditionalFormatting>
  <conditionalFormatting sqref="G674">
    <cfRule type="cellIs" dxfId="371" priority="359" operator="greaterThan">
      <formula>1</formula>
    </cfRule>
  </conditionalFormatting>
  <conditionalFormatting sqref="G685:G691 G694:G702 G705:G706 G711:G713 G716:G722">
    <cfRule type="cellIs" dxfId="370" priority="358" operator="greaterThan">
      <formula>1</formula>
    </cfRule>
  </conditionalFormatting>
  <conditionalFormatting sqref="G675">
    <cfRule type="cellIs" dxfId="369" priority="357" operator="greaterThan">
      <formula>1</formula>
    </cfRule>
  </conditionalFormatting>
  <conditionalFormatting sqref="G676">
    <cfRule type="cellIs" dxfId="368" priority="356" operator="greaterThan">
      <formula>1</formula>
    </cfRule>
  </conditionalFormatting>
  <conditionalFormatting sqref="G679">
    <cfRule type="cellIs" dxfId="367" priority="355" operator="greaterThan">
      <formula>1</formula>
    </cfRule>
  </conditionalFormatting>
  <conditionalFormatting sqref="G680">
    <cfRule type="cellIs" dxfId="366" priority="354" operator="greaterThan">
      <formula>1</formula>
    </cfRule>
  </conditionalFormatting>
  <conditionalFormatting sqref="G692">
    <cfRule type="cellIs" dxfId="365" priority="353" operator="greaterThan">
      <formula>1</formula>
    </cfRule>
  </conditionalFormatting>
  <conditionalFormatting sqref="G693">
    <cfRule type="cellIs" dxfId="364" priority="352" operator="greaterThan">
      <formula>1</formula>
    </cfRule>
  </conditionalFormatting>
  <conditionalFormatting sqref="G703">
    <cfRule type="cellIs" dxfId="363" priority="351" operator="greaterThan">
      <formula>1</formula>
    </cfRule>
  </conditionalFormatting>
  <conditionalFormatting sqref="G704">
    <cfRule type="cellIs" dxfId="362" priority="350" operator="greaterThan">
      <formula>1</formula>
    </cfRule>
  </conditionalFormatting>
  <conditionalFormatting sqref="G707">
    <cfRule type="cellIs" dxfId="361" priority="349" operator="greaterThan">
      <formula>1</formula>
    </cfRule>
  </conditionalFormatting>
  <conditionalFormatting sqref="G708">
    <cfRule type="cellIs" dxfId="360" priority="348" operator="greaterThan">
      <formula>1</formula>
    </cfRule>
  </conditionalFormatting>
  <conditionalFormatting sqref="G709">
    <cfRule type="cellIs" dxfId="359" priority="347" operator="greaterThan">
      <formula>1</formula>
    </cfRule>
  </conditionalFormatting>
  <conditionalFormatting sqref="G710">
    <cfRule type="cellIs" dxfId="358" priority="346" operator="greaterThan">
      <formula>1</formula>
    </cfRule>
  </conditionalFormatting>
  <conditionalFormatting sqref="G714">
    <cfRule type="cellIs" dxfId="357" priority="345" operator="greaterThan">
      <formula>1</formula>
    </cfRule>
  </conditionalFormatting>
  <conditionalFormatting sqref="G715">
    <cfRule type="cellIs" dxfId="356" priority="344" operator="greaterThan">
      <formula>1</formula>
    </cfRule>
  </conditionalFormatting>
  <conditionalFormatting sqref="G725:G728 G749">
    <cfRule type="cellIs" dxfId="355" priority="343" operator="greaterThan">
      <formula>1</formula>
    </cfRule>
  </conditionalFormatting>
  <conditionalFormatting sqref="G723">
    <cfRule type="cellIs" dxfId="354" priority="342" operator="greaterThan">
      <formula>1</formula>
    </cfRule>
  </conditionalFormatting>
  <conditionalFormatting sqref="G724">
    <cfRule type="cellIs" dxfId="353" priority="341" operator="greaterThan">
      <formula>1</formula>
    </cfRule>
  </conditionalFormatting>
  <conditionalFormatting sqref="G729">
    <cfRule type="cellIs" dxfId="352" priority="340" operator="greaterThan">
      <formula>1</formula>
    </cfRule>
  </conditionalFormatting>
  <conditionalFormatting sqref="G730:G733">
    <cfRule type="cellIs" dxfId="351" priority="339" operator="greaterThan">
      <formula>1</formula>
    </cfRule>
  </conditionalFormatting>
  <conditionalFormatting sqref="G734:G736">
    <cfRule type="cellIs" dxfId="350" priority="338" operator="greaterThan">
      <formula>1</formula>
    </cfRule>
  </conditionalFormatting>
  <conditionalFormatting sqref="G737">
    <cfRule type="cellIs" dxfId="349" priority="337" operator="greaterThan">
      <formula>1</formula>
    </cfRule>
  </conditionalFormatting>
  <conditionalFormatting sqref="G738">
    <cfRule type="cellIs" dxfId="348" priority="336" operator="greaterThan">
      <formula>1</formula>
    </cfRule>
  </conditionalFormatting>
  <conditionalFormatting sqref="G739:G741">
    <cfRule type="cellIs" dxfId="347" priority="335" operator="greaterThan">
      <formula>1</formula>
    </cfRule>
  </conditionalFormatting>
  <conditionalFormatting sqref="G742">
    <cfRule type="cellIs" dxfId="346" priority="334" operator="greaterThan">
      <formula>1</formula>
    </cfRule>
  </conditionalFormatting>
  <conditionalFormatting sqref="G743">
    <cfRule type="cellIs" dxfId="345" priority="333" operator="greaterThan">
      <formula>1</formula>
    </cfRule>
  </conditionalFormatting>
  <conditionalFormatting sqref="G744:G746">
    <cfRule type="cellIs" dxfId="344" priority="332" operator="greaterThan">
      <formula>1</formula>
    </cfRule>
  </conditionalFormatting>
  <conditionalFormatting sqref="G747">
    <cfRule type="cellIs" dxfId="343" priority="331" operator="greaterThan">
      <formula>1</formula>
    </cfRule>
  </conditionalFormatting>
  <conditionalFormatting sqref="G748">
    <cfRule type="cellIs" dxfId="342" priority="330" operator="greaterThan">
      <formula>1</formula>
    </cfRule>
  </conditionalFormatting>
  <conditionalFormatting sqref="G750:G757 G759:G761 G764:G767 G769 G774:G785 G787">
    <cfRule type="cellIs" dxfId="341" priority="328" operator="greaterThan">
      <formula>1</formula>
    </cfRule>
  </conditionalFormatting>
  <conditionalFormatting sqref="G758">
    <cfRule type="cellIs" dxfId="340" priority="327" operator="greaterThan">
      <formula>1</formula>
    </cfRule>
  </conditionalFormatting>
  <conditionalFormatting sqref="G762">
    <cfRule type="cellIs" dxfId="339" priority="326" operator="greaterThan">
      <formula>1</formula>
    </cfRule>
  </conditionalFormatting>
  <conditionalFormatting sqref="G763">
    <cfRule type="cellIs" dxfId="338" priority="325" operator="greaterThan">
      <formula>1</formula>
    </cfRule>
  </conditionalFormatting>
  <conditionalFormatting sqref="G768">
    <cfRule type="cellIs" dxfId="337" priority="324" operator="greaterThan">
      <formula>1</formula>
    </cfRule>
  </conditionalFormatting>
  <conditionalFormatting sqref="G770">
    <cfRule type="cellIs" dxfId="336" priority="323" operator="greaterThan">
      <formula>1</formula>
    </cfRule>
  </conditionalFormatting>
  <conditionalFormatting sqref="G771">
    <cfRule type="cellIs" dxfId="335" priority="322" operator="greaterThan">
      <formula>1</formula>
    </cfRule>
  </conditionalFormatting>
  <conditionalFormatting sqref="G772">
    <cfRule type="cellIs" dxfId="334" priority="321" operator="greaterThan">
      <formula>1</formula>
    </cfRule>
  </conditionalFormatting>
  <conditionalFormatting sqref="G773">
    <cfRule type="cellIs" dxfId="333" priority="320" operator="greaterThan">
      <formula>1</formula>
    </cfRule>
  </conditionalFormatting>
  <conditionalFormatting sqref="G786">
    <cfRule type="cellIs" dxfId="332" priority="319" operator="greaterThan">
      <formula>1</formula>
    </cfRule>
  </conditionalFormatting>
  <conditionalFormatting sqref="G788:G790">
    <cfRule type="cellIs" dxfId="331" priority="318" operator="greaterThan">
      <formula>1</formula>
    </cfRule>
  </conditionalFormatting>
  <conditionalFormatting sqref="G791:G793">
    <cfRule type="cellIs" dxfId="330" priority="317" operator="greaterThan">
      <formula>1</formula>
    </cfRule>
  </conditionalFormatting>
  <conditionalFormatting sqref="G799">
    <cfRule type="cellIs" dxfId="329" priority="316" operator="greaterThan">
      <formula>1</formula>
    </cfRule>
  </conditionalFormatting>
  <conditionalFormatting sqref="G800">
    <cfRule type="cellIs" dxfId="328" priority="315" operator="greaterThan">
      <formula>1</formula>
    </cfRule>
  </conditionalFormatting>
  <conditionalFormatting sqref="G798">
    <cfRule type="cellIs" dxfId="327" priority="314" operator="greaterThan">
      <formula>1</formula>
    </cfRule>
  </conditionalFormatting>
  <conditionalFormatting sqref="G802">
    <cfRule type="cellIs" dxfId="326" priority="313" operator="greaterThan">
      <formula>1</formula>
    </cfRule>
  </conditionalFormatting>
  <conditionalFormatting sqref="G805">
    <cfRule type="cellIs" dxfId="325" priority="312" operator="greaterThan">
      <formula>1</formula>
    </cfRule>
  </conditionalFormatting>
  <conditionalFormatting sqref="G803">
    <cfRule type="cellIs" dxfId="324" priority="311" operator="greaterThan">
      <formula>1</formula>
    </cfRule>
  </conditionalFormatting>
  <conditionalFormatting sqref="G804">
    <cfRule type="cellIs" dxfId="323" priority="310" operator="greaterThan">
      <formula>1</formula>
    </cfRule>
  </conditionalFormatting>
  <conditionalFormatting sqref="G808">
    <cfRule type="cellIs" dxfId="322" priority="309" operator="greaterThan">
      <formula>1</formula>
    </cfRule>
  </conditionalFormatting>
  <conditionalFormatting sqref="G806">
    <cfRule type="cellIs" dxfId="321" priority="308" operator="greaterThan">
      <formula>1</formula>
    </cfRule>
  </conditionalFormatting>
  <conditionalFormatting sqref="G807">
    <cfRule type="cellIs" dxfId="320" priority="307" operator="greaterThan">
      <formula>1</formula>
    </cfRule>
  </conditionalFormatting>
  <conditionalFormatting sqref="G811">
    <cfRule type="cellIs" dxfId="319" priority="306" operator="greaterThan">
      <formula>1</formula>
    </cfRule>
  </conditionalFormatting>
  <conditionalFormatting sqref="G809">
    <cfRule type="cellIs" dxfId="318" priority="305" operator="greaterThan">
      <formula>1</formula>
    </cfRule>
  </conditionalFormatting>
  <conditionalFormatting sqref="G810">
    <cfRule type="cellIs" dxfId="317" priority="304" operator="greaterThan">
      <formula>1</formula>
    </cfRule>
  </conditionalFormatting>
  <conditionalFormatting sqref="G812">
    <cfRule type="cellIs" dxfId="316" priority="303" operator="greaterThan">
      <formula>1</formula>
    </cfRule>
  </conditionalFormatting>
  <conditionalFormatting sqref="G815">
    <cfRule type="cellIs" dxfId="315" priority="302" operator="greaterThan">
      <formula>1</formula>
    </cfRule>
  </conditionalFormatting>
  <conditionalFormatting sqref="G813">
    <cfRule type="cellIs" dxfId="314" priority="301" operator="greaterThan">
      <formula>1</formula>
    </cfRule>
  </conditionalFormatting>
  <conditionalFormatting sqref="G814">
    <cfRule type="cellIs" dxfId="313" priority="300" operator="greaterThan">
      <formula>1</formula>
    </cfRule>
  </conditionalFormatting>
  <conditionalFormatting sqref="G818">
    <cfRule type="cellIs" dxfId="312" priority="299" operator="greaterThan">
      <formula>1</formula>
    </cfRule>
  </conditionalFormatting>
  <conditionalFormatting sqref="G816">
    <cfRule type="cellIs" dxfId="311" priority="298" operator="greaterThan">
      <formula>1</formula>
    </cfRule>
  </conditionalFormatting>
  <conditionalFormatting sqref="G817">
    <cfRule type="cellIs" dxfId="310" priority="297" operator="greaterThan">
      <formula>1</formula>
    </cfRule>
  </conditionalFormatting>
  <conditionalFormatting sqref="G821">
    <cfRule type="cellIs" dxfId="309" priority="296" operator="greaterThan">
      <formula>1</formula>
    </cfRule>
  </conditionalFormatting>
  <conditionalFormatting sqref="G819">
    <cfRule type="cellIs" dxfId="308" priority="295" operator="greaterThan">
      <formula>1</formula>
    </cfRule>
  </conditionalFormatting>
  <conditionalFormatting sqref="G820">
    <cfRule type="cellIs" dxfId="307" priority="294" operator="greaterThan">
      <formula>1</formula>
    </cfRule>
  </conditionalFormatting>
  <conditionalFormatting sqref="G825">
    <cfRule type="cellIs" dxfId="306" priority="292" operator="greaterThan">
      <formula>1</formula>
    </cfRule>
  </conditionalFormatting>
  <conditionalFormatting sqref="G823">
    <cfRule type="cellIs" dxfId="305" priority="291" operator="greaterThan">
      <formula>1</formula>
    </cfRule>
  </conditionalFormatting>
  <conditionalFormatting sqref="G824">
    <cfRule type="cellIs" dxfId="304" priority="290" operator="greaterThan">
      <formula>1</formula>
    </cfRule>
  </conditionalFormatting>
  <conditionalFormatting sqref="G826">
    <cfRule type="cellIs" dxfId="303" priority="289" operator="greaterThan">
      <formula>1</formula>
    </cfRule>
  </conditionalFormatting>
  <conditionalFormatting sqref="G829">
    <cfRule type="cellIs" dxfId="302" priority="288" operator="greaterThan">
      <formula>1</formula>
    </cfRule>
  </conditionalFormatting>
  <conditionalFormatting sqref="G827">
    <cfRule type="cellIs" dxfId="301" priority="287" operator="greaterThan">
      <formula>1</formula>
    </cfRule>
  </conditionalFormatting>
  <conditionalFormatting sqref="G828">
    <cfRule type="cellIs" dxfId="300" priority="286" operator="greaterThan">
      <formula>1</formula>
    </cfRule>
  </conditionalFormatting>
  <conditionalFormatting sqref="G830">
    <cfRule type="cellIs" dxfId="299" priority="285" operator="greaterThan">
      <formula>1</formula>
    </cfRule>
  </conditionalFormatting>
  <conditionalFormatting sqref="G840:G846 G858:G859 G861:G868 G870:G877">
    <cfRule type="cellIs" dxfId="298" priority="284" operator="greaterThan">
      <formula>1</formula>
    </cfRule>
  </conditionalFormatting>
  <conditionalFormatting sqref="G833">
    <cfRule type="cellIs" dxfId="297" priority="283" operator="greaterThan">
      <formula>1</formula>
    </cfRule>
  </conditionalFormatting>
  <conditionalFormatting sqref="G831">
    <cfRule type="cellIs" dxfId="296" priority="282" operator="greaterThan">
      <formula>1</formula>
    </cfRule>
  </conditionalFormatting>
  <conditionalFormatting sqref="G832">
    <cfRule type="cellIs" dxfId="295" priority="281" operator="greaterThan">
      <formula>1</formula>
    </cfRule>
  </conditionalFormatting>
  <conditionalFormatting sqref="G836">
    <cfRule type="cellIs" dxfId="294" priority="280" operator="greaterThan">
      <formula>1</formula>
    </cfRule>
  </conditionalFormatting>
  <conditionalFormatting sqref="G834">
    <cfRule type="cellIs" dxfId="293" priority="279" operator="greaterThan">
      <formula>1</formula>
    </cfRule>
  </conditionalFormatting>
  <conditionalFormatting sqref="G835">
    <cfRule type="cellIs" dxfId="292" priority="278" operator="greaterThan">
      <formula>1</formula>
    </cfRule>
  </conditionalFormatting>
  <conditionalFormatting sqref="G837">
    <cfRule type="cellIs" dxfId="291" priority="277" operator="greaterThan">
      <formula>1</formula>
    </cfRule>
  </conditionalFormatting>
  <conditionalFormatting sqref="G838">
    <cfRule type="cellIs" dxfId="290" priority="276" operator="greaterThan">
      <formula>1</formula>
    </cfRule>
  </conditionalFormatting>
  <conditionalFormatting sqref="G839">
    <cfRule type="cellIs" dxfId="289" priority="275" operator="greaterThan">
      <formula>1</formula>
    </cfRule>
  </conditionalFormatting>
  <conditionalFormatting sqref="G847">
    <cfRule type="cellIs" dxfId="288" priority="274" operator="greaterThan">
      <formula>1</formula>
    </cfRule>
  </conditionalFormatting>
  <conditionalFormatting sqref="G848">
    <cfRule type="cellIs" dxfId="287" priority="273" operator="greaterThan">
      <formula>1</formula>
    </cfRule>
  </conditionalFormatting>
  <conditionalFormatting sqref="G849">
    <cfRule type="cellIs" dxfId="286" priority="272" operator="greaterThan">
      <formula>1</formula>
    </cfRule>
  </conditionalFormatting>
  <conditionalFormatting sqref="G850">
    <cfRule type="cellIs" dxfId="285" priority="271" operator="greaterThan">
      <formula>1</formula>
    </cfRule>
  </conditionalFormatting>
  <conditionalFormatting sqref="G851">
    <cfRule type="cellIs" dxfId="284" priority="270" operator="greaterThan">
      <formula>1</formula>
    </cfRule>
  </conditionalFormatting>
  <conditionalFormatting sqref="G852">
    <cfRule type="cellIs" dxfId="283" priority="269" operator="greaterThan">
      <formula>1</formula>
    </cfRule>
  </conditionalFormatting>
  <conditionalFormatting sqref="G853">
    <cfRule type="cellIs" dxfId="282" priority="268" operator="greaterThan">
      <formula>1</formula>
    </cfRule>
  </conditionalFormatting>
  <conditionalFormatting sqref="G854">
    <cfRule type="cellIs" dxfId="281" priority="267" operator="greaterThan">
      <formula>1</formula>
    </cfRule>
  </conditionalFormatting>
  <conditionalFormatting sqref="G857">
    <cfRule type="cellIs" dxfId="280" priority="266" operator="greaterThan">
      <formula>1</formula>
    </cfRule>
  </conditionalFormatting>
  <conditionalFormatting sqref="G855">
    <cfRule type="cellIs" dxfId="279" priority="265" operator="greaterThan">
      <formula>1</formula>
    </cfRule>
  </conditionalFormatting>
  <conditionalFormatting sqref="G856">
    <cfRule type="cellIs" dxfId="278" priority="264" operator="greaterThan">
      <formula>1</formula>
    </cfRule>
  </conditionalFormatting>
  <conditionalFormatting sqref="G860">
    <cfRule type="cellIs" dxfId="277" priority="263" operator="greaterThan">
      <formula>1</formula>
    </cfRule>
  </conditionalFormatting>
  <conditionalFormatting sqref="G869">
    <cfRule type="cellIs" dxfId="276" priority="262" operator="greaterThan">
      <formula>1</formula>
    </cfRule>
  </conditionalFormatting>
  <conditionalFormatting sqref="G898:G899 G905:G911 G931">
    <cfRule type="cellIs" dxfId="275" priority="261" operator="greaterThan">
      <formula>1</formula>
    </cfRule>
  </conditionalFormatting>
  <conditionalFormatting sqref="G878">
    <cfRule type="cellIs" dxfId="274" priority="260" operator="greaterThan">
      <formula>1</formula>
    </cfRule>
  </conditionalFormatting>
  <conditionalFormatting sqref="G881">
    <cfRule type="cellIs" dxfId="273" priority="259" operator="greaterThan">
      <formula>1</formula>
    </cfRule>
  </conditionalFormatting>
  <conditionalFormatting sqref="G879">
    <cfRule type="cellIs" dxfId="272" priority="258" operator="greaterThan">
      <formula>1</formula>
    </cfRule>
  </conditionalFormatting>
  <conditionalFormatting sqref="G880">
    <cfRule type="cellIs" dxfId="271" priority="257" operator="greaterThan">
      <formula>1</formula>
    </cfRule>
  </conditionalFormatting>
  <conditionalFormatting sqref="G882">
    <cfRule type="cellIs" dxfId="270" priority="256" operator="greaterThan">
      <formula>1</formula>
    </cfRule>
  </conditionalFormatting>
  <conditionalFormatting sqref="G883">
    <cfRule type="cellIs" dxfId="269" priority="255" operator="greaterThan">
      <formula>1</formula>
    </cfRule>
  </conditionalFormatting>
  <conditionalFormatting sqref="G884">
    <cfRule type="cellIs" dxfId="268" priority="254" operator="greaterThan">
      <formula>1</formula>
    </cfRule>
  </conditionalFormatting>
  <conditionalFormatting sqref="G885">
    <cfRule type="cellIs" dxfId="267" priority="253" operator="greaterThan">
      <formula>1</formula>
    </cfRule>
  </conditionalFormatting>
  <conditionalFormatting sqref="G886">
    <cfRule type="cellIs" dxfId="266" priority="252" operator="greaterThan">
      <formula>1</formula>
    </cfRule>
  </conditionalFormatting>
  <conditionalFormatting sqref="G887">
    <cfRule type="cellIs" dxfId="265" priority="251" operator="greaterThan">
      <formula>1</formula>
    </cfRule>
  </conditionalFormatting>
  <conditionalFormatting sqref="G890">
    <cfRule type="cellIs" dxfId="264" priority="250" operator="greaterThan">
      <formula>1</formula>
    </cfRule>
  </conditionalFormatting>
  <conditionalFormatting sqref="G888">
    <cfRule type="cellIs" dxfId="263" priority="249" operator="greaterThan">
      <formula>1</formula>
    </cfRule>
  </conditionalFormatting>
  <conditionalFormatting sqref="G889">
    <cfRule type="cellIs" dxfId="262" priority="248" operator="greaterThan">
      <formula>1</formula>
    </cfRule>
  </conditionalFormatting>
  <conditionalFormatting sqref="G891">
    <cfRule type="cellIs" dxfId="261" priority="247" operator="greaterThan">
      <formula>1</formula>
    </cfRule>
  </conditionalFormatting>
  <conditionalFormatting sqref="G894">
    <cfRule type="cellIs" dxfId="260" priority="246" operator="greaterThan">
      <formula>1</formula>
    </cfRule>
  </conditionalFormatting>
  <conditionalFormatting sqref="G892">
    <cfRule type="cellIs" dxfId="259" priority="245" operator="greaterThan">
      <formula>1</formula>
    </cfRule>
  </conditionalFormatting>
  <conditionalFormatting sqref="G893">
    <cfRule type="cellIs" dxfId="258" priority="244" operator="greaterThan">
      <formula>1</formula>
    </cfRule>
  </conditionalFormatting>
  <conditionalFormatting sqref="G897">
    <cfRule type="cellIs" dxfId="257" priority="243" operator="greaterThan">
      <formula>1</formula>
    </cfRule>
  </conditionalFormatting>
  <conditionalFormatting sqref="G895">
    <cfRule type="cellIs" dxfId="256" priority="242" operator="greaterThan">
      <formula>1</formula>
    </cfRule>
  </conditionalFormatting>
  <conditionalFormatting sqref="G896">
    <cfRule type="cellIs" dxfId="255" priority="241" operator="greaterThan">
      <formula>1</formula>
    </cfRule>
  </conditionalFormatting>
  <conditionalFormatting sqref="G900">
    <cfRule type="cellIs" dxfId="254" priority="240" operator="greaterThan">
      <formula>1</formula>
    </cfRule>
  </conditionalFormatting>
  <conditionalFormatting sqref="G903">
    <cfRule type="cellIs" dxfId="253" priority="239" operator="greaterThan">
      <formula>1</formula>
    </cfRule>
  </conditionalFormatting>
  <conditionalFormatting sqref="G901">
    <cfRule type="cellIs" dxfId="252" priority="238" operator="greaterThan">
      <formula>1</formula>
    </cfRule>
  </conditionalFormatting>
  <conditionalFormatting sqref="G902">
    <cfRule type="cellIs" dxfId="251" priority="237" operator="greaterThan">
      <formula>1</formula>
    </cfRule>
  </conditionalFormatting>
  <conditionalFormatting sqref="G904">
    <cfRule type="cellIs" dxfId="250" priority="236" operator="greaterThan">
      <formula>1</formula>
    </cfRule>
  </conditionalFormatting>
  <conditionalFormatting sqref="G912">
    <cfRule type="cellIs" dxfId="249" priority="235" operator="greaterThan">
      <formula>1</formula>
    </cfRule>
  </conditionalFormatting>
  <conditionalFormatting sqref="G913">
    <cfRule type="cellIs" dxfId="248" priority="234" operator="greaterThan">
      <formula>1</formula>
    </cfRule>
  </conditionalFormatting>
  <conditionalFormatting sqref="G914">
    <cfRule type="cellIs" dxfId="247" priority="233" operator="greaterThan">
      <formula>1</formula>
    </cfRule>
  </conditionalFormatting>
  <conditionalFormatting sqref="G915">
    <cfRule type="cellIs" dxfId="246" priority="232" operator="greaterThan">
      <formula>1</formula>
    </cfRule>
  </conditionalFormatting>
  <conditionalFormatting sqref="G916">
    <cfRule type="cellIs" dxfId="245" priority="231" operator="greaterThan">
      <formula>1</formula>
    </cfRule>
  </conditionalFormatting>
  <conditionalFormatting sqref="G918">
    <cfRule type="cellIs" dxfId="244" priority="229" operator="greaterThan">
      <formula>1</formula>
    </cfRule>
  </conditionalFormatting>
  <conditionalFormatting sqref="G917">
    <cfRule type="cellIs" dxfId="243" priority="228" operator="greaterThan">
      <formula>1</formula>
    </cfRule>
  </conditionalFormatting>
  <conditionalFormatting sqref="G919">
    <cfRule type="cellIs" dxfId="242" priority="227" operator="greaterThan">
      <formula>1</formula>
    </cfRule>
  </conditionalFormatting>
  <conditionalFormatting sqref="G920">
    <cfRule type="cellIs" dxfId="241" priority="226" operator="greaterThan">
      <formula>1</formula>
    </cfRule>
  </conditionalFormatting>
  <conditionalFormatting sqref="G921">
    <cfRule type="cellIs" dxfId="240" priority="225" operator="greaterThan">
      <formula>1</formula>
    </cfRule>
  </conditionalFormatting>
  <conditionalFormatting sqref="G922">
    <cfRule type="cellIs" dxfId="239" priority="224" operator="greaterThan">
      <formula>1</formula>
    </cfRule>
  </conditionalFormatting>
  <conditionalFormatting sqref="G923">
    <cfRule type="cellIs" dxfId="238" priority="223" operator="greaterThan">
      <formula>1</formula>
    </cfRule>
  </conditionalFormatting>
  <conditionalFormatting sqref="G924">
    <cfRule type="cellIs" dxfId="237" priority="222" operator="greaterThan">
      <formula>1</formula>
    </cfRule>
  </conditionalFormatting>
  <conditionalFormatting sqref="G925">
    <cfRule type="cellIs" dxfId="236" priority="221" operator="greaterThan">
      <formula>1</formula>
    </cfRule>
  </conditionalFormatting>
  <conditionalFormatting sqref="G926">
    <cfRule type="cellIs" dxfId="235" priority="220" operator="greaterThan">
      <formula>1</formula>
    </cfRule>
  </conditionalFormatting>
  <conditionalFormatting sqref="G927">
    <cfRule type="cellIs" dxfId="234" priority="219" operator="greaterThan">
      <formula>1</formula>
    </cfRule>
  </conditionalFormatting>
  <conditionalFormatting sqref="G929">
    <cfRule type="cellIs" dxfId="233" priority="217" operator="greaterThan">
      <formula>1</formula>
    </cfRule>
  </conditionalFormatting>
  <conditionalFormatting sqref="G928">
    <cfRule type="cellIs" dxfId="232" priority="216" operator="greaterThan">
      <formula>1</formula>
    </cfRule>
  </conditionalFormatting>
  <conditionalFormatting sqref="G930">
    <cfRule type="cellIs" dxfId="231" priority="215" operator="greaterThan">
      <formula>1</formula>
    </cfRule>
  </conditionalFormatting>
  <conditionalFormatting sqref="G932">
    <cfRule type="cellIs" dxfId="230" priority="214" operator="greaterThan">
      <formula>1</formula>
    </cfRule>
  </conditionalFormatting>
  <conditionalFormatting sqref="G933">
    <cfRule type="cellIs" dxfId="229" priority="213" operator="greaterThan">
      <formula>1</formula>
    </cfRule>
  </conditionalFormatting>
  <conditionalFormatting sqref="G934">
    <cfRule type="cellIs" dxfId="228" priority="212" operator="greaterThan">
      <formula>1</formula>
    </cfRule>
  </conditionalFormatting>
  <conditionalFormatting sqref="G935">
    <cfRule type="cellIs" dxfId="227" priority="211" operator="greaterThan">
      <formula>1</formula>
    </cfRule>
  </conditionalFormatting>
  <conditionalFormatting sqref="G951 G957:G959 G964:G967">
    <cfRule type="cellIs" dxfId="226" priority="210" operator="greaterThan">
      <formula>1</formula>
    </cfRule>
  </conditionalFormatting>
  <conditionalFormatting sqref="G936">
    <cfRule type="cellIs" dxfId="225" priority="209" operator="greaterThan">
      <formula>1</formula>
    </cfRule>
  </conditionalFormatting>
  <conditionalFormatting sqref="G937">
    <cfRule type="cellIs" dxfId="224" priority="208" operator="greaterThan">
      <formula>1</formula>
    </cfRule>
  </conditionalFormatting>
  <conditionalFormatting sqref="G938">
    <cfRule type="cellIs" dxfId="223" priority="207" operator="greaterThan">
      <formula>1</formula>
    </cfRule>
  </conditionalFormatting>
  <conditionalFormatting sqref="G939">
    <cfRule type="cellIs" dxfId="222" priority="206" operator="greaterThan">
      <formula>1</formula>
    </cfRule>
  </conditionalFormatting>
  <conditionalFormatting sqref="G940">
    <cfRule type="cellIs" dxfId="221" priority="205" operator="greaterThan">
      <formula>1</formula>
    </cfRule>
  </conditionalFormatting>
  <conditionalFormatting sqref="G941">
    <cfRule type="cellIs" dxfId="220" priority="204" operator="greaterThan">
      <formula>1</formula>
    </cfRule>
  </conditionalFormatting>
  <conditionalFormatting sqref="G942">
    <cfRule type="cellIs" dxfId="219" priority="203" operator="greaterThan">
      <formula>1</formula>
    </cfRule>
  </conditionalFormatting>
  <conditionalFormatting sqref="G943">
    <cfRule type="cellIs" dxfId="218" priority="202" operator="greaterThan">
      <formula>1</formula>
    </cfRule>
  </conditionalFormatting>
  <conditionalFormatting sqref="G944">
    <cfRule type="cellIs" dxfId="217" priority="201" operator="greaterThan">
      <formula>1</formula>
    </cfRule>
  </conditionalFormatting>
  <conditionalFormatting sqref="G945">
    <cfRule type="cellIs" dxfId="216" priority="200" operator="greaterThan">
      <formula>1</formula>
    </cfRule>
  </conditionalFormatting>
  <conditionalFormatting sqref="G946">
    <cfRule type="cellIs" dxfId="215" priority="199" operator="greaterThan">
      <formula>1</formula>
    </cfRule>
  </conditionalFormatting>
  <conditionalFormatting sqref="G947">
    <cfRule type="cellIs" dxfId="214" priority="198" operator="greaterThan">
      <formula>1</formula>
    </cfRule>
  </conditionalFormatting>
  <conditionalFormatting sqref="G948">
    <cfRule type="cellIs" dxfId="213" priority="197" operator="greaterThan">
      <formula>1</formula>
    </cfRule>
  </conditionalFormatting>
  <conditionalFormatting sqref="G949">
    <cfRule type="cellIs" dxfId="212" priority="196" operator="greaterThan">
      <formula>1</formula>
    </cfRule>
  </conditionalFormatting>
  <conditionalFormatting sqref="G950">
    <cfRule type="cellIs" dxfId="211" priority="195" operator="greaterThan">
      <formula>1</formula>
    </cfRule>
  </conditionalFormatting>
  <conditionalFormatting sqref="G952">
    <cfRule type="cellIs" dxfId="210" priority="194" operator="greaterThan">
      <formula>1</formula>
    </cfRule>
  </conditionalFormatting>
  <conditionalFormatting sqref="G953">
    <cfRule type="cellIs" dxfId="209" priority="193" operator="greaterThan">
      <formula>1</formula>
    </cfRule>
  </conditionalFormatting>
  <conditionalFormatting sqref="G954:G955">
    <cfRule type="cellIs" dxfId="208" priority="192" operator="greaterThan">
      <formula>1</formula>
    </cfRule>
  </conditionalFormatting>
  <conditionalFormatting sqref="G956">
    <cfRule type="cellIs" dxfId="207" priority="191" operator="greaterThan">
      <formula>1</formula>
    </cfRule>
  </conditionalFormatting>
  <conditionalFormatting sqref="G960">
    <cfRule type="cellIs" dxfId="206" priority="190" operator="greaterThan">
      <formula>1</formula>
    </cfRule>
  </conditionalFormatting>
  <conditionalFormatting sqref="G961">
    <cfRule type="cellIs" dxfId="205" priority="189" operator="greaterThan">
      <formula>1</formula>
    </cfRule>
  </conditionalFormatting>
  <conditionalFormatting sqref="G962">
    <cfRule type="cellIs" dxfId="204" priority="188" operator="greaterThan">
      <formula>1</formula>
    </cfRule>
  </conditionalFormatting>
  <conditionalFormatting sqref="G963">
    <cfRule type="cellIs" dxfId="203" priority="187" operator="greaterThan">
      <formula>1</formula>
    </cfRule>
  </conditionalFormatting>
  <conditionalFormatting sqref="G968">
    <cfRule type="cellIs" dxfId="202" priority="186" operator="greaterThan">
      <formula>1</formula>
    </cfRule>
  </conditionalFormatting>
  <conditionalFormatting sqref="G969">
    <cfRule type="cellIs" dxfId="201" priority="185" operator="greaterThan">
      <formula>1</formula>
    </cfRule>
  </conditionalFormatting>
  <conditionalFormatting sqref="G971">
    <cfRule type="cellIs" dxfId="200" priority="180" operator="greaterThan">
      <formula>1</formula>
    </cfRule>
  </conditionalFormatting>
  <conditionalFormatting sqref="G970">
    <cfRule type="cellIs" dxfId="199" priority="179" operator="greaterThan">
      <formula>1</formula>
    </cfRule>
  </conditionalFormatting>
  <conditionalFormatting sqref="G990 G995 G999:G1004 G1006 G1010">
    <cfRule type="cellIs" dxfId="198" priority="178" operator="greaterThan">
      <formula>1</formula>
    </cfRule>
  </conditionalFormatting>
  <conditionalFormatting sqref="G991">
    <cfRule type="cellIs" dxfId="197" priority="177" operator="greaterThan">
      <formula>1</formula>
    </cfRule>
  </conditionalFormatting>
  <conditionalFormatting sqref="G992">
    <cfRule type="cellIs" dxfId="196" priority="176" operator="greaterThan">
      <formula>1</formula>
    </cfRule>
  </conditionalFormatting>
  <conditionalFormatting sqref="G993">
    <cfRule type="cellIs" dxfId="195" priority="175" operator="greaterThan">
      <formula>1</formula>
    </cfRule>
  </conditionalFormatting>
  <conditionalFormatting sqref="G994">
    <cfRule type="cellIs" dxfId="194" priority="174" operator="greaterThan">
      <formula>1</formula>
    </cfRule>
  </conditionalFormatting>
  <conditionalFormatting sqref="G996">
    <cfRule type="cellIs" dxfId="193" priority="173" operator="greaterThan">
      <formula>1</formula>
    </cfRule>
  </conditionalFormatting>
  <conditionalFormatting sqref="G997">
    <cfRule type="cellIs" dxfId="192" priority="172" operator="greaterThan">
      <formula>1</formula>
    </cfRule>
  </conditionalFormatting>
  <conditionalFormatting sqref="G998">
    <cfRule type="cellIs" dxfId="191" priority="171" operator="greaterThan">
      <formula>1</formula>
    </cfRule>
  </conditionalFormatting>
  <conditionalFormatting sqref="G1005">
    <cfRule type="cellIs" dxfId="190" priority="170" operator="greaterThan">
      <formula>1</formula>
    </cfRule>
  </conditionalFormatting>
  <conditionalFormatting sqref="G1007">
    <cfRule type="cellIs" dxfId="189" priority="169" operator="greaterThan">
      <formula>1</formula>
    </cfRule>
  </conditionalFormatting>
  <conditionalFormatting sqref="G1008">
    <cfRule type="cellIs" dxfId="188" priority="168" operator="greaterThan">
      <formula>1</formula>
    </cfRule>
  </conditionalFormatting>
  <conditionalFormatting sqref="G1009">
    <cfRule type="cellIs" dxfId="187" priority="167" operator="greaterThan">
      <formula>1</formula>
    </cfRule>
  </conditionalFormatting>
  <conditionalFormatting sqref="G1011">
    <cfRule type="cellIs" dxfId="186" priority="166" operator="greaterThan">
      <formula>1</formula>
    </cfRule>
  </conditionalFormatting>
  <conditionalFormatting sqref="G1012">
    <cfRule type="cellIs" dxfId="185" priority="165" operator="greaterThan">
      <formula>1</formula>
    </cfRule>
  </conditionalFormatting>
  <conditionalFormatting sqref="G1013">
    <cfRule type="cellIs" dxfId="184" priority="164" operator="greaterThan">
      <formula>1</formula>
    </cfRule>
  </conditionalFormatting>
  <conditionalFormatting sqref="G1014">
    <cfRule type="cellIs" dxfId="183" priority="163" operator="greaterThan">
      <formula>1</formula>
    </cfRule>
  </conditionalFormatting>
  <conditionalFormatting sqref="G1015">
    <cfRule type="cellIs" dxfId="182" priority="162" operator="greaterThan">
      <formula>1</formula>
    </cfRule>
  </conditionalFormatting>
  <conditionalFormatting sqref="G1016">
    <cfRule type="cellIs" dxfId="181" priority="161" operator="greaterThan">
      <formula>1</formula>
    </cfRule>
  </conditionalFormatting>
  <conditionalFormatting sqref="G1017">
    <cfRule type="cellIs" dxfId="180" priority="160" operator="greaterThan">
      <formula>1</formula>
    </cfRule>
  </conditionalFormatting>
  <conditionalFormatting sqref="G1018">
    <cfRule type="cellIs" dxfId="179" priority="159" operator="greaterThan">
      <formula>1</formula>
    </cfRule>
  </conditionalFormatting>
  <conditionalFormatting sqref="G1019">
    <cfRule type="cellIs" dxfId="178" priority="158" operator="greaterThan">
      <formula>1</formula>
    </cfRule>
  </conditionalFormatting>
  <conditionalFormatting sqref="G1020">
    <cfRule type="cellIs" dxfId="177" priority="157" operator="greaterThan">
      <formula>1</formula>
    </cfRule>
  </conditionalFormatting>
  <conditionalFormatting sqref="G1021">
    <cfRule type="cellIs" dxfId="176" priority="156" operator="greaterThan">
      <formula>1</formula>
    </cfRule>
  </conditionalFormatting>
  <conditionalFormatting sqref="G1022">
    <cfRule type="cellIs" dxfId="175" priority="155" operator="greaterThan">
      <formula>1</formula>
    </cfRule>
  </conditionalFormatting>
  <conditionalFormatting sqref="G1023">
    <cfRule type="cellIs" dxfId="174" priority="154" operator="greaterThan">
      <formula>1</formula>
    </cfRule>
  </conditionalFormatting>
  <conditionalFormatting sqref="G1024">
    <cfRule type="cellIs" dxfId="173" priority="153" operator="greaterThan">
      <formula>1</formula>
    </cfRule>
  </conditionalFormatting>
  <conditionalFormatting sqref="G1025">
    <cfRule type="cellIs" dxfId="172" priority="152" operator="greaterThan">
      <formula>1</formula>
    </cfRule>
  </conditionalFormatting>
  <conditionalFormatting sqref="G1026">
    <cfRule type="cellIs" dxfId="171" priority="151" operator="greaterThan">
      <formula>1</formula>
    </cfRule>
  </conditionalFormatting>
  <conditionalFormatting sqref="G1027">
    <cfRule type="cellIs" dxfId="170" priority="150" operator="greaterThan">
      <formula>1</formula>
    </cfRule>
  </conditionalFormatting>
  <conditionalFormatting sqref="G1028">
    <cfRule type="cellIs" dxfId="169" priority="149" operator="greaterThan">
      <formula>1</formula>
    </cfRule>
  </conditionalFormatting>
  <conditionalFormatting sqref="G1029">
    <cfRule type="cellIs" dxfId="168" priority="148" operator="greaterThan">
      <formula>1</formula>
    </cfRule>
  </conditionalFormatting>
  <conditionalFormatting sqref="G1030">
    <cfRule type="cellIs" dxfId="167" priority="147" operator="greaterThan">
      <formula>1</formula>
    </cfRule>
  </conditionalFormatting>
  <conditionalFormatting sqref="G1031">
    <cfRule type="cellIs" dxfId="166" priority="146" operator="greaterThan">
      <formula>1</formula>
    </cfRule>
  </conditionalFormatting>
  <conditionalFormatting sqref="G1032">
    <cfRule type="cellIs" dxfId="165" priority="145" operator="greaterThan">
      <formula>1</formula>
    </cfRule>
  </conditionalFormatting>
  <conditionalFormatting sqref="G1033">
    <cfRule type="cellIs" dxfId="164" priority="144" operator="greaterThan">
      <formula>1</formula>
    </cfRule>
  </conditionalFormatting>
  <conditionalFormatting sqref="G1034">
    <cfRule type="cellIs" dxfId="163" priority="143" operator="greaterThan">
      <formula>1</formula>
    </cfRule>
  </conditionalFormatting>
  <conditionalFormatting sqref="G1035">
    <cfRule type="cellIs" dxfId="162" priority="142" operator="greaterThan">
      <formula>1</formula>
    </cfRule>
  </conditionalFormatting>
  <conditionalFormatting sqref="G1036">
    <cfRule type="cellIs" dxfId="161" priority="141" operator="greaterThan">
      <formula>1</formula>
    </cfRule>
  </conditionalFormatting>
  <conditionalFormatting sqref="G1037">
    <cfRule type="cellIs" dxfId="160" priority="140" operator="greaterThan">
      <formula>1</formula>
    </cfRule>
  </conditionalFormatting>
  <conditionalFormatting sqref="G1038">
    <cfRule type="cellIs" dxfId="159" priority="139" operator="greaterThan">
      <formula>1</formula>
    </cfRule>
  </conditionalFormatting>
  <conditionalFormatting sqref="G1039">
    <cfRule type="cellIs" dxfId="158" priority="138" operator="greaterThan">
      <formula>1</formula>
    </cfRule>
  </conditionalFormatting>
  <conditionalFormatting sqref="G1040">
    <cfRule type="cellIs" dxfId="157" priority="137" operator="greaterThan">
      <formula>1</formula>
    </cfRule>
  </conditionalFormatting>
  <conditionalFormatting sqref="G1046:G1047 G1051:G1053 G1058:G1059 G1066:G1068">
    <cfRule type="cellIs" dxfId="156" priority="136" operator="greaterThan">
      <formula>1</formula>
    </cfRule>
  </conditionalFormatting>
  <conditionalFormatting sqref="G1041">
    <cfRule type="cellIs" dxfId="155" priority="135" operator="greaterThan">
      <formula>1</formula>
    </cfRule>
  </conditionalFormatting>
  <conditionalFormatting sqref="G1042">
    <cfRule type="cellIs" dxfId="154" priority="134" operator="greaterThan">
      <formula>1</formula>
    </cfRule>
  </conditionalFormatting>
  <conditionalFormatting sqref="G1043">
    <cfRule type="cellIs" dxfId="153" priority="133" operator="greaterThan">
      <formula>1</formula>
    </cfRule>
  </conditionalFormatting>
  <conditionalFormatting sqref="G1048">
    <cfRule type="cellIs" dxfId="152" priority="132" operator="greaterThan">
      <formula>1</formula>
    </cfRule>
  </conditionalFormatting>
  <conditionalFormatting sqref="G1049:G1050">
    <cfRule type="cellIs" dxfId="151" priority="131" operator="greaterThan">
      <formula>1</formula>
    </cfRule>
  </conditionalFormatting>
  <conditionalFormatting sqref="G1054:G1056">
    <cfRule type="cellIs" dxfId="150" priority="130" operator="greaterThan">
      <formula>1</formula>
    </cfRule>
  </conditionalFormatting>
  <conditionalFormatting sqref="G1057">
    <cfRule type="cellIs" dxfId="149" priority="129" operator="greaterThan">
      <formula>1</formula>
    </cfRule>
  </conditionalFormatting>
  <conditionalFormatting sqref="G1060:G1061">
    <cfRule type="cellIs" dxfId="148" priority="128" operator="greaterThan">
      <formula>1</formula>
    </cfRule>
  </conditionalFormatting>
  <conditionalFormatting sqref="G1062">
    <cfRule type="cellIs" dxfId="147" priority="127" operator="greaterThan">
      <formula>1</formula>
    </cfRule>
  </conditionalFormatting>
  <conditionalFormatting sqref="G1063:G1064">
    <cfRule type="cellIs" dxfId="146" priority="126" operator="greaterThan">
      <formula>1</formula>
    </cfRule>
  </conditionalFormatting>
  <conditionalFormatting sqref="G1065">
    <cfRule type="cellIs" dxfId="145" priority="125" operator="greaterThan">
      <formula>1</formula>
    </cfRule>
  </conditionalFormatting>
  <conditionalFormatting sqref="G1076">
    <cfRule type="cellIs" dxfId="144" priority="124" operator="greaterThan">
      <formula>1</formula>
    </cfRule>
  </conditionalFormatting>
  <conditionalFormatting sqref="G1069">
    <cfRule type="cellIs" dxfId="143" priority="123" operator="greaterThan">
      <formula>1</formula>
    </cfRule>
  </conditionalFormatting>
  <conditionalFormatting sqref="G1070:G1072">
    <cfRule type="cellIs" dxfId="142" priority="122" operator="greaterThan">
      <formula>1</formula>
    </cfRule>
  </conditionalFormatting>
  <conditionalFormatting sqref="G1073:G1075">
    <cfRule type="cellIs" dxfId="141" priority="121" operator="greaterThan">
      <formula>1</formula>
    </cfRule>
  </conditionalFormatting>
  <conditionalFormatting sqref="G1077:G1079">
    <cfRule type="cellIs" dxfId="140" priority="120" operator="greaterThan">
      <formula>1</formula>
    </cfRule>
  </conditionalFormatting>
  <conditionalFormatting sqref="G1094 G1100:G1102">
    <cfRule type="cellIs" dxfId="139" priority="119" operator="greaterThan">
      <formula>1</formula>
    </cfRule>
  </conditionalFormatting>
  <conditionalFormatting sqref="G1080:G1082">
    <cfRule type="cellIs" dxfId="138" priority="118" operator="greaterThan">
      <formula>1</formula>
    </cfRule>
  </conditionalFormatting>
  <conditionalFormatting sqref="G1083:G1085">
    <cfRule type="cellIs" dxfId="137" priority="117" operator="greaterThan">
      <formula>1</formula>
    </cfRule>
  </conditionalFormatting>
  <conditionalFormatting sqref="G1086:G1088">
    <cfRule type="cellIs" dxfId="136" priority="116" operator="greaterThan">
      <formula>1</formula>
    </cfRule>
  </conditionalFormatting>
  <conditionalFormatting sqref="G1089">
    <cfRule type="cellIs" dxfId="135" priority="115" operator="greaterThan">
      <formula>1</formula>
    </cfRule>
  </conditionalFormatting>
  <conditionalFormatting sqref="G1090:G1092">
    <cfRule type="cellIs" dxfId="134" priority="114" operator="greaterThan">
      <formula>1</formula>
    </cfRule>
  </conditionalFormatting>
  <conditionalFormatting sqref="G1093">
    <cfRule type="cellIs" dxfId="133" priority="113" operator="greaterThan">
      <formula>1</formula>
    </cfRule>
  </conditionalFormatting>
  <conditionalFormatting sqref="G1095:G1096">
    <cfRule type="cellIs" dxfId="132" priority="112" operator="greaterThan">
      <formula>1</formula>
    </cfRule>
  </conditionalFormatting>
  <conditionalFormatting sqref="G1097">
    <cfRule type="cellIs" dxfId="131" priority="111" operator="greaterThan">
      <formula>1</formula>
    </cfRule>
  </conditionalFormatting>
  <conditionalFormatting sqref="G1098">
    <cfRule type="cellIs" dxfId="130" priority="110" operator="greaterThan">
      <formula>1</formula>
    </cfRule>
  </conditionalFormatting>
  <conditionalFormatting sqref="G1099">
    <cfRule type="cellIs" dxfId="129" priority="109" operator="greaterThan">
      <formula>1</formula>
    </cfRule>
  </conditionalFormatting>
  <conditionalFormatting sqref="G1103">
    <cfRule type="cellIs" dxfId="128" priority="108" operator="greaterThan">
      <formula>1</formula>
    </cfRule>
  </conditionalFormatting>
  <conditionalFormatting sqref="G1104">
    <cfRule type="cellIs" dxfId="127" priority="107" operator="greaterThan">
      <formula>1</formula>
    </cfRule>
  </conditionalFormatting>
  <conditionalFormatting sqref="G1105">
    <cfRule type="cellIs" dxfId="126" priority="106" operator="greaterThan">
      <formula>1</formula>
    </cfRule>
  </conditionalFormatting>
  <conditionalFormatting sqref="G1106">
    <cfRule type="cellIs" dxfId="125" priority="105" operator="greaterThan">
      <formula>1</formula>
    </cfRule>
  </conditionalFormatting>
  <conditionalFormatting sqref="G1107">
    <cfRule type="cellIs" dxfId="124" priority="104" operator="greaterThan">
      <formula>1</formula>
    </cfRule>
  </conditionalFormatting>
  <conditionalFormatting sqref="G1108">
    <cfRule type="cellIs" dxfId="123" priority="103" operator="greaterThan">
      <formula>1</formula>
    </cfRule>
  </conditionalFormatting>
  <conditionalFormatting sqref="G1109">
    <cfRule type="cellIs" dxfId="122" priority="102" operator="greaterThan">
      <formula>1</formula>
    </cfRule>
  </conditionalFormatting>
  <conditionalFormatting sqref="G1110">
    <cfRule type="cellIs" dxfId="121" priority="101" operator="greaterThan">
      <formula>1</formula>
    </cfRule>
  </conditionalFormatting>
  <conditionalFormatting sqref="G1111">
    <cfRule type="cellIs" dxfId="120" priority="100" operator="greaterThan">
      <formula>1</formula>
    </cfRule>
  </conditionalFormatting>
  <conditionalFormatting sqref="G1112">
    <cfRule type="cellIs" dxfId="119" priority="99" operator="greaterThan">
      <formula>1</formula>
    </cfRule>
  </conditionalFormatting>
  <conditionalFormatting sqref="G1113">
    <cfRule type="cellIs" dxfId="118" priority="98" operator="greaterThan">
      <formula>1</formula>
    </cfRule>
  </conditionalFormatting>
  <conditionalFormatting sqref="G1114">
    <cfRule type="cellIs" dxfId="117" priority="97" operator="greaterThan">
      <formula>1</formula>
    </cfRule>
  </conditionalFormatting>
  <conditionalFormatting sqref="G1115">
    <cfRule type="cellIs" dxfId="116" priority="96" operator="greaterThan">
      <formula>1</formula>
    </cfRule>
  </conditionalFormatting>
  <conditionalFormatting sqref="G1116">
    <cfRule type="cellIs" dxfId="115" priority="95" operator="greaterThan">
      <formula>1</formula>
    </cfRule>
  </conditionalFormatting>
  <conditionalFormatting sqref="G1117">
    <cfRule type="cellIs" dxfId="114" priority="94" operator="greaterThan">
      <formula>1</formula>
    </cfRule>
  </conditionalFormatting>
  <conditionalFormatting sqref="G1118">
    <cfRule type="cellIs" dxfId="113" priority="93" operator="greaterThan">
      <formula>1</formula>
    </cfRule>
  </conditionalFormatting>
  <conditionalFormatting sqref="G1119">
    <cfRule type="cellIs" dxfId="112" priority="92" operator="greaterThan">
      <formula>1</formula>
    </cfRule>
  </conditionalFormatting>
  <conditionalFormatting sqref="G1120">
    <cfRule type="cellIs" dxfId="111" priority="91" operator="greaterThan">
      <formula>1</formula>
    </cfRule>
  </conditionalFormatting>
  <conditionalFormatting sqref="G1121">
    <cfRule type="cellIs" dxfId="110" priority="90" operator="greaterThan">
      <formula>1</formula>
    </cfRule>
  </conditionalFormatting>
  <conditionalFormatting sqref="G1122">
    <cfRule type="cellIs" dxfId="109" priority="89" operator="greaterThan">
      <formula>1</formula>
    </cfRule>
  </conditionalFormatting>
  <conditionalFormatting sqref="G1123">
    <cfRule type="cellIs" dxfId="108" priority="88" operator="greaterThan">
      <formula>1</formula>
    </cfRule>
  </conditionalFormatting>
  <conditionalFormatting sqref="G1124">
    <cfRule type="cellIs" dxfId="107" priority="87" operator="greaterThan">
      <formula>1</formula>
    </cfRule>
  </conditionalFormatting>
  <conditionalFormatting sqref="G1125">
    <cfRule type="cellIs" dxfId="106" priority="86" operator="greaterThan">
      <formula>1</formula>
    </cfRule>
  </conditionalFormatting>
  <conditionalFormatting sqref="G1126">
    <cfRule type="cellIs" dxfId="105" priority="85" operator="greaterThan">
      <formula>1</formula>
    </cfRule>
  </conditionalFormatting>
  <conditionalFormatting sqref="G1127">
    <cfRule type="cellIs" dxfId="104" priority="84" operator="greaterThan">
      <formula>1</formula>
    </cfRule>
  </conditionalFormatting>
  <conditionalFormatting sqref="G1128">
    <cfRule type="cellIs" dxfId="103" priority="83" operator="greaterThan">
      <formula>1</formula>
    </cfRule>
  </conditionalFormatting>
  <conditionalFormatting sqref="G1133">
    <cfRule type="cellIs" dxfId="102" priority="82" operator="greaterThan">
      <formula>1</formula>
    </cfRule>
  </conditionalFormatting>
  <conditionalFormatting sqref="G1134">
    <cfRule type="cellIs" dxfId="101" priority="81" operator="greaterThan">
      <formula>1</formula>
    </cfRule>
  </conditionalFormatting>
  <conditionalFormatting sqref="G1135">
    <cfRule type="cellIs" dxfId="100" priority="80" operator="greaterThan">
      <formula>1</formula>
    </cfRule>
  </conditionalFormatting>
  <conditionalFormatting sqref="G1136">
    <cfRule type="cellIs" dxfId="99" priority="79" operator="greaterThan">
      <formula>1</formula>
    </cfRule>
  </conditionalFormatting>
  <conditionalFormatting sqref="G1137">
    <cfRule type="cellIs" dxfId="98" priority="78" operator="greaterThan">
      <formula>1</formula>
    </cfRule>
  </conditionalFormatting>
  <conditionalFormatting sqref="G1138">
    <cfRule type="cellIs" dxfId="97" priority="77" operator="greaterThan">
      <formula>1</formula>
    </cfRule>
  </conditionalFormatting>
  <conditionalFormatting sqref="G1139">
    <cfRule type="cellIs" dxfId="96" priority="76" operator="greaterThan">
      <formula>1</formula>
    </cfRule>
  </conditionalFormatting>
  <conditionalFormatting sqref="G1145">
    <cfRule type="cellIs" dxfId="95" priority="75" operator="greaterThan">
      <formula>1</formula>
    </cfRule>
  </conditionalFormatting>
  <conditionalFormatting sqref="G1146">
    <cfRule type="cellIs" dxfId="94" priority="74" operator="greaterThan">
      <formula>1</formula>
    </cfRule>
  </conditionalFormatting>
  <conditionalFormatting sqref="G1147">
    <cfRule type="cellIs" dxfId="93" priority="73" operator="greaterThan">
      <formula>1</formula>
    </cfRule>
  </conditionalFormatting>
  <conditionalFormatting sqref="G1149">
    <cfRule type="cellIs" dxfId="92" priority="72" operator="greaterThan">
      <formula>1</formula>
    </cfRule>
  </conditionalFormatting>
  <conditionalFormatting sqref="G1150">
    <cfRule type="cellIs" dxfId="91" priority="71" operator="greaterThan">
      <formula>1</formula>
    </cfRule>
  </conditionalFormatting>
  <conditionalFormatting sqref="G1151">
    <cfRule type="cellIs" dxfId="90" priority="70" operator="greaterThan">
      <formula>1</formula>
    </cfRule>
  </conditionalFormatting>
  <conditionalFormatting sqref="G1152">
    <cfRule type="cellIs" dxfId="89" priority="69" operator="greaterThan">
      <formula>1</formula>
    </cfRule>
  </conditionalFormatting>
  <conditionalFormatting sqref="G1161">
    <cfRule type="cellIs" dxfId="88" priority="68" operator="greaterThan">
      <formula>1</formula>
    </cfRule>
  </conditionalFormatting>
  <conditionalFormatting sqref="G1162">
    <cfRule type="cellIs" dxfId="87" priority="67" operator="greaterThan">
      <formula>1</formula>
    </cfRule>
  </conditionalFormatting>
  <conditionalFormatting sqref="G1163">
    <cfRule type="cellIs" dxfId="86" priority="66" operator="greaterThan">
      <formula>1</formula>
    </cfRule>
  </conditionalFormatting>
  <conditionalFormatting sqref="G1165">
    <cfRule type="cellIs" dxfId="85" priority="65" operator="greaterThan">
      <formula>1</formula>
    </cfRule>
  </conditionalFormatting>
  <conditionalFormatting sqref="G1166">
    <cfRule type="cellIs" dxfId="84" priority="64" operator="greaterThan">
      <formula>1</formula>
    </cfRule>
  </conditionalFormatting>
  <conditionalFormatting sqref="G1167">
    <cfRule type="cellIs" dxfId="83" priority="63" operator="greaterThan">
      <formula>1</formula>
    </cfRule>
  </conditionalFormatting>
  <conditionalFormatting sqref="G1168">
    <cfRule type="cellIs" dxfId="82" priority="62" operator="greaterThan">
      <formula>1</formula>
    </cfRule>
  </conditionalFormatting>
  <conditionalFormatting sqref="G1173">
    <cfRule type="cellIs" dxfId="81" priority="61" operator="greaterThan">
      <formula>1</formula>
    </cfRule>
  </conditionalFormatting>
  <conditionalFormatting sqref="G1174">
    <cfRule type="cellIs" dxfId="80" priority="60" operator="greaterThan">
      <formula>1</formula>
    </cfRule>
  </conditionalFormatting>
  <conditionalFormatting sqref="G1175">
    <cfRule type="cellIs" dxfId="79" priority="59" operator="greaterThan">
      <formula>1</formula>
    </cfRule>
  </conditionalFormatting>
  <conditionalFormatting sqref="G1177">
    <cfRule type="cellIs" dxfId="78" priority="58" operator="greaterThan">
      <formula>1</formula>
    </cfRule>
  </conditionalFormatting>
  <conditionalFormatting sqref="G1178">
    <cfRule type="cellIs" dxfId="77" priority="57" operator="greaterThan">
      <formula>1</formula>
    </cfRule>
  </conditionalFormatting>
  <conditionalFormatting sqref="G1179">
    <cfRule type="cellIs" dxfId="76" priority="56" operator="greaterThan">
      <formula>1</formula>
    </cfRule>
  </conditionalFormatting>
  <conditionalFormatting sqref="G1180">
    <cfRule type="cellIs" dxfId="75" priority="55" operator="greaterThan">
      <formula>1</formula>
    </cfRule>
  </conditionalFormatting>
  <conditionalFormatting sqref="G1188">
    <cfRule type="cellIs" dxfId="74" priority="54" operator="greaterThan">
      <formula>1</formula>
    </cfRule>
  </conditionalFormatting>
  <conditionalFormatting sqref="G1189">
    <cfRule type="cellIs" dxfId="73" priority="53" operator="greaterThan">
      <formula>1</formula>
    </cfRule>
  </conditionalFormatting>
  <conditionalFormatting sqref="G1190">
    <cfRule type="cellIs" dxfId="72" priority="52" operator="greaterThan">
      <formula>1</formula>
    </cfRule>
  </conditionalFormatting>
  <conditionalFormatting sqref="G1192">
    <cfRule type="cellIs" dxfId="71" priority="51" operator="greaterThan">
      <formula>1</formula>
    </cfRule>
  </conditionalFormatting>
  <conditionalFormatting sqref="G1193">
    <cfRule type="cellIs" dxfId="70" priority="50" operator="greaterThan">
      <formula>1</formula>
    </cfRule>
  </conditionalFormatting>
  <conditionalFormatting sqref="G1194">
    <cfRule type="cellIs" dxfId="69" priority="49" operator="greaterThan">
      <formula>1</formula>
    </cfRule>
  </conditionalFormatting>
  <conditionalFormatting sqref="G1195">
    <cfRule type="cellIs" dxfId="68" priority="48" operator="greaterThan">
      <formula>1</formula>
    </cfRule>
  </conditionalFormatting>
  <conditionalFormatting sqref="G1200">
    <cfRule type="cellIs" dxfId="67" priority="47" operator="greaterThan">
      <formula>1</formula>
    </cfRule>
  </conditionalFormatting>
  <conditionalFormatting sqref="G1201">
    <cfRule type="cellIs" dxfId="66" priority="46" operator="greaterThan">
      <formula>1</formula>
    </cfRule>
  </conditionalFormatting>
  <conditionalFormatting sqref="G1202">
    <cfRule type="cellIs" dxfId="65" priority="45" operator="greaterThan">
      <formula>1</formula>
    </cfRule>
  </conditionalFormatting>
  <conditionalFormatting sqref="G1204">
    <cfRule type="cellIs" dxfId="64" priority="44" operator="greaterThan">
      <formula>1</formula>
    </cfRule>
  </conditionalFormatting>
  <conditionalFormatting sqref="G1205">
    <cfRule type="cellIs" dxfId="63" priority="43" operator="greaterThan">
      <formula>1</formula>
    </cfRule>
  </conditionalFormatting>
  <conditionalFormatting sqref="G1206">
    <cfRule type="cellIs" dxfId="62" priority="42" operator="greaterThan">
      <formula>1</formula>
    </cfRule>
  </conditionalFormatting>
  <conditionalFormatting sqref="G1207">
    <cfRule type="cellIs" dxfId="61" priority="41" operator="greaterThan">
      <formula>1</formula>
    </cfRule>
  </conditionalFormatting>
  <conditionalFormatting sqref="G1212">
    <cfRule type="cellIs" dxfId="60" priority="40" operator="greaterThan">
      <formula>1</formula>
    </cfRule>
  </conditionalFormatting>
  <conditionalFormatting sqref="G1213">
    <cfRule type="cellIs" dxfId="59" priority="39" operator="greaterThan">
      <formula>1</formula>
    </cfRule>
  </conditionalFormatting>
  <conditionalFormatting sqref="G1214">
    <cfRule type="cellIs" dxfId="58" priority="38" operator="greaterThan">
      <formula>1</formula>
    </cfRule>
  </conditionalFormatting>
  <conditionalFormatting sqref="G1216">
    <cfRule type="cellIs" dxfId="57" priority="37" operator="greaterThan">
      <formula>1</formula>
    </cfRule>
  </conditionalFormatting>
  <conditionalFormatting sqref="G1217">
    <cfRule type="cellIs" dxfId="56" priority="36" operator="greaterThan">
      <formula>1</formula>
    </cfRule>
  </conditionalFormatting>
  <conditionalFormatting sqref="G1218">
    <cfRule type="cellIs" dxfId="55" priority="35" operator="greaterThan">
      <formula>1</formula>
    </cfRule>
  </conditionalFormatting>
  <conditionalFormatting sqref="G1219">
    <cfRule type="cellIs" dxfId="54" priority="34" operator="greaterThan">
      <formula>1</formula>
    </cfRule>
  </conditionalFormatting>
  <conditionalFormatting sqref="G1221">
    <cfRule type="cellIs" dxfId="53" priority="33" operator="greaterThan">
      <formula>1</formula>
    </cfRule>
  </conditionalFormatting>
  <conditionalFormatting sqref="G1222">
    <cfRule type="cellIs" dxfId="52" priority="32" operator="greaterThan">
      <formula>1</formula>
    </cfRule>
  </conditionalFormatting>
  <conditionalFormatting sqref="G1223">
    <cfRule type="cellIs" dxfId="51" priority="31" operator="greaterThan">
      <formula>1</formula>
    </cfRule>
  </conditionalFormatting>
  <conditionalFormatting sqref="G1225">
    <cfRule type="cellIs" dxfId="50" priority="30" operator="greaterThan">
      <formula>1</formula>
    </cfRule>
  </conditionalFormatting>
  <conditionalFormatting sqref="G1226">
    <cfRule type="cellIs" dxfId="49" priority="29" operator="greaterThan">
      <formula>1</formula>
    </cfRule>
  </conditionalFormatting>
  <conditionalFormatting sqref="G1227">
    <cfRule type="cellIs" dxfId="48" priority="28" operator="greaterThan">
      <formula>1</formula>
    </cfRule>
  </conditionalFormatting>
  <conditionalFormatting sqref="G1228">
    <cfRule type="cellIs" dxfId="47" priority="27" operator="greaterThan">
      <formula>1</formula>
    </cfRule>
  </conditionalFormatting>
  <conditionalFormatting sqref="G1233">
    <cfRule type="cellIs" dxfId="46" priority="26" operator="greaterThan">
      <formula>1</formula>
    </cfRule>
  </conditionalFormatting>
  <conditionalFormatting sqref="G1234">
    <cfRule type="cellIs" dxfId="45" priority="25" operator="greaterThan">
      <formula>1</formula>
    </cfRule>
  </conditionalFormatting>
  <conditionalFormatting sqref="G1235">
    <cfRule type="cellIs" dxfId="44" priority="24" operator="greaterThan">
      <formula>1</formula>
    </cfRule>
  </conditionalFormatting>
  <conditionalFormatting sqref="G1237">
    <cfRule type="cellIs" dxfId="43" priority="23" operator="greaterThan">
      <formula>1</formula>
    </cfRule>
  </conditionalFormatting>
  <conditionalFormatting sqref="G1241">
    <cfRule type="cellIs" dxfId="42" priority="22" operator="greaterThan">
      <formula>1</formula>
    </cfRule>
  </conditionalFormatting>
  <conditionalFormatting sqref="G1242">
    <cfRule type="cellIs" dxfId="41" priority="21" operator="greaterThan">
      <formula>1</formula>
    </cfRule>
  </conditionalFormatting>
  <conditionalFormatting sqref="G1243">
    <cfRule type="cellIs" dxfId="40" priority="20" operator="greaterThan">
      <formula>1</formula>
    </cfRule>
  </conditionalFormatting>
  <conditionalFormatting sqref="G1245">
    <cfRule type="cellIs" dxfId="39" priority="19" operator="greaterThan">
      <formula>1</formula>
    </cfRule>
  </conditionalFormatting>
  <conditionalFormatting sqref="G1246">
    <cfRule type="cellIs" dxfId="38" priority="18" operator="greaterThan">
      <formula>1</formula>
    </cfRule>
  </conditionalFormatting>
  <conditionalFormatting sqref="G1248">
    <cfRule type="cellIs" dxfId="37" priority="17" operator="greaterThan">
      <formula>1</formula>
    </cfRule>
  </conditionalFormatting>
  <conditionalFormatting sqref="G1249">
    <cfRule type="cellIs" dxfId="36" priority="16" operator="greaterThan">
      <formula>1</formula>
    </cfRule>
  </conditionalFormatting>
  <conditionalFormatting sqref="G1250">
    <cfRule type="cellIs" dxfId="35" priority="15" operator="greaterThan">
      <formula>1</formula>
    </cfRule>
  </conditionalFormatting>
  <conditionalFormatting sqref="G1251">
    <cfRule type="cellIs" dxfId="34" priority="14" operator="greaterThan">
      <formula>1</formula>
    </cfRule>
  </conditionalFormatting>
  <conditionalFormatting sqref="G1253">
    <cfRule type="cellIs" dxfId="33" priority="13" operator="greaterThan">
      <formula>1</formula>
    </cfRule>
  </conditionalFormatting>
  <conditionalFormatting sqref="G1254">
    <cfRule type="cellIs" dxfId="32" priority="12" operator="greaterThan">
      <formula>1</formula>
    </cfRule>
  </conditionalFormatting>
  <conditionalFormatting sqref="G1256">
    <cfRule type="cellIs" dxfId="31" priority="11" operator="greaterThan">
      <formula>1</formula>
    </cfRule>
  </conditionalFormatting>
  <conditionalFormatting sqref="G1262">
    <cfRule type="cellIs" dxfId="30" priority="10" operator="greaterThan">
      <formula>1</formula>
    </cfRule>
  </conditionalFormatting>
  <conditionalFormatting sqref="G1263">
    <cfRule type="cellIs" dxfId="29" priority="9" operator="greaterThan">
      <formula>1</formula>
    </cfRule>
  </conditionalFormatting>
  <conditionalFormatting sqref="G1270">
    <cfRule type="cellIs" dxfId="28" priority="8" operator="greaterThan">
      <formula>1</formula>
    </cfRule>
  </conditionalFormatting>
  <conditionalFormatting sqref="G1271">
    <cfRule type="cellIs" dxfId="27" priority="7" operator="greaterThan">
      <formula>1</formula>
    </cfRule>
  </conditionalFormatting>
  <conditionalFormatting sqref="G1273">
    <cfRule type="cellIs" dxfId="26" priority="6" operator="greaterThan">
      <formula>1</formula>
    </cfRule>
  </conditionalFormatting>
  <conditionalFormatting sqref="G1274">
    <cfRule type="cellIs" dxfId="25" priority="5" operator="greaterThan">
      <formula>1</formula>
    </cfRule>
  </conditionalFormatting>
  <conditionalFormatting sqref="G1275">
    <cfRule type="cellIs" dxfId="24" priority="4" operator="greaterThan">
      <formula>1</formula>
    </cfRule>
  </conditionalFormatting>
  <conditionalFormatting sqref="G1280">
    <cfRule type="cellIs" dxfId="23" priority="3" operator="greaterThan">
      <formula>1</formula>
    </cfRule>
  </conditionalFormatting>
  <conditionalFormatting sqref="G1281">
    <cfRule type="cellIs" dxfId="22" priority="2" operator="greaterThan">
      <formula>1</formula>
    </cfRule>
  </conditionalFormatting>
  <conditionalFormatting sqref="G1283">
    <cfRule type="cellIs" dxfId="21" priority="1" operator="greaterThan">
      <formula>1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FC417-D666-4A68-A094-77CFB30F01FD}">
  <sheetPr codeName="Sheet4">
    <tabColor rgb="FFC00000"/>
  </sheetPr>
  <dimension ref="B1:K76"/>
  <sheetViews>
    <sheetView showGridLines="0" topLeftCell="A63" workbookViewId="0">
      <selection activeCell="E76" sqref="E76"/>
    </sheetView>
  </sheetViews>
  <sheetFormatPr defaultColWidth="9.140625" defaultRowHeight="30" customHeight="1" x14ac:dyDescent="0.25"/>
  <cols>
    <col min="1" max="1" width="1.42578125" style="22" customWidth="1"/>
    <col min="2" max="2" width="12.140625" style="24" customWidth="1"/>
    <col min="3" max="3" width="12.140625" style="25" customWidth="1"/>
    <col min="4" max="4" width="82.85546875" style="26" customWidth="1"/>
    <col min="5" max="5" width="10.7109375" style="23" customWidth="1"/>
    <col min="6" max="6" width="9.42578125" style="21" bestFit="1" customWidth="1"/>
    <col min="7" max="7" width="9.85546875" style="21" customWidth="1"/>
    <col min="8" max="10" width="9.28515625" style="21" bestFit="1" customWidth="1"/>
    <col min="11" max="11" width="9.7109375" style="21" customWidth="1"/>
    <col min="12" max="16384" width="9.140625" style="22"/>
  </cols>
  <sheetData>
    <row r="1" spans="2:11" ht="7.5" customHeight="1" x14ac:dyDescent="0.25"/>
    <row r="2" spans="2:11" ht="30" customHeight="1" x14ac:dyDescent="0.25">
      <c r="B2" s="24" t="s">
        <v>3</v>
      </c>
      <c r="C2" s="25" t="s">
        <v>600</v>
      </c>
      <c r="D2" s="26" t="s">
        <v>13</v>
      </c>
      <c r="E2" s="21" t="s">
        <v>618</v>
      </c>
      <c r="F2" s="27" t="s">
        <v>619</v>
      </c>
      <c r="G2" s="27" t="s">
        <v>620</v>
      </c>
      <c r="H2" s="27" t="s">
        <v>621</v>
      </c>
      <c r="I2" s="27" t="s">
        <v>622</v>
      </c>
      <c r="J2" s="27" t="s">
        <v>623</v>
      </c>
      <c r="K2" s="27" t="s">
        <v>624</v>
      </c>
    </row>
    <row r="3" spans="2:11" ht="30" customHeight="1" x14ac:dyDescent="0.25">
      <c r="B3" s="24">
        <v>44462</v>
      </c>
      <c r="C3" s="25">
        <v>0.44513888888888892</v>
      </c>
      <c r="D3" s="26" t="s">
        <v>604</v>
      </c>
      <c r="E3" s="32">
        <v>2.33</v>
      </c>
      <c r="F3" s="32">
        <f>Table6[[#This Row],[Var1]]/4</f>
        <v>0.58250000000000002</v>
      </c>
      <c r="G3" s="32"/>
      <c r="H3" s="32"/>
      <c r="I3" s="32"/>
      <c r="J3" s="32"/>
      <c r="K3" s="32"/>
    </row>
    <row r="4" spans="2:11" ht="30" customHeight="1" x14ac:dyDescent="0.25">
      <c r="B4" s="24">
        <v>44462</v>
      </c>
      <c r="C4" s="25">
        <v>0.4458333333333333</v>
      </c>
      <c r="D4" s="26" t="s">
        <v>627</v>
      </c>
      <c r="E4" s="32">
        <f>19.05672928-0.635</f>
        <v>18.421729279999997</v>
      </c>
      <c r="F4" s="32"/>
      <c r="G4" s="32"/>
      <c r="H4" s="32"/>
      <c r="I4" s="32"/>
      <c r="J4" s="32"/>
      <c r="K4" s="32"/>
    </row>
    <row r="5" spans="2:11" ht="30" customHeight="1" x14ac:dyDescent="0.25">
      <c r="B5" s="24">
        <v>44462</v>
      </c>
      <c r="C5" s="25">
        <v>0.4465277777777778</v>
      </c>
      <c r="D5" s="31" t="s">
        <v>639</v>
      </c>
      <c r="E5" s="32">
        <v>2.33</v>
      </c>
      <c r="F5" s="32"/>
      <c r="G5" s="32"/>
      <c r="H5" s="32"/>
      <c r="I5" s="32"/>
      <c r="J5" s="32"/>
      <c r="K5" s="32"/>
    </row>
    <row r="6" spans="2:11" ht="30" customHeight="1" x14ac:dyDescent="0.25">
      <c r="B6" s="24">
        <v>44462</v>
      </c>
      <c r="C6" s="25">
        <v>0.94444444444444453</v>
      </c>
      <c r="D6" s="26" t="s">
        <v>601</v>
      </c>
      <c r="E6" s="32">
        <v>2.33</v>
      </c>
      <c r="F6" s="33">
        <v>3961.22</v>
      </c>
      <c r="G6" s="32"/>
      <c r="H6" s="32"/>
      <c r="I6" s="32"/>
      <c r="J6" s="32"/>
      <c r="K6" s="32"/>
    </row>
    <row r="7" spans="2:11" ht="30" customHeight="1" x14ac:dyDescent="0.25">
      <c r="B7" s="24">
        <v>44462</v>
      </c>
      <c r="C7" s="25">
        <v>0.95208333333333339</v>
      </c>
      <c r="D7" s="26" t="s">
        <v>605</v>
      </c>
      <c r="E7" s="32"/>
      <c r="F7" s="32"/>
      <c r="G7" s="32"/>
      <c r="H7" s="32"/>
      <c r="I7" s="32"/>
      <c r="J7" s="32"/>
      <c r="K7" s="32"/>
    </row>
    <row r="8" spans="2:11" ht="30" customHeight="1" x14ac:dyDescent="0.25">
      <c r="B8" s="24">
        <v>44462</v>
      </c>
      <c r="C8" s="25">
        <v>0.98888888888888893</v>
      </c>
      <c r="D8" s="26" t="s">
        <v>612</v>
      </c>
      <c r="E8" s="34">
        <v>3961.22</v>
      </c>
      <c r="F8" s="34">
        <f>E8*(1-iDelta*3)</f>
        <v>2772.8539999999998</v>
      </c>
      <c r="G8" s="34">
        <f>E8*(1-iDelta*2)</f>
        <v>3168.9760000000001</v>
      </c>
      <c r="H8" s="35">
        <f>E8*(1-iDelta*1)</f>
        <v>3565.098</v>
      </c>
      <c r="I8" s="36">
        <f>E8*(1+iDelta*1)</f>
        <v>4357.3420000000006</v>
      </c>
      <c r="J8" s="34">
        <f>E8*(1+iDelta*2)</f>
        <v>4753.4639999999999</v>
      </c>
      <c r="K8" s="34">
        <f>E8*(1+iDelta*3)</f>
        <v>5149.5860000000002</v>
      </c>
    </row>
    <row r="9" spans="2:11" ht="30" customHeight="1" x14ac:dyDescent="0.25">
      <c r="B9" s="24">
        <v>44462</v>
      </c>
      <c r="C9" s="25">
        <v>0.99513888888888891</v>
      </c>
      <c r="D9" s="26" t="s">
        <v>613</v>
      </c>
      <c r="E9" s="32"/>
      <c r="F9" s="32"/>
      <c r="G9" s="32"/>
      <c r="H9" s="32"/>
      <c r="I9" s="32"/>
      <c r="J9" s="32"/>
      <c r="K9" s="32"/>
    </row>
    <row r="10" spans="2:11" ht="30" customHeight="1" x14ac:dyDescent="0.25">
      <c r="B10" s="24">
        <v>44463</v>
      </c>
      <c r="C10" s="25">
        <v>0.30555555555555552</v>
      </c>
      <c r="D10" s="26" t="s">
        <v>617</v>
      </c>
      <c r="E10" s="37">
        <v>0.63484200000000002</v>
      </c>
      <c r="F10" s="37">
        <v>0.57999999999999996</v>
      </c>
      <c r="G10" s="37">
        <f>Table6[[#This Row],[Var1]]-Table6[[#This Row],[Var2]]</f>
        <v>5.4842000000000057E-2</v>
      </c>
      <c r="H10" s="38">
        <f>Table6[[#This Row],[Var3]]/2.33</f>
        <v>2.3537339055794016E-2</v>
      </c>
      <c r="I10" s="32"/>
      <c r="J10" s="32"/>
      <c r="K10" s="32"/>
    </row>
    <row r="11" spans="2:11" ht="30" customHeight="1" x14ac:dyDescent="0.25">
      <c r="B11" s="24">
        <v>44463</v>
      </c>
      <c r="C11" s="25">
        <v>0.30624999999999997</v>
      </c>
      <c r="D11" s="26" t="s">
        <v>616</v>
      </c>
      <c r="E11" s="34">
        <v>3538.55</v>
      </c>
      <c r="F11" s="34">
        <f>E11*(1-iDelta*3)</f>
        <v>2476.9850000000001</v>
      </c>
      <c r="G11" s="34">
        <f>E11*(1-iDelta*2)</f>
        <v>2830.84</v>
      </c>
      <c r="H11" s="35">
        <f>E11*(1-iDelta*1)</f>
        <v>3184.6950000000002</v>
      </c>
      <c r="I11" s="36">
        <f>E11*(1+iDelta*1)</f>
        <v>3892.4050000000007</v>
      </c>
      <c r="J11" s="34">
        <f>E11*(1+iDelta*2)</f>
        <v>4246.26</v>
      </c>
      <c r="K11" s="34">
        <f>E11*(1+iDelta*3)</f>
        <v>4600.1150000000007</v>
      </c>
    </row>
    <row r="12" spans="2:11" ht="30" customHeight="1" x14ac:dyDescent="0.25">
      <c r="B12" s="24">
        <v>44463</v>
      </c>
      <c r="C12" s="25">
        <v>0.31666666666666665</v>
      </c>
      <c r="D12" s="26" t="s">
        <v>625</v>
      </c>
      <c r="E12" s="34"/>
      <c r="F12" s="34"/>
      <c r="G12" s="34"/>
      <c r="H12" s="34"/>
      <c r="I12" s="34"/>
      <c r="J12" s="34"/>
      <c r="K12" s="34"/>
    </row>
    <row r="13" spans="2:11" ht="30" customHeight="1" x14ac:dyDescent="0.25">
      <c r="B13" s="24">
        <v>44463</v>
      </c>
      <c r="C13" s="25">
        <v>0.31736111111111115</v>
      </c>
      <c r="D13" s="26" t="s">
        <v>626</v>
      </c>
      <c r="E13" s="32">
        <v>5.5E-2</v>
      </c>
      <c r="F13" s="34">
        <v>3538.55</v>
      </c>
      <c r="G13" s="34">
        <f>Table6[[#This Row],[Var2]]*Table6[[#This Row],[Var1]]</f>
        <v>194.62025</v>
      </c>
      <c r="H13" s="32"/>
      <c r="I13" s="32"/>
      <c r="J13" s="32"/>
      <c r="K13" s="32"/>
    </row>
    <row r="14" spans="2:11" ht="30" customHeight="1" x14ac:dyDescent="0.25">
      <c r="B14" s="24">
        <v>44463</v>
      </c>
      <c r="C14" s="25">
        <v>0.3611111111111111</v>
      </c>
      <c r="D14" s="26" t="s">
        <v>627</v>
      </c>
      <c r="E14" s="32">
        <v>19.056729279999999</v>
      </c>
      <c r="F14" s="32"/>
      <c r="G14" s="32"/>
      <c r="H14" s="32"/>
      <c r="I14" s="32"/>
      <c r="J14" s="32"/>
      <c r="K14" s="32"/>
    </row>
    <row r="15" spans="2:11" ht="30" customHeight="1" x14ac:dyDescent="0.25">
      <c r="B15" s="24">
        <v>44465</v>
      </c>
      <c r="C15" s="25">
        <v>0.54166666666666663</v>
      </c>
      <c r="D15" s="48" t="s">
        <v>649</v>
      </c>
      <c r="E15" s="32">
        <v>0.129</v>
      </c>
      <c r="F15" s="32"/>
      <c r="G15" s="32"/>
      <c r="H15" s="32"/>
      <c r="I15" s="32"/>
      <c r="J15" s="32"/>
      <c r="K15" s="32"/>
    </row>
    <row r="16" spans="2:11" ht="30" customHeight="1" x14ac:dyDescent="0.25">
      <c r="B16" s="28">
        <v>44465</v>
      </c>
      <c r="C16" s="29">
        <v>0.60069444444444442</v>
      </c>
      <c r="D16" s="30" t="s">
        <v>637</v>
      </c>
      <c r="E16" s="34"/>
      <c r="F16" s="34"/>
      <c r="G16" s="34"/>
      <c r="H16" s="34"/>
      <c r="I16" s="34"/>
      <c r="J16" s="34"/>
      <c r="K16" s="34"/>
    </row>
    <row r="17" spans="2:11" ht="30" customHeight="1" x14ac:dyDescent="0.25">
      <c r="B17" s="28">
        <v>44465</v>
      </c>
      <c r="C17" s="29">
        <v>0.60138888888888886</v>
      </c>
      <c r="D17" s="26" t="s">
        <v>616</v>
      </c>
      <c r="E17" s="34">
        <v>3871</v>
      </c>
      <c r="F17" s="34">
        <f>E17*(1-iDelta*3)</f>
        <v>2709.7</v>
      </c>
      <c r="G17" s="34">
        <f>E17*(1-iDelta*2)</f>
        <v>3096.8</v>
      </c>
      <c r="H17" s="35">
        <f>E17*(1-iDelta*1)</f>
        <v>3483.9</v>
      </c>
      <c r="I17" s="36">
        <f>E17*(1+iDelta*1)</f>
        <v>4258.1000000000004</v>
      </c>
      <c r="J17" s="34">
        <f>E17*(1+iDelta*2)</f>
        <v>4645.2</v>
      </c>
      <c r="K17" s="34">
        <f>E17*(1+iDelta*3)</f>
        <v>5032.3</v>
      </c>
    </row>
    <row r="18" spans="2:11" ht="30" customHeight="1" x14ac:dyDescent="0.25">
      <c r="B18" s="28">
        <v>44465</v>
      </c>
      <c r="C18" s="29">
        <v>0.6020833333333333</v>
      </c>
      <c r="D18" s="31" t="s">
        <v>638</v>
      </c>
      <c r="E18" s="34"/>
      <c r="F18" s="34"/>
      <c r="G18" s="34"/>
      <c r="H18" s="34"/>
      <c r="I18" s="34"/>
      <c r="J18" s="34"/>
      <c r="K18" s="34"/>
    </row>
    <row r="19" spans="2:11" ht="30" customHeight="1" x14ac:dyDescent="0.25">
      <c r="B19" s="28">
        <v>44465</v>
      </c>
      <c r="C19" s="29">
        <v>0.60625000000000007</v>
      </c>
      <c r="D19" s="31" t="s">
        <v>639</v>
      </c>
      <c r="E19" s="37">
        <v>2.5106065519917231</v>
      </c>
      <c r="F19" s="32"/>
      <c r="G19" s="32"/>
      <c r="H19" s="32"/>
      <c r="I19" s="32"/>
      <c r="J19" s="32"/>
      <c r="K19" s="32"/>
    </row>
    <row r="20" spans="2:11" ht="30" customHeight="1" x14ac:dyDescent="0.25">
      <c r="B20" s="28">
        <v>44466</v>
      </c>
      <c r="C20" s="29">
        <v>0.60902777777777783</v>
      </c>
      <c r="D20" s="31" t="s">
        <v>640</v>
      </c>
      <c r="E20" s="37">
        <f>E19-iETHStarting-E15</f>
        <v>5.1606551991723038E-2</v>
      </c>
      <c r="F20" s="38">
        <f>Table6[[#This Row],[Var1]]/iOpeningBalanceETH</f>
        <v>2.2148734760396152E-2</v>
      </c>
      <c r="G20" s="32"/>
      <c r="H20" s="32"/>
      <c r="I20" s="32"/>
      <c r="J20" s="32"/>
      <c r="K20" s="32"/>
    </row>
    <row r="21" spans="2:11" ht="30" customHeight="1" x14ac:dyDescent="0.25">
      <c r="B21" s="28">
        <v>44466</v>
      </c>
      <c r="C21" s="29">
        <v>0.61249999999999993</v>
      </c>
      <c r="D21" s="31" t="s">
        <v>641</v>
      </c>
      <c r="E21" s="21"/>
    </row>
    <row r="22" spans="2:11" ht="30" customHeight="1" x14ac:dyDescent="0.25">
      <c r="B22" s="39">
        <v>44467</v>
      </c>
      <c r="C22" s="40">
        <v>0.83194444444444438</v>
      </c>
      <c r="D22" s="41" t="s">
        <v>644</v>
      </c>
      <c r="E22" s="42">
        <v>2211.8592389999999</v>
      </c>
      <c r="F22" s="42">
        <v>0.78615520364667402</v>
      </c>
      <c r="G22" s="12">
        <v>3547.36</v>
      </c>
      <c r="H22" s="42">
        <v>1.27</v>
      </c>
      <c r="I22" s="42"/>
      <c r="J22" s="42"/>
      <c r="K22" s="42"/>
    </row>
    <row r="23" spans="2:11" ht="30" customHeight="1" x14ac:dyDescent="0.25">
      <c r="B23" s="39">
        <v>44467</v>
      </c>
      <c r="C23" s="40">
        <v>0.84027777777777779</v>
      </c>
      <c r="D23" s="41" t="s">
        <v>643</v>
      </c>
      <c r="E23" s="42"/>
      <c r="F23" s="42"/>
      <c r="G23" s="42"/>
      <c r="H23" s="42"/>
      <c r="I23" s="42"/>
      <c r="J23" s="42"/>
      <c r="K23" s="42"/>
    </row>
    <row r="24" spans="2:11" ht="30" customHeight="1" x14ac:dyDescent="0.25">
      <c r="B24" s="39">
        <v>44467</v>
      </c>
      <c r="C24" s="40">
        <v>0.84097222222222223</v>
      </c>
      <c r="D24" s="31" t="s">
        <v>639</v>
      </c>
      <c r="E24" s="42">
        <v>2.57</v>
      </c>
      <c r="F24" s="42"/>
      <c r="G24" s="42"/>
      <c r="H24" s="43"/>
      <c r="I24" s="44"/>
      <c r="J24" s="42"/>
      <c r="K24" s="42"/>
    </row>
    <row r="25" spans="2:11" ht="30" customHeight="1" x14ac:dyDescent="0.25">
      <c r="B25" s="39">
        <v>44467</v>
      </c>
      <c r="C25" s="40">
        <v>0.84166666666666667</v>
      </c>
      <c r="D25" s="31" t="s">
        <v>640</v>
      </c>
      <c r="E25" s="37">
        <f>E24-iETHStarting-E15</f>
        <v>0.11099999999999977</v>
      </c>
      <c r="F25" s="38">
        <f>Table6[[#This Row],[Var1]]/iOpeningBalanceETH</f>
        <v>4.7639484978540668E-2</v>
      </c>
      <c r="G25" s="42"/>
      <c r="H25" s="42"/>
      <c r="I25" s="42"/>
      <c r="J25" s="42"/>
      <c r="K25" s="42"/>
    </row>
    <row r="26" spans="2:11" ht="30" customHeight="1" x14ac:dyDescent="0.25">
      <c r="B26" s="39">
        <v>44467</v>
      </c>
      <c r="C26" s="40">
        <v>0.84236111111111101</v>
      </c>
      <c r="D26" s="26" t="s">
        <v>616</v>
      </c>
      <c r="E26" s="34">
        <v>3547</v>
      </c>
      <c r="F26" s="34">
        <f>E26*(1-iDelta*3)</f>
        <v>2482.8999999999996</v>
      </c>
      <c r="G26" s="34">
        <f>E26*(1-iDelta*2)</f>
        <v>2837.6000000000004</v>
      </c>
      <c r="H26" s="35">
        <f>E26*(1-iDelta*1)</f>
        <v>3192.3</v>
      </c>
      <c r="I26" s="36">
        <f>E26*(1+iDelta*1)</f>
        <v>3901.7000000000003</v>
      </c>
      <c r="J26" s="34">
        <f>E26*(1+iDelta*2)</f>
        <v>4256.3999999999996</v>
      </c>
      <c r="K26" s="34">
        <f>E26*(1+iDelta*3)</f>
        <v>4611.1000000000004</v>
      </c>
    </row>
    <row r="27" spans="2:11" ht="30" customHeight="1" x14ac:dyDescent="0.25">
      <c r="B27" s="39">
        <v>44467</v>
      </c>
      <c r="C27" s="40">
        <v>0.84305555555555556</v>
      </c>
      <c r="D27" s="31" t="s">
        <v>638</v>
      </c>
      <c r="E27" s="42"/>
      <c r="F27" s="42"/>
      <c r="G27" s="45"/>
      <c r="H27" s="43"/>
      <c r="I27" s="44"/>
      <c r="J27" s="42"/>
      <c r="K27" s="42"/>
    </row>
    <row r="28" spans="2:11" ht="30" customHeight="1" x14ac:dyDescent="0.25">
      <c r="B28" s="46">
        <v>44470</v>
      </c>
      <c r="C28" s="47">
        <v>0.28472222222222221</v>
      </c>
      <c r="D28" s="26" t="s">
        <v>616</v>
      </c>
      <c r="E28" s="49">
        <v>4062.69</v>
      </c>
      <c r="F28" s="34">
        <f>E28*(1-iDelta*3)</f>
        <v>2843.8829999999998</v>
      </c>
      <c r="G28" s="34">
        <f>E28*(1-iDelta*2)</f>
        <v>3250.152</v>
      </c>
      <c r="H28" s="35">
        <f>E28*(1-iDelta*1)</f>
        <v>3656.4210000000003</v>
      </c>
      <c r="I28" s="36">
        <f>E28*(1+iDelta*1)</f>
        <v>4468.9590000000007</v>
      </c>
      <c r="J28" s="34">
        <f>E28*(1+iDelta*2)</f>
        <v>4875.2280000000001</v>
      </c>
      <c r="K28" s="34">
        <f>E28*(1+iDelta*3)</f>
        <v>5281.4970000000003</v>
      </c>
    </row>
    <row r="29" spans="2:11" ht="30" customHeight="1" x14ac:dyDescent="0.25">
      <c r="B29" s="46">
        <v>44470</v>
      </c>
      <c r="C29" s="47">
        <v>0.28541666666666665</v>
      </c>
      <c r="D29" s="65" t="s">
        <v>661</v>
      </c>
      <c r="E29" s="49">
        <v>0.68</v>
      </c>
      <c r="F29" s="12">
        <v>2172.625927</v>
      </c>
      <c r="G29" s="12">
        <v>4062.69</v>
      </c>
      <c r="H29" s="49">
        <v>1.27</v>
      </c>
      <c r="I29" s="49"/>
      <c r="J29" s="49"/>
      <c r="K29" s="49"/>
    </row>
    <row r="30" spans="2:11" ht="30" customHeight="1" x14ac:dyDescent="0.25">
      <c r="B30" s="46">
        <v>44470</v>
      </c>
      <c r="C30" s="47">
        <v>0.28680555555555554</v>
      </c>
      <c r="D30" s="48" t="s">
        <v>641</v>
      </c>
      <c r="E30" s="49"/>
      <c r="F30" s="49"/>
      <c r="G30" s="49"/>
      <c r="H30" s="49"/>
      <c r="I30" s="49"/>
      <c r="J30" s="49"/>
      <c r="K30" s="49"/>
    </row>
    <row r="31" spans="2:11" ht="30" customHeight="1" x14ac:dyDescent="0.25">
      <c r="B31" s="46">
        <v>44470</v>
      </c>
      <c r="C31" s="47">
        <v>0.2902777777777778</v>
      </c>
      <c r="D31" s="31" t="s">
        <v>639</v>
      </c>
      <c r="E31" s="114">
        <v>2.5791797535494356</v>
      </c>
      <c r="F31" s="49"/>
      <c r="G31" s="49"/>
      <c r="H31" s="49"/>
      <c r="I31" s="49"/>
      <c r="J31" s="49"/>
      <c r="K31" s="49"/>
    </row>
    <row r="32" spans="2:11" ht="30" customHeight="1" x14ac:dyDescent="0.25">
      <c r="B32" s="46">
        <v>44470</v>
      </c>
      <c r="C32" s="47">
        <v>0.29097222222222224</v>
      </c>
      <c r="D32" s="31" t="s">
        <v>640</v>
      </c>
      <c r="E32" s="37" t="e">
        <f>E31-iETHStarting-#REF!</f>
        <v>#REF!</v>
      </c>
      <c r="F32" s="38" t="e">
        <f>Table6[[#This Row],[Var1]]/iOpeningBalanceETH</f>
        <v>#REF!</v>
      </c>
      <c r="G32" s="45"/>
      <c r="H32" s="43"/>
      <c r="I32" s="44"/>
      <c r="J32" s="49"/>
      <c r="K32" s="49"/>
    </row>
    <row r="33" spans="2:11" ht="30" customHeight="1" x14ac:dyDescent="0.25">
      <c r="B33" s="46">
        <v>44470</v>
      </c>
      <c r="C33" s="47">
        <v>0.29166666666666669</v>
      </c>
      <c r="D33" s="31" t="s">
        <v>638</v>
      </c>
      <c r="E33" s="49"/>
      <c r="F33" s="49"/>
      <c r="G33" s="49"/>
      <c r="H33" s="49"/>
      <c r="I33" s="49"/>
      <c r="J33" s="49"/>
      <c r="K33" s="49"/>
    </row>
    <row r="34" spans="2:11" ht="30" customHeight="1" x14ac:dyDescent="0.25">
      <c r="B34" s="52">
        <v>44473</v>
      </c>
      <c r="C34" s="53">
        <v>0.28472222222222221</v>
      </c>
      <c r="D34" s="54" t="s">
        <v>659</v>
      </c>
      <c r="E34" s="55">
        <v>0.313</v>
      </c>
      <c r="F34" s="55"/>
      <c r="G34" s="55"/>
      <c r="H34" s="55"/>
      <c r="I34" s="55"/>
      <c r="J34" s="55"/>
      <c r="K34" s="55"/>
    </row>
    <row r="35" spans="2:11" ht="30" customHeight="1" x14ac:dyDescent="0.25">
      <c r="B35" s="56">
        <v>44474</v>
      </c>
      <c r="C35" s="57">
        <v>0.56805555555555554</v>
      </c>
      <c r="D35" s="58" t="s">
        <v>660</v>
      </c>
      <c r="E35" s="59"/>
      <c r="F35" s="60"/>
      <c r="G35" s="59"/>
      <c r="H35" s="59"/>
      <c r="I35" s="59"/>
      <c r="J35" s="59"/>
      <c r="K35" s="59"/>
    </row>
    <row r="36" spans="2:11" ht="30" customHeight="1" x14ac:dyDescent="0.25">
      <c r="B36" s="61">
        <v>44474</v>
      </c>
      <c r="C36" s="62">
        <v>0.72777777777777775</v>
      </c>
      <c r="D36" s="66" t="s">
        <v>663</v>
      </c>
      <c r="E36" s="64">
        <v>0.7</v>
      </c>
      <c r="F36" s="109">
        <v>2454.5608299999999</v>
      </c>
      <c r="G36" s="109">
        <v>4411.9799999999996</v>
      </c>
      <c r="H36" s="109">
        <v>1.26</v>
      </c>
      <c r="I36" s="109"/>
      <c r="J36" s="109"/>
      <c r="K36" s="109"/>
    </row>
    <row r="37" spans="2:11" ht="30" customHeight="1" x14ac:dyDescent="0.25">
      <c r="B37" s="61">
        <v>44474</v>
      </c>
      <c r="C37" s="62">
        <v>0.7284722222222223</v>
      </c>
      <c r="D37" s="63" t="s">
        <v>662</v>
      </c>
      <c r="E37" s="64"/>
      <c r="F37" s="64"/>
      <c r="G37" s="64"/>
      <c r="H37" s="64"/>
      <c r="I37" s="64"/>
      <c r="J37" s="64"/>
      <c r="K37" s="64"/>
    </row>
    <row r="38" spans="2:11" ht="30" customHeight="1" x14ac:dyDescent="0.25">
      <c r="B38" s="61">
        <v>44474</v>
      </c>
      <c r="C38" s="62">
        <v>0.72916666666666663</v>
      </c>
      <c r="D38" s="26" t="s">
        <v>616</v>
      </c>
      <c r="E38" s="64">
        <v>4411.9799999999996</v>
      </c>
      <c r="F38" s="107">
        <f>E38*(1-iDelta*3)</f>
        <v>3088.3859999999995</v>
      </c>
      <c r="G38" s="107">
        <f>E38*(1-iDelta*2)</f>
        <v>3529.5839999999998</v>
      </c>
      <c r="H38" s="110">
        <f>E38*(1-iDelta*1)</f>
        <v>3970.7819999999997</v>
      </c>
      <c r="I38" s="112">
        <f>E38*(1+iDelta*1)</f>
        <v>4853.1779999999999</v>
      </c>
      <c r="J38" s="107">
        <f>E38*(1+iDelta*2)</f>
        <v>5294.3759999999993</v>
      </c>
      <c r="K38" s="107">
        <f>E38*(1+iDelta*3)</f>
        <v>5735.5739999999996</v>
      </c>
    </row>
    <row r="39" spans="2:11" ht="30" customHeight="1" x14ac:dyDescent="0.25">
      <c r="B39" s="61">
        <v>44474</v>
      </c>
      <c r="C39" s="62">
        <v>0.7319444444444444</v>
      </c>
      <c r="D39" s="63" t="s">
        <v>639</v>
      </c>
      <c r="E39" s="64">
        <v>2.8176007576099211</v>
      </c>
      <c r="F39" s="64"/>
      <c r="G39" s="64"/>
      <c r="H39" s="64"/>
      <c r="I39" s="64"/>
      <c r="J39" s="64"/>
      <c r="K39" s="64"/>
    </row>
    <row r="40" spans="2:11" ht="30" customHeight="1" x14ac:dyDescent="0.25">
      <c r="B40" s="61">
        <v>44474</v>
      </c>
      <c r="C40" s="62">
        <v>0.74513888888888891</v>
      </c>
      <c r="D40" s="31" t="s">
        <v>640</v>
      </c>
      <c r="E40" s="37">
        <f>E39-iETHStarting-iETHAdded</f>
        <v>-1.0002622680311046</v>
      </c>
      <c r="F40" s="38">
        <f>Table6[[#This Row],[Var1]]/iOpeningBalanceETH</f>
        <v>-0.42929711074296334</v>
      </c>
      <c r="G40" s="45"/>
      <c r="H40" s="43"/>
      <c r="I40" s="44"/>
      <c r="J40" s="49"/>
      <c r="K40" s="49"/>
    </row>
    <row r="41" spans="2:11" ht="30" customHeight="1" x14ac:dyDescent="0.25">
      <c r="B41" s="61">
        <v>44474</v>
      </c>
      <c r="C41" s="62">
        <v>0.75</v>
      </c>
      <c r="D41" s="69" t="s">
        <v>640</v>
      </c>
      <c r="E41" s="71">
        <v>6.4168934371523878E-2</v>
      </c>
      <c r="F41" s="72">
        <v>2.33</v>
      </c>
      <c r="G41" s="73">
        <f>Table6[[#This Row],[Var1]]/Table6[[#This Row],[Var2]]</f>
        <v>2.7540315180911535E-2</v>
      </c>
      <c r="H41" s="74">
        <v>4411</v>
      </c>
      <c r="I41" s="74">
        <f>Table6[[#This Row],[Var1]]*Table6[[#This Row],[Var4]]</f>
        <v>283.04916951279182</v>
      </c>
      <c r="J41" s="49"/>
      <c r="K41" s="49"/>
    </row>
    <row r="42" spans="2:11" ht="30" customHeight="1" x14ac:dyDescent="0.25">
      <c r="B42" s="61">
        <v>44475</v>
      </c>
      <c r="C42" s="62">
        <v>0.29166666666666669</v>
      </c>
      <c r="D42" s="69" t="s">
        <v>664</v>
      </c>
      <c r="E42" s="71"/>
      <c r="F42" s="38"/>
      <c r="G42" s="45"/>
      <c r="H42" s="43"/>
      <c r="I42" s="44"/>
      <c r="J42" s="49"/>
      <c r="K42" s="49"/>
    </row>
    <row r="43" spans="2:11" ht="30" customHeight="1" x14ac:dyDescent="0.25">
      <c r="B43" s="67">
        <v>44475</v>
      </c>
      <c r="C43" s="68">
        <v>0.29375000000000001</v>
      </c>
      <c r="D43" s="97" t="s">
        <v>700</v>
      </c>
      <c r="E43" s="70">
        <v>4251</v>
      </c>
      <c r="F43" s="34">
        <f>E43*(1-iDelta*3)</f>
        <v>2975.7</v>
      </c>
      <c r="G43" s="34">
        <f>E43*(1-iDelta*2)</f>
        <v>3400.8</v>
      </c>
      <c r="H43" s="35">
        <f>E43*(1-iDelta*1)</f>
        <v>3825.9</v>
      </c>
      <c r="I43" s="36">
        <f>E43*(1+iDelta*1)</f>
        <v>4676.1000000000004</v>
      </c>
      <c r="J43" s="34">
        <f>E43*(1+iDelta*2)</f>
        <v>5101.2</v>
      </c>
      <c r="K43" s="34">
        <f>E43*(1+iDelta*3)</f>
        <v>5526.3</v>
      </c>
    </row>
    <row r="44" spans="2:11" ht="30" customHeight="1" x14ac:dyDescent="0.25">
      <c r="B44" s="67">
        <v>44475</v>
      </c>
      <c r="C44" s="68">
        <v>0.41666666666666669</v>
      </c>
      <c r="D44" s="97" t="s">
        <v>700</v>
      </c>
      <c r="E44" s="70">
        <v>4529</v>
      </c>
      <c r="F44" s="34">
        <f>E44*(1-iDelta*3)</f>
        <v>3170.2999999999997</v>
      </c>
      <c r="G44" s="34">
        <f>E44*(1-iDelta*2)</f>
        <v>3623.2000000000003</v>
      </c>
      <c r="H44" s="35">
        <f>E44*(1-iDelta*1)</f>
        <v>4076.1</v>
      </c>
      <c r="I44" s="36">
        <f>E44*(1+iDelta*1)</f>
        <v>4981.9000000000005</v>
      </c>
      <c r="J44" s="34">
        <f>E44*(1+iDelta*2)</f>
        <v>5434.8</v>
      </c>
      <c r="K44" s="34">
        <f>E44*(1+iDelta*3)</f>
        <v>5887.7</v>
      </c>
    </row>
    <row r="45" spans="2:11" ht="30" customHeight="1" x14ac:dyDescent="0.25">
      <c r="B45" s="67">
        <v>44475</v>
      </c>
      <c r="C45" s="68">
        <v>0.4236111111111111</v>
      </c>
      <c r="D45" s="69" t="s">
        <v>665</v>
      </c>
      <c r="E45" s="70"/>
      <c r="F45" s="70"/>
      <c r="G45" s="70"/>
      <c r="H45" s="70"/>
      <c r="I45" s="70"/>
      <c r="J45" s="70"/>
      <c r="K45" s="70"/>
    </row>
    <row r="46" spans="2:11" ht="30" customHeight="1" x14ac:dyDescent="0.25">
      <c r="B46" s="67">
        <v>44475</v>
      </c>
      <c r="C46" s="68">
        <v>0.42430555555555555</v>
      </c>
      <c r="D46" s="69" t="s">
        <v>640</v>
      </c>
      <c r="E46" s="71">
        <v>6.854313236929882E-2</v>
      </c>
      <c r="F46" s="72">
        <v>2.33</v>
      </c>
      <c r="G46" s="73">
        <f>Table6[[#This Row],[Var1]]/Table6[[#This Row],[Var2]]</f>
        <v>2.9417653377381468E-2</v>
      </c>
      <c r="H46" s="74">
        <v>4529</v>
      </c>
      <c r="I46" s="74">
        <f>Table6[[#This Row],[Var1]]*Table6[[#This Row],[Var4]]</f>
        <v>310.43184650055434</v>
      </c>
      <c r="J46" s="49"/>
      <c r="K46" s="49"/>
    </row>
    <row r="47" spans="2:11" ht="30" customHeight="1" x14ac:dyDescent="0.25">
      <c r="B47" s="75">
        <v>44481</v>
      </c>
      <c r="C47" s="76">
        <v>0.28194444444444444</v>
      </c>
      <c r="D47" s="97" t="s">
        <v>700</v>
      </c>
      <c r="E47" s="77">
        <v>4304</v>
      </c>
      <c r="F47" s="34">
        <f>E47*(1-iDelta*3)</f>
        <v>3012.7999999999997</v>
      </c>
      <c r="G47" s="34">
        <f>E47*(1-iDelta*2)</f>
        <v>3443.2000000000003</v>
      </c>
      <c r="H47" s="35">
        <f>E47*(1-iDelta*1)</f>
        <v>3873.6</v>
      </c>
      <c r="I47" s="36">
        <f>E47*(1+iDelta*1)</f>
        <v>4734.4000000000005</v>
      </c>
      <c r="J47" s="34">
        <f>E47*(1+iDelta*2)</f>
        <v>5164.8</v>
      </c>
      <c r="K47" s="34">
        <f>E47*(1+iDelta*3)</f>
        <v>5595.2</v>
      </c>
    </row>
    <row r="48" spans="2:11" ht="30" customHeight="1" x14ac:dyDescent="0.25">
      <c r="B48" s="75">
        <v>44481</v>
      </c>
      <c r="C48" s="76">
        <v>0.28402777777777777</v>
      </c>
      <c r="D48" s="31" t="s">
        <v>638</v>
      </c>
      <c r="E48" s="77"/>
      <c r="F48" s="77"/>
      <c r="G48" s="77"/>
      <c r="H48" s="77"/>
      <c r="I48" s="77"/>
      <c r="J48" s="77"/>
      <c r="K48" s="77"/>
    </row>
    <row r="49" spans="2:11" ht="30" customHeight="1" x14ac:dyDescent="0.25">
      <c r="B49" s="75">
        <v>44481</v>
      </c>
      <c r="C49" s="76">
        <v>0.30138888888888887</v>
      </c>
      <c r="D49" s="69" t="s">
        <v>640</v>
      </c>
      <c r="E49" s="77">
        <v>0.11334671236059463</v>
      </c>
      <c r="F49" s="72">
        <v>2.33</v>
      </c>
      <c r="G49" s="73">
        <f>Table6[[#This Row],[Var1]]/Table6[[#This Row],[Var2]]</f>
        <v>4.8646657665491255E-2</v>
      </c>
      <c r="H49" s="74">
        <v>4304</v>
      </c>
      <c r="I49" s="74">
        <f>Table6[[#This Row],[Var1]]*Table6[[#This Row],[Var4]]</f>
        <v>487.84424999999925</v>
      </c>
      <c r="J49" s="77"/>
      <c r="K49" s="77"/>
    </row>
    <row r="50" spans="2:11" ht="30" customHeight="1" x14ac:dyDescent="0.25">
      <c r="B50" s="78">
        <v>44482</v>
      </c>
      <c r="C50" s="79">
        <v>0.82777777777777783</v>
      </c>
      <c r="D50" s="97" t="s">
        <v>700</v>
      </c>
      <c r="E50" s="80">
        <v>4473</v>
      </c>
      <c r="F50" s="34">
        <f>E50*(1-iDelta*3)</f>
        <v>3131.1</v>
      </c>
      <c r="G50" s="34">
        <f>E50*(1-iDelta*2)</f>
        <v>3578.4</v>
      </c>
      <c r="H50" s="35">
        <f>E50*(1-iDelta*1)</f>
        <v>4025.7000000000003</v>
      </c>
      <c r="I50" s="36">
        <f>E50*(1+iDelta*1)</f>
        <v>4920.3</v>
      </c>
      <c r="J50" s="34">
        <f>E50*(1+iDelta*2)</f>
        <v>5367.5999999999995</v>
      </c>
      <c r="K50" s="34">
        <f>E50*(1+iDelta*3)</f>
        <v>5814.9000000000005</v>
      </c>
    </row>
    <row r="51" spans="2:11" ht="30" customHeight="1" x14ac:dyDescent="0.25">
      <c r="B51" s="78">
        <v>44482</v>
      </c>
      <c r="C51" s="79">
        <v>0.8305555555555556</v>
      </c>
      <c r="D51" s="31" t="s">
        <v>638</v>
      </c>
      <c r="E51" s="77"/>
      <c r="F51" s="77"/>
      <c r="G51" s="77"/>
      <c r="H51" s="77"/>
      <c r="I51" s="77"/>
      <c r="J51" s="77"/>
      <c r="K51" s="77"/>
    </row>
    <row r="52" spans="2:11" ht="30" customHeight="1" x14ac:dyDescent="0.25">
      <c r="B52" s="81">
        <v>44483</v>
      </c>
      <c r="C52" s="82">
        <v>0.38263888888888892</v>
      </c>
      <c r="D52" s="97" t="s">
        <v>700</v>
      </c>
      <c r="E52" s="80">
        <v>4643.29</v>
      </c>
      <c r="F52" s="34">
        <f>E52*(1-iDelta*3)</f>
        <v>3250.3029999999999</v>
      </c>
      <c r="G52" s="34">
        <f>E52*(1-iDelta*2)</f>
        <v>3714.6320000000001</v>
      </c>
      <c r="H52" s="35">
        <f>E52*(1-iDelta*1)</f>
        <v>4178.9610000000002</v>
      </c>
      <c r="I52" s="36">
        <f>E52*(1+iDelta*1)</f>
        <v>5107.6190000000006</v>
      </c>
      <c r="J52" s="34">
        <f>E52*(1+iDelta*2)</f>
        <v>5571.9479999999994</v>
      </c>
      <c r="K52" s="34">
        <f>E52*(1+iDelta*3)</f>
        <v>6036.277</v>
      </c>
    </row>
    <row r="53" spans="2:11" ht="30" customHeight="1" x14ac:dyDescent="0.25">
      <c r="B53" s="81">
        <v>44483</v>
      </c>
      <c r="C53" s="82">
        <v>0.3833333333333333</v>
      </c>
      <c r="D53" s="83" t="s">
        <v>638</v>
      </c>
      <c r="E53" s="84"/>
      <c r="F53" s="84"/>
      <c r="G53" s="84"/>
      <c r="H53" s="84"/>
      <c r="I53" s="84"/>
      <c r="J53" s="84"/>
      <c r="K53" s="84"/>
    </row>
    <row r="54" spans="2:11" ht="30" customHeight="1" x14ac:dyDescent="0.25">
      <c r="B54" s="81">
        <v>44483</v>
      </c>
      <c r="C54" s="85">
        <v>0.83958333333333324</v>
      </c>
      <c r="D54" s="86" t="s">
        <v>671</v>
      </c>
      <c r="E54" s="87">
        <v>2008.29</v>
      </c>
      <c r="F54" s="87">
        <v>1.24</v>
      </c>
      <c r="G54" s="87">
        <v>4680</v>
      </c>
      <c r="H54" s="87">
        <f>Table6[[#This Row],[Var1]]*Table6[[#This Row],[Var2]]/Table6[[#This Row],[Var3]]</f>
        <v>0.53211102564102564</v>
      </c>
      <c r="I54" s="87"/>
      <c r="J54" s="87"/>
      <c r="K54" s="87"/>
    </row>
    <row r="55" spans="2:11" ht="30" customHeight="1" x14ac:dyDescent="0.25">
      <c r="B55" s="88">
        <v>44484</v>
      </c>
      <c r="C55" s="89">
        <v>0.91666666666666663</v>
      </c>
      <c r="D55" s="90" t="s">
        <v>672</v>
      </c>
      <c r="E55" s="91">
        <v>2009.38</v>
      </c>
      <c r="F55" s="91">
        <v>0.51375199999999999</v>
      </c>
      <c r="G55" s="91"/>
      <c r="H55" s="91"/>
      <c r="I55" s="91"/>
      <c r="J55" s="91"/>
      <c r="K55" s="91"/>
    </row>
    <row r="56" spans="2:11" ht="30" customHeight="1" x14ac:dyDescent="0.25">
      <c r="B56" s="88">
        <v>44485</v>
      </c>
      <c r="C56" s="89">
        <v>0.6430555555555556</v>
      </c>
      <c r="D56" s="90" t="s">
        <v>673</v>
      </c>
      <c r="E56" s="91">
        <v>1.0771488870000001</v>
      </c>
      <c r="F56" s="91">
        <v>4779.3500000000004</v>
      </c>
      <c r="G56" s="91"/>
      <c r="H56" s="91"/>
      <c r="I56" s="91"/>
      <c r="J56" s="91"/>
      <c r="K56" s="91"/>
    </row>
    <row r="57" spans="2:11" ht="30" customHeight="1" x14ac:dyDescent="0.25">
      <c r="B57" s="88">
        <v>44485</v>
      </c>
      <c r="C57" s="89">
        <v>0.64444444444444449</v>
      </c>
      <c r="D57" s="97" t="s">
        <v>700</v>
      </c>
      <c r="E57" s="91">
        <v>4779.3500000000004</v>
      </c>
      <c r="F57" s="34">
        <f>E57*(1-iDelta*3)</f>
        <v>3345.5450000000001</v>
      </c>
      <c r="G57" s="34">
        <f>E57*(1-iDelta*2)</f>
        <v>3823.4800000000005</v>
      </c>
      <c r="H57" s="35">
        <f>E57*(1-iDelta*1)</f>
        <v>4301.4150000000009</v>
      </c>
      <c r="I57" s="36">
        <f>E57*(1+iDelta*1)</f>
        <v>5257.2850000000008</v>
      </c>
      <c r="J57" s="34">
        <f>E57*(1+iDelta*2)</f>
        <v>5735.22</v>
      </c>
      <c r="K57" s="34">
        <f>E57*(1+iDelta*3)</f>
        <v>6213.1550000000007</v>
      </c>
    </row>
    <row r="58" spans="2:11" ht="30" customHeight="1" x14ac:dyDescent="0.25">
      <c r="B58" s="88">
        <v>44485</v>
      </c>
      <c r="C58" s="89">
        <v>0.64513888888888882</v>
      </c>
      <c r="D58" s="83" t="s">
        <v>638</v>
      </c>
      <c r="E58" s="91"/>
      <c r="F58" s="91"/>
      <c r="G58" s="91"/>
      <c r="H58" s="91"/>
      <c r="I58" s="91"/>
      <c r="J58" s="91"/>
      <c r="K58" s="91"/>
    </row>
    <row r="59" spans="2:11" ht="30" customHeight="1" x14ac:dyDescent="0.25">
      <c r="B59" s="92">
        <v>44486</v>
      </c>
      <c r="C59" s="93">
        <v>0.73055555555555562</v>
      </c>
      <c r="D59" s="97" t="s">
        <v>700</v>
      </c>
      <c r="E59" s="94">
        <v>4600</v>
      </c>
      <c r="F59" s="34">
        <f>E59*(1-iDelta*3)</f>
        <v>3220</v>
      </c>
      <c r="G59" s="34">
        <f>E59*(1-iDelta*2)</f>
        <v>3680</v>
      </c>
      <c r="H59" s="35">
        <f>E59*(1-iDelta*1)</f>
        <v>4140</v>
      </c>
      <c r="I59" s="36">
        <f>E59*(1+iDelta*1)</f>
        <v>5060</v>
      </c>
      <c r="J59" s="34">
        <f>E59*(1+iDelta*2)</f>
        <v>5520</v>
      </c>
      <c r="K59" s="34">
        <f>E59*(1+iDelta*3)</f>
        <v>5980</v>
      </c>
    </row>
    <row r="60" spans="2:11" ht="30" customHeight="1" x14ac:dyDescent="0.25">
      <c r="B60" s="92">
        <v>44486</v>
      </c>
      <c r="C60" s="93">
        <v>0.88750000000000007</v>
      </c>
      <c r="D60" s="97" t="s">
        <v>700</v>
      </c>
      <c r="E60" s="94">
        <v>4783</v>
      </c>
      <c r="F60" s="34">
        <f>E60*(1-iDelta*3)</f>
        <v>3348.1</v>
      </c>
      <c r="G60" s="34">
        <f>E60*(1-iDelta*2)</f>
        <v>3826.4</v>
      </c>
      <c r="H60" s="35">
        <f>E60*(1-iDelta*1)</f>
        <v>4304.7</v>
      </c>
      <c r="I60" s="36">
        <f>E60*(1+iDelta*1)</f>
        <v>5261.3</v>
      </c>
      <c r="J60" s="34">
        <f>E60*(1+iDelta*2)</f>
        <v>5739.5999999999995</v>
      </c>
      <c r="K60" s="34">
        <f>E60*(1+iDelta*3)</f>
        <v>6217.9000000000005</v>
      </c>
    </row>
    <row r="61" spans="2:11" ht="30" customHeight="1" x14ac:dyDescent="0.25">
      <c r="B61" s="95">
        <v>44488</v>
      </c>
      <c r="C61" s="96">
        <v>0.41111111111111115</v>
      </c>
      <c r="D61" s="97" t="s">
        <v>698</v>
      </c>
      <c r="E61" s="98">
        <v>41.1</v>
      </c>
      <c r="F61" s="33">
        <f>E61*(1-iBITO_Delta*3)</f>
        <v>31.236000000000001</v>
      </c>
      <c r="G61" s="33">
        <f>E61*(1-iBITO_Delta*2)</f>
        <v>34.524000000000001</v>
      </c>
      <c r="H61" s="99">
        <f>E61*(1-iBITO_Delta*1)</f>
        <v>37.812000000000005</v>
      </c>
      <c r="I61" s="100">
        <f>E61*(1+iBITO_Delta*1)</f>
        <v>44.388000000000005</v>
      </c>
      <c r="J61" s="33">
        <f>E61*(1+iBITO_Delta*2)</f>
        <v>47.675999999999995</v>
      </c>
      <c r="K61" s="33">
        <f>E61*(1+iBITO_Delta*3)</f>
        <v>50.963999999999999</v>
      </c>
    </row>
    <row r="62" spans="2:11" ht="30" customHeight="1" x14ac:dyDescent="0.25">
      <c r="B62" s="95">
        <v>44488</v>
      </c>
      <c r="C62" s="96">
        <v>0.47083333333333338</v>
      </c>
      <c r="D62" s="97" t="s">
        <v>699</v>
      </c>
      <c r="E62" s="115">
        <v>39.049999999999997</v>
      </c>
      <c r="F62" s="43">
        <v>246</v>
      </c>
      <c r="G62" s="105">
        <f>Table6[[#This Row],[Var1]]*Table6[[#This Row],[Var2]]</f>
        <v>9606.2999999999993</v>
      </c>
      <c r="H62" s="113">
        <v>43.16</v>
      </c>
      <c r="I62" s="44">
        <v>223</v>
      </c>
      <c r="J62" s="106">
        <f>Table6[[#This Row],[Var4]]*Table6[[#This Row],[Var5]]</f>
        <v>9624.6799999999985</v>
      </c>
      <c r="K62" s="98"/>
    </row>
    <row r="63" spans="2:11" ht="30" customHeight="1" x14ac:dyDescent="0.25">
      <c r="B63" s="101">
        <v>44489</v>
      </c>
      <c r="C63" s="102">
        <v>0.40625</v>
      </c>
      <c r="D63" s="103" t="s">
        <v>702</v>
      </c>
      <c r="E63" s="117">
        <v>43.16</v>
      </c>
      <c r="F63" s="116">
        <v>223</v>
      </c>
      <c r="G63" s="118">
        <f>Table6[[#This Row],[Var1]]*Table6[[#This Row],[Var2]]</f>
        <v>9624.6799999999985</v>
      </c>
      <c r="H63" s="116"/>
      <c r="I63" s="116"/>
      <c r="J63" s="116"/>
      <c r="K63" s="116"/>
    </row>
    <row r="64" spans="2:11" ht="30" customHeight="1" x14ac:dyDescent="0.25">
      <c r="B64" s="101">
        <v>44489</v>
      </c>
      <c r="C64" s="102">
        <v>0.40902777777777777</v>
      </c>
      <c r="D64" s="97" t="s">
        <v>698</v>
      </c>
      <c r="E64" s="104">
        <v>43.16</v>
      </c>
      <c r="F64" s="108">
        <f>E64*(1-iBITO_Delta*3)</f>
        <v>32.801600000000001</v>
      </c>
      <c r="G64" s="108">
        <f>E64*(1-iBITO_Delta*2)</f>
        <v>36.254399999999997</v>
      </c>
      <c r="H64" s="111">
        <f>E64*(1-iBITO_Delta*1)</f>
        <v>39.7072</v>
      </c>
      <c r="I64" s="113">
        <f>E64*(1+iBITO_Delta*1)</f>
        <v>46.6128</v>
      </c>
      <c r="J64" s="108">
        <f>E64*(1+iBITO_Delta*2)</f>
        <v>50.065599999999989</v>
      </c>
      <c r="K64" s="108">
        <f>E64*(1+iBITO_Delta*3)</f>
        <v>53.518399999999993</v>
      </c>
    </row>
    <row r="65" spans="2:11" ht="30" customHeight="1" x14ac:dyDescent="0.25">
      <c r="B65" s="101">
        <v>44489</v>
      </c>
      <c r="C65" s="102">
        <v>0.41111111111111115</v>
      </c>
      <c r="D65" s="97" t="s">
        <v>699</v>
      </c>
      <c r="E65" s="115">
        <v>41</v>
      </c>
      <c r="F65" s="43">
        <v>246</v>
      </c>
      <c r="G65" s="105">
        <f>Table6[[#This Row],[Var1]]*Table6[[#This Row],[Var2]]</f>
        <v>10086</v>
      </c>
      <c r="H65" s="113">
        <v>46.61</v>
      </c>
      <c r="I65" s="44">
        <v>223</v>
      </c>
      <c r="J65" s="106">
        <f>Table6[[#This Row],[Var4]]*Table6[[#This Row],[Var5]]</f>
        <v>10394.030000000001</v>
      </c>
      <c r="K65" s="104"/>
    </row>
    <row r="66" spans="2:11" ht="30" customHeight="1" x14ac:dyDescent="0.25">
      <c r="B66" s="101">
        <v>44489</v>
      </c>
      <c r="C66" s="102">
        <v>0.48819444444444443</v>
      </c>
      <c r="D66" s="97" t="s">
        <v>700</v>
      </c>
      <c r="E66" s="104">
        <v>5007.8</v>
      </c>
      <c r="F66" s="34">
        <f>E66*(1-iDelta*3)</f>
        <v>3505.46</v>
      </c>
      <c r="G66" s="34">
        <f>E66*(1-iDelta*2)</f>
        <v>4006.2400000000002</v>
      </c>
      <c r="H66" s="35">
        <f>E66*(1-iDelta*1)</f>
        <v>4507.0200000000004</v>
      </c>
      <c r="I66" s="36">
        <f>E66*(1+iDelta*1)</f>
        <v>5508.5800000000008</v>
      </c>
      <c r="J66" s="34">
        <f>E66*(1+iDelta*2)</f>
        <v>6009.36</v>
      </c>
      <c r="K66" s="34">
        <f>E66*(1+iDelta*3)</f>
        <v>6510.14</v>
      </c>
    </row>
    <row r="67" spans="2:11" ht="30" customHeight="1" x14ac:dyDescent="0.25">
      <c r="B67" s="101">
        <v>44489</v>
      </c>
      <c r="C67" s="102">
        <v>0.875</v>
      </c>
      <c r="D67" s="103" t="s">
        <v>709</v>
      </c>
      <c r="E67" s="104"/>
      <c r="F67" s="104"/>
      <c r="G67" s="104"/>
      <c r="H67" s="104"/>
      <c r="I67" s="104"/>
      <c r="J67" s="104"/>
      <c r="K67" s="104"/>
    </row>
    <row r="68" spans="2:11" ht="30" customHeight="1" x14ac:dyDescent="0.25">
      <c r="B68" s="119">
        <v>44490</v>
      </c>
      <c r="C68" s="120">
        <v>0.43402777777777773</v>
      </c>
      <c r="D68" s="121" t="s">
        <v>710</v>
      </c>
      <c r="E68" s="123">
        <v>41</v>
      </c>
      <c r="F68" s="122">
        <v>246</v>
      </c>
      <c r="G68" s="118">
        <f>Table6[[#This Row],[Var1]]*Table6[[#This Row],[Var2]]</f>
        <v>10086</v>
      </c>
      <c r="H68" s="122"/>
      <c r="I68" s="122"/>
      <c r="J68" s="122"/>
      <c r="K68" s="122"/>
    </row>
    <row r="69" spans="2:11" ht="30" customHeight="1" x14ac:dyDescent="0.25">
      <c r="B69" s="119">
        <v>44490</v>
      </c>
      <c r="C69" s="120">
        <v>0.4381944444444445</v>
      </c>
      <c r="D69" s="97" t="s">
        <v>698</v>
      </c>
      <c r="E69" s="122">
        <v>41</v>
      </c>
      <c r="F69" s="108">
        <f>E69*(1-iBITO_Delta*3)</f>
        <v>31.16</v>
      </c>
      <c r="G69" s="108">
        <f>E69*(1-iBITO_Delta*2)</f>
        <v>34.44</v>
      </c>
      <c r="H69" s="111">
        <f>E69*(1-iBITO_Delta*1)</f>
        <v>37.72</v>
      </c>
      <c r="I69" s="113">
        <f>E69*(1+iBITO_Delta*1)</f>
        <v>44.28</v>
      </c>
      <c r="J69" s="108">
        <f>E69*(1+iBITO_Delta*2)</f>
        <v>47.559999999999995</v>
      </c>
      <c r="K69" s="108">
        <f>E69*(1+iBITO_Delta*3)</f>
        <v>50.839999999999996</v>
      </c>
    </row>
    <row r="70" spans="2:11" ht="30" customHeight="1" x14ac:dyDescent="0.25">
      <c r="B70" s="119">
        <v>44490</v>
      </c>
      <c r="C70" s="120">
        <v>0.44027777777777777</v>
      </c>
      <c r="D70" s="97" t="s">
        <v>699</v>
      </c>
      <c r="E70" s="115">
        <v>37.72</v>
      </c>
      <c r="F70" s="43">
        <v>238</v>
      </c>
      <c r="G70" s="105">
        <f>Table6[[#This Row],[Var1]]*Table6[[#This Row],[Var2]]</f>
        <v>8977.36</v>
      </c>
      <c r="H70" s="113">
        <v>44.28</v>
      </c>
      <c r="I70" s="44">
        <v>238</v>
      </c>
      <c r="J70" s="106">
        <f>Table6[[#This Row],[Var4]]*Table6[[#This Row],[Var5]]</f>
        <v>10538.64</v>
      </c>
      <c r="K70" s="122"/>
    </row>
    <row r="71" spans="2:11" ht="30" customHeight="1" x14ac:dyDescent="0.25">
      <c r="B71" s="124">
        <v>44495</v>
      </c>
      <c r="C71" s="125">
        <v>0.625</v>
      </c>
      <c r="D71" s="97" t="s">
        <v>700</v>
      </c>
      <c r="E71" s="126">
        <v>5216</v>
      </c>
      <c r="F71" s="34">
        <f>E71*(1-iDelta*3)</f>
        <v>3651.2</v>
      </c>
      <c r="G71" s="34">
        <f>E71*(1-iDelta*2)</f>
        <v>4172.8</v>
      </c>
      <c r="H71" s="35">
        <f>E71*(1-iDelta*1)</f>
        <v>4694.4000000000005</v>
      </c>
      <c r="I71" s="36">
        <f>E71*(1+iDelta*1)</f>
        <v>5737.6</v>
      </c>
      <c r="J71" s="34">
        <f>E71*(1+iDelta*2)</f>
        <v>6259.2</v>
      </c>
      <c r="K71" s="34">
        <f>E71*(1+iDelta*3)</f>
        <v>6780.8</v>
      </c>
    </row>
    <row r="72" spans="2:11" ht="30" customHeight="1" x14ac:dyDescent="0.25">
      <c r="B72" s="124">
        <v>44495</v>
      </c>
      <c r="C72" s="125">
        <v>0.63124999999999998</v>
      </c>
      <c r="D72" s="103" t="s">
        <v>709</v>
      </c>
      <c r="E72" s="126"/>
      <c r="F72" s="126"/>
      <c r="G72" s="126"/>
      <c r="H72" s="126"/>
      <c r="I72" s="126"/>
      <c r="J72" s="126"/>
      <c r="K72" s="126"/>
    </row>
    <row r="73" spans="2:11" ht="30" customHeight="1" x14ac:dyDescent="0.25">
      <c r="B73" s="124">
        <v>44495</v>
      </c>
      <c r="C73" s="128">
        <v>0.77986111111111101</v>
      </c>
      <c r="D73" s="97" t="s">
        <v>700</v>
      </c>
      <c r="E73" s="129">
        <v>5106</v>
      </c>
      <c r="F73" s="130">
        <f>E73*(1-iDelta*3)</f>
        <v>3574.2</v>
      </c>
      <c r="G73" s="130">
        <f>E73*(1-iDelta*2)</f>
        <v>4084.8</v>
      </c>
      <c r="H73" s="131">
        <f>E73*(1-iDelta*1)</f>
        <v>4595.4000000000005</v>
      </c>
      <c r="I73" s="132">
        <f>E73*(1+iDelta*1)</f>
        <v>5616.6</v>
      </c>
      <c r="J73" s="130">
        <f>E73*(1+iDelta*2)</f>
        <v>6127.2</v>
      </c>
      <c r="K73" s="130">
        <f>E73*(1+iDelta*3)</f>
        <v>6637.8</v>
      </c>
    </row>
    <row r="74" spans="2:11" ht="30" customHeight="1" x14ac:dyDescent="0.25">
      <c r="B74" s="127">
        <v>44495</v>
      </c>
      <c r="C74" s="128">
        <v>0.78055555555555556</v>
      </c>
      <c r="D74" s="103" t="s">
        <v>709</v>
      </c>
      <c r="E74" s="104"/>
      <c r="F74" s="104"/>
      <c r="G74" s="104"/>
      <c r="H74" s="104"/>
      <c r="I74" s="104"/>
      <c r="J74" s="104"/>
      <c r="K74" s="104"/>
    </row>
    <row r="75" spans="2:11" ht="30" customHeight="1" x14ac:dyDescent="0.25">
      <c r="B75" s="135">
        <v>44496</v>
      </c>
      <c r="C75" s="136">
        <v>0.42499999999999999</v>
      </c>
      <c r="D75" s="97" t="s">
        <v>699</v>
      </c>
      <c r="E75" s="115">
        <v>34.96</v>
      </c>
      <c r="F75" s="43">
        <v>246</v>
      </c>
      <c r="G75" s="105">
        <f>Table6[[#This Row],[Var1]]*Table6[[#This Row],[Var2]]</f>
        <v>8600.16</v>
      </c>
      <c r="H75" s="113">
        <v>41.04</v>
      </c>
      <c r="I75" s="44">
        <v>223</v>
      </c>
      <c r="J75" s="106">
        <f>Table6[[#This Row],[Var4]]*Table6[[#This Row],[Var5]]</f>
        <v>9151.92</v>
      </c>
      <c r="K75" s="137"/>
    </row>
    <row r="76" spans="2:11" ht="30" customHeight="1" x14ac:dyDescent="0.25">
      <c r="B76" s="135">
        <v>44496</v>
      </c>
      <c r="C76" s="136">
        <v>0.4381944444444445</v>
      </c>
      <c r="D76" s="97" t="s">
        <v>698</v>
      </c>
      <c r="E76" s="137">
        <v>38</v>
      </c>
      <c r="F76" s="137">
        <f>E76*(1-iBITO_Delta*3)</f>
        <v>28.88</v>
      </c>
      <c r="G76" s="137">
        <f>E76*(1-iBITO_Delta*2)</f>
        <v>31.919999999999998</v>
      </c>
      <c r="H76" s="43">
        <f>E76*(1-iBITO_Delta*1)</f>
        <v>34.96</v>
      </c>
      <c r="I76" s="44">
        <f>E76*(1+iBITO_Delta*1)</f>
        <v>41.040000000000006</v>
      </c>
      <c r="J76" s="137">
        <f>E76*(1+iBITO_Delta*2)</f>
        <v>44.08</v>
      </c>
      <c r="K76" s="137">
        <f>E76*(1+iBITO_Delta*3)</f>
        <v>47.12</v>
      </c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E52351-D96C-41EF-ACB7-FD555AD5E2CF}">
  <sheetPr codeName="Sheet5">
    <tabColor rgb="FF002060"/>
  </sheetPr>
  <dimension ref="C1:M24"/>
  <sheetViews>
    <sheetView showGridLines="0" workbookViewId="0">
      <selection activeCell="I38" sqref="I38"/>
    </sheetView>
  </sheetViews>
  <sheetFormatPr defaultColWidth="8.85546875" defaultRowHeight="31.9" customHeight="1" x14ac:dyDescent="0.25"/>
  <cols>
    <col min="1" max="1" width="1.140625" style="218" customWidth="1"/>
    <col min="2" max="2" width="1.42578125" style="218" customWidth="1"/>
    <col min="3" max="3" width="14.7109375" style="218" customWidth="1"/>
    <col min="4" max="4" width="1.42578125" style="218" customWidth="1"/>
    <col min="5" max="5" width="14.7109375" style="218" customWidth="1"/>
    <col min="6" max="6" width="1.42578125" style="218" customWidth="1"/>
    <col min="7" max="7" width="14.7109375" style="218" customWidth="1"/>
    <col min="8" max="8" width="1.5703125" style="218" customWidth="1"/>
    <col min="9" max="9" width="14.7109375" style="218" customWidth="1"/>
    <col min="10" max="10" width="1.42578125" style="218" customWidth="1"/>
    <col min="11" max="16" width="14.7109375" style="218" customWidth="1"/>
    <col min="17" max="17" width="10.7109375" style="218" customWidth="1"/>
    <col min="18" max="16384" width="8.85546875" style="218"/>
  </cols>
  <sheetData>
    <row r="1" spans="3:13" ht="6" customHeight="1" x14ac:dyDescent="0.25"/>
    <row r="2" spans="3:13" ht="31.9" customHeight="1" x14ac:dyDescent="0.25">
      <c r="C2" s="227" t="s">
        <v>22</v>
      </c>
      <c r="E2" s="224" t="s">
        <v>769</v>
      </c>
      <c r="G2" s="225" t="str">
        <f>IF(_xlfn.ISFORMULA(E2),"","(Alarm disabled)")</f>
        <v>(Alarm disabled)</v>
      </c>
      <c r="K2" s="226" t="s">
        <v>729</v>
      </c>
      <c r="L2" s="226" t="s">
        <v>730</v>
      </c>
      <c r="M2" s="226" t="s">
        <v>731</v>
      </c>
    </row>
    <row r="3" spans="3:13" ht="6" customHeight="1" x14ac:dyDescent="0.25"/>
    <row r="4" spans="3:13" ht="37.5" customHeight="1" x14ac:dyDescent="0.3">
      <c r="C4" s="145">
        <f>_xlfn.XLOOKUP("ETH",tbCryptoBalances[Symbol],tbCryptoBalances[Curr. Price])</f>
        <v>2495.1792</v>
      </c>
      <c r="D4" s="222"/>
      <c r="E4" s="134">
        <f>G4*(1-iETH_Delta)</f>
        <v>4820.4000000000005</v>
      </c>
      <c r="F4" s="222"/>
      <c r="G4" s="145">
        <v>5356</v>
      </c>
      <c r="H4" s="222"/>
      <c r="I4" s="133">
        <f>G4*(1+iETH_Delta)</f>
        <v>5891.6</v>
      </c>
      <c r="K4" s="219" t="s">
        <v>741</v>
      </c>
      <c r="L4" s="219" t="s">
        <v>742</v>
      </c>
      <c r="M4" s="221">
        <v>0.1</v>
      </c>
    </row>
    <row r="5" spans="3:13" ht="6" customHeight="1" x14ac:dyDescent="0.25"/>
    <row r="6" spans="3:13" ht="11.25" customHeight="1" x14ac:dyDescent="0.25">
      <c r="E6" s="255">
        <f>C4</f>
        <v>2495.1792</v>
      </c>
      <c r="F6" s="255"/>
      <c r="G6" s="255"/>
      <c r="H6" s="255"/>
      <c r="I6" s="255"/>
    </row>
    <row r="7" spans="3:13" ht="6" customHeight="1" x14ac:dyDescent="0.25"/>
    <row r="8" spans="3:13" ht="31.9" customHeight="1" x14ac:dyDescent="0.25">
      <c r="C8" s="223" t="s">
        <v>686</v>
      </c>
      <c r="E8" s="224" t="s">
        <v>768</v>
      </c>
      <c r="G8" s="225" t="str">
        <f>IF(_xlfn.ISFORMULA(E8),"","(Alarm disabled)")</f>
        <v>(Alarm disabled)</v>
      </c>
      <c r="K8" s="226" t="s">
        <v>729</v>
      </c>
      <c r="L8" s="226" t="s">
        <v>730</v>
      </c>
      <c r="M8" s="226" t="s">
        <v>731</v>
      </c>
    </row>
    <row r="9" spans="3:13" ht="6" customHeight="1" x14ac:dyDescent="0.25"/>
    <row r="10" spans="3:13" ht="31.9" customHeight="1" x14ac:dyDescent="0.3">
      <c r="C10" s="145">
        <f>_xlfn.XLOOKUP("BITO",tbCryptoBalances[Symbol],tbCryptoBalances[Curr. Price])</f>
        <v>16.649999999999999</v>
      </c>
      <c r="D10" s="222"/>
      <c r="E10" s="134">
        <f>G10*(1-iBITO_Delta)</f>
        <v>34.279200000000003</v>
      </c>
      <c r="F10" s="222"/>
      <c r="G10" s="138">
        <v>37.26</v>
      </c>
      <c r="H10" s="222"/>
      <c r="I10" s="133">
        <f>G10*(1+iBITO_Delta)</f>
        <v>40.2408</v>
      </c>
      <c r="K10" s="219">
        <v>250</v>
      </c>
      <c r="L10" s="219">
        <v>230</v>
      </c>
      <c r="M10" s="221">
        <v>0.08</v>
      </c>
    </row>
    <row r="11" spans="3:13" ht="7.5" customHeight="1" x14ac:dyDescent="0.25"/>
    <row r="12" spans="3:13" ht="11.25" customHeight="1" x14ac:dyDescent="0.25">
      <c r="E12" s="255">
        <f>C10</f>
        <v>16.649999999999999</v>
      </c>
      <c r="F12" s="255"/>
      <c r="G12" s="255"/>
      <c r="H12" s="255"/>
      <c r="I12" s="255"/>
    </row>
    <row r="13" spans="3:13" ht="6" customHeight="1" x14ac:dyDescent="0.25"/>
    <row r="14" spans="3:13" ht="31.9" customHeight="1" x14ac:dyDescent="0.25">
      <c r="C14" s="223" t="s">
        <v>716</v>
      </c>
      <c r="E14" s="224" t="s">
        <v>767</v>
      </c>
      <c r="G14" s="225" t="str">
        <f>IF(_xlfn.ISFORMULA(E14),"","(Alarm disabled)")</f>
        <v>(Alarm disabled)</v>
      </c>
      <c r="K14" s="226" t="s">
        <v>729</v>
      </c>
      <c r="L14" s="226" t="s">
        <v>730</v>
      </c>
      <c r="M14" s="226" t="s">
        <v>731</v>
      </c>
    </row>
    <row r="15" spans="3:13" ht="6" customHeight="1" x14ac:dyDescent="0.25"/>
    <row r="16" spans="3:13" ht="31.9" customHeight="1" x14ac:dyDescent="0.3">
      <c r="C16" s="145">
        <f>_xlfn.XLOOKUP("BTCX",tbCryptoBalances[Symbol],tbCryptoBalances[Curr. Price])</f>
        <v>5.5</v>
      </c>
      <c r="D16" s="222"/>
      <c r="E16" s="134">
        <f>G16*(1-iBTCX_Delta)</f>
        <v>9.99</v>
      </c>
      <c r="F16" s="222"/>
      <c r="G16" s="138">
        <v>11.1</v>
      </c>
      <c r="H16" s="222"/>
      <c r="I16" s="133">
        <f>G16*(1+iBTCX_Delta)</f>
        <v>12.21</v>
      </c>
      <c r="K16" s="219">
        <v>1200</v>
      </c>
      <c r="L16" s="220">
        <v>1200</v>
      </c>
      <c r="M16" s="221">
        <v>0.1</v>
      </c>
    </row>
    <row r="17" spans="3:13" ht="7.5" customHeight="1" x14ac:dyDescent="0.25"/>
    <row r="18" spans="3:13" ht="11.25" customHeight="1" x14ac:dyDescent="0.25">
      <c r="E18" s="255">
        <f>C16</f>
        <v>5.5</v>
      </c>
      <c r="F18" s="255"/>
      <c r="G18" s="255"/>
      <c r="H18" s="255"/>
      <c r="I18" s="255"/>
    </row>
    <row r="19" spans="3:13" ht="6" customHeight="1" x14ac:dyDescent="0.25"/>
    <row r="20" spans="3:13" ht="31.9" customHeight="1" x14ac:dyDescent="0.25">
      <c r="C20" s="223" t="s">
        <v>764</v>
      </c>
      <c r="E20" s="224" t="s">
        <v>766</v>
      </c>
      <c r="G20" s="225" t="str">
        <f>IF(_xlfn.ISFORMULA(E20),"","(Alarm disabled)")</f>
        <v>(Alarm disabled)</v>
      </c>
      <c r="K20" s="226" t="s">
        <v>729</v>
      </c>
      <c r="L20" s="226" t="s">
        <v>730</v>
      </c>
      <c r="M20" s="226" t="s">
        <v>731</v>
      </c>
    </row>
    <row r="21" spans="3:13" ht="6" customHeight="1" x14ac:dyDescent="0.25"/>
    <row r="22" spans="3:13" ht="31.9" customHeight="1" x14ac:dyDescent="0.3">
      <c r="C22" s="145">
        <f>_xlfn.XLOOKUP("ETHX",tbCryptoBalances[Symbol],tbCryptoBalances[Curr. Price])</f>
        <v>8.69</v>
      </c>
      <c r="D22" s="222"/>
      <c r="E22" s="134">
        <f>G22*(1-iETHX_Delta)</f>
        <v>19.347600000000003</v>
      </c>
      <c r="F22" s="222">
        <v>22.22</v>
      </c>
      <c r="G22" s="138">
        <v>21.03</v>
      </c>
      <c r="H22" s="222"/>
      <c r="I22" s="133">
        <f>G22*(1+iETHX_Delta)</f>
        <v>22.712400000000002</v>
      </c>
      <c r="K22" s="219">
        <v>721</v>
      </c>
      <c r="L22" s="220">
        <f>2883/4</f>
        <v>720.75</v>
      </c>
      <c r="M22" s="221">
        <v>0.08</v>
      </c>
    </row>
    <row r="23" spans="3:13" ht="7.5" customHeight="1" x14ac:dyDescent="0.25"/>
    <row r="24" spans="3:13" ht="11.25" customHeight="1" x14ac:dyDescent="0.25">
      <c r="E24" s="255">
        <f>C22</f>
        <v>8.69</v>
      </c>
      <c r="F24" s="255"/>
      <c r="G24" s="255"/>
      <c r="H24" s="255"/>
      <c r="I24" s="255"/>
    </row>
  </sheetData>
  <mergeCells count="4">
    <mergeCell ref="E12:I12"/>
    <mergeCell ref="E6:I6"/>
    <mergeCell ref="E18:I18"/>
    <mergeCell ref="E24:I24"/>
  </mergeCells>
  <conditionalFormatting sqref="E12:I12">
    <cfRule type="dataBar" priority="18">
      <dataBar showValue="0">
        <cfvo type="num" val="$E$10"/>
        <cfvo type="num" val="$I$10"/>
        <color rgb="FF638EC6"/>
      </dataBar>
      <extLst>
        <ext xmlns:x14="http://schemas.microsoft.com/office/spreadsheetml/2009/9/main" uri="{B025F937-C7B1-47D3-B67F-A62EFF666E3E}">
          <x14:id>{8F06E746-F648-4592-8EA6-A49E005BFBE0}</x14:id>
        </ext>
      </extLst>
    </cfRule>
  </conditionalFormatting>
  <conditionalFormatting sqref="E6:I6">
    <cfRule type="dataBar" priority="17">
      <dataBar showValue="0">
        <cfvo type="num" val="$E$4"/>
        <cfvo type="num" val="$I$4"/>
        <color rgb="FF638EC6"/>
      </dataBar>
      <extLst>
        <ext xmlns:x14="http://schemas.microsoft.com/office/spreadsheetml/2009/9/main" uri="{B025F937-C7B1-47D3-B67F-A62EFF666E3E}">
          <x14:id>{D49E5BE6-BA5B-4E8D-988B-87A58E870563}</x14:id>
        </ext>
      </extLst>
    </cfRule>
  </conditionalFormatting>
  <conditionalFormatting sqref="D12">
    <cfRule type="dataBar" priority="16">
      <dataBar showValue="0">
        <cfvo type="num" val="$E$10"/>
        <cfvo type="num" val="$I$10"/>
        <color rgb="FF638EC6"/>
      </dataBar>
      <extLst>
        <ext xmlns:x14="http://schemas.microsoft.com/office/spreadsheetml/2009/9/main" uri="{B025F937-C7B1-47D3-B67F-A62EFF666E3E}">
          <x14:id>{466E4746-23E0-4AC8-B243-97D506443D17}</x14:id>
        </ext>
      </extLst>
    </cfRule>
  </conditionalFormatting>
  <conditionalFormatting sqref="D6">
    <cfRule type="dataBar" priority="15">
      <dataBar showValue="0">
        <cfvo type="num" val="$E$4"/>
        <cfvo type="num" val="$I$4"/>
        <color rgb="FF638EC6"/>
      </dataBar>
      <extLst>
        <ext xmlns:x14="http://schemas.microsoft.com/office/spreadsheetml/2009/9/main" uri="{B025F937-C7B1-47D3-B67F-A62EFF666E3E}">
          <x14:id>{1FBED181-EC07-4734-AE53-8AADB2B0D251}</x14:id>
        </ext>
      </extLst>
    </cfRule>
  </conditionalFormatting>
  <conditionalFormatting sqref="E18:I18">
    <cfRule type="dataBar" priority="14">
      <dataBar showValue="0">
        <cfvo type="num" val="$E$16"/>
        <cfvo type="num" val="$I$16"/>
        <color rgb="FF638EC6"/>
      </dataBar>
      <extLst>
        <ext xmlns:x14="http://schemas.microsoft.com/office/spreadsheetml/2009/9/main" uri="{B025F937-C7B1-47D3-B67F-A62EFF666E3E}">
          <x14:id>{9735A3D9-7AA1-4E77-95F9-8A60D52AF751}</x14:id>
        </ext>
      </extLst>
    </cfRule>
  </conditionalFormatting>
  <conditionalFormatting sqref="D18">
    <cfRule type="dataBar" priority="13">
      <dataBar showValue="0">
        <cfvo type="num" val="$E$10"/>
        <cfvo type="num" val="$I$10"/>
        <color rgb="FF638EC6"/>
      </dataBar>
      <extLst>
        <ext xmlns:x14="http://schemas.microsoft.com/office/spreadsheetml/2009/9/main" uri="{B025F937-C7B1-47D3-B67F-A62EFF666E3E}">
          <x14:id>{71605E6D-E462-4282-B060-767E34BDC3E2}</x14:id>
        </ext>
      </extLst>
    </cfRule>
  </conditionalFormatting>
  <conditionalFormatting sqref="C4">
    <cfRule type="expression" dxfId="20" priority="11">
      <formula>$C$4&lt;$E$4</formula>
    </cfRule>
    <cfRule type="expression" dxfId="19" priority="12">
      <formula>$C$4&gt;$I$4</formula>
    </cfRule>
  </conditionalFormatting>
  <conditionalFormatting sqref="C10">
    <cfRule type="expression" dxfId="18" priority="9">
      <formula>$C$10&lt;$E$10</formula>
    </cfRule>
    <cfRule type="expression" dxfId="17" priority="10">
      <formula>$C$10&gt;$I$10</formula>
    </cfRule>
  </conditionalFormatting>
  <conditionalFormatting sqref="C16">
    <cfRule type="expression" dxfId="16" priority="7">
      <formula>$C$16&lt;$E$16</formula>
    </cfRule>
    <cfRule type="expression" dxfId="15" priority="8">
      <formula>$C$16&gt;$I$16</formula>
    </cfRule>
  </conditionalFormatting>
  <conditionalFormatting sqref="G4">
    <cfRule type="expression" dxfId="14" priority="5">
      <formula>$C$4&lt;$E$4</formula>
    </cfRule>
    <cfRule type="expression" dxfId="13" priority="6">
      <formula>$C$4&gt;$I$4</formula>
    </cfRule>
  </conditionalFormatting>
  <conditionalFormatting sqref="E24:I24">
    <cfRule type="dataBar" priority="4">
      <dataBar showValue="0">
        <cfvo type="num" val="$E$22"/>
        <cfvo type="num" val="$I$22"/>
        <color rgb="FF638EC6"/>
      </dataBar>
      <extLst>
        <ext xmlns:x14="http://schemas.microsoft.com/office/spreadsheetml/2009/9/main" uri="{B025F937-C7B1-47D3-B67F-A62EFF666E3E}">
          <x14:id>{DC08D83A-2957-43F8-AFA6-0E2E9EE6014E}</x14:id>
        </ext>
      </extLst>
    </cfRule>
  </conditionalFormatting>
  <conditionalFormatting sqref="D24">
    <cfRule type="dataBar" priority="3">
      <dataBar showValue="0">
        <cfvo type="num" val="$E$10"/>
        <cfvo type="num" val="$I$10"/>
        <color rgb="FF638EC6"/>
      </dataBar>
      <extLst>
        <ext xmlns:x14="http://schemas.microsoft.com/office/spreadsheetml/2009/9/main" uri="{B025F937-C7B1-47D3-B67F-A62EFF666E3E}">
          <x14:id>{F77F9A9D-1CA3-4065-BFD2-86BEB820BAAD}</x14:id>
        </ext>
      </extLst>
    </cfRule>
  </conditionalFormatting>
  <conditionalFormatting sqref="C22">
    <cfRule type="expression" dxfId="12" priority="1">
      <formula>$C$16&lt;$E$16</formula>
    </cfRule>
    <cfRule type="expression" dxfId="11" priority="2">
      <formula>$C$16&gt;$I$16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6E746-F648-4592-8EA6-A49E005BFBE0}">
            <x14:dataBar minLength="0" maxLength="100" gradient="0">
              <x14:cfvo type="num">
                <xm:f>$E$10</xm:f>
              </x14:cfvo>
              <x14:cfvo type="num">
                <xm:f>$I$10</xm:f>
              </x14:cfvo>
              <x14:negativeFillColor rgb="FFFF0000"/>
              <x14:axisColor rgb="FF000000"/>
            </x14:dataBar>
          </x14:cfRule>
          <xm:sqref>E12:I12</xm:sqref>
        </x14:conditionalFormatting>
        <x14:conditionalFormatting xmlns:xm="http://schemas.microsoft.com/office/excel/2006/main">
          <x14:cfRule type="dataBar" id="{D49E5BE6-BA5B-4E8D-988B-87A58E870563}">
            <x14:dataBar minLength="0" maxLength="100" gradient="0">
              <x14:cfvo type="num">
                <xm:f>$E$4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E6:I6</xm:sqref>
        </x14:conditionalFormatting>
        <x14:conditionalFormatting xmlns:xm="http://schemas.microsoft.com/office/excel/2006/main">
          <x14:cfRule type="dataBar" id="{466E4746-23E0-4AC8-B243-97D506443D17}">
            <x14:dataBar minLength="0" maxLength="100" gradient="0">
              <x14:cfvo type="num">
                <xm:f>$E$10</xm:f>
              </x14:cfvo>
              <x14:cfvo type="num">
                <xm:f>$I$10</xm:f>
              </x14:cfvo>
              <x14:negativeFillColor rgb="FFFF0000"/>
              <x14:axisColor rgb="FF000000"/>
            </x14:dataBar>
          </x14:cfRule>
          <xm:sqref>D12</xm:sqref>
        </x14:conditionalFormatting>
        <x14:conditionalFormatting xmlns:xm="http://schemas.microsoft.com/office/excel/2006/main">
          <x14:cfRule type="dataBar" id="{1FBED181-EC07-4734-AE53-8AADB2B0D251}">
            <x14:dataBar minLength="0" maxLength="100" gradient="0">
              <x14:cfvo type="num">
                <xm:f>$E$4</xm:f>
              </x14:cfvo>
              <x14:cfvo type="num">
                <xm:f>$I$4</xm:f>
              </x14:cfvo>
              <x14:negativeFillColor rgb="FFFF0000"/>
              <x14:axisColor rgb="FF000000"/>
            </x14:dataBar>
          </x14:cfRule>
          <xm:sqref>D6</xm:sqref>
        </x14:conditionalFormatting>
        <x14:conditionalFormatting xmlns:xm="http://schemas.microsoft.com/office/excel/2006/main">
          <x14:cfRule type="dataBar" id="{9735A3D9-7AA1-4E77-95F9-8A60D52AF751}">
            <x14:dataBar minLength="0" maxLength="100" gradient="0">
              <x14:cfvo type="num">
                <xm:f>$E$16</xm:f>
              </x14:cfvo>
              <x14:cfvo type="num">
                <xm:f>$I$16</xm:f>
              </x14:cfvo>
              <x14:negativeFillColor rgb="FFFF0000"/>
              <x14:axisColor rgb="FF000000"/>
            </x14:dataBar>
          </x14:cfRule>
          <xm:sqref>E18:I18</xm:sqref>
        </x14:conditionalFormatting>
        <x14:conditionalFormatting xmlns:xm="http://schemas.microsoft.com/office/excel/2006/main">
          <x14:cfRule type="dataBar" id="{71605E6D-E462-4282-B060-767E34BDC3E2}">
            <x14:dataBar minLength="0" maxLength="100" gradient="0">
              <x14:cfvo type="num">
                <xm:f>$E$10</xm:f>
              </x14:cfvo>
              <x14:cfvo type="num">
                <xm:f>$I$10</xm:f>
              </x14:cfvo>
              <x14:negativeFillColor rgb="FFFF0000"/>
              <x14:axisColor rgb="FF000000"/>
            </x14:dataBar>
          </x14:cfRule>
          <xm:sqref>D18</xm:sqref>
        </x14:conditionalFormatting>
        <x14:conditionalFormatting xmlns:xm="http://schemas.microsoft.com/office/excel/2006/main">
          <x14:cfRule type="dataBar" id="{DC08D83A-2957-43F8-AFA6-0E2E9EE6014E}">
            <x14:dataBar minLength="0" maxLength="100" gradient="0">
              <x14:cfvo type="num">
                <xm:f>$E$22</xm:f>
              </x14:cfvo>
              <x14:cfvo type="num">
                <xm:f>$I$22</xm:f>
              </x14:cfvo>
              <x14:negativeFillColor rgb="FFFF0000"/>
              <x14:axisColor rgb="FF000000"/>
            </x14:dataBar>
          </x14:cfRule>
          <xm:sqref>E24:I24</xm:sqref>
        </x14:conditionalFormatting>
        <x14:conditionalFormatting xmlns:xm="http://schemas.microsoft.com/office/excel/2006/main">
          <x14:cfRule type="dataBar" id="{F77F9A9D-1CA3-4065-BFD2-86BEB820BAAD}">
            <x14:dataBar minLength="0" maxLength="100" gradient="0">
              <x14:cfvo type="num">
                <xm:f>$E$10</xm:f>
              </x14:cfvo>
              <x14:cfvo type="num">
                <xm:f>$I$10</xm:f>
              </x14:cfvo>
              <x14:negativeFillColor rgb="FFFF0000"/>
              <x14:axisColor rgb="FF000000"/>
            </x14:dataBar>
          </x14:cfRule>
          <xm:sqref>D24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982C-E70A-4A0B-8CCF-66A4E7318B9B}">
  <sheetPr codeName="Sheet6"/>
  <dimension ref="B1:L76"/>
  <sheetViews>
    <sheetView showGridLines="0" topLeftCell="A10" workbookViewId="0">
      <selection activeCell="F29" sqref="F29"/>
    </sheetView>
  </sheetViews>
  <sheetFormatPr defaultColWidth="8.85546875" defaultRowHeight="31.9" customHeight="1" x14ac:dyDescent="0.25"/>
  <cols>
    <col min="1" max="1" width="1.140625" style="148" customWidth="1"/>
    <col min="2" max="2" width="14.7109375" style="148" customWidth="1"/>
    <col min="3" max="3" width="13.5703125" style="148" customWidth="1"/>
    <col min="4" max="4" width="17.7109375" style="148" customWidth="1"/>
    <col min="5" max="5" width="16.7109375" style="148" customWidth="1"/>
    <col min="6" max="6" width="15.7109375" style="148" customWidth="1"/>
    <col min="7" max="12" width="16.7109375" style="148" customWidth="1"/>
    <col min="13" max="14" width="10.7109375" style="148" customWidth="1"/>
    <col min="15" max="16384" width="8.85546875" style="148"/>
  </cols>
  <sheetData>
    <row r="1" spans="2:9" ht="6" customHeight="1" x14ac:dyDescent="0.25"/>
    <row r="2" spans="2:9" ht="31.9" customHeight="1" x14ac:dyDescent="0.25">
      <c r="B2" s="253" t="s">
        <v>704</v>
      </c>
    </row>
    <row r="3" spans="2:9" ht="31.9" customHeight="1" x14ac:dyDescent="0.25">
      <c r="B3" s="146" t="s">
        <v>678</v>
      </c>
      <c r="C3" s="149">
        <v>12</v>
      </c>
      <c r="E3" s="146" t="s">
        <v>667</v>
      </c>
      <c r="F3" s="149">
        <v>2.33</v>
      </c>
      <c r="H3" s="148" t="s">
        <v>722</v>
      </c>
      <c r="I3" s="150">
        <f>C4*C5</f>
        <v>9159.8028431999992</v>
      </c>
    </row>
    <row r="4" spans="2:9" ht="31.9" customHeight="1" x14ac:dyDescent="0.25">
      <c r="B4" s="146" t="s">
        <v>629</v>
      </c>
      <c r="C4" s="150">
        <f>_xlfn.XLOOKUP("ETH",tbCryptoBalances[Symbol],tbCryptoBalances[Curr. Price])</f>
        <v>2495.1792</v>
      </c>
      <c r="E4" s="148" t="s">
        <v>666</v>
      </c>
      <c r="F4" s="150">
        <f>iETHStarting*3961.22</f>
        <v>9229.6425999999992</v>
      </c>
      <c r="H4" s="148" t="s">
        <v>723</v>
      </c>
      <c r="I4" s="150">
        <f>C7*C6</f>
        <v>0.40040354212019996</v>
      </c>
    </row>
    <row r="5" spans="2:9" ht="31.9" customHeight="1" x14ac:dyDescent="0.25">
      <c r="B5" s="146" t="s">
        <v>630</v>
      </c>
      <c r="C5" s="144">
        <v>3.6709999999999998</v>
      </c>
      <c r="E5" s="146" t="s">
        <v>650</v>
      </c>
      <c r="F5" s="217">
        <f>Journal!E15+Journal!E34+Journal!H54+Journal!F55</f>
        <v>1.4878630256410257</v>
      </c>
    </row>
    <row r="6" spans="2:9" ht="31.9" customHeight="1" x14ac:dyDescent="0.25">
      <c r="B6" s="146" t="s">
        <v>631</v>
      </c>
      <c r="C6" s="150">
        <f>_xlfn.XLOOKUP("USDC",tbCryptoBalances[Symbol],tbCryptoBalances[Curr. Price])</f>
        <v>1.3770882</v>
      </c>
      <c r="E6" s="146" t="s">
        <v>651</v>
      </c>
      <c r="F6" s="172">
        <f>iCurrentValueETH-iETHStarting-iETHAdded</f>
        <v>-0.14670255478501693</v>
      </c>
    </row>
    <row r="7" spans="2:9" ht="31.9" customHeight="1" x14ac:dyDescent="0.25">
      <c r="B7" s="146" t="s">
        <v>632</v>
      </c>
      <c r="C7" s="144">
        <f>_xlfn.XLOOKUP("USDC",tbCryptoBalances[Symbol],tbCryptoBalances[Qty])</f>
        <v>0.29076099999999999</v>
      </c>
      <c r="E7" s="146" t="s">
        <v>652</v>
      </c>
      <c r="F7" s="186">
        <f>iGrowthETH/iETHStarting</f>
        <v>-6.296246986481413E-2</v>
      </c>
    </row>
    <row r="8" spans="2:9" ht="31.9" customHeight="1" x14ac:dyDescent="0.25">
      <c r="B8" s="146" t="s">
        <v>633</v>
      </c>
      <c r="C8" s="150">
        <f>C5*C4+C7*C6</f>
        <v>9160.2032467421195</v>
      </c>
      <c r="E8" s="146" t="s">
        <v>669</v>
      </c>
      <c r="F8" s="190">
        <v>44462</v>
      </c>
    </row>
    <row r="9" spans="2:9" ht="31.9" customHeight="1" x14ac:dyDescent="0.25">
      <c r="B9" s="146" t="s">
        <v>634</v>
      </c>
      <c r="C9" s="172">
        <f>C8/C4</f>
        <v>3.6711604708560088</v>
      </c>
      <c r="E9" s="146" t="s">
        <v>670</v>
      </c>
      <c r="F9" s="149">
        <f ca="1">TODAY()-F8</f>
        <v>541</v>
      </c>
    </row>
    <row r="10" spans="2:9" ht="31.9" customHeight="1" x14ac:dyDescent="0.25">
      <c r="B10" s="146" t="s">
        <v>653</v>
      </c>
      <c r="C10" s="192">
        <f>iETH_Delta</f>
        <v>0.1</v>
      </c>
      <c r="E10" s="148" t="s">
        <v>676</v>
      </c>
      <c r="F10" s="208">
        <f ca="1">F7/F9*365</f>
        <v>-4.2479300370900475E-2</v>
      </c>
    </row>
    <row r="11" spans="2:9" ht="31.9" customHeight="1" x14ac:dyDescent="0.25">
      <c r="B11" s="146"/>
      <c r="C11" s="150"/>
    </row>
    <row r="12" spans="2:9" ht="31.9" customHeight="1" x14ac:dyDescent="0.25">
      <c r="B12" s="253" t="s">
        <v>674</v>
      </c>
    </row>
    <row r="13" spans="2:9" ht="31.9" customHeight="1" x14ac:dyDescent="0.25">
      <c r="B13" s="146" t="s">
        <v>678</v>
      </c>
      <c r="C13" s="149">
        <v>4</v>
      </c>
      <c r="E13" s="148" t="s">
        <v>675</v>
      </c>
      <c r="F13" s="149">
        <f>246+223</f>
        <v>469</v>
      </c>
      <c r="H13" s="148" t="s">
        <v>735</v>
      </c>
      <c r="I13" s="150">
        <f>C14*C15</f>
        <v>0</v>
      </c>
    </row>
    <row r="14" spans="2:9" ht="31.9" customHeight="1" x14ac:dyDescent="0.25">
      <c r="B14" s="148" t="s">
        <v>677</v>
      </c>
      <c r="C14" s="209">
        <f>_xlfn.XLOOKUP("BITO",tbCryptoBalances[Symbol],tbCryptoBalances[Curr. Price])</f>
        <v>16.649999999999999</v>
      </c>
      <c r="E14" s="148" t="s">
        <v>666</v>
      </c>
      <c r="F14" s="151">
        <v>38554.68</v>
      </c>
      <c r="H14" s="148" t="s">
        <v>736</v>
      </c>
      <c r="I14" s="150">
        <f>C16</f>
        <v>9749.9699999999993</v>
      </c>
    </row>
    <row r="15" spans="2:9" ht="31.9" customHeight="1" x14ac:dyDescent="0.25">
      <c r="B15" s="148" t="s">
        <v>680</v>
      </c>
      <c r="C15" s="149">
        <f>_xlfn.XLOOKUP("BITO",tbCryptoBalances[Symbol],tbCryptoBalances[Qty])</f>
        <v>0</v>
      </c>
      <c r="E15" s="146" t="s">
        <v>683</v>
      </c>
      <c r="F15" s="149">
        <v>0</v>
      </c>
    </row>
    <row r="16" spans="2:9" ht="31.9" customHeight="1" x14ac:dyDescent="0.25">
      <c r="B16" s="148" t="s">
        <v>681</v>
      </c>
      <c r="C16" s="209">
        <v>9749.9699999999993</v>
      </c>
      <c r="E16" s="148" t="s">
        <v>684</v>
      </c>
      <c r="F16" s="209">
        <f>C17-F14</f>
        <v>-28804.71</v>
      </c>
    </row>
    <row r="17" spans="2:12" ht="31.9" customHeight="1" x14ac:dyDescent="0.25">
      <c r="B17" s="148" t="s">
        <v>633</v>
      </c>
      <c r="C17" s="209">
        <f>C14*C15+C16</f>
        <v>9749.9699999999993</v>
      </c>
      <c r="E17" s="148" t="s">
        <v>652</v>
      </c>
      <c r="F17" s="210">
        <f>F16/F14</f>
        <v>-0.74711319092779394</v>
      </c>
    </row>
    <row r="18" spans="2:12" ht="31.9" customHeight="1" x14ac:dyDescent="0.25">
      <c r="B18" s="146" t="s">
        <v>682</v>
      </c>
      <c r="C18" s="191">
        <f>C17/C13/C14</f>
        <v>146.39594594594595</v>
      </c>
      <c r="E18" s="148" t="s">
        <v>669</v>
      </c>
      <c r="F18" s="190">
        <v>44488</v>
      </c>
    </row>
    <row r="19" spans="2:12" ht="31.9" customHeight="1" x14ac:dyDescent="0.25">
      <c r="B19" s="148" t="s">
        <v>679</v>
      </c>
      <c r="C19" s="151">
        <f>C17/4</f>
        <v>2437.4924999999998</v>
      </c>
      <c r="E19" s="148" t="s">
        <v>670</v>
      </c>
      <c r="F19" s="149">
        <f ca="1">TODAY()-F18</f>
        <v>515</v>
      </c>
    </row>
    <row r="20" spans="2:12" ht="31.9" customHeight="1" x14ac:dyDescent="0.25">
      <c r="B20" s="148" t="s">
        <v>653</v>
      </c>
      <c r="C20" s="211" cm="1">
        <f t="array" ref="C20">iBITO_Delta</f>
        <v>0.08</v>
      </c>
      <c r="E20" s="148" t="s">
        <v>676</v>
      </c>
      <c r="F20" s="211">
        <f ca="1">F17/F19*365</f>
        <v>-0.52950740716241707</v>
      </c>
    </row>
    <row r="22" spans="2:12" ht="31.9" customHeight="1" x14ac:dyDescent="0.25">
      <c r="B22" s="229" t="s">
        <v>687</v>
      </c>
      <c r="C22" s="212"/>
      <c r="J22" s="213"/>
      <c r="K22" s="214"/>
      <c r="L22" s="214"/>
    </row>
    <row r="23" spans="2:12" ht="7.5" customHeight="1" x14ac:dyDescent="0.25">
      <c r="B23" s="212"/>
      <c r="C23" s="215"/>
      <c r="J23" s="149"/>
      <c r="K23" s="150"/>
      <c r="L23" s="216"/>
    </row>
    <row r="24" spans="2:12" ht="31.9" customHeight="1" x14ac:dyDescent="0.25">
      <c r="B24" s="139" t="s">
        <v>688</v>
      </c>
      <c r="C24" s="141" t="s">
        <v>689</v>
      </c>
      <c r="D24" s="142" t="s">
        <v>690</v>
      </c>
      <c r="E24" s="183"/>
      <c r="F24" s="139" t="s">
        <v>688</v>
      </c>
      <c r="G24" s="143" t="s">
        <v>691</v>
      </c>
      <c r="H24" s="142" t="s">
        <v>692</v>
      </c>
      <c r="I24" s="183"/>
      <c r="J24" s="139" t="s">
        <v>690</v>
      </c>
      <c r="K24" s="141" t="s">
        <v>693</v>
      </c>
      <c r="L24" s="142" t="s">
        <v>694</v>
      </c>
    </row>
    <row r="25" spans="2:12" ht="31.9" customHeight="1" x14ac:dyDescent="0.25">
      <c r="B25" s="178">
        <v>0.88</v>
      </c>
      <c r="C25" s="197">
        <v>0.63</v>
      </c>
      <c r="D25" s="198">
        <f>(C25-B25)/B25</f>
        <v>-0.28409090909090912</v>
      </c>
      <c r="E25" s="183"/>
      <c r="F25" s="199">
        <v>19.89</v>
      </c>
      <c r="G25" s="200">
        <v>0.1</v>
      </c>
      <c r="H25" s="201">
        <f>F25*(1+G25)</f>
        <v>21.879000000000001</v>
      </c>
      <c r="I25" s="183"/>
      <c r="J25" s="202">
        <v>4.9399999999999999E-2</v>
      </c>
      <c r="K25" s="203">
        <v>1</v>
      </c>
      <c r="L25" s="204">
        <f>J25/K25*365</f>
        <v>18.030999999999999</v>
      </c>
    </row>
    <row r="26" spans="2:12" ht="31.9" customHeight="1" x14ac:dyDescent="0.25">
      <c r="B26" s="205"/>
      <c r="C26" s="205"/>
      <c r="D26" s="206"/>
      <c r="E26" s="206"/>
      <c r="F26" s="207"/>
      <c r="G26" s="207"/>
      <c r="H26" s="207"/>
      <c r="I26" s="207"/>
      <c r="J26" s="207"/>
      <c r="K26" s="207"/>
      <c r="L26" s="207"/>
    </row>
    <row r="27" spans="2:12" ht="31.9" customHeight="1" x14ac:dyDescent="0.25">
      <c r="B27" s="139" t="s">
        <v>695</v>
      </c>
      <c r="C27" s="140" t="s">
        <v>9</v>
      </c>
      <c r="D27" s="142" t="s">
        <v>696</v>
      </c>
      <c r="E27" s="196"/>
      <c r="F27" s="139" t="s">
        <v>695</v>
      </c>
      <c r="G27" s="140" t="s">
        <v>9</v>
      </c>
      <c r="H27" s="142" t="s">
        <v>696</v>
      </c>
      <c r="I27" s="196"/>
      <c r="J27" s="182"/>
      <c r="K27" s="183"/>
      <c r="L27" s="183"/>
    </row>
    <row r="28" spans="2:12" ht="31.9" customHeight="1" x14ac:dyDescent="0.25">
      <c r="B28" s="178">
        <v>7.82</v>
      </c>
      <c r="C28" s="179">
        <v>300</v>
      </c>
      <c r="D28" s="180">
        <f>ROUNDDOWN(C28/B28,0)</f>
        <v>38</v>
      </c>
      <c r="E28" s="181"/>
      <c r="F28" s="178">
        <v>8.24</v>
      </c>
      <c r="G28" s="179">
        <v>1500</v>
      </c>
      <c r="H28" s="180">
        <f>ROUNDDOWN(G28/F28,0)</f>
        <v>182</v>
      </c>
      <c r="I28" s="181"/>
      <c r="J28" s="182"/>
      <c r="K28" s="183"/>
      <c r="L28" s="183"/>
    </row>
    <row r="30" spans="2:12" ht="31.9" customHeight="1" x14ac:dyDescent="0.25">
      <c r="B30" s="253" t="s">
        <v>708</v>
      </c>
    </row>
    <row r="31" spans="2:12" ht="31.9" customHeight="1" x14ac:dyDescent="0.25">
      <c r="B31" s="184" t="s">
        <v>43</v>
      </c>
      <c r="C31" s="185" t="s">
        <v>44</v>
      </c>
      <c r="D31" s="185" t="s">
        <v>545</v>
      </c>
      <c r="E31" s="185" t="s">
        <v>546</v>
      </c>
      <c r="F31" s="185" t="s">
        <v>547</v>
      </c>
      <c r="G31" s="185" t="s">
        <v>822</v>
      </c>
    </row>
    <row r="32" spans="2:12" ht="31.9" customHeight="1" x14ac:dyDescent="0.25">
      <c r="B32" s="148" t="s">
        <v>489</v>
      </c>
      <c r="C32" s="149" t="s">
        <v>22</v>
      </c>
      <c r="D32" s="172">
        <f>SUMIFS(tbTransactions[Qty],tbTransactions[Symbol],tbStakingRewards[[#This Row],[Symbol]],tbTransactions[Sub-Type],"Staking interest")+SUMIFS(tbTransactions[Qty],tbTransactions[Symbol],tbStakingRewards[[#This Row],[Symbol]],tbTransactions[Sub-Type],"Borrow interest")</f>
        <v>1.6364473669999995</v>
      </c>
      <c r="E32" s="186">
        <f>tbStakingRewards[[#This Row],[Gain (Coins)]]/(_xlfn.XLOOKUP(tbStakingRewards[[#This Row],[Symbol]],tbCryptoBalances[Symbol],tbCryptoBalances[Qty])-tbStakingRewards[[#This Row],[Gain (Coins)]])</f>
        <v>7.4463025294084065E-2</v>
      </c>
      <c r="F32" s="150">
        <f>tbStakingRewards[[#This Row],[Gain (Coins)]]*_xlfn.XLOOKUP(tbStakingRewards[[#This Row],[Symbol]],tbCryptoBalances[Symbol],tbCryptoBalances[Curr. Price])</f>
        <v>4083.2294320331653</v>
      </c>
      <c r="G32" s="176">
        <v>44436</v>
      </c>
    </row>
    <row r="33" spans="2:7" ht="31.9" customHeight="1" x14ac:dyDescent="0.25">
      <c r="B33" s="148" t="s">
        <v>487</v>
      </c>
      <c r="C33" s="149" t="s">
        <v>20</v>
      </c>
      <c r="D33" s="172">
        <f>SUMIFS(tbTransactions[Qty],tbTransactions[Symbol],tbStakingRewards[[#This Row],[Symbol]],tbTransactions[Sub-Type],"Staking interest")+SUMIFS(tbTransactions[Qty],tbTransactions[Symbol],tbStakingRewards[[#This Row],[Symbol]],tbTransactions[Sub-Type],"Borrow interest")</f>
        <v>16.141109520200004</v>
      </c>
      <c r="E33" s="186">
        <f>tbStakingRewards[[#This Row],[Gain (Coins)]]/(_xlfn.XLOOKUP(tbStakingRewards[[#This Row],[Symbol]],tbCryptoBalances[Symbol],tbCryptoBalances[Qty])-tbStakingRewards[[#This Row],[Gain (Coins)]])</f>
        <v>0.18498003101439811</v>
      </c>
      <c r="F33" s="150">
        <f>tbStakingRewards[[#This Row],[Gain (Coins)]]*_xlfn.XLOOKUP(tbStakingRewards[[#This Row],[Symbol]],tbCryptoBalances[Symbol],tbCryptoBalances[Curr. Price])</f>
        <v>148.49820758584002</v>
      </c>
      <c r="G33" s="176">
        <v>44381</v>
      </c>
    </row>
    <row r="34" spans="2:7" ht="31.9" customHeight="1" x14ac:dyDescent="0.25">
      <c r="B34" s="148" t="s">
        <v>486</v>
      </c>
      <c r="C34" s="149" t="s">
        <v>18</v>
      </c>
      <c r="D34" s="172">
        <f>SUMIFS(tbTransactions[Qty],tbTransactions[Symbol],tbStakingRewards[[#This Row],[Symbol]],tbTransactions[Sub-Type],"Staking interest")+SUMIFS(tbTransactions[Qty],tbTransactions[Symbol],tbStakingRewards[[#This Row],[Symbol]],tbTransactions[Sub-Type],"Borrow interest")</f>
        <v>18.187015999999989</v>
      </c>
      <c r="E34" s="186">
        <f>tbStakingRewards[[#This Row],[Gain (Coins)]]/(_xlfn.XLOOKUP(tbStakingRewards[[#This Row],[Symbol]],tbCryptoBalances[Symbol],tbCryptoBalances[Qty])-tbStakingRewards[[#This Row],[Gain (Coins)]])</f>
        <v>0.26894791239034244</v>
      </c>
      <c r="F34" s="150">
        <f>tbStakingRewards[[#This Row],[Gain (Coins)]]*_xlfn.XLOOKUP(tbStakingRewards[[#This Row],[Symbol]],tbCryptoBalances[Symbol],tbCryptoBalances[Curr. Price])</f>
        <v>329.36685975999978</v>
      </c>
      <c r="G34" s="176">
        <v>44344</v>
      </c>
    </row>
    <row r="35" spans="2:7" ht="31.9" customHeight="1" x14ac:dyDescent="0.25">
      <c r="B35" s="148" t="s">
        <v>441</v>
      </c>
      <c r="C35" s="149" t="s">
        <v>440</v>
      </c>
      <c r="D35" s="172">
        <f>SUMIFS(tbTransactions[Qty],tbTransactions[Symbol],tbStakingRewards[[#This Row],[Symbol]],tbTransactions[Sub-Type],"Staking interest")+SUMIFS(tbTransactions[Qty],tbTransactions[Symbol],tbStakingRewards[[#This Row],[Symbol]],tbTransactions[Sub-Type],"Borrow interest")</f>
        <v>1987</v>
      </c>
      <c r="E35" s="186">
        <f>tbStakingRewards[[#This Row],[Gain (Coins)]]/(_xlfn.XLOOKUP(tbStakingRewards[[#This Row],[Symbol]],tbCryptoBalances[Symbol],tbCryptoBalances[Qty])-tbStakingRewards[[#This Row],[Gain (Coins)]])</f>
        <v>0.11027995489441098</v>
      </c>
      <c r="F35" s="150">
        <f>tbStakingRewards[[#This Row],[Gain (Coins)]]*_xlfn.XLOOKUP(tbStakingRewards[[#This Row],[Symbol]],tbCryptoBalances[Symbol],tbCryptoBalances[Curr. Price])</f>
        <v>11.832585</v>
      </c>
      <c r="G35" s="176"/>
    </row>
    <row r="36" spans="2:7" ht="31.9" customHeight="1" x14ac:dyDescent="0.25">
      <c r="B36" s="148" t="s">
        <v>2</v>
      </c>
      <c r="C36" s="149"/>
      <c r="D36" s="149"/>
      <c r="E36" s="149"/>
      <c r="F36" s="150">
        <f>SUBTOTAL(109,tbStakingRewards[Gain $])</f>
        <v>4572.9270843790055</v>
      </c>
      <c r="G36" s="149"/>
    </row>
    <row r="38" spans="2:7" ht="31.9" customHeight="1" x14ac:dyDescent="0.25">
      <c r="B38" s="253" t="s">
        <v>778</v>
      </c>
    </row>
    <row r="39" spans="2:7" ht="31.9" customHeight="1" x14ac:dyDescent="0.25">
      <c r="B39" s="184" t="s">
        <v>43</v>
      </c>
      <c r="C39" s="185" t="s">
        <v>44</v>
      </c>
      <c r="D39" s="185" t="s">
        <v>545</v>
      </c>
      <c r="E39" s="185" t="s">
        <v>546</v>
      </c>
      <c r="F39" s="185" t="s">
        <v>547</v>
      </c>
    </row>
    <row r="40" spans="2:7" ht="31.9" customHeight="1" x14ac:dyDescent="0.25">
      <c r="B40" s="148" t="s">
        <v>489</v>
      </c>
      <c r="C40" s="149" t="s">
        <v>22</v>
      </c>
      <c r="D40" s="172">
        <f>SUMIFS(tbTransactions[Qty],tbTransactions[Symbol],tbMiningRewards[[#This Row],[Symbol]],tbTransactions[Sub-Type],"Mining reward")+SUMIFS(tbTransactions[Qty],tbTransactions[Symbol],tbMiningRewards[[#This Row],[Symbol]],tbTransactions[Sub-Type],"Mined ETH")</f>
        <v>0.60257105879999995</v>
      </c>
      <c r="E40" s="186">
        <f>tbMiningRewards[[#This Row],[Gain (Coins)]]/(_xlfn.XLOOKUP(tbMiningRewards[[#This Row],[Symbol]],tbCryptoBalances[Symbol],tbCryptoBalances[Qty])-tbMiningRewards[[#This Row],[Gain (Coins)]])</f>
        <v>2.6186764212591453E-2</v>
      </c>
      <c r="F40" s="150">
        <f>tbMiningRewards[[#This Row],[Gain (Coins)]]*_xlfn.XLOOKUP(tbMiningRewards[[#This Row],[Symbol]],tbCryptoBalances[Symbol],tbCryptoBalances[Curr. Price])</f>
        <v>1503.5227724397369</v>
      </c>
    </row>
    <row r="42" spans="2:7" ht="31.9" customHeight="1" x14ac:dyDescent="0.25">
      <c r="B42" s="253" t="s">
        <v>727</v>
      </c>
      <c r="D42" s="148" t="str" cm="1">
        <f t="array" ref="D42">IF(C47&lt;C44,SoundBoop(),"")</f>
        <v/>
      </c>
    </row>
    <row r="43" spans="2:7" ht="31.9" customHeight="1" x14ac:dyDescent="0.25">
      <c r="B43" s="146" t="s">
        <v>436</v>
      </c>
      <c r="C43" s="187">
        <f>SUMIFS(tbTransactions[Total],tbTransactions[Sub-Type],"Deposit Fiat")*-1</f>
        <v>74481.964050680021</v>
      </c>
    </row>
    <row r="44" spans="2:7" ht="31.9" customHeight="1" x14ac:dyDescent="0.25">
      <c r="B44" s="146" t="s">
        <v>437</v>
      </c>
      <c r="C44" s="187">
        <f>SUMIFS(tbCryptoBalances[Current Value],tbCryptoBalances[Asset Type],"Crypto")</f>
        <v>61631.690468217144</v>
      </c>
    </row>
    <row r="45" spans="2:7" ht="31.9" customHeight="1" x14ac:dyDescent="0.25">
      <c r="B45" s="148" t="s">
        <v>438</v>
      </c>
      <c r="C45" s="151">
        <f>(C44-C43)</f>
        <v>-12850.273582462876</v>
      </c>
    </row>
    <row r="46" spans="2:7" ht="31.9" customHeight="1" x14ac:dyDescent="0.25">
      <c r="B46" s="148" t="s">
        <v>39</v>
      </c>
      <c r="C46" s="188">
        <f>C45/C43</f>
        <v>-0.17252866175385922</v>
      </c>
    </row>
    <row r="47" spans="2:7" ht="31.9" customHeight="1" x14ac:dyDescent="0.25">
      <c r="B47" s="148" t="s">
        <v>557</v>
      </c>
      <c r="C47" s="187">
        <v>144339.13956959787</v>
      </c>
    </row>
    <row r="48" spans="2:7" ht="31.9" customHeight="1" x14ac:dyDescent="0.25">
      <c r="B48" s="148" t="s">
        <v>558</v>
      </c>
      <c r="C48" s="189">
        <f>1-((C47-C44)/C47)</f>
        <v>0.42699222575384266</v>
      </c>
    </row>
    <row r="49" spans="2:4" ht="31.9" customHeight="1" x14ac:dyDescent="0.25">
      <c r="B49" s="148" t="s">
        <v>705</v>
      </c>
      <c r="C49" s="190">
        <v>44306</v>
      </c>
    </row>
    <row r="50" spans="2:4" ht="31.9" customHeight="1" x14ac:dyDescent="0.25">
      <c r="B50" s="148" t="s">
        <v>706</v>
      </c>
      <c r="C50" s="191">
        <f ca="1">TODAY()-C49</f>
        <v>697</v>
      </c>
    </row>
    <row r="51" spans="2:4" ht="31.9" customHeight="1" x14ac:dyDescent="0.25">
      <c r="B51" s="148" t="s">
        <v>707</v>
      </c>
      <c r="C51" s="192">
        <f ca="1">C46/C50*365</f>
        <v>-9.0348581836669467E-2</v>
      </c>
    </row>
    <row r="53" spans="2:4" ht="31.9" customHeight="1" x14ac:dyDescent="0.25">
      <c r="B53" s="253" t="s">
        <v>751</v>
      </c>
      <c r="D53" s="148" t="str" cm="1">
        <f t="array" ref="D53">IF(C58&lt;C55,SoundBoop(),"")</f>
        <v/>
      </c>
    </row>
    <row r="54" spans="2:4" ht="31.9" customHeight="1" x14ac:dyDescent="0.25">
      <c r="B54" s="146" t="s">
        <v>752</v>
      </c>
      <c r="C54" s="193">
        <f>tbCryptoBalances[[#Totals],[Current Value]]</f>
        <v>167884.39983872257</v>
      </c>
    </row>
    <row r="55" spans="2:4" ht="31.9" customHeight="1" x14ac:dyDescent="0.25">
      <c r="B55" s="148" t="s">
        <v>753</v>
      </c>
      <c r="C55" s="193">
        <v>750000</v>
      </c>
    </row>
    <row r="56" spans="2:4" ht="31.9" customHeight="1" x14ac:dyDescent="0.25">
      <c r="B56" s="148" t="s">
        <v>754</v>
      </c>
      <c r="C56" s="193">
        <v>20000</v>
      </c>
    </row>
    <row r="57" spans="2:4" ht="31.9" customHeight="1" x14ac:dyDescent="0.25">
      <c r="B57" s="148" t="s">
        <v>755</v>
      </c>
      <c r="C57" s="193">
        <v>91683</v>
      </c>
    </row>
    <row r="58" spans="2:4" ht="31.9" customHeight="1" x14ac:dyDescent="0.25">
      <c r="B58" s="148" t="s">
        <v>756</v>
      </c>
      <c r="C58" s="193">
        <v>1600</v>
      </c>
    </row>
    <row r="59" spans="2:4" ht="31.9" customHeight="1" x14ac:dyDescent="0.25">
      <c r="B59" s="148" t="s">
        <v>757</v>
      </c>
      <c r="C59" s="194">
        <v>-38258.120000000003</v>
      </c>
    </row>
    <row r="60" spans="2:4" ht="31.9" customHeight="1" x14ac:dyDescent="0.25">
      <c r="B60" s="159" t="s">
        <v>751</v>
      </c>
      <c r="C60" s="195">
        <f>SUM(C54:C59)</f>
        <v>992909.27983872255</v>
      </c>
    </row>
    <row r="62" spans="2:4" ht="31.9" customHeight="1" x14ac:dyDescent="0.25">
      <c r="B62" s="253" t="s">
        <v>830</v>
      </c>
    </row>
    <row r="63" spans="2:4" ht="31.9" customHeight="1" x14ac:dyDescent="0.25">
      <c r="B63" s="148" t="s">
        <v>831</v>
      </c>
    </row>
    <row r="64" spans="2:4" ht="31.9" customHeight="1" x14ac:dyDescent="0.25">
      <c r="B64" s="148" t="s">
        <v>829</v>
      </c>
      <c r="C64" s="232">
        <v>6493.78</v>
      </c>
      <c r="D64" s="233">
        <v>44510</v>
      </c>
    </row>
    <row r="65" spans="2:8" ht="31.9" customHeight="1" x14ac:dyDescent="0.25">
      <c r="C65" s="234" t="s">
        <v>405</v>
      </c>
      <c r="D65" s="235" t="s">
        <v>834</v>
      </c>
      <c r="E65" s="160" t="s">
        <v>22</v>
      </c>
      <c r="F65" s="236" t="s">
        <v>833</v>
      </c>
      <c r="G65" s="248" t="s">
        <v>405</v>
      </c>
      <c r="H65" s="236" t="s">
        <v>835</v>
      </c>
    </row>
    <row r="66" spans="2:8" ht="31.9" customHeight="1" x14ac:dyDescent="0.25">
      <c r="B66" s="148" t="s">
        <v>832</v>
      </c>
      <c r="C66" s="244"/>
      <c r="D66" s="245"/>
      <c r="E66" s="246">
        <v>23.5</v>
      </c>
      <c r="F66" s="247">
        <v>0</v>
      </c>
      <c r="G66" s="251"/>
      <c r="H66" s="252"/>
    </row>
    <row r="67" spans="2:8" ht="31.9" customHeight="1" x14ac:dyDescent="0.25">
      <c r="C67" s="234">
        <v>6493.78</v>
      </c>
      <c r="D67" s="160">
        <f>E66*0.1</f>
        <v>2.35</v>
      </c>
      <c r="E67" s="242">
        <f t="shared" ref="E67:E76" si="0">E66-D67</f>
        <v>21.15</v>
      </c>
      <c r="F67" s="243">
        <f t="shared" ref="F67:F76" si="1">F66+(D67*C67)</f>
        <v>15260.383</v>
      </c>
      <c r="G67" s="237">
        <f t="shared" ref="G67:G76" si="2">C67*(1-0.3)</f>
        <v>4545.6459999999997</v>
      </c>
      <c r="H67" s="249">
        <f>F67/G67</f>
        <v>3.3571428571428572</v>
      </c>
    </row>
    <row r="68" spans="2:8" ht="31.9" customHeight="1" x14ac:dyDescent="0.25">
      <c r="C68" s="237">
        <f t="shared" ref="C68:C76" si="3">C67*1.2</f>
        <v>7792.5359999999991</v>
      </c>
      <c r="D68" s="230">
        <v>2.35</v>
      </c>
      <c r="E68" s="230">
        <f t="shared" si="0"/>
        <v>18.799999999999997</v>
      </c>
      <c r="F68" s="238">
        <f t="shared" si="1"/>
        <v>33572.842599999996</v>
      </c>
      <c r="G68" s="237">
        <f t="shared" si="2"/>
        <v>5454.7751999999991</v>
      </c>
      <c r="H68" s="249">
        <f t="shared" ref="H68:H76" si="4">F68/G68</f>
        <v>6.1547619047619051</v>
      </c>
    </row>
    <row r="69" spans="2:8" ht="31.9" customHeight="1" x14ac:dyDescent="0.25">
      <c r="C69" s="237">
        <f t="shared" si="3"/>
        <v>9351.0431999999983</v>
      </c>
      <c r="D69" s="230">
        <v>2.35</v>
      </c>
      <c r="E69" s="230">
        <f t="shared" si="0"/>
        <v>16.449999999999996</v>
      </c>
      <c r="F69" s="238">
        <f t="shared" si="1"/>
        <v>55547.794119999991</v>
      </c>
      <c r="G69" s="237">
        <f t="shared" si="2"/>
        <v>6545.730239999998</v>
      </c>
      <c r="H69" s="249">
        <f t="shared" si="4"/>
        <v>8.4861111111111125</v>
      </c>
    </row>
    <row r="70" spans="2:8" ht="31.9" customHeight="1" x14ac:dyDescent="0.25">
      <c r="C70" s="237">
        <f t="shared" si="3"/>
        <v>11221.251839999997</v>
      </c>
      <c r="D70" s="230">
        <v>2.35</v>
      </c>
      <c r="E70" s="230">
        <f t="shared" si="0"/>
        <v>14.099999999999996</v>
      </c>
      <c r="F70" s="238">
        <f t="shared" si="1"/>
        <v>81917.735943999985</v>
      </c>
      <c r="G70" s="237">
        <f t="shared" si="2"/>
        <v>7854.8762879999977</v>
      </c>
      <c r="H70" s="249">
        <f t="shared" si="4"/>
        <v>10.428902116402117</v>
      </c>
    </row>
    <row r="71" spans="2:8" ht="31.9" customHeight="1" x14ac:dyDescent="0.25">
      <c r="C71" s="237">
        <f t="shared" si="3"/>
        <v>13465.502207999996</v>
      </c>
      <c r="D71" s="230">
        <v>2.35</v>
      </c>
      <c r="E71" s="230">
        <f t="shared" si="0"/>
        <v>11.749999999999996</v>
      </c>
      <c r="F71" s="238">
        <f t="shared" si="1"/>
        <v>113561.66613279998</v>
      </c>
      <c r="G71" s="237">
        <f t="shared" si="2"/>
        <v>9425.8515455999968</v>
      </c>
      <c r="H71" s="249">
        <f t="shared" si="4"/>
        <v>12.04789462081129</v>
      </c>
    </row>
    <row r="72" spans="2:8" ht="31.9" customHeight="1" x14ac:dyDescent="0.25">
      <c r="C72" s="237">
        <f t="shared" si="3"/>
        <v>16158.602649599994</v>
      </c>
      <c r="D72" s="230">
        <v>2.35</v>
      </c>
      <c r="E72" s="230">
        <f t="shared" si="0"/>
        <v>9.3999999999999968</v>
      </c>
      <c r="F72" s="238">
        <f t="shared" si="1"/>
        <v>151534.38235935997</v>
      </c>
      <c r="G72" s="237">
        <f t="shared" si="2"/>
        <v>11311.021854719995</v>
      </c>
      <c r="H72" s="249">
        <f t="shared" si="4"/>
        <v>13.397055041152267</v>
      </c>
    </row>
    <row r="73" spans="2:8" ht="31.9" customHeight="1" x14ac:dyDescent="0.25">
      <c r="C73" s="237">
        <f t="shared" si="3"/>
        <v>19390.323179519994</v>
      </c>
      <c r="D73" s="230">
        <v>2.35</v>
      </c>
      <c r="E73" s="230">
        <f t="shared" si="0"/>
        <v>7.0499999999999972</v>
      </c>
      <c r="F73" s="238">
        <f t="shared" si="1"/>
        <v>197101.64183123194</v>
      </c>
      <c r="G73" s="237">
        <f t="shared" si="2"/>
        <v>13573.226225663995</v>
      </c>
      <c r="H73" s="249">
        <f t="shared" si="4"/>
        <v>14.52135539143641</v>
      </c>
    </row>
    <row r="74" spans="2:8" ht="31.9" customHeight="1" x14ac:dyDescent="0.25">
      <c r="C74" s="237">
        <f t="shared" si="3"/>
        <v>23268.38781542399</v>
      </c>
      <c r="D74" s="230">
        <v>2.35</v>
      </c>
      <c r="E74" s="230">
        <f t="shared" si="0"/>
        <v>4.6999999999999975</v>
      </c>
      <c r="F74" s="238">
        <f t="shared" si="1"/>
        <v>251782.35319747834</v>
      </c>
      <c r="G74" s="237">
        <f t="shared" si="2"/>
        <v>16287.871470796792</v>
      </c>
      <c r="H74" s="249">
        <f t="shared" si="4"/>
        <v>15.458272350006537</v>
      </c>
    </row>
    <row r="75" spans="2:8" ht="31.9" customHeight="1" x14ac:dyDescent="0.25">
      <c r="C75" s="237">
        <f t="shared" si="3"/>
        <v>27922.065378508789</v>
      </c>
      <c r="D75" s="230">
        <v>2.35</v>
      </c>
      <c r="E75" s="230">
        <f t="shared" si="0"/>
        <v>2.3499999999999974</v>
      </c>
      <c r="F75" s="238">
        <f t="shared" si="1"/>
        <v>317399.20683697402</v>
      </c>
      <c r="G75" s="237">
        <f t="shared" si="2"/>
        <v>19545.445764956152</v>
      </c>
      <c r="H75" s="249">
        <f t="shared" si="4"/>
        <v>16.239036482148304</v>
      </c>
    </row>
    <row r="76" spans="2:8" ht="31.9" customHeight="1" x14ac:dyDescent="0.25">
      <c r="C76" s="239">
        <f t="shared" si="3"/>
        <v>33506.478454210548</v>
      </c>
      <c r="D76" s="240">
        <v>2.35</v>
      </c>
      <c r="E76" s="240">
        <f t="shared" si="0"/>
        <v>0</v>
      </c>
      <c r="F76" s="241">
        <f t="shared" si="1"/>
        <v>396139.43120436883</v>
      </c>
      <c r="G76" s="239">
        <f t="shared" si="2"/>
        <v>23454.534917947381</v>
      </c>
      <c r="H76" s="250">
        <f t="shared" si="4"/>
        <v>16.889673258933112</v>
      </c>
    </row>
  </sheetData>
  <conditionalFormatting sqref="C47">
    <cfRule type="expression" dxfId="10" priority="2">
      <formula>$C$44&gt;$C$47</formula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EE9CE-B57B-4797-804A-4249373A23EA}">
  <sheetPr codeName="Sheet10">
    <tabColor rgb="FF00B050"/>
  </sheetPr>
  <dimension ref="B1:K35"/>
  <sheetViews>
    <sheetView showGridLines="0" workbookViewId="0">
      <pane xSplit="2" topLeftCell="C1" activePane="topRight" state="frozen"/>
      <selection pane="topRight" activeCell="L33" sqref="L33"/>
    </sheetView>
  </sheetViews>
  <sheetFormatPr defaultColWidth="9.140625" defaultRowHeight="30" customHeight="1" x14ac:dyDescent="0.25"/>
  <cols>
    <col min="1" max="1" width="1.28515625" style="148" customWidth="1"/>
    <col min="2" max="2" width="20.85546875" style="148" customWidth="1"/>
    <col min="3" max="4" width="11.7109375" style="148" customWidth="1"/>
    <col min="5" max="5" width="11.7109375" style="149" customWidth="1"/>
    <col min="6" max="11" width="11.7109375" style="148" customWidth="1"/>
    <col min="12" max="20" width="11.28515625" style="148" customWidth="1"/>
    <col min="21" max="16384" width="9.140625" style="148"/>
  </cols>
  <sheetData>
    <row r="1" spans="2:11" ht="7.5" customHeight="1" x14ac:dyDescent="0.25">
      <c r="B1" s="146"/>
      <c r="C1" s="146"/>
      <c r="D1" s="146"/>
      <c r="E1" s="147"/>
    </row>
    <row r="2" spans="2:11" ht="30" customHeight="1" x14ac:dyDescent="0.25">
      <c r="B2" s="228" t="s">
        <v>821</v>
      </c>
      <c r="C2" s="146"/>
      <c r="D2" s="146"/>
      <c r="E2" s="147"/>
    </row>
    <row r="3" spans="2:11" ht="43.5" customHeight="1" x14ac:dyDescent="0.25">
      <c r="B3" s="146" t="s">
        <v>43</v>
      </c>
      <c r="C3" s="147" t="s">
        <v>44</v>
      </c>
      <c r="D3" s="147" t="s">
        <v>42</v>
      </c>
      <c r="E3" s="147" t="s">
        <v>1</v>
      </c>
      <c r="F3" s="147" t="s">
        <v>4</v>
      </c>
      <c r="G3" s="147" t="s">
        <v>5</v>
      </c>
      <c r="H3" s="147" t="s">
        <v>33</v>
      </c>
      <c r="I3" s="147" t="s">
        <v>37</v>
      </c>
      <c r="J3" s="147" t="s">
        <v>38</v>
      </c>
      <c r="K3" s="147" t="s">
        <v>39</v>
      </c>
    </row>
    <row r="4" spans="2:11" ht="30" hidden="1" customHeight="1" x14ac:dyDescent="0.25">
      <c r="B4" s="146" t="s">
        <v>783</v>
      </c>
      <c r="C4" s="147" t="s">
        <v>49</v>
      </c>
      <c r="D4" s="147" t="s">
        <v>806</v>
      </c>
      <c r="E4" s="149">
        <v>204</v>
      </c>
      <c r="F4" s="150">
        <v>2.9</v>
      </c>
      <c r="G4" s="151">
        <f>tbPennyStocks[[#This Row],[Qty]]*tbPennyStocks[[#This Row],[Curr. Price]]</f>
        <v>591.6</v>
      </c>
      <c r="H4" s="150">
        <v>2.13</v>
      </c>
      <c r="I4" s="151">
        <f>tbPennyStocks[[#This Row],[Average Cost]]*tbPennyStocks[[#This Row],[Qty]]</f>
        <v>434.52</v>
      </c>
      <c r="J4" s="151">
        <f>tbPennyStocks[[#This Row],[Current Value]]-tbPennyStocks[[#This Row],[Approx Book Value]]</f>
        <v>157.08000000000004</v>
      </c>
      <c r="K4" s="152">
        <f>IF(tbPennyStocks[[#This Row],[Approx Book Value]]&gt;0,tbPennyStocks[[#This Row],[G/L $]]/tbPennyStocks[[#This Row],[Approx Book Value]],1)</f>
        <v>0.36150234741784049</v>
      </c>
    </row>
    <row r="5" spans="2:11" ht="30" hidden="1" customHeight="1" x14ac:dyDescent="0.25">
      <c r="B5" s="146" t="s">
        <v>809</v>
      </c>
      <c r="C5" s="147" t="s">
        <v>807</v>
      </c>
      <c r="D5" s="147" t="s">
        <v>806</v>
      </c>
      <c r="E5" s="149">
        <v>17</v>
      </c>
      <c r="F5" s="150">
        <v>5.93</v>
      </c>
      <c r="G5" s="151">
        <f>tbPennyStocks[[#This Row],[Qty]]*tbPennyStocks[[#This Row],[Curr. Price]]</f>
        <v>100.81</v>
      </c>
      <c r="H5" s="150">
        <v>6.1847058800000001</v>
      </c>
      <c r="I5" s="151">
        <f>tbPennyStocks[[#This Row],[Average Cost]]*tbPennyStocks[[#This Row],[Qty]]</f>
        <v>105.13999996</v>
      </c>
      <c r="J5" s="151">
        <f>tbPennyStocks[[#This Row],[Current Value]]-tbPennyStocks[[#This Row],[Approx Book Value]]</f>
        <v>-4.329999959999995</v>
      </c>
      <c r="K5" s="152">
        <f>IF(tbPennyStocks[[#This Row],[Approx Book Value]]&gt;0,tbPennyStocks[[#This Row],[G/L $]]/tbPennyStocks[[#This Row],[Approx Book Value]],1)</f>
        <v>-4.1183183960883794E-2</v>
      </c>
    </row>
    <row r="6" spans="2:11" ht="30" hidden="1" customHeight="1" x14ac:dyDescent="0.25">
      <c r="B6" s="146" t="s">
        <v>838</v>
      </c>
      <c r="C6" s="147" t="s">
        <v>837</v>
      </c>
      <c r="D6" s="147" t="s">
        <v>800</v>
      </c>
      <c r="E6" s="149">
        <v>50</v>
      </c>
      <c r="F6" s="150">
        <v>1.4</v>
      </c>
      <c r="G6" s="151">
        <f>tbPennyStocks[[#This Row],[Qty]]*tbPennyStocks[[#This Row],[Curr. Price]]</f>
        <v>70</v>
      </c>
      <c r="H6" s="150">
        <v>1.3324</v>
      </c>
      <c r="I6" s="151">
        <f>tbPennyStocks[[#This Row],[Average Cost]]*tbPennyStocks[[#This Row],[Qty]]</f>
        <v>66.62</v>
      </c>
      <c r="J6" s="151">
        <f>tbPennyStocks[[#This Row],[Current Value]]-tbPennyStocks[[#This Row],[Approx Book Value]]</f>
        <v>3.3799999999999955</v>
      </c>
      <c r="K6" s="152">
        <f>IF(tbPennyStocks[[#This Row],[Approx Book Value]]&gt;0,tbPennyStocks[[#This Row],[G/L $]]/tbPennyStocks[[#This Row],[Approx Book Value]],1)</f>
        <v>5.073551486040221E-2</v>
      </c>
    </row>
    <row r="7" spans="2:11" ht="30" hidden="1" customHeight="1" x14ac:dyDescent="0.25">
      <c r="B7" s="146" t="s">
        <v>811</v>
      </c>
      <c r="C7" s="147" t="s">
        <v>810</v>
      </c>
      <c r="D7" s="147" t="s">
        <v>806</v>
      </c>
      <c r="E7" s="149">
        <v>250</v>
      </c>
      <c r="F7" s="150">
        <v>0.2</v>
      </c>
      <c r="G7" s="151">
        <f>tbPennyStocks[[#This Row],[Qty]]*tbPennyStocks[[#This Row],[Curr. Price]]</f>
        <v>50</v>
      </c>
      <c r="H7" s="150">
        <v>0.41560000000000002</v>
      </c>
      <c r="I7" s="151">
        <f>tbPennyStocks[[#This Row],[Average Cost]]*tbPennyStocks[[#This Row],[Qty]]</f>
        <v>103.9</v>
      </c>
      <c r="J7" s="151">
        <f>tbPennyStocks[[#This Row],[Current Value]]-tbPennyStocks[[#This Row],[Approx Book Value]]</f>
        <v>-53.900000000000006</v>
      </c>
      <c r="K7" s="152">
        <f>IF(tbPennyStocks[[#This Row],[Approx Book Value]]&gt;0,tbPennyStocks[[#This Row],[G/L $]]/tbPennyStocks[[#This Row],[Approx Book Value]],1)</f>
        <v>-0.51876804619826755</v>
      </c>
    </row>
    <row r="8" spans="2:11" ht="30" hidden="1" customHeight="1" x14ac:dyDescent="0.25">
      <c r="B8" s="146" t="s">
        <v>784</v>
      </c>
      <c r="C8" s="147" t="s">
        <v>785</v>
      </c>
      <c r="D8" s="147" t="s">
        <v>806</v>
      </c>
      <c r="E8" s="149">
        <v>23</v>
      </c>
      <c r="F8" s="150">
        <v>0.79</v>
      </c>
      <c r="G8" s="151">
        <f>tbPennyStocks[[#This Row],[Qty]]*tbPennyStocks[[#This Row],[Curr. Price]]</f>
        <v>18.170000000000002</v>
      </c>
      <c r="H8" s="150">
        <v>1.66</v>
      </c>
      <c r="I8" s="151">
        <f>tbPennyStocks[[#This Row],[Average Cost]]*tbPennyStocks[[#This Row],[Qty]]</f>
        <v>38.18</v>
      </c>
      <c r="J8" s="151">
        <f>tbPennyStocks[[#This Row],[Current Value]]-tbPennyStocks[[#This Row],[Approx Book Value]]</f>
        <v>-20.009999999999998</v>
      </c>
      <c r="K8" s="152">
        <f>IF(tbPennyStocks[[#This Row],[Approx Book Value]]&gt;0,tbPennyStocks[[#This Row],[G/L $]]/tbPennyStocks[[#This Row],[Approx Book Value]],1)</f>
        <v>-0.52409638554216864</v>
      </c>
    </row>
    <row r="9" spans="2:11" ht="30" customHeight="1" x14ac:dyDescent="0.25">
      <c r="B9" s="146" t="s">
        <v>786</v>
      </c>
      <c r="C9" s="147" t="s">
        <v>787</v>
      </c>
      <c r="D9" s="147" t="s">
        <v>782</v>
      </c>
      <c r="E9" s="149">
        <v>127</v>
      </c>
      <c r="F9" s="150">
        <v>0.57999999999999996</v>
      </c>
      <c r="G9" s="151">
        <f>tbPennyStocks[[#This Row],[Qty]]*tbPennyStocks[[#This Row],[Curr. Price]]</f>
        <v>73.66</v>
      </c>
      <c r="H9" s="150">
        <v>1.04968504</v>
      </c>
      <c r="I9" s="151">
        <f>tbPennyStocks[[#This Row],[Average Cost]]*tbPennyStocks[[#This Row],[Qty]]</f>
        <v>133.31000008000001</v>
      </c>
      <c r="J9" s="151">
        <f>tbPennyStocks[[#This Row],[Current Value]]-tbPennyStocks[[#This Row],[Approx Book Value]]</f>
        <v>-59.650000080000012</v>
      </c>
      <c r="K9" s="152">
        <f>IF(tbPennyStocks[[#This Row],[Approx Book Value]]&gt;0,tbPennyStocks[[#This Row],[G/L $]]/tbPennyStocks[[#This Row],[Approx Book Value]],1)</f>
        <v>-0.44745330465984356</v>
      </c>
    </row>
    <row r="10" spans="2:11" ht="30" customHeight="1" x14ac:dyDescent="0.25">
      <c r="B10" s="146" t="s">
        <v>788</v>
      </c>
      <c r="C10" s="147" t="s">
        <v>789</v>
      </c>
      <c r="D10" s="147" t="s">
        <v>782</v>
      </c>
      <c r="E10" s="149">
        <v>104</v>
      </c>
      <c r="F10" s="150">
        <v>0.94</v>
      </c>
      <c r="G10" s="151">
        <f>tbPennyStocks[[#This Row],[Qty]]*tbPennyStocks[[#This Row],[Curr. Price]]</f>
        <v>97.759999999999991</v>
      </c>
      <c r="H10" s="150">
        <v>0.93836538000000003</v>
      </c>
      <c r="I10" s="151">
        <f>tbPennyStocks[[#This Row],[Average Cost]]*tbPennyStocks[[#This Row],[Qty]]</f>
        <v>97.589999520000006</v>
      </c>
      <c r="J10" s="151">
        <f>tbPennyStocks[[#This Row],[Current Value]]-tbPennyStocks[[#This Row],[Approx Book Value]]</f>
        <v>0.17000047999998458</v>
      </c>
      <c r="K10" s="152">
        <f>IF(tbPennyStocks[[#This Row],[Approx Book Value]]&gt;0,tbPennyStocks[[#This Row],[G/L $]]/tbPennyStocks[[#This Row],[Approx Book Value]],1)</f>
        <v>1.7419866875308758E-3</v>
      </c>
    </row>
    <row r="11" spans="2:11" ht="30" customHeight="1" x14ac:dyDescent="0.25">
      <c r="B11" s="146" t="s">
        <v>790</v>
      </c>
      <c r="C11" s="147" t="s">
        <v>52</v>
      </c>
      <c r="D11" s="147" t="s">
        <v>782</v>
      </c>
      <c r="E11" s="149">
        <v>167</v>
      </c>
      <c r="F11" s="150">
        <v>1.08</v>
      </c>
      <c r="G11" s="151">
        <f>tbPennyStocks[[#This Row],[Qty]]*tbPennyStocks[[#This Row],[Curr. Price]]</f>
        <v>180.36</v>
      </c>
      <c r="H11" s="150">
        <v>0.57041916000000004</v>
      </c>
      <c r="I11" s="151">
        <f>tbPennyStocks[[#This Row],[Average Cost]]*tbPennyStocks[[#This Row],[Qty]]</f>
        <v>95.25999972000001</v>
      </c>
      <c r="J11" s="151">
        <f>tbPennyStocks[[#This Row],[Current Value]]-tbPennyStocks[[#This Row],[Approx Book Value]]</f>
        <v>85.100000280000003</v>
      </c>
      <c r="K11" s="152">
        <f>IF(tbPennyStocks[[#This Row],[Approx Book Value]]&gt;0,tbPennyStocks[[#This Row],[G/L $]]/tbPennyStocks[[#This Row],[Approx Book Value]],1)</f>
        <v>0.89334453632307853</v>
      </c>
    </row>
    <row r="12" spans="2:11" ht="30" hidden="1" customHeight="1" x14ac:dyDescent="0.25">
      <c r="B12" s="146" t="s">
        <v>820</v>
      </c>
      <c r="C12" s="147" t="s">
        <v>814</v>
      </c>
      <c r="D12" s="147" t="s">
        <v>806</v>
      </c>
      <c r="E12" s="149">
        <v>60</v>
      </c>
      <c r="F12" s="150">
        <v>1.58</v>
      </c>
      <c r="G12" s="151">
        <f>tbPennyStocks[[#This Row],[Qty]]*tbPennyStocks[[#This Row],[Curr. Price]]</f>
        <v>94.800000000000011</v>
      </c>
      <c r="H12" s="150">
        <v>1.736</v>
      </c>
      <c r="I12" s="151">
        <f>tbPennyStocks[[#This Row],[Average Cost]]*tbPennyStocks[[#This Row],[Qty]]</f>
        <v>104.16</v>
      </c>
      <c r="J12" s="151">
        <f>tbPennyStocks[[#This Row],[Current Value]]-tbPennyStocks[[#This Row],[Approx Book Value]]</f>
        <v>-9.3599999999999852</v>
      </c>
      <c r="K12" s="152">
        <f>IF(tbPennyStocks[[#This Row],[Approx Book Value]]&gt;0,tbPennyStocks[[#This Row],[G/L $]]/tbPennyStocks[[#This Row],[Approx Book Value]],1)</f>
        <v>-8.9861751152073593E-2</v>
      </c>
    </row>
    <row r="13" spans="2:11" ht="30" customHeight="1" x14ac:dyDescent="0.25">
      <c r="B13" s="146" t="s">
        <v>791</v>
      </c>
      <c r="C13" s="147" t="s">
        <v>55</v>
      </c>
      <c r="D13" s="147" t="s">
        <v>782</v>
      </c>
      <c r="E13" s="149">
        <v>514</v>
      </c>
      <c r="F13" s="150">
        <v>0.33</v>
      </c>
      <c r="G13" s="151">
        <f>tbPennyStocks[[#This Row],[Qty]]*tbPennyStocks[[#This Row],[Curr. Price]]</f>
        <v>169.62</v>
      </c>
      <c r="H13" s="150">
        <v>0.18579767</v>
      </c>
      <c r="I13" s="151">
        <f>tbPennyStocks[[#This Row],[Average Cost]]*tbPennyStocks[[#This Row],[Qty]]</f>
        <v>95.500002379999998</v>
      </c>
      <c r="J13" s="151">
        <f>tbPennyStocks[[#This Row],[Current Value]]-tbPennyStocks[[#This Row],[Approx Book Value]]</f>
        <v>74.119997620000007</v>
      </c>
      <c r="K13" s="152">
        <f>IF(tbPennyStocks[[#This Row],[Approx Book Value]]&gt;0,tbPennyStocks[[#This Row],[G/L $]]/tbPennyStocks[[#This Row],[Approx Book Value]],1)</f>
        <v>0.77612561018660786</v>
      </c>
    </row>
    <row r="14" spans="2:11" ht="30" customHeight="1" x14ac:dyDescent="0.25">
      <c r="B14" s="146" t="s">
        <v>792</v>
      </c>
      <c r="C14" s="147" t="s">
        <v>793</v>
      </c>
      <c r="D14" s="147" t="s">
        <v>782</v>
      </c>
      <c r="E14" s="149">
        <v>67</v>
      </c>
      <c r="F14" s="150">
        <v>0.93</v>
      </c>
      <c r="G14" s="151">
        <f>tbPennyStocks[[#This Row],[Qty]]*tbPennyStocks[[#This Row],[Curr. Price]]</f>
        <v>62.31</v>
      </c>
      <c r="H14" s="150">
        <v>1.50731343</v>
      </c>
      <c r="I14" s="151">
        <f>tbPennyStocks[[#This Row],[Average Cost]]*tbPennyStocks[[#This Row],[Qty]]</f>
        <v>100.98999981</v>
      </c>
      <c r="J14" s="151">
        <f>tbPennyStocks[[#This Row],[Current Value]]-tbPennyStocks[[#This Row],[Approx Book Value]]</f>
        <v>-38.679999809999998</v>
      </c>
      <c r="K14" s="152">
        <f>IF(tbPennyStocks[[#This Row],[Approx Book Value]]&gt;0,tbPennyStocks[[#This Row],[G/L $]]/tbPennyStocks[[#This Row],[Approx Book Value]],1)</f>
        <v>-0.38300821747471592</v>
      </c>
    </row>
    <row r="15" spans="2:11" ht="30" customHeight="1" x14ac:dyDescent="0.25">
      <c r="B15" s="146" t="s">
        <v>794</v>
      </c>
      <c r="C15" s="147" t="s">
        <v>795</v>
      </c>
      <c r="D15" s="147" t="s">
        <v>782</v>
      </c>
      <c r="E15" s="149">
        <v>27</v>
      </c>
      <c r="F15" s="150">
        <v>3.79</v>
      </c>
      <c r="G15" s="151">
        <f>tbPennyStocks[[#This Row],[Qty]]*tbPennyStocks[[#This Row],[Curr. Price]]</f>
        <v>102.33</v>
      </c>
      <c r="H15" s="150">
        <v>3.6874074100000001</v>
      </c>
      <c r="I15" s="151">
        <f>tbPennyStocks[[#This Row],[Average Cost]]*tbPennyStocks[[#This Row],[Qty]]</f>
        <v>99.560000070000001</v>
      </c>
      <c r="J15" s="151">
        <f>tbPennyStocks[[#This Row],[Current Value]]-tbPennyStocks[[#This Row],[Approx Book Value]]</f>
        <v>2.7699999299999973</v>
      </c>
      <c r="K15" s="152">
        <f>IF(tbPennyStocks[[#This Row],[Approx Book Value]]&gt;0,tbPennyStocks[[#This Row],[G/L $]]/tbPennyStocks[[#This Row],[Approx Book Value]],1)</f>
        <v>2.7822417919369506E-2</v>
      </c>
    </row>
    <row r="16" spans="2:11" ht="30" hidden="1" customHeight="1" x14ac:dyDescent="0.25">
      <c r="B16" s="146" t="s">
        <v>813</v>
      </c>
      <c r="C16" s="147" t="s">
        <v>812</v>
      </c>
      <c r="D16" s="147" t="s">
        <v>806</v>
      </c>
      <c r="E16" s="149">
        <v>70</v>
      </c>
      <c r="F16" s="150">
        <v>1.1100000000000001</v>
      </c>
      <c r="G16" s="151">
        <f>tbPennyStocks[[#This Row],[Qty]]*tbPennyStocks[[#This Row],[Curr. Price]]</f>
        <v>77.7</v>
      </c>
      <c r="H16" s="150">
        <v>1.50428571</v>
      </c>
      <c r="I16" s="151">
        <f>tbPennyStocks[[#This Row],[Average Cost]]*tbPennyStocks[[#This Row],[Qty]]</f>
        <v>105.2999997</v>
      </c>
      <c r="J16" s="151">
        <f>tbPennyStocks[[#This Row],[Current Value]]-tbPennyStocks[[#This Row],[Approx Book Value]]</f>
        <v>-27.599999699999998</v>
      </c>
      <c r="K16" s="152">
        <f>IF(tbPennyStocks[[#This Row],[Approx Book Value]]&gt;0,tbPennyStocks[[#This Row],[G/L $]]/tbPennyStocks[[#This Row],[Approx Book Value]],1)</f>
        <v>-0.2621082600060064</v>
      </c>
    </row>
    <row r="17" spans="2:11" ht="30" customHeight="1" x14ac:dyDescent="0.25">
      <c r="B17" s="146" t="s">
        <v>796</v>
      </c>
      <c r="C17" s="147" t="s">
        <v>387</v>
      </c>
      <c r="D17" s="147" t="s">
        <v>782</v>
      </c>
      <c r="E17" s="149">
        <v>7</v>
      </c>
      <c r="F17" s="150">
        <v>6.8</v>
      </c>
      <c r="G17" s="151">
        <f>tbPennyStocks[[#This Row],[Qty]]*tbPennyStocks[[#This Row],[Curr. Price]]</f>
        <v>47.6</v>
      </c>
      <c r="H17" s="150">
        <v>12.565714290000001</v>
      </c>
      <c r="I17" s="151">
        <f>tbPennyStocks[[#This Row],[Average Cost]]*tbPennyStocks[[#This Row],[Qty]]</f>
        <v>87.960000030000003</v>
      </c>
      <c r="J17" s="151">
        <f>tbPennyStocks[[#This Row],[Current Value]]-tbPennyStocks[[#This Row],[Approx Book Value]]</f>
        <v>-40.360000030000002</v>
      </c>
      <c r="K17" s="152">
        <f>IF(tbPennyStocks[[#This Row],[Approx Book Value]]&gt;0,tbPennyStocks[[#This Row],[G/L $]]/tbPennyStocks[[#This Row],[Approx Book Value]],1)</f>
        <v>-0.45884492969798379</v>
      </c>
    </row>
    <row r="18" spans="2:11" ht="30" hidden="1" customHeight="1" x14ac:dyDescent="0.25">
      <c r="B18" s="146" t="s">
        <v>801</v>
      </c>
      <c r="C18" s="147" t="s">
        <v>802</v>
      </c>
      <c r="D18" s="147" t="s">
        <v>800</v>
      </c>
      <c r="E18" s="149">
        <v>66</v>
      </c>
      <c r="F18" s="150">
        <v>1.45</v>
      </c>
      <c r="G18" s="151">
        <f>tbPennyStocks[[#This Row],[Qty]]*tbPennyStocks[[#This Row],[Curr. Price]]</f>
        <v>95.7</v>
      </c>
      <c r="H18" s="150">
        <v>1.46242424</v>
      </c>
      <c r="I18" s="151">
        <f>tbPennyStocks[[#This Row],[Average Cost]]*tbPennyStocks[[#This Row],[Qty]]</f>
        <v>96.519999839999997</v>
      </c>
      <c r="J18" s="151">
        <f>tbPennyStocks[[#This Row],[Current Value]]-tbPennyStocks[[#This Row],[Approx Book Value]]</f>
        <v>-0.81999983999999415</v>
      </c>
      <c r="K18" s="152">
        <f>IF(tbPennyStocks[[#This Row],[Approx Book Value]]&gt;0,tbPennyStocks[[#This Row],[G/L $]]/tbPennyStocks[[#This Row],[Approx Book Value]],1)</f>
        <v>-8.4956469266400502E-3</v>
      </c>
    </row>
    <row r="19" spans="2:11" ht="30" hidden="1" customHeight="1" x14ac:dyDescent="0.25">
      <c r="B19" s="146" t="s">
        <v>815</v>
      </c>
      <c r="C19" s="147" t="s">
        <v>816</v>
      </c>
      <c r="D19" s="147" t="s">
        <v>806</v>
      </c>
      <c r="E19" s="149">
        <v>10</v>
      </c>
      <c r="F19" s="150">
        <v>4.58</v>
      </c>
      <c r="G19" s="151">
        <f>tbPennyStocks[[#This Row],[Qty]]*tbPennyStocks[[#This Row],[Curr. Price]]</f>
        <v>45.8</v>
      </c>
      <c r="H19" s="150">
        <v>10.699</v>
      </c>
      <c r="I19" s="151">
        <f>tbPennyStocks[[#This Row],[Average Cost]]*tbPennyStocks[[#This Row],[Qty]]</f>
        <v>106.99</v>
      </c>
      <c r="J19" s="151">
        <f>tbPennyStocks[[#This Row],[Current Value]]-tbPennyStocks[[#This Row],[Approx Book Value]]</f>
        <v>-61.19</v>
      </c>
      <c r="K19" s="152">
        <f>IF(tbPennyStocks[[#This Row],[Approx Book Value]]&gt;0,tbPennyStocks[[#This Row],[G/L $]]/tbPennyStocks[[#This Row],[Approx Book Value]],1)</f>
        <v>-0.57192260958968133</v>
      </c>
    </row>
    <row r="20" spans="2:11" ht="30" hidden="1" customHeight="1" x14ac:dyDescent="0.25">
      <c r="B20" s="146" t="s">
        <v>803</v>
      </c>
      <c r="C20" s="147" t="s">
        <v>804</v>
      </c>
      <c r="D20" s="147" t="s">
        <v>800</v>
      </c>
      <c r="E20" s="149">
        <v>42</v>
      </c>
      <c r="F20" s="150">
        <v>4.42</v>
      </c>
      <c r="G20" s="151">
        <f>tbPennyStocks[[#This Row],[Qty]]*tbPennyStocks[[#This Row],[Curr. Price]]</f>
        <v>185.64</v>
      </c>
      <c r="H20" s="150">
        <v>2.5114285700000001</v>
      </c>
      <c r="I20" s="151">
        <f>tbPennyStocks[[#This Row],[Average Cost]]*tbPennyStocks[[#This Row],[Qty]]</f>
        <v>105.47999994</v>
      </c>
      <c r="J20" s="151">
        <f>tbPennyStocks[[#This Row],[Current Value]]-tbPennyStocks[[#This Row],[Approx Book Value]]</f>
        <v>80.160000059999987</v>
      </c>
      <c r="K20" s="152">
        <f>IF(tbPennyStocks[[#This Row],[Approx Book Value]]&gt;0,tbPennyStocks[[#This Row],[G/L $]]/tbPennyStocks[[#This Row],[Approx Book Value]],1)</f>
        <v>0.75995449474400134</v>
      </c>
    </row>
    <row r="21" spans="2:11" ht="30" customHeight="1" x14ac:dyDescent="0.25">
      <c r="B21" s="146" t="s">
        <v>797</v>
      </c>
      <c r="C21" s="147" t="s">
        <v>388</v>
      </c>
      <c r="D21" s="147" t="s">
        <v>782</v>
      </c>
      <c r="E21" s="149">
        <v>475</v>
      </c>
      <c r="F21" s="150">
        <v>0.185</v>
      </c>
      <c r="G21" s="151">
        <f>tbPennyStocks[[#This Row],[Qty]]*tbPennyStocks[[#This Row],[Curr. Price]]</f>
        <v>87.875</v>
      </c>
      <c r="H21" s="150">
        <v>0.21162105</v>
      </c>
      <c r="I21" s="151">
        <f>tbPennyStocks[[#This Row],[Average Cost]]*tbPennyStocks[[#This Row],[Qty]]</f>
        <v>100.51999875</v>
      </c>
      <c r="J21" s="151">
        <f>tbPennyStocks[[#This Row],[Current Value]]-tbPennyStocks[[#This Row],[Approx Book Value]]</f>
        <v>-12.644998749999999</v>
      </c>
      <c r="K21" s="152">
        <f>IF(tbPennyStocks[[#This Row],[Approx Book Value]]&gt;0,tbPennyStocks[[#This Row],[G/L $]]/tbPennyStocks[[#This Row],[Approx Book Value]],1)</f>
        <v>-0.12579585064907295</v>
      </c>
    </row>
    <row r="22" spans="2:11" ht="30" customHeight="1" x14ac:dyDescent="0.25">
      <c r="B22" s="146" t="s">
        <v>798</v>
      </c>
      <c r="C22" s="147" t="s">
        <v>799</v>
      </c>
      <c r="D22" s="147" t="s">
        <v>782</v>
      </c>
      <c r="E22" s="149">
        <v>45</v>
      </c>
      <c r="F22" s="150">
        <v>1.31</v>
      </c>
      <c r="G22" s="151">
        <f>tbPennyStocks[[#This Row],[Qty]]*tbPennyStocks[[#This Row],[Curr. Price]]</f>
        <v>58.95</v>
      </c>
      <c r="H22" s="150">
        <v>2.3535555600000002</v>
      </c>
      <c r="I22" s="151">
        <f>tbPennyStocks[[#This Row],[Average Cost]]*tbPennyStocks[[#This Row],[Qty]]</f>
        <v>105.91000020000001</v>
      </c>
      <c r="J22" s="151">
        <f>tbPennyStocks[[#This Row],[Current Value]]-tbPennyStocks[[#This Row],[Approx Book Value]]</f>
        <v>-46.96000020000001</v>
      </c>
      <c r="K22" s="152">
        <f>IF(tbPennyStocks[[#This Row],[Approx Book Value]]&gt;0,tbPennyStocks[[#This Row],[G/L $]]/tbPennyStocks[[#This Row],[Approx Book Value]],1)</f>
        <v>-0.44339533671344478</v>
      </c>
    </row>
    <row r="23" spans="2:11" ht="30" hidden="1" customHeight="1" x14ac:dyDescent="0.25">
      <c r="B23" s="146" t="s">
        <v>808</v>
      </c>
      <c r="C23" s="147" t="s">
        <v>805</v>
      </c>
      <c r="D23" s="147" t="s">
        <v>806</v>
      </c>
      <c r="E23" s="149">
        <v>120</v>
      </c>
      <c r="F23" s="150">
        <v>0</v>
      </c>
      <c r="G23" s="151">
        <f>tbPennyStocks[[#This Row],[Qty]]*tbPennyStocks[[#This Row],[Curr. Price]]</f>
        <v>0</v>
      </c>
      <c r="H23" s="150">
        <v>0.86208333000000004</v>
      </c>
      <c r="I23" s="151">
        <f>tbPennyStocks[[#This Row],[Average Cost]]*tbPennyStocks[[#This Row],[Qty]]</f>
        <v>103.4499996</v>
      </c>
      <c r="J23" s="151">
        <f>tbPennyStocks[[#This Row],[Current Value]]-tbPennyStocks[[#This Row],[Approx Book Value]]</f>
        <v>-103.4499996</v>
      </c>
      <c r="K23" s="152">
        <f>IF(tbPennyStocks[[#This Row],[Approx Book Value]]&gt;0,tbPennyStocks[[#This Row],[G/L $]]/tbPennyStocks[[#This Row],[Approx Book Value]],1)</f>
        <v>-1</v>
      </c>
    </row>
    <row r="24" spans="2:11" ht="30" hidden="1" customHeight="1" x14ac:dyDescent="0.25">
      <c r="B24" s="146"/>
      <c r="C24" s="147"/>
      <c r="D24" s="147"/>
      <c r="F24" s="150"/>
      <c r="G24" s="151">
        <f>tbPennyStocks[[#This Row],[Qty]]*tbPennyStocks[[#This Row],[Curr. Price]]</f>
        <v>0</v>
      </c>
      <c r="H24" s="150">
        <v>0</v>
      </c>
      <c r="I24" s="151">
        <f>tbPennyStocks[[#This Row],[Average Cost]]*tbPennyStocks[[#This Row],[Qty]]</f>
        <v>0</v>
      </c>
      <c r="J24" s="151">
        <f>tbPennyStocks[[#This Row],[Current Value]]-tbPennyStocks[[#This Row],[Approx Book Value]]</f>
        <v>0</v>
      </c>
      <c r="K24" s="152">
        <f>IF(tbPennyStocks[[#This Row],[Approx Book Value]]&gt;0,tbPennyStocks[[#This Row],[G/L $]]/tbPennyStocks[[#This Row],[Approx Book Value]],1)</f>
        <v>1</v>
      </c>
    </row>
    <row r="25" spans="2:11" ht="30" hidden="1" customHeight="1" x14ac:dyDescent="0.25">
      <c r="B25" s="146"/>
      <c r="C25" s="147"/>
      <c r="D25" s="147"/>
      <c r="F25" s="150"/>
      <c r="G25" s="151">
        <f>tbPennyStocks[[#This Row],[Qty]]*tbPennyStocks[[#This Row],[Curr. Price]]</f>
        <v>0</v>
      </c>
      <c r="H25" s="150">
        <v>0</v>
      </c>
      <c r="I25" s="151">
        <f>tbPennyStocks[[#This Row],[Average Cost]]*tbPennyStocks[[#This Row],[Qty]]</f>
        <v>0</v>
      </c>
      <c r="J25" s="151">
        <f>tbPennyStocks[[#This Row],[Current Value]]-tbPennyStocks[[#This Row],[Approx Book Value]]</f>
        <v>0</v>
      </c>
      <c r="K25" s="152">
        <f>IF(tbPennyStocks[[#This Row],[Approx Book Value]]&gt;0,tbPennyStocks[[#This Row],[G/L $]]/tbPennyStocks[[#This Row],[Approx Book Value]],1)</f>
        <v>1</v>
      </c>
    </row>
    <row r="26" spans="2:11" ht="30" hidden="1" customHeight="1" x14ac:dyDescent="0.25">
      <c r="B26" s="146"/>
      <c r="C26" s="147"/>
      <c r="D26" s="147"/>
      <c r="F26" s="150"/>
      <c r="G26" s="151">
        <f>tbPennyStocks[[#This Row],[Qty]]*tbPennyStocks[[#This Row],[Curr. Price]]</f>
        <v>0</v>
      </c>
      <c r="H26" s="150">
        <v>0</v>
      </c>
      <c r="I26" s="151">
        <f>tbPennyStocks[[#This Row],[Average Cost]]*tbPennyStocks[[#This Row],[Qty]]</f>
        <v>0</v>
      </c>
      <c r="J26" s="151">
        <f>tbPennyStocks[[#This Row],[Current Value]]-tbPennyStocks[[#This Row],[Approx Book Value]]</f>
        <v>0</v>
      </c>
      <c r="K26" s="152">
        <f>IF(tbPennyStocks[[#This Row],[Approx Book Value]]&gt;0,tbPennyStocks[[#This Row],[G/L $]]/tbPennyStocks[[#This Row],[Approx Book Value]],1)</f>
        <v>1</v>
      </c>
    </row>
    <row r="27" spans="2:11" ht="30" hidden="1" customHeight="1" x14ac:dyDescent="0.25">
      <c r="B27" s="146"/>
      <c r="C27" s="147"/>
      <c r="D27" s="147"/>
      <c r="F27" s="150"/>
      <c r="G27" s="151">
        <f>tbPennyStocks[[#This Row],[Qty]]*tbPennyStocks[[#This Row],[Curr. Price]]</f>
        <v>0</v>
      </c>
      <c r="H27" s="150">
        <v>0</v>
      </c>
      <c r="I27" s="151">
        <f>tbPennyStocks[[#This Row],[Average Cost]]*tbPennyStocks[[#This Row],[Qty]]</f>
        <v>0</v>
      </c>
      <c r="J27" s="151">
        <f>tbPennyStocks[[#This Row],[Current Value]]-tbPennyStocks[[#This Row],[Approx Book Value]]</f>
        <v>0</v>
      </c>
      <c r="K27" s="152">
        <f>IF(tbPennyStocks[[#This Row],[Approx Book Value]]&gt;0,tbPennyStocks[[#This Row],[G/L $]]/tbPennyStocks[[#This Row],[Approx Book Value]],1)</f>
        <v>1</v>
      </c>
    </row>
    <row r="28" spans="2:11" ht="30" hidden="1" customHeight="1" x14ac:dyDescent="0.25">
      <c r="B28" s="153"/>
      <c r="C28" s="154"/>
      <c r="D28" s="154"/>
      <c r="E28" s="155"/>
      <c r="F28" s="156"/>
      <c r="G28" s="157">
        <f>tbPennyStocks[[#This Row],[Qty]]*tbPennyStocks[[#This Row],[Curr. Price]]</f>
        <v>0</v>
      </c>
      <c r="H28" s="156">
        <v>0</v>
      </c>
      <c r="I28" s="157">
        <f>tbPennyStocks[[#This Row],[Average Cost]]*tbPennyStocks[[#This Row],[Qty]]</f>
        <v>0</v>
      </c>
      <c r="J28" s="157">
        <f>tbPennyStocks[[#This Row],[Current Value]]-tbPennyStocks[[#This Row],[Approx Book Value]]</f>
        <v>0</v>
      </c>
      <c r="K28" s="158">
        <f>IF(tbPennyStocks[[#This Row],[Approx Book Value]]&gt;0,tbPennyStocks[[#This Row],[G/L $]]/tbPennyStocks[[#This Row],[Approx Book Value]],1)</f>
        <v>1</v>
      </c>
    </row>
    <row r="29" spans="2:11" ht="30" customHeight="1" x14ac:dyDescent="0.25">
      <c r="B29" s="159" t="s">
        <v>2</v>
      </c>
      <c r="C29" s="159"/>
      <c r="D29" s="159"/>
      <c r="E29" s="160"/>
      <c r="F29" s="160"/>
      <c r="G29" s="161">
        <f>SUBTOTAL(109,tbPennyStocks[Current Value])</f>
        <v>880.46500000000015</v>
      </c>
      <c r="H29" s="159"/>
      <c r="I29" s="161">
        <f>SUBTOTAL(109,tbPennyStocks[Approx Book Value])</f>
        <v>916.60000056000013</v>
      </c>
      <c r="J29" s="161">
        <f>tbPennyStocks[[#Totals],[Current Value]]-tbPennyStocks[[#Totals],[Approx Book Value]]</f>
        <v>-36.13500055999998</v>
      </c>
      <c r="K29" s="162">
        <f>tbPennyStocks[[#Totals],[G/L $]]/tbPennyStocks[[#Totals],[Approx Book Value]]</f>
        <v>-3.9422867704476512E-2</v>
      </c>
    </row>
    <row r="30" spans="2:11" ht="30" customHeight="1" x14ac:dyDescent="0.25">
      <c r="B30" s="163"/>
      <c r="C30" s="163"/>
      <c r="D30" s="163"/>
      <c r="E30" s="164"/>
    </row>
    <row r="35" spans="6:6" ht="30" customHeight="1" x14ac:dyDescent="0.25">
      <c r="F35" s="16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2DEE7-DD14-4F7D-AF8C-C5D7C6F2BF4B}">
  <sheetPr codeName="Sheet7"/>
  <dimension ref="A1:DK359"/>
  <sheetViews>
    <sheetView showGridLines="0" topLeftCell="A334" workbookViewId="0">
      <selection activeCell="F350" sqref="F350"/>
    </sheetView>
  </sheetViews>
  <sheetFormatPr defaultColWidth="8.85546875" defaultRowHeight="30" customHeight="1" x14ac:dyDescent="0.25"/>
  <cols>
    <col min="1" max="1" width="9.5703125" style="13" bestFit="1" customWidth="1"/>
    <col min="2" max="116" width="12" style="13" bestFit="1" customWidth="1"/>
    <col min="117" max="16384" width="8.85546875" style="13"/>
  </cols>
  <sheetData>
    <row r="1" spans="1:115" ht="30" customHeight="1" x14ac:dyDescent="0.25">
      <c r="A1" s="13" t="s">
        <v>44</v>
      </c>
      <c r="B1" s="16" t="s">
        <v>403</v>
      </c>
      <c r="C1" s="19" t="s">
        <v>415</v>
      </c>
      <c r="D1" s="19" t="s">
        <v>416</v>
      </c>
      <c r="E1" s="20" t="s">
        <v>419</v>
      </c>
      <c r="F1" s="20" t="s">
        <v>420</v>
      </c>
      <c r="G1" s="20" t="s">
        <v>421</v>
      </c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</row>
    <row r="2" spans="1:115" ht="30" customHeight="1" x14ac:dyDescent="0.25">
      <c r="A2" s="14" t="s">
        <v>46</v>
      </c>
      <c r="B2" s="14">
        <v>18.040000915527344</v>
      </c>
      <c r="C2" s="18">
        <v>16.420000000000002</v>
      </c>
      <c r="D2" s="18">
        <v>16.420000000000002</v>
      </c>
      <c r="E2" s="18">
        <v>16.420000000000002</v>
      </c>
      <c r="F2" s="18">
        <v>16.420000000000002</v>
      </c>
      <c r="G2" s="18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I2" s="14"/>
      <c r="BJ2" s="14"/>
      <c r="BK2" s="14"/>
      <c r="BL2" s="14"/>
      <c r="BM2" s="14"/>
      <c r="BN2" s="14"/>
      <c r="BO2" s="14"/>
      <c r="BP2" s="14"/>
      <c r="BQ2" s="14"/>
      <c r="BR2" s="14"/>
      <c r="BS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CE2" s="14"/>
      <c r="CF2" s="14"/>
      <c r="CG2" s="14"/>
      <c r="CH2" s="14"/>
      <c r="CI2" s="14"/>
      <c r="CJ2" s="14"/>
      <c r="CK2" s="14"/>
      <c r="CL2" s="14"/>
      <c r="CM2" s="14"/>
      <c r="CN2" s="14"/>
      <c r="CO2" s="14"/>
      <c r="CP2" s="14"/>
      <c r="CQ2" s="14"/>
      <c r="CR2" s="14"/>
      <c r="CS2" s="14"/>
      <c r="CT2" s="14"/>
      <c r="CU2" s="14"/>
      <c r="CV2" s="14"/>
      <c r="CW2" s="14"/>
      <c r="CX2" s="14"/>
      <c r="CY2" s="14"/>
      <c r="CZ2" s="14"/>
      <c r="DA2" s="14"/>
      <c r="DB2" s="14"/>
      <c r="DC2" s="14"/>
      <c r="DD2" s="14"/>
      <c r="DE2" s="14"/>
      <c r="DF2" s="14"/>
      <c r="DG2" s="14"/>
      <c r="DH2" s="14"/>
      <c r="DI2" s="14"/>
      <c r="DJ2" s="14"/>
      <c r="DK2" s="14"/>
    </row>
    <row r="3" spans="1:115" ht="30" customHeight="1" x14ac:dyDescent="0.25">
      <c r="A3" s="14" t="s">
        <v>85</v>
      </c>
      <c r="B3" s="14">
        <v>191.13999938964844</v>
      </c>
      <c r="C3" s="18">
        <v>192.76</v>
      </c>
      <c r="D3" s="18">
        <v>192.76</v>
      </c>
      <c r="E3" s="18">
        <v>192.76</v>
      </c>
      <c r="F3" s="18">
        <v>193.01</v>
      </c>
      <c r="G3" s="18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  <c r="BJ3" s="14"/>
      <c r="BK3" s="14"/>
      <c r="BL3" s="14"/>
      <c r="BM3" s="14"/>
      <c r="BN3" s="14"/>
      <c r="BO3" s="14"/>
      <c r="BP3" s="14"/>
      <c r="BQ3" s="14"/>
      <c r="BR3" s="14"/>
      <c r="BS3" s="14"/>
      <c r="BT3" s="14"/>
      <c r="BU3" s="14"/>
      <c r="BV3" s="14"/>
      <c r="BW3" s="14"/>
      <c r="BX3" s="14"/>
      <c r="BY3" s="14"/>
      <c r="BZ3" s="14"/>
      <c r="CA3" s="14"/>
      <c r="CB3" s="14"/>
      <c r="CC3" s="14"/>
      <c r="CD3" s="14"/>
      <c r="CE3" s="14"/>
      <c r="CF3" s="14"/>
      <c r="CG3" s="14"/>
      <c r="CH3" s="14"/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14"/>
      <c r="DC3" s="14"/>
      <c r="DD3" s="14"/>
      <c r="DE3" s="14"/>
      <c r="DF3" s="14"/>
      <c r="DG3" s="14"/>
      <c r="DH3" s="14"/>
      <c r="DI3" s="14"/>
      <c r="DJ3" s="14"/>
      <c r="DK3" s="14"/>
    </row>
    <row r="4" spans="1:115" ht="30" customHeight="1" x14ac:dyDescent="0.25">
      <c r="A4" s="14" t="s">
        <v>86</v>
      </c>
      <c r="B4" s="14">
        <v>3.7899999618530273</v>
      </c>
      <c r="C4" s="18">
        <v>3.87</v>
      </c>
      <c r="D4" s="18">
        <v>3.87</v>
      </c>
      <c r="E4" s="18">
        <v>3.87</v>
      </c>
      <c r="F4" s="18">
        <v>3.9</v>
      </c>
      <c r="G4" s="18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  <c r="AM4" s="14"/>
      <c r="AN4" s="14"/>
      <c r="AO4" s="14"/>
      <c r="AP4" s="14"/>
      <c r="AQ4" s="14"/>
      <c r="AR4" s="14"/>
      <c r="AS4" s="14"/>
      <c r="AT4" s="14"/>
      <c r="AU4" s="14"/>
      <c r="AV4" s="14"/>
      <c r="AW4" s="14"/>
      <c r="AX4" s="14"/>
      <c r="AY4" s="14"/>
      <c r="AZ4" s="14"/>
      <c r="BA4" s="14"/>
      <c r="BB4" s="14"/>
      <c r="BC4" s="14"/>
      <c r="BD4" s="14"/>
      <c r="BE4" s="14"/>
      <c r="BF4" s="14"/>
      <c r="BG4" s="14"/>
      <c r="BH4" s="14"/>
      <c r="BI4" s="14"/>
      <c r="BJ4" s="14"/>
      <c r="BK4" s="14"/>
      <c r="BL4" s="14"/>
      <c r="BM4" s="14"/>
      <c r="BN4" s="14"/>
      <c r="BO4" s="14"/>
      <c r="BP4" s="14"/>
      <c r="BQ4" s="14"/>
      <c r="BR4" s="14"/>
      <c r="BS4" s="14"/>
      <c r="BT4" s="14"/>
      <c r="BU4" s="14"/>
      <c r="BV4" s="14"/>
      <c r="BW4" s="14"/>
      <c r="BX4" s="14"/>
      <c r="BY4" s="14"/>
      <c r="BZ4" s="14"/>
      <c r="CA4" s="14"/>
      <c r="CB4" s="14"/>
      <c r="CC4" s="14"/>
      <c r="CD4" s="14"/>
      <c r="CE4" s="14"/>
      <c r="CF4" s="14"/>
      <c r="CG4" s="14"/>
      <c r="CH4" s="14"/>
      <c r="CI4" s="14"/>
      <c r="CJ4" s="14"/>
      <c r="CK4" s="14"/>
      <c r="CL4" s="14"/>
      <c r="CM4" s="14"/>
      <c r="CN4" s="14"/>
      <c r="CO4" s="14"/>
      <c r="CP4" s="14"/>
      <c r="CQ4" s="14"/>
      <c r="CR4" s="14"/>
      <c r="CS4" s="14"/>
      <c r="CT4" s="14"/>
      <c r="CU4" s="14"/>
      <c r="CV4" s="14"/>
      <c r="CW4" s="14"/>
      <c r="CX4" s="14"/>
      <c r="CY4" s="14"/>
      <c r="CZ4" s="14"/>
      <c r="DA4" s="14"/>
      <c r="DB4" s="14"/>
      <c r="DC4" s="14"/>
      <c r="DD4" s="14"/>
      <c r="DE4" s="14"/>
      <c r="DF4" s="14"/>
      <c r="DG4" s="14"/>
      <c r="DH4" s="14"/>
      <c r="DI4" s="14"/>
      <c r="DJ4" s="14"/>
      <c r="DK4" s="14"/>
    </row>
    <row r="5" spans="1:115" ht="30" customHeight="1" x14ac:dyDescent="0.25">
      <c r="A5" s="14" t="s">
        <v>87</v>
      </c>
      <c r="B5" s="14">
        <v>49.360000610351563</v>
      </c>
      <c r="C5" s="18">
        <v>49.66</v>
      </c>
      <c r="D5" s="18">
        <v>49.66</v>
      </c>
      <c r="E5" s="18">
        <v>49.66</v>
      </c>
      <c r="F5" s="18">
        <v>48.56</v>
      </c>
      <c r="G5" s="18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  <c r="AM5" s="14"/>
      <c r="AN5" s="14"/>
      <c r="AO5" s="14"/>
      <c r="AP5" s="14"/>
      <c r="AQ5" s="14"/>
      <c r="AR5" s="14"/>
      <c r="AS5" s="14"/>
      <c r="AT5" s="14"/>
      <c r="AU5" s="14"/>
      <c r="AV5" s="14"/>
      <c r="AW5" s="14"/>
      <c r="AX5" s="14"/>
      <c r="AY5" s="14"/>
      <c r="AZ5" s="14"/>
      <c r="BA5" s="14"/>
      <c r="BB5" s="14"/>
      <c r="BC5" s="14"/>
      <c r="BD5" s="14"/>
      <c r="BE5" s="14"/>
      <c r="BF5" s="14"/>
      <c r="BG5" s="14"/>
      <c r="BH5" s="14"/>
      <c r="BI5" s="14"/>
      <c r="BJ5" s="14"/>
      <c r="BK5" s="14"/>
      <c r="BL5" s="14"/>
      <c r="BM5" s="14"/>
      <c r="BN5" s="14"/>
      <c r="BO5" s="14"/>
      <c r="BP5" s="14"/>
      <c r="BQ5" s="14"/>
      <c r="BR5" s="14"/>
      <c r="BS5" s="14"/>
      <c r="BT5" s="14"/>
      <c r="BU5" s="14"/>
      <c r="BV5" s="14"/>
      <c r="BW5" s="14"/>
      <c r="BX5" s="14"/>
      <c r="BY5" s="14"/>
      <c r="BZ5" s="14"/>
      <c r="CA5" s="14"/>
      <c r="CB5" s="14"/>
      <c r="CC5" s="14"/>
      <c r="CD5" s="14"/>
      <c r="CE5" s="14"/>
      <c r="CF5" s="14"/>
      <c r="CG5" s="14"/>
      <c r="CH5" s="14"/>
      <c r="CI5" s="14"/>
      <c r="CJ5" s="14"/>
      <c r="CK5" s="14"/>
      <c r="CL5" s="14"/>
      <c r="CM5" s="14"/>
      <c r="CN5" s="14"/>
      <c r="CO5" s="14"/>
      <c r="CP5" s="14"/>
      <c r="CQ5" s="14"/>
      <c r="CR5" s="14"/>
      <c r="CS5" s="14"/>
      <c r="CT5" s="14"/>
      <c r="CU5" s="14"/>
      <c r="CV5" s="14"/>
      <c r="CW5" s="14"/>
      <c r="CX5" s="14"/>
      <c r="CY5" s="14"/>
      <c r="CZ5" s="14"/>
      <c r="DA5" s="14"/>
      <c r="DB5" s="14"/>
      <c r="DC5" s="14"/>
      <c r="DD5" s="14"/>
      <c r="DE5" s="14"/>
      <c r="DF5" s="14"/>
      <c r="DG5" s="14"/>
      <c r="DH5" s="14"/>
      <c r="DI5" s="14"/>
      <c r="DJ5" s="14"/>
      <c r="DK5" s="14"/>
    </row>
    <row r="6" spans="1:115" ht="30" customHeight="1" x14ac:dyDescent="0.25">
      <c r="A6" s="14" t="s">
        <v>88</v>
      </c>
      <c r="B6" s="14">
        <v>13.949999809265137</v>
      </c>
      <c r="C6" s="18">
        <v>13.8</v>
      </c>
      <c r="D6" s="18">
        <v>13.8</v>
      </c>
      <c r="E6" s="18">
        <v>13.8</v>
      </c>
      <c r="F6" s="18">
        <v>13.87</v>
      </c>
      <c r="G6" s="18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  <c r="AM6" s="14"/>
      <c r="AN6" s="14"/>
      <c r="AO6" s="14"/>
      <c r="AP6" s="14"/>
      <c r="AQ6" s="14"/>
      <c r="AR6" s="14"/>
      <c r="AS6" s="14"/>
      <c r="AT6" s="14"/>
      <c r="AU6" s="14"/>
      <c r="AV6" s="14"/>
      <c r="AW6" s="14"/>
      <c r="AX6" s="14"/>
      <c r="AY6" s="14"/>
      <c r="AZ6" s="14"/>
      <c r="BA6" s="14"/>
      <c r="BB6" s="14"/>
      <c r="BC6" s="14"/>
      <c r="BD6" s="14"/>
      <c r="BE6" s="14"/>
      <c r="BF6" s="14"/>
      <c r="BG6" s="14"/>
      <c r="BH6" s="14"/>
      <c r="BI6" s="14"/>
      <c r="BJ6" s="14"/>
      <c r="BK6" s="14"/>
      <c r="BL6" s="14"/>
      <c r="BM6" s="14"/>
      <c r="BN6" s="14"/>
      <c r="BO6" s="14"/>
      <c r="BP6" s="14"/>
      <c r="BQ6" s="14"/>
      <c r="BR6" s="14"/>
      <c r="BS6" s="14"/>
      <c r="BT6" s="14"/>
      <c r="BU6" s="14"/>
      <c r="BV6" s="14"/>
      <c r="BW6" s="14"/>
      <c r="BX6" s="14"/>
      <c r="BY6" s="14"/>
      <c r="BZ6" s="14"/>
      <c r="CA6" s="14"/>
      <c r="CB6" s="14"/>
      <c r="CC6" s="14"/>
      <c r="CD6" s="14"/>
      <c r="CE6" s="14"/>
      <c r="CF6" s="14"/>
      <c r="CG6" s="14"/>
      <c r="CH6" s="14"/>
      <c r="CI6" s="14"/>
      <c r="CJ6" s="14"/>
      <c r="CK6" s="14"/>
      <c r="CL6" s="14"/>
      <c r="CM6" s="14"/>
      <c r="CN6" s="14"/>
      <c r="CO6" s="14"/>
      <c r="CP6" s="14"/>
      <c r="CQ6" s="14"/>
      <c r="CR6" s="14"/>
      <c r="CS6" s="14"/>
      <c r="CT6" s="14"/>
      <c r="CU6" s="14"/>
      <c r="CV6" s="14"/>
      <c r="CW6" s="14"/>
      <c r="CX6" s="14"/>
      <c r="CY6" s="14"/>
      <c r="CZ6" s="14"/>
      <c r="DA6" s="14"/>
      <c r="DB6" s="14"/>
      <c r="DC6" s="14"/>
      <c r="DD6" s="14"/>
      <c r="DE6" s="14"/>
      <c r="DF6" s="14"/>
      <c r="DG6" s="14"/>
      <c r="DH6" s="14"/>
      <c r="DI6" s="14"/>
      <c r="DJ6" s="14"/>
      <c r="DK6" s="14"/>
    </row>
    <row r="7" spans="1:115" ht="30" customHeight="1" x14ac:dyDescent="0.25">
      <c r="A7" s="14" t="s">
        <v>371</v>
      </c>
      <c r="B7" s="14">
        <v>2.044471263885498</v>
      </c>
      <c r="C7" s="18">
        <v>2.1109254000000002</v>
      </c>
      <c r="D7" s="18">
        <v>2.0054289999999999</v>
      </c>
      <c r="E7" s="18">
        <v>2.0370377999999998</v>
      </c>
      <c r="F7" s="18">
        <v>1.895705</v>
      </c>
      <c r="G7" s="18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  <c r="AT7" s="14"/>
      <c r="AU7" s="14"/>
      <c r="AV7" s="14"/>
      <c r="AW7" s="14"/>
      <c r="AX7" s="14"/>
      <c r="AY7" s="14"/>
      <c r="AZ7" s="14"/>
      <c r="BA7" s="14"/>
      <c r="BB7" s="14"/>
      <c r="BC7" s="14"/>
      <c r="BD7" s="14"/>
      <c r="BE7" s="14"/>
      <c r="BF7" s="14"/>
      <c r="BG7" s="14"/>
      <c r="BH7" s="14"/>
      <c r="BI7" s="14"/>
      <c r="BJ7" s="14"/>
      <c r="BK7" s="14"/>
      <c r="BL7" s="14"/>
      <c r="BM7" s="14"/>
      <c r="BN7" s="14"/>
      <c r="BO7" s="14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4"/>
      <c r="CH7" s="14"/>
      <c r="CI7" s="14"/>
      <c r="CJ7" s="14"/>
      <c r="CK7" s="14"/>
      <c r="CL7" s="14"/>
      <c r="CM7" s="14"/>
      <c r="CN7" s="14"/>
      <c r="CO7" s="14"/>
      <c r="CP7" s="14"/>
      <c r="CQ7" s="14"/>
      <c r="CR7" s="14"/>
      <c r="CS7" s="14"/>
      <c r="CT7" s="14"/>
      <c r="CU7" s="14"/>
      <c r="CV7" s="14"/>
      <c r="CW7" s="14"/>
      <c r="CX7" s="14"/>
      <c r="CY7" s="14"/>
      <c r="CZ7" s="14"/>
      <c r="DA7" s="14"/>
      <c r="DB7" s="14"/>
      <c r="DC7" s="14"/>
      <c r="DD7" s="14"/>
      <c r="DE7" s="14"/>
      <c r="DF7" s="14"/>
      <c r="DG7" s="14"/>
      <c r="DH7" s="14"/>
      <c r="DI7" s="14"/>
      <c r="DJ7" s="14"/>
      <c r="DK7" s="14"/>
    </row>
    <row r="8" spans="1:115" ht="30" customHeight="1" x14ac:dyDescent="0.25">
      <c r="A8" s="14" t="s">
        <v>89</v>
      </c>
      <c r="B8" s="14">
        <v>52.930000305175781</v>
      </c>
      <c r="C8" s="18">
        <v>52.66</v>
      </c>
      <c r="D8" s="18">
        <v>52.66</v>
      </c>
      <c r="E8" s="18">
        <v>52.66</v>
      </c>
      <c r="F8" s="18">
        <v>50.76</v>
      </c>
      <c r="G8" s="18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  <c r="AT8" s="14"/>
      <c r="AU8" s="14"/>
      <c r="AV8" s="14"/>
      <c r="AW8" s="14"/>
      <c r="AX8" s="14"/>
      <c r="AY8" s="14"/>
      <c r="AZ8" s="14"/>
      <c r="BA8" s="14"/>
      <c r="BB8" s="14"/>
      <c r="BC8" s="14"/>
      <c r="BD8" s="14"/>
      <c r="BE8" s="14"/>
      <c r="BF8" s="14"/>
      <c r="BG8" s="14"/>
      <c r="BH8" s="14"/>
      <c r="BI8" s="14"/>
      <c r="BJ8" s="14"/>
      <c r="BK8" s="14"/>
      <c r="BL8" s="14"/>
      <c r="BM8" s="14"/>
      <c r="BN8" s="14"/>
      <c r="BO8" s="14"/>
      <c r="BP8" s="14"/>
      <c r="BQ8" s="14"/>
      <c r="BR8" s="14"/>
      <c r="BS8" s="14"/>
      <c r="BT8" s="14"/>
      <c r="BU8" s="14"/>
      <c r="BV8" s="14"/>
      <c r="BW8" s="14"/>
      <c r="BX8" s="14"/>
      <c r="BY8" s="14"/>
      <c r="BZ8" s="14"/>
      <c r="CA8" s="14"/>
      <c r="CB8" s="14"/>
      <c r="CC8" s="14"/>
      <c r="CD8" s="14"/>
      <c r="CE8" s="14"/>
      <c r="CF8" s="14"/>
      <c r="CG8" s="14"/>
      <c r="CH8" s="14"/>
      <c r="CI8" s="14"/>
      <c r="CJ8" s="14"/>
      <c r="CK8" s="14"/>
      <c r="CL8" s="14"/>
      <c r="CM8" s="14"/>
      <c r="CN8" s="14"/>
      <c r="CO8" s="14"/>
      <c r="CP8" s="14"/>
      <c r="CQ8" s="14"/>
      <c r="CR8" s="14"/>
      <c r="CS8" s="14"/>
      <c r="CT8" s="14"/>
      <c r="CU8" s="14"/>
      <c r="CV8" s="14"/>
      <c r="CW8" s="14"/>
      <c r="CX8" s="14"/>
      <c r="CY8" s="14"/>
      <c r="CZ8" s="14"/>
      <c r="DA8" s="14"/>
      <c r="DB8" s="14"/>
      <c r="DC8" s="14"/>
      <c r="DD8" s="14"/>
      <c r="DE8" s="14"/>
      <c r="DF8" s="14"/>
      <c r="DG8" s="14"/>
      <c r="DH8" s="14"/>
      <c r="DI8" s="14"/>
      <c r="DJ8" s="14"/>
      <c r="DK8" s="14"/>
    </row>
    <row r="9" spans="1:115" ht="30" customHeight="1" x14ac:dyDescent="0.25">
      <c r="A9" s="14" t="s">
        <v>90</v>
      </c>
      <c r="B9" s="14">
        <v>31.780000686645508</v>
      </c>
      <c r="C9" s="18">
        <v>31.87</v>
      </c>
      <c r="D9" s="18">
        <v>31.87</v>
      </c>
      <c r="E9" s="18">
        <v>31.87</v>
      </c>
      <c r="F9" s="18">
        <v>32.36</v>
      </c>
      <c r="G9" s="18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  <c r="AM9" s="14"/>
      <c r="AN9" s="14"/>
      <c r="AO9" s="14"/>
      <c r="AP9" s="14"/>
      <c r="AQ9" s="14"/>
      <c r="AR9" s="14"/>
      <c r="AS9" s="14"/>
      <c r="AT9" s="14"/>
      <c r="AU9" s="14"/>
      <c r="AV9" s="14"/>
      <c r="AW9" s="14"/>
      <c r="AX9" s="14"/>
      <c r="AY9" s="14"/>
      <c r="AZ9" s="14"/>
      <c r="BA9" s="14"/>
      <c r="BB9" s="14"/>
      <c r="BC9" s="14"/>
      <c r="BD9" s="14"/>
      <c r="BE9" s="14"/>
      <c r="BF9" s="14"/>
      <c r="BG9" s="14"/>
      <c r="BH9" s="14"/>
      <c r="BI9" s="14"/>
      <c r="BJ9" s="14"/>
      <c r="BK9" s="14"/>
      <c r="BL9" s="14"/>
      <c r="BM9" s="14"/>
      <c r="BN9" s="14"/>
      <c r="BO9" s="14"/>
      <c r="BP9" s="14"/>
      <c r="BQ9" s="14"/>
      <c r="BR9" s="14"/>
      <c r="BS9" s="14"/>
      <c r="BT9" s="14"/>
      <c r="BU9" s="14"/>
      <c r="BV9" s="14"/>
      <c r="BW9" s="14"/>
      <c r="BX9" s="14"/>
      <c r="BY9" s="14"/>
      <c r="BZ9" s="14"/>
      <c r="CA9" s="14"/>
      <c r="CB9" s="14"/>
      <c r="CC9" s="14"/>
      <c r="CD9" s="14"/>
      <c r="CE9" s="14"/>
      <c r="CF9" s="14"/>
      <c r="CG9" s="14"/>
      <c r="CH9" s="14"/>
      <c r="CI9" s="14"/>
      <c r="CJ9" s="14"/>
      <c r="CK9" s="14"/>
      <c r="CL9" s="14"/>
      <c r="CM9" s="14"/>
      <c r="CN9" s="14"/>
      <c r="CO9" s="14"/>
      <c r="CP9" s="14"/>
      <c r="CQ9" s="14"/>
      <c r="CR9" s="14"/>
      <c r="CS9" s="14"/>
      <c r="CT9" s="14"/>
      <c r="CU9" s="14"/>
      <c r="CV9" s="14"/>
      <c r="CW9" s="14"/>
      <c r="CX9" s="14"/>
      <c r="CY9" s="14"/>
      <c r="CZ9" s="14"/>
      <c r="DA9" s="14"/>
      <c r="DB9" s="14"/>
      <c r="DC9" s="14"/>
      <c r="DD9" s="14"/>
      <c r="DE9" s="14"/>
      <c r="DF9" s="14"/>
      <c r="DG9" s="14"/>
      <c r="DH9" s="14"/>
      <c r="DI9" s="14"/>
      <c r="DJ9" s="14"/>
      <c r="DK9" s="14"/>
    </row>
    <row r="10" spans="1:115" ht="30" customHeight="1" x14ac:dyDescent="0.25">
      <c r="A10" s="14" t="s">
        <v>91</v>
      </c>
      <c r="B10" s="14">
        <v>48.520000457763672</v>
      </c>
      <c r="C10" s="18">
        <v>48.44</v>
      </c>
      <c r="D10" s="18">
        <v>48.44</v>
      </c>
      <c r="E10" s="18">
        <v>48.44</v>
      </c>
      <c r="F10" s="18">
        <v>48.81</v>
      </c>
      <c r="G10" s="18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  <c r="AM10" s="14"/>
      <c r="AN10" s="14"/>
      <c r="AO10" s="14"/>
      <c r="AP10" s="14"/>
      <c r="AQ10" s="14"/>
      <c r="AR10" s="14"/>
      <c r="AS10" s="14"/>
      <c r="AT10" s="14"/>
      <c r="AU10" s="14"/>
      <c r="AV10" s="14"/>
      <c r="AW10" s="14"/>
      <c r="AX10" s="14"/>
      <c r="AY10" s="14"/>
      <c r="AZ10" s="14"/>
      <c r="BA10" s="14"/>
      <c r="BB10" s="14"/>
      <c r="BC10" s="14"/>
      <c r="BD10" s="14"/>
      <c r="BE10" s="14"/>
      <c r="BF10" s="14"/>
      <c r="BG10" s="14"/>
      <c r="BH10" s="14"/>
      <c r="BI10" s="14"/>
      <c r="BJ10" s="14"/>
      <c r="BK10" s="14"/>
      <c r="BL10" s="14"/>
      <c r="BM10" s="14"/>
      <c r="BN10" s="14"/>
      <c r="BO10" s="14"/>
      <c r="BP10" s="14"/>
      <c r="BQ10" s="14"/>
      <c r="BR10" s="14"/>
      <c r="BS10" s="14"/>
      <c r="BT10" s="14"/>
      <c r="BU10" s="14"/>
      <c r="BV10" s="14"/>
      <c r="BW10" s="14"/>
      <c r="BX10" s="14"/>
      <c r="BY10" s="14"/>
      <c r="BZ10" s="14"/>
      <c r="CA10" s="14"/>
      <c r="CB10" s="14"/>
      <c r="CC10" s="14"/>
      <c r="CD10" s="14"/>
      <c r="CE10" s="14"/>
      <c r="CF10" s="14"/>
      <c r="CG10" s="14"/>
      <c r="CH10" s="14"/>
      <c r="CI10" s="14"/>
      <c r="CJ10" s="14"/>
      <c r="CK10" s="14"/>
      <c r="CL10" s="14"/>
      <c r="CM10" s="14"/>
      <c r="CN10" s="14"/>
      <c r="CO10" s="14"/>
      <c r="CP10" s="14"/>
      <c r="CQ10" s="14"/>
      <c r="CR10" s="14"/>
      <c r="CS10" s="14"/>
      <c r="CT10" s="14"/>
      <c r="CU10" s="14"/>
      <c r="CV10" s="14"/>
      <c r="CW10" s="14"/>
      <c r="CX10" s="14"/>
      <c r="CY10" s="14"/>
      <c r="CZ10" s="14"/>
      <c r="DA10" s="14"/>
      <c r="DB10" s="14"/>
      <c r="DC10" s="14"/>
      <c r="DD10" s="14"/>
      <c r="DE10" s="14"/>
      <c r="DF10" s="14"/>
      <c r="DG10" s="14"/>
      <c r="DH10" s="14"/>
      <c r="DI10" s="14"/>
      <c r="DJ10" s="14"/>
      <c r="DK10" s="14"/>
    </row>
    <row r="11" spans="1:115" ht="30" customHeight="1" x14ac:dyDescent="0.25">
      <c r="A11" s="14" t="s">
        <v>92</v>
      </c>
      <c r="B11" s="14">
        <v>53.540000915527344</v>
      </c>
      <c r="C11" s="18">
        <v>53.42</v>
      </c>
      <c r="D11" s="18">
        <v>53.42</v>
      </c>
      <c r="E11" s="18">
        <v>53.42</v>
      </c>
      <c r="F11" s="18">
        <v>53.07</v>
      </c>
      <c r="G11" s="18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  <c r="AZ11" s="14"/>
      <c r="BA11" s="14"/>
      <c r="BB11" s="14"/>
      <c r="BC11" s="14"/>
      <c r="BD11" s="14"/>
      <c r="BE11" s="14"/>
      <c r="BF11" s="14"/>
      <c r="BG11" s="14"/>
      <c r="BH11" s="14"/>
      <c r="BI11" s="14"/>
      <c r="BJ11" s="14"/>
      <c r="BK11" s="14"/>
      <c r="BL11" s="14"/>
      <c r="BM11" s="14"/>
      <c r="BN11" s="14"/>
      <c r="BO11" s="14"/>
      <c r="BP11" s="14"/>
      <c r="BQ11" s="14"/>
      <c r="BR11" s="14"/>
      <c r="BS11" s="14"/>
      <c r="BT11" s="14"/>
      <c r="BU11" s="14"/>
      <c r="BV11" s="14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</row>
    <row r="12" spans="1:115" ht="30" customHeight="1" x14ac:dyDescent="0.25">
      <c r="A12" s="14" t="s">
        <v>372</v>
      </c>
      <c r="B12" s="14">
        <v>1.2895845174789429</v>
      </c>
      <c r="C12" s="18">
        <v>1.2708473</v>
      </c>
      <c r="D12" s="18">
        <v>1.1785718000000001</v>
      </c>
      <c r="E12" s="18">
        <v>1.247611</v>
      </c>
      <c r="F12" s="18">
        <v>1.1595435000000001</v>
      </c>
      <c r="G12" s="18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/>
      <c r="AZ12" s="14"/>
      <c r="BA12" s="14"/>
      <c r="BB12" s="14"/>
      <c r="BC12" s="14"/>
      <c r="BD12" s="14"/>
      <c r="BE12" s="14"/>
      <c r="BF12" s="14"/>
      <c r="BG12" s="14"/>
      <c r="BH12" s="14"/>
      <c r="BI12" s="14"/>
      <c r="BJ12" s="14"/>
      <c r="BK12" s="14"/>
      <c r="BL12" s="14"/>
      <c r="BM12" s="14"/>
      <c r="BN12" s="14"/>
      <c r="BO12" s="14"/>
      <c r="BP12" s="14"/>
      <c r="BQ12" s="14"/>
      <c r="BR12" s="14"/>
      <c r="BS12" s="14"/>
      <c r="BT12" s="14"/>
      <c r="BU12" s="14"/>
      <c r="BV12" s="14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</row>
    <row r="13" spans="1:115" ht="30" customHeight="1" x14ac:dyDescent="0.25">
      <c r="A13" s="14" t="s">
        <v>93</v>
      </c>
      <c r="B13" s="14">
        <v>175.77999877929688</v>
      </c>
      <c r="C13" s="18">
        <v>177.12</v>
      </c>
      <c r="D13" s="18">
        <v>177.12</v>
      </c>
      <c r="E13" s="18">
        <v>177.12</v>
      </c>
      <c r="F13" s="18">
        <v>176.28</v>
      </c>
      <c r="G13" s="18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/>
      <c r="AZ13" s="14"/>
      <c r="BA13" s="14"/>
      <c r="BB13" s="14"/>
      <c r="BC13" s="14"/>
      <c r="BD13" s="14"/>
      <c r="BE13" s="14"/>
      <c r="BF13" s="14"/>
      <c r="BG13" s="14"/>
      <c r="BH13" s="14"/>
      <c r="BI13" s="14"/>
      <c r="BJ13" s="14"/>
      <c r="BK13" s="14"/>
      <c r="BL13" s="14"/>
      <c r="BM13" s="14"/>
      <c r="BN13" s="14"/>
      <c r="BO13" s="14"/>
      <c r="BP13" s="14"/>
      <c r="BQ13" s="14"/>
      <c r="BR13" s="14"/>
      <c r="BS13" s="14"/>
      <c r="BT13" s="14"/>
      <c r="BU13" s="14"/>
      <c r="BV13" s="14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</row>
    <row r="14" spans="1:115" ht="30" customHeight="1" x14ac:dyDescent="0.25">
      <c r="A14" s="14" t="s">
        <v>48</v>
      </c>
      <c r="B14" s="14">
        <v>51.340000152587891</v>
      </c>
      <c r="C14" s="18">
        <v>47.91</v>
      </c>
      <c r="D14" s="18">
        <v>47.91</v>
      </c>
      <c r="E14" s="18">
        <v>47.91</v>
      </c>
      <c r="F14" s="18">
        <v>55</v>
      </c>
      <c r="G14" s="18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4"/>
      <c r="BH14" s="14"/>
      <c r="BI14" s="14"/>
      <c r="BJ14" s="14"/>
      <c r="BK14" s="14"/>
      <c r="BL14" s="14"/>
      <c r="BM14" s="14"/>
      <c r="BN14" s="14"/>
      <c r="BO14" s="14"/>
      <c r="BP14" s="14"/>
      <c r="BQ14" s="14"/>
      <c r="BR14" s="14"/>
      <c r="BS14" s="14"/>
      <c r="BT14" s="14"/>
      <c r="BU14" s="14"/>
      <c r="BV14" s="14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</row>
    <row r="15" spans="1:115" ht="30" customHeight="1" x14ac:dyDescent="0.25">
      <c r="A15" s="14" t="s">
        <v>94</v>
      </c>
      <c r="B15" s="14">
        <v>35.759998321533203</v>
      </c>
      <c r="C15" s="18">
        <v>36.93</v>
      </c>
      <c r="D15" s="18">
        <v>36.93</v>
      </c>
      <c r="E15" s="18">
        <v>36.93</v>
      </c>
      <c r="F15" s="18">
        <v>39.479999999999997</v>
      </c>
      <c r="G15" s="18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/>
      <c r="AZ15" s="14"/>
      <c r="BA15" s="14"/>
      <c r="BB15" s="14"/>
      <c r="BC15" s="14"/>
      <c r="BD15" s="14"/>
      <c r="BE15" s="14"/>
      <c r="BF15" s="14"/>
      <c r="BG15" s="14"/>
      <c r="BH15" s="14"/>
      <c r="BI15" s="14"/>
      <c r="BJ15" s="14"/>
      <c r="BK15" s="14"/>
      <c r="BL15" s="14"/>
      <c r="BM15" s="14"/>
      <c r="BN15" s="14"/>
      <c r="BO15" s="14"/>
      <c r="BP15" s="14"/>
      <c r="BQ15" s="14"/>
      <c r="BR15" s="14"/>
      <c r="BS15" s="14"/>
      <c r="BT15" s="14"/>
      <c r="BU15" s="14"/>
      <c r="BV15" s="14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</row>
    <row r="16" spans="1:115" ht="30" customHeight="1" x14ac:dyDescent="0.25">
      <c r="A16" s="14" t="s">
        <v>95</v>
      </c>
      <c r="B16" s="14">
        <v>55.200000762939453</v>
      </c>
      <c r="C16" s="18">
        <v>55.91</v>
      </c>
      <c r="D16" s="18">
        <v>55.91</v>
      </c>
      <c r="E16" s="18">
        <v>55.91</v>
      </c>
      <c r="F16" s="18">
        <v>57.44</v>
      </c>
      <c r="G16" s="18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/>
      <c r="AZ16" s="14"/>
      <c r="BA16" s="14"/>
      <c r="BB16" s="14"/>
      <c r="BC16" s="14"/>
      <c r="BD16" s="14"/>
      <c r="BE16" s="14"/>
      <c r="BF16" s="14"/>
      <c r="BG16" s="14"/>
      <c r="BH16" s="14"/>
      <c r="BI16" s="14"/>
      <c r="BJ16" s="14"/>
      <c r="BK16" s="14"/>
      <c r="BL16" s="14"/>
      <c r="BM16" s="14"/>
      <c r="BN16" s="14"/>
      <c r="BO16" s="14"/>
      <c r="BP16" s="14"/>
      <c r="BQ16" s="14"/>
      <c r="BR16" s="14"/>
      <c r="BS16" s="14"/>
      <c r="BT16" s="14"/>
      <c r="BU16" s="14"/>
      <c r="BV16" s="14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</row>
    <row r="17" spans="1:115" ht="30" customHeight="1" x14ac:dyDescent="0.25">
      <c r="A17" s="14" t="s">
        <v>96</v>
      </c>
      <c r="B17" s="14">
        <v>40.779998779296875</v>
      </c>
      <c r="C17" s="18">
        <v>39.520000000000003</v>
      </c>
      <c r="D17" s="18">
        <v>39.520000000000003</v>
      </c>
      <c r="E17" s="18">
        <v>39.520000000000003</v>
      </c>
      <c r="F17" s="18">
        <v>40.159999999999997</v>
      </c>
      <c r="G17" s="18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/>
      <c r="AZ17" s="14"/>
      <c r="BA17" s="14"/>
      <c r="BB17" s="14"/>
      <c r="BC17" s="14"/>
      <c r="BD17" s="14"/>
      <c r="BE17" s="14"/>
      <c r="BF17" s="14"/>
      <c r="BG17" s="14"/>
      <c r="BH17" s="14"/>
      <c r="BI17" s="14"/>
      <c r="BJ17" s="14"/>
      <c r="BK17" s="14"/>
      <c r="BL17" s="14"/>
      <c r="BM17" s="14"/>
      <c r="BN17" s="14"/>
      <c r="BO17" s="14"/>
      <c r="BP17" s="14"/>
      <c r="BQ17" s="14"/>
      <c r="BR17" s="14"/>
      <c r="BS17" s="14"/>
      <c r="BT17" s="14"/>
      <c r="BU17" s="14"/>
      <c r="BV17" s="14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</row>
    <row r="18" spans="1:115" ht="30" customHeight="1" x14ac:dyDescent="0.25">
      <c r="A18" s="14" t="s">
        <v>97</v>
      </c>
      <c r="B18" s="14">
        <v>395.6400146484375</v>
      </c>
      <c r="C18" s="18">
        <v>393.2</v>
      </c>
      <c r="D18" s="18">
        <v>393.2</v>
      </c>
      <c r="E18" s="18">
        <v>393.2</v>
      </c>
      <c r="F18" s="18">
        <v>389.1</v>
      </c>
      <c r="G18" s="18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/>
      <c r="AZ18" s="14"/>
      <c r="BA18" s="14"/>
      <c r="BB18" s="14"/>
      <c r="BC18" s="14"/>
      <c r="BD18" s="14"/>
      <c r="BE18" s="14"/>
      <c r="BF18" s="14"/>
      <c r="BG18" s="14"/>
      <c r="BH18" s="14"/>
      <c r="BI18" s="14"/>
      <c r="BJ18" s="14"/>
      <c r="BK18" s="14"/>
      <c r="BL18" s="14"/>
      <c r="BM18" s="14"/>
      <c r="BN18" s="14"/>
      <c r="BO18" s="14"/>
      <c r="BP18" s="14"/>
      <c r="BQ18" s="14"/>
      <c r="BR18" s="14"/>
      <c r="BS18" s="14"/>
      <c r="BT18" s="14"/>
      <c r="BU18" s="14"/>
      <c r="BV18" s="14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</row>
    <row r="19" spans="1:115" ht="30" customHeight="1" x14ac:dyDescent="0.25">
      <c r="A19" s="14" t="s">
        <v>98</v>
      </c>
      <c r="B19" s="14">
        <v>5.0999999046325684</v>
      </c>
      <c r="C19" s="18">
        <v>5.13</v>
      </c>
      <c r="D19" s="18">
        <v>5.13</v>
      </c>
      <c r="E19" s="18">
        <v>5.13</v>
      </c>
      <c r="F19" s="18">
        <v>5.21</v>
      </c>
      <c r="G19" s="18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4"/>
      <c r="BH19" s="14"/>
      <c r="BI19" s="14"/>
      <c r="BJ19" s="14"/>
      <c r="BK19" s="14"/>
      <c r="BL19" s="14"/>
      <c r="BM19" s="14"/>
      <c r="BN19" s="14"/>
      <c r="BO19" s="14"/>
      <c r="BP19" s="14"/>
      <c r="BQ19" s="14"/>
      <c r="BR19" s="14"/>
      <c r="BS19" s="14"/>
      <c r="BT19" s="14"/>
      <c r="BU19" s="14"/>
      <c r="BV19" s="14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</row>
    <row r="20" spans="1:115" ht="30" customHeight="1" x14ac:dyDescent="0.25">
      <c r="A20" s="14" t="s">
        <v>99</v>
      </c>
      <c r="B20" s="14">
        <v>76.870002746582031</v>
      </c>
      <c r="C20" s="18">
        <v>69.83</v>
      </c>
      <c r="D20" s="18">
        <v>69.83</v>
      </c>
      <c r="E20" s="18">
        <v>69.83</v>
      </c>
      <c r="F20" s="18">
        <v>63</v>
      </c>
      <c r="G20" s="18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/>
      <c r="AZ20" s="14"/>
      <c r="BA20" s="14"/>
      <c r="BB20" s="14"/>
      <c r="BC20" s="14"/>
      <c r="BD20" s="14"/>
      <c r="BE20" s="14"/>
      <c r="BF20" s="14"/>
      <c r="BG20" s="14"/>
      <c r="BH20" s="14"/>
      <c r="BI20" s="14"/>
      <c r="BJ20" s="14"/>
      <c r="BK20" s="14"/>
      <c r="BL20" s="14"/>
      <c r="BM20" s="14"/>
      <c r="BN20" s="14"/>
      <c r="BO20" s="14"/>
      <c r="BP20" s="14"/>
      <c r="BQ20" s="14"/>
      <c r="BR20" s="14"/>
      <c r="BS20" s="14"/>
      <c r="BT20" s="14"/>
      <c r="BU20" s="14"/>
      <c r="BV20" s="14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</row>
    <row r="21" spans="1:115" ht="30" customHeight="1" x14ac:dyDescent="0.25">
      <c r="A21" s="14" t="s">
        <v>100</v>
      </c>
      <c r="B21" s="14">
        <v>37.090000152587891</v>
      </c>
      <c r="C21" s="18">
        <v>37.340000000000003</v>
      </c>
      <c r="D21" s="18">
        <v>37.340000000000003</v>
      </c>
      <c r="E21" s="18">
        <v>37.340000000000003</v>
      </c>
      <c r="F21" s="18">
        <v>37.4</v>
      </c>
      <c r="G21" s="18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/>
      <c r="AZ21" s="14"/>
      <c r="BA21" s="14"/>
      <c r="BB21" s="14"/>
      <c r="BC21" s="14"/>
      <c r="BD21" s="14"/>
      <c r="BE21" s="14"/>
      <c r="BF21" s="14"/>
      <c r="BG21" s="14"/>
      <c r="BH21" s="14"/>
      <c r="BI21" s="14"/>
      <c r="BJ21" s="14"/>
      <c r="BK21" s="14"/>
      <c r="BL21" s="14"/>
      <c r="BM21" s="14"/>
      <c r="BN21" s="14"/>
      <c r="BO21" s="14"/>
      <c r="BP21" s="14"/>
      <c r="BQ21" s="14"/>
      <c r="BR21" s="14"/>
      <c r="BS21" s="14"/>
      <c r="BT21" s="14"/>
      <c r="BU21" s="14"/>
      <c r="BV21" s="14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</row>
    <row r="22" spans="1:115" ht="30" customHeight="1" x14ac:dyDescent="0.25">
      <c r="A22" s="14" t="s">
        <v>101</v>
      </c>
      <c r="B22" s="14">
        <v>32.490001678466797</v>
      </c>
      <c r="C22" s="18">
        <v>32.57</v>
      </c>
      <c r="D22" s="18">
        <v>32.57</v>
      </c>
      <c r="E22" s="18">
        <v>32.57</v>
      </c>
      <c r="F22" s="18">
        <v>31.68</v>
      </c>
      <c r="G22" s="18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/>
      <c r="AZ22" s="14"/>
      <c r="BA22" s="14"/>
      <c r="BB22" s="14"/>
      <c r="BC22" s="14"/>
      <c r="BD22" s="14"/>
      <c r="BE22" s="14"/>
      <c r="BF22" s="14"/>
      <c r="BG22" s="14"/>
      <c r="BH22" s="14"/>
      <c r="BI22" s="14"/>
      <c r="BJ22" s="14"/>
      <c r="BK22" s="14"/>
      <c r="BL22" s="14"/>
      <c r="BM22" s="14"/>
      <c r="BN22" s="14"/>
      <c r="BO22" s="14"/>
      <c r="BP22" s="14"/>
      <c r="BQ22" s="14"/>
      <c r="BR22" s="14"/>
      <c r="BS22" s="14"/>
      <c r="BT22" s="14"/>
      <c r="BU22" s="14"/>
      <c r="BV22" s="14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</row>
    <row r="23" spans="1:115" ht="30" customHeight="1" x14ac:dyDescent="0.25">
      <c r="A23" s="14" t="s">
        <v>49</v>
      </c>
      <c r="B23" s="14">
        <v>0.77999997138977051</v>
      </c>
      <c r="C23" s="18">
        <v>0.8</v>
      </c>
      <c r="D23" s="18">
        <v>0.8</v>
      </c>
      <c r="E23" s="18">
        <v>0.8</v>
      </c>
      <c r="F23" s="18">
        <v>0.79</v>
      </c>
      <c r="G23" s="18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  <c r="AZ23" s="14"/>
      <c r="BA23" s="14"/>
      <c r="BB23" s="14"/>
      <c r="BC23" s="14"/>
      <c r="BD23" s="14"/>
      <c r="BE23" s="14"/>
      <c r="BF23" s="14"/>
      <c r="BG23" s="14"/>
      <c r="BH23" s="14"/>
      <c r="BI23" s="14"/>
      <c r="BJ23" s="14"/>
      <c r="BK23" s="14"/>
      <c r="BL23" s="14"/>
      <c r="BM23" s="14"/>
      <c r="BN23" s="14"/>
      <c r="BO23" s="14"/>
      <c r="BP23" s="14"/>
      <c r="BQ23" s="14"/>
      <c r="BR23" s="14"/>
      <c r="BS23" s="14"/>
      <c r="BT23" s="14"/>
      <c r="BU23" s="14"/>
      <c r="BV23" s="14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</row>
    <row r="24" spans="1:115" ht="30" customHeight="1" x14ac:dyDescent="0.25">
      <c r="A24" s="14" t="s">
        <v>102</v>
      </c>
      <c r="B24" s="14">
        <v>9.6599998474121094</v>
      </c>
      <c r="C24" s="18">
        <v>9.66</v>
      </c>
      <c r="D24" s="18">
        <v>9.66</v>
      </c>
      <c r="E24" s="18">
        <v>9.66</v>
      </c>
      <c r="F24" s="18">
        <v>9.6630000000000003</v>
      </c>
      <c r="G24" s="18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/>
      <c r="AZ24" s="14"/>
      <c r="BA24" s="14"/>
      <c r="BB24" s="14"/>
      <c r="BC24" s="14"/>
      <c r="BD24" s="14"/>
      <c r="BE24" s="14"/>
      <c r="BF24" s="14"/>
      <c r="BG24" s="14"/>
      <c r="BH24" s="14"/>
      <c r="BI24" s="14"/>
      <c r="BJ24" s="14"/>
      <c r="BK24" s="14"/>
      <c r="BL24" s="14"/>
      <c r="BM24" s="14"/>
      <c r="BN24" s="14"/>
      <c r="BO24" s="14"/>
      <c r="BP24" s="14"/>
      <c r="BQ24" s="14"/>
      <c r="BR24" s="14"/>
      <c r="BS24" s="14"/>
      <c r="BT24" s="14"/>
      <c r="BU24" s="14"/>
      <c r="BV24" s="14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</row>
    <row r="25" spans="1:115" ht="30" customHeight="1" x14ac:dyDescent="0.25">
      <c r="A25" s="14" t="s">
        <v>103</v>
      </c>
      <c r="B25" s="14">
        <v>23.799999237060547</v>
      </c>
      <c r="C25" s="18">
        <v>23.86</v>
      </c>
      <c r="D25" s="18">
        <v>23.86</v>
      </c>
      <c r="E25" s="18">
        <v>23.86</v>
      </c>
      <c r="F25" s="18">
        <v>24.29</v>
      </c>
      <c r="G25" s="18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/>
      <c r="AZ25" s="14"/>
      <c r="BA25" s="14"/>
      <c r="BB25" s="14"/>
      <c r="BC25" s="14"/>
      <c r="BD25" s="14"/>
      <c r="BE25" s="14"/>
      <c r="BF25" s="14"/>
      <c r="BG25" s="14"/>
      <c r="BH25" s="14"/>
      <c r="BI25" s="14"/>
      <c r="BJ25" s="14"/>
      <c r="BK25" s="14"/>
      <c r="BL25" s="14"/>
      <c r="BM25" s="14"/>
      <c r="BN25" s="14"/>
      <c r="BO25" s="14"/>
      <c r="BP25" s="14"/>
      <c r="BQ25" s="14"/>
      <c r="BR25" s="14"/>
      <c r="BS25" s="14"/>
      <c r="BT25" s="14"/>
      <c r="BU25" s="14"/>
      <c r="BV25" s="14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</row>
    <row r="26" spans="1:115" ht="30" customHeight="1" x14ac:dyDescent="0.25">
      <c r="A26" s="14" t="s">
        <v>104</v>
      </c>
      <c r="B26" s="14">
        <v>33.720001220703125</v>
      </c>
      <c r="C26" s="18">
        <v>33.78</v>
      </c>
      <c r="D26" s="18">
        <v>33.78</v>
      </c>
      <c r="E26" s="18">
        <v>33.78</v>
      </c>
      <c r="F26" s="18">
        <v>34.15</v>
      </c>
      <c r="G26" s="18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/>
      <c r="AZ26" s="14"/>
      <c r="BA26" s="14"/>
      <c r="BB26" s="14"/>
      <c r="BC26" s="14"/>
      <c r="BD26" s="14"/>
      <c r="BE26" s="14"/>
      <c r="BF26" s="14"/>
      <c r="BG26" s="14"/>
      <c r="BH26" s="14"/>
      <c r="BI26" s="14"/>
      <c r="BJ26" s="14"/>
      <c r="BK26" s="14"/>
      <c r="BL26" s="14"/>
      <c r="BM26" s="14"/>
      <c r="BN26" s="14"/>
      <c r="BO26" s="14"/>
      <c r="BP26" s="14"/>
      <c r="BQ26" s="14"/>
      <c r="BR26" s="14"/>
      <c r="BS26" s="14"/>
      <c r="BT26" s="14"/>
      <c r="BU26" s="14"/>
      <c r="BV26" s="14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</row>
    <row r="27" spans="1:115" ht="30" customHeight="1" x14ac:dyDescent="0.25">
      <c r="A27" s="14" t="s">
        <v>105</v>
      </c>
      <c r="B27" s="14">
        <v>464.79998779296875</v>
      </c>
      <c r="C27" s="18">
        <v>475</v>
      </c>
      <c r="D27" s="18">
        <v>475</v>
      </c>
      <c r="E27" s="18">
        <v>475</v>
      </c>
      <c r="F27" s="18">
        <v>463.78</v>
      </c>
      <c r="G27" s="18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/>
      <c r="AZ27" s="14"/>
      <c r="BA27" s="14"/>
      <c r="BB27" s="14"/>
      <c r="BC27" s="14"/>
      <c r="BD27" s="14"/>
      <c r="BE27" s="14"/>
      <c r="BF27" s="14"/>
      <c r="BG27" s="14"/>
      <c r="BH27" s="14"/>
      <c r="BI27" s="14"/>
      <c r="BJ27" s="14"/>
      <c r="BK27" s="14"/>
      <c r="BL27" s="14"/>
      <c r="BM27" s="14"/>
      <c r="BN27" s="14"/>
      <c r="BO27" s="14"/>
      <c r="BP27" s="14"/>
      <c r="BQ27" s="14"/>
      <c r="BR27" s="14"/>
      <c r="BS27" s="14"/>
      <c r="BT27" s="14"/>
      <c r="BU27" s="14"/>
      <c r="BV27" s="14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</row>
    <row r="28" spans="1:115" ht="30" customHeight="1" x14ac:dyDescent="0.25">
      <c r="A28" s="14" t="s">
        <v>7</v>
      </c>
      <c r="B28" s="14">
        <v>250.32000732421875</v>
      </c>
      <c r="C28" s="18">
        <v>249.92</v>
      </c>
      <c r="D28" s="18">
        <v>249.92</v>
      </c>
      <c r="E28" s="18">
        <v>249.92</v>
      </c>
      <c r="F28" s="18">
        <v>252.66</v>
      </c>
      <c r="G28" s="18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/>
      <c r="AZ28" s="14"/>
      <c r="BA28" s="14"/>
      <c r="BB28" s="14"/>
      <c r="BC28" s="14"/>
      <c r="BD28" s="14"/>
      <c r="BE28" s="14"/>
      <c r="BF28" s="14"/>
      <c r="BG28" s="14"/>
      <c r="BH28" s="14"/>
      <c r="BI28" s="14"/>
      <c r="BJ28" s="14"/>
      <c r="BK28" s="14"/>
      <c r="BL28" s="14"/>
      <c r="BM28" s="14"/>
      <c r="BN28" s="14"/>
      <c r="BO28" s="14"/>
      <c r="BP28" s="14"/>
      <c r="BQ28" s="14"/>
      <c r="BR28" s="14"/>
      <c r="BS28" s="14"/>
      <c r="BT28" s="14"/>
      <c r="BU28" s="14"/>
      <c r="BV28" s="14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</row>
    <row r="29" spans="1:115" ht="30" customHeight="1" x14ac:dyDescent="0.25">
      <c r="A29" s="14" t="s">
        <v>106</v>
      </c>
      <c r="B29" s="14">
        <v>21.709999084472656</v>
      </c>
      <c r="C29" s="18">
        <v>23.4</v>
      </c>
      <c r="D29" s="18">
        <v>23.4</v>
      </c>
      <c r="E29" s="18">
        <v>23.4</v>
      </c>
      <c r="F29" s="18">
        <v>23.95</v>
      </c>
      <c r="G29" s="18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/>
      <c r="AZ29" s="14"/>
      <c r="BA29" s="14"/>
      <c r="BB29" s="14"/>
      <c r="BC29" s="14"/>
      <c r="BD29" s="14"/>
      <c r="BE29" s="14"/>
      <c r="BF29" s="14"/>
      <c r="BG29" s="14"/>
      <c r="BH29" s="14"/>
      <c r="BI29" s="14"/>
      <c r="BJ29" s="14"/>
      <c r="BK29" s="14"/>
      <c r="BL29" s="14"/>
      <c r="BM29" s="14"/>
      <c r="BN29" s="14"/>
      <c r="BO29" s="14"/>
      <c r="BP29" s="14"/>
      <c r="BQ29" s="14"/>
      <c r="BR29" s="14"/>
      <c r="BS29" s="14"/>
      <c r="BT29" s="14"/>
      <c r="BU29" s="14"/>
      <c r="BV29" s="14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</row>
    <row r="30" spans="1:115" ht="30" customHeight="1" x14ac:dyDescent="0.25">
      <c r="A30" s="14" t="s">
        <v>365</v>
      </c>
      <c r="B30" s="14">
        <v>15.880000114440918</v>
      </c>
      <c r="C30" s="18">
        <v>13.86</v>
      </c>
      <c r="D30" s="18">
        <v>13.86</v>
      </c>
      <c r="E30" s="18">
        <v>13.86</v>
      </c>
      <c r="F30" s="18">
        <v>15.77</v>
      </c>
      <c r="G30" s="18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/>
      <c r="AZ30" s="14"/>
      <c r="BA30" s="14"/>
      <c r="BB30" s="14"/>
      <c r="BC30" s="14"/>
      <c r="BD30" s="14"/>
      <c r="BE30" s="14"/>
      <c r="BF30" s="14"/>
      <c r="BG30" s="14"/>
      <c r="BH30" s="14"/>
      <c r="BI30" s="14"/>
      <c r="BJ30" s="14"/>
      <c r="BK30" s="14"/>
      <c r="BL30" s="14"/>
      <c r="BM30" s="14"/>
      <c r="BN30" s="14"/>
      <c r="BO30" s="14"/>
      <c r="BP30" s="14"/>
      <c r="BQ30" s="14"/>
      <c r="BR30" s="14"/>
      <c r="BS30" s="14"/>
      <c r="BT30" s="14"/>
      <c r="BU30" s="14"/>
      <c r="BV30" s="14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</row>
    <row r="31" spans="1:115" ht="30" customHeight="1" x14ac:dyDescent="0.25">
      <c r="A31" s="14" t="s">
        <v>370</v>
      </c>
      <c r="B31" s="14">
        <v>31.899999618530273</v>
      </c>
      <c r="C31" s="18">
        <v>31.71</v>
      </c>
      <c r="D31" s="18">
        <v>31.71</v>
      </c>
      <c r="E31" s="18">
        <v>31.71</v>
      </c>
      <c r="F31" s="18">
        <v>33.979999999999997</v>
      </c>
      <c r="G31" s="18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K31" s="14"/>
      <c r="BL31" s="14"/>
      <c r="BM31" s="14"/>
      <c r="BN31" s="14"/>
      <c r="BO31" s="14"/>
      <c r="BP31" s="14"/>
      <c r="BQ31" s="14"/>
      <c r="BR31" s="14"/>
      <c r="BS31" s="14"/>
      <c r="BT31" s="14"/>
      <c r="BU31" s="14"/>
      <c r="BV31" s="14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</row>
    <row r="32" spans="1:115" ht="30" customHeight="1" x14ac:dyDescent="0.25">
      <c r="A32" s="14" t="s">
        <v>107</v>
      </c>
      <c r="B32" s="14">
        <v>74.680000305175781</v>
      </c>
      <c r="C32" s="18">
        <v>74.38</v>
      </c>
      <c r="D32" s="18">
        <v>74.38</v>
      </c>
      <c r="E32" s="18">
        <v>74.38</v>
      </c>
      <c r="F32" s="18">
        <v>74.599999999999994</v>
      </c>
      <c r="G32" s="18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K32" s="14"/>
      <c r="BL32" s="14"/>
      <c r="BM32" s="14"/>
      <c r="BN32" s="14"/>
      <c r="BO32" s="14"/>
      <c r="BP32" s="14"/>
      <c r="BQ32" s="14"/>
      <c r="BR32" s="14"/>
      <c r="BS32" s="14"/>
      <c r="BT32" s="14"/>
      <c r="BU32" s="14"/>
      <c r="BV32" s="14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</row>
    <row r="33" spans="1:115" ht="30" customHeight="1" x14ac:dyDescent="0.25">
      <c r="A33" s="14" t="s">
        <v>108</v>
      </c>
      <c r="B33" s="14">
        <v>115.55999755859375</v>
      </c>
      <c r="C33" s="18">
        <v>115.99</v>
      </c>
      <c r="D33" s="18">
        <v>115.99</v>
      </c>
      <c r="E33" s="18">
        <v>115.99</v>
      </c>
      <c r="F33" s="18">
        <v>117.1</v>
      </c>
      <c r="G33" s="18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/>
      <c r="AZ33" s="14"/>
      <c r="BA33" s="14"/>
      <c r="BB33" s="14"/>
      <c r="BC33" s="14"/>
      <c r="BD33" s="14"/>
      <c r="BE33" s="14"/>
      <c r="BF33" s="14"/>
      <c r="BG33" s="14"/>
      <c r="BH33" s="14"/>
      <c r="BI33" s="14"/>
      <c r="BJ33" s="14"/>
      <c r="BK33" s="14"/>
      <c r="BL33" s="14"/>
      <c r="BM33" s="14"/>
      <c r="BN33" s="14"/>
      <c r="BO33" s="14"/>
      <c r="BP33" s="14"/>
      <c r="BQ33" s="14"/>
      <c r="BR33" s="14"/>
      <c r="BS33" s="14"/>
      <c r="BT33" s="14"/>
      <c r="BU33" s="14"/>
      <c r="BV33" s="14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</row>
    <row r="34" spans="1:115" ht="30" customHeight="1" x14ac:dyDescent="0.25">
      <c r="A34" s="14" t="s">
        <v>109</v>
      </c>
      <c r="B34" s="14">
        <v>65.150001525878906</v>
      </c>
      <c r="C34" s="18">
        <v>64.08</v>
      </c>
      <c r="D34" s="18">
        <v>64.08</v>
      </c>
      <c r="E34" s="18">
        <v>64.08</v>
      </c>
      <c r="F34" s="18">
        <v>64.16</v>
      </c>
      <c r="G34" s="18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  <c r="BK34" s="14"/>
      <c r="BL34" s="14"/>
      <c r="BM34" s="14"/>
      <c r="BN34" s="14"/>
      <c r="BO34" s="14"/>
      <c r="BP34" s="14"/>
      <c r="BQ34" s="14"/>
      <c r="BR34" s="14"/>
      <c r="BS34" s="14"/>
      <c r="BT34" s="14"/>
      <c r="BU34" s="14"/>
      <c r="BV34" s="14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</row>
    <row r="35" spans="1:115" ht="30" customHeight="1" x14ac:dyDescent="0.25">
      <c r="A35" s="14" t="s">
        <v>373</v>
      </c>
      <c r="B35" s="14">
        <v>830.978515625</v>
      </c>
      <c r="C35" s="18">
        <v>827.09400000000005</v>
      </c>
      <c r="D35" s="18">
        <v>784.22559999999999</v>
      </c>
      <c r="E35" s="18">
        <v>800.62580000000003</v>
      </c>
      <c r="F35" s="18">
        <v>718.76995999999997</v>
      </c>
      <c r="G35" s="18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K35" s="14"/>
      <c r="BL35" s="14"/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</row>
    <row r="36" spans="1:115" ht="30" customHeight="1" x14ac:dyDescent="0.25">
      <c r="A36" s="14" t="s">
        <v>110</v>
      </c>
      <c r="B36" s="14">
        <v>272.54998779296875</v>
      </c>
      <c r="C36" s="18">
        <v>286.14</v>
      </c>
      <c r="D36" s="18">
        <v>286.14</v>
      </c>
      <c r="E36" s="18">
        <v>286.14</v>
      </c>
      <c r="F36" s="18">
        <v>395.85</v>
      </c>
      <c r="G36" s="18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/>
      <c r="AZ36" s="14"/>
      <c r="BA36" s="14"/>
      <c r="BB36" s="14"/>
      <c r="BC36" s="14"/>
      <c r="BD36" s="14"/>
      <c r="BE36" s="14"/>
      <c r="BF36" s="14"/>
      <c r="BG36" s="14"/>
      <c r="BH36" s="14"/>
      <c r="BI36" s="14"/>
      <c r="BJ36" s="14"/>
      <c r="BK36" s="14"/>
      <c r="BL36" s="14"/>
      <c r="BM36" s="14"/>
      <c r="BN36" s="14"/>
      <c r="BO36" s="14"/>
      <c r="BP36" s="14"/>
      <c r="BQ36" s="14"/>
      <c r="BR36" s="14"/>
      <c r="BS36" s="14"/>
      <c r="BT36" s="14"/>
      <c r="BU36" s="14"/>
      <c r="BV36" s="14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</row>
    <row r="37" spans="1:115" ht="30" customHeight="1" x14ac:dyDescent="0.25">
      <c r="A37" s="14" t="s">
        <v>111</v>
      </c>
      <c r="B37" s="14">
        <v>6.940000057220459</v>
      </c>
      <c r="C37" s="18">
        <v>6.79</v>
      </c>
      <c r="D37" s="18">
        <v>6.79</v>
      </c>
      <c r="E37" s="18">
        <v>6.79</v>
      </c>
      <c r="F37" s="18">
        <v>6.8</v>
      </c>
      <c r="G37" s="18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  <c r="BP37" s="14"/>
      <c r="BQ37" s="14"/>
      <c r="BR37" s="14"/>
      <c r="BS37" s="14"/>
      <c r="BT37" s="14"/>
      <c r="BU37" s="14"/>
      <c r="BV37" s="14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</row>
    <row r="38" spans="1:115" ht="30" customHeight="1" x14ac:dyDescent="0.25">
      <c r="A38" s="15" t="s">
        <v>112</v>
      </c>
      <c r="B38" s="15">
        <v>192.64999389648438</v>
      </c>
      <c r="C38" s="18">
        <v>195.62</v>
      </c>
      <c r="D38" s="18">
        <v>195.62</v>
      </c>
      <c r="E38" s="18">
        <v>195.62</v>
      </c>
      <c r="F38" s="18">
        <v>196.38</v>
      </c>
      <c r="G38" s="18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  <c r="CA38" s="15"/>
      <c r="CB38" s="15"/>
      <c r="CC38" s="15"/>
      <c r="CD38" s="15"/>
      <c r="CE38" s="15"/>
      <c r="CF38" s="15"/>
      <c r="CG38" s="15"/>
      <c r="CH38" s="15"/>
      <c r="CI38" s="15"/>
      <c r="CJ38" s="15"/>
      <c r="CK38" s="15"/>
      <c r="CL38" s="15"/>
      <c r="CM38" s="15"/>
      <c r="CN38" s="15"/>
      <c r="CO38" s="15"/>
      <c r="CP38" s="15"/>
      <c r="CQ38" s="15"/>
      <c r="CR38" s="15"/>
      <c r="CS38" s="15"/>
      <c r="CT38" s="15"/>
      <c r="CU38" s="15"/>
      <c r="CV38" s="15"/>
      <c r="CW38" s="15"/>
      <c r="CX38" s="15"/>
      <c r="CY38" s="15"/>
      <c r="CZ38" s="15"/>
      <c r="DA38" s="15"/>
      <c r="DB38" s="15"/>
      <c r="DC38" s="15"/>
      <c r="DD38" s="15"/>
      <c r="DE38" s="15"/>
      <c r="DF38" s="15"/>
      <c r="DG38" s="15"/>
      <c r="DH38" s="15"/>
      <c r="DI38" s="15"/>
      <c r="DJ38" s="15"/>
      <c r="DK38" s="15"/>
    </row>
    <row r="39" spans="1:115" ht="30" customHeight="1" x14ac:dyDescent="0.25">
      <c r="A39" s="15" t="s">
        <v>113</v>
      </c>
      <c r="B39" s="15">
        <v>42.25</v>
      </c>
      <c r="C39" s="18">
        <v>42.7</v>
      </c>
      <c r="D39" s="18">
        <v>42.7</v>
      </c>
      <c r="E39" s="18">
        <v>42.7</v>
      </c>
      <c r="F39" s="18">
        <v>41.93</v>
      </c>
      <c r="G39" s="18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  <c r="CA39" s="15"/>
      <c r="CB39" s="15"/>
      <c r="CC39" s="15"/>
      <c r="CD39" s="15"/>
      <c r="CE39" s="15"/>
      <c r="CF39" s="15"/>
      <c r="CG39" s="15"/>
      <c r="CH39" s="15"/>
      <c r="CI39" s="15"/>
      <c r="CJ39" s="15"/>
      <c r="CK39" s="15"/>
      <c r="CL39" s="15"/>
      <c r="CM39" s="15"/>
      <c r="CN39" s="15"/>
      <c r="CO39" s="15"/>
      <c r="CP39" s="15"/>
      <c r="CQ39" s="15"/>
      <c r="CR39" s="15"/>
      <c r="CS39" s="15"/>
      <c r="CT39" s="15"/>
      <c r="CU39" s="15"/>
      <c r="CV39" s="15"/>
      <c r="CW39" s="15"/>
      <c r="CX39" s="15"/>
      <c r="CY39" s="15"/>
      <c r="CZ39" s="15"/>
      <c r="DA39" s="15"/>
      <c r="DB39" s="15"/>
      <c r="DC39" s="15"/>
      <c r="DD39" s="15"/>
      <c r="DE39" s="15"/>
      <c r="DF39" s="15"/>
      <c r="DG39" s="15"/>
      <c r="DH39" s="15"/>
      <c r="DI39" s="15"/>
      <c r="DJ39" s="15"/>
      <c r="DK39" s="15"/>
    </row>
    <row r="40" spans="1:115" ht="30" customHeight="1" x14ac:dyDescent="0.25">
      <c r="A40" s="15" t="s">
        <v>114</v>
      </c>
      <c r="B40" s="15">
        <v>881.010009765625</v>
      </c>
      <c r="C40" s="18">
        <v>886.85</v>
      </c>
      <c r="D40" s="18">
        <v>886.85</v>
      </c>
      <c r="E40" s="18">
        <v>886.85</v>
      </c>
      <c r="F40" s="18">
        <v>884.96</v>
      </c>
      <c r="G40" s="18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  <c r="CA40" s="15"/>
      <c r="CB40" s="15"/>
      <c r="CC40" s="15"/>
      <c r="CD40" s="15"/>
      <c r="CE40" s="15"/>
      <c r="CF40" s="15"/>
      <c r="CG40" s="15"/>
      <c r="CH40" s="15"/>
      <c r="CI40" s="15"/>
      <c r="CJ40" s="15"/>
      <c r="CK40" s="15"/>
      <c r="CL40" s="15"/>
      <c r="CM40" s="15"/>
      <c r="CN40" s="15"/>
      <c r="CO40" s="15"/>
      <c r="CP40" s="15"/>
      <c r="CQ40" s="15"/>
      <c r="CR40" s="15"/>
      <c r="CS40" s="15"/>
      <c r="CT40" s="15"/>
      <c r="CU40" s="15"/>
      <c r="CV40" s="15"/>
      <c r="CW40" s="15"/>
      <c r="CX40" s="15"/>
      <c r="CY40" s="15"/>
      <c r="CZ40" s="15"/>
      <c r="DA40" s="15"/>
      <c r="DB40" s="15"/>
      <c r="DC40" s="15"/>
      <c r="DD40" s="15"/>
      <c r="DE40" s="15"/>
      <c r="DF40" s="15"/>
      <c r="DG40" s="15"/>
      <c r="DH40" s="15"/>
      <c r="DI40" s="15"/>
      <c r="DJ40" s="15"/>
      <c r="DK40" s="15"/>
    </row>
    <row r="41" spans="1:115" ht="30" customHeight="1" x14ac:dyDescent="0.25">
      <c r="A41" s="15" t="s">
        <v>115</v>
      </c>
      <c r="B41" s="15">
        <v>38</v>
      </c>
      <c r="C41" s="18">
        <v>38.4</v>
      </c>
      <c r="D41" s="18">
        <v>38.4</v>
      </c>
      <c r="E41" s="18">
        <v>38.4</v>
      </c>
      <c r="F41" s="18">
        <v>39.11</v>
      </c>
      <c r="G41" s="18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  <c r="CA41" s="15"/>
      <c r="CB41" s="15"/>
      <c r="CC41" s="15"/>
      <c r="CD41" s="15"/>
      <c r="CE41" s="15"/>
      <c r="CF41" s="15"/>
      <c r="CG41" s="15"/>
      <c r="CH41" s="15"/>
      <c r="CI41" s="15"/>
      <c r="CJ41" s="15"/>
      <c r="CK41" s="15"/>
      <c r="CL41" s="15"/>
      <c r="CM41" s="15"/>
      <c r="CN41" s="15"/>
      <c r="CO41" s="15"/>
      <c r="CP41" s="15"/>
      <c r="CQ41" s="15"/>
      <c r="CR41" s="15"/>
      <c r="CS41" s="15"/>
      <c r="CT41" s="15"/>
      <c r="CU41" s="15"/>
      <c r="CV41" s="15"/>
      <c r="CW41" s="15"/>
      <c r="CX41" s="15"/>
      <c r="CY41" s="15"/>
      <c r="CZ41" s="15"/>
      <c r="DA41" s="15"/>
      <c r="DB41" s="15"/>
      <c r="DC41" s="15"/>
      <c r="DD41" s="15"/>
      <c r="DE41" s="15"/>
      <c r="DF41" s="15"/>
      <c r="DG41" s="15"/>
      <c r="DH41" s="15"/>
      <c r="DI41" s="15"/>
      <c r="DJ41" s="15"/>
      <c r="DK41" s="15"/>
    </row>
    <row r="42" spans="1:115" ht="30" customHeight="1" x14ac:dyDescent="0.25">
      <c r="A42" s="15" t="s">
        <v>374</v>
      </c>
      <c r="B42" s="15">
        <v>484.33291625976563</v>
      </c>
      <c r="C42" s="18">
        <v>493.32499999999999</v>
      </c>
      <c r="D42" s="18">
        <v>470.79919999999998</v>
      </c>
      <c r="E42" s="18">
        <v>479.94524999999999</v>
      </c>
      <c r="F42" s="18">
        <v>435.27980000000002</v>
      </c>
      <c r="G42" s="18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  <c r="CA42" s="15"/>
      <c r="CB42" s="15"/>
      <c r="CC42" s="15"/>
      <c r="CD42" s="15"/>
      <c r="CE42" s="15"/>
      <c r="CF42" s="15"/>
      <c r="CG42" s="15"/>
      <c r="CH42" s="15"/>
      <c r="CI42" s="15"/>
      <c r="CJ42" s="15"/>
      <c r="CK42" s="15"/>
      <c r="CL42" s="15"/>
      <c r="CM42" s="15"/>
      <c r="CN42" s="15"/>
      <c r="CO42" s="15"/>
      <c r="CP42" s="15"/>
      <c r="CQ42" s="15"/>
      <c r="CR42" s="15"/>
      <c r="CS42" s="15"/>
      <c r="CT42" s="15"/>
      <c r="CU42" s="15"/>
      <c r="CV42" s="15"/>
      <c r="CW42" s="15"/>
      <c r="CX42" s="15"/>
      <c r="CY42" s="15"/>
      <c r="CZ42" s="15"/>
      <c r="DA42" s="15"/>
      <c r="DB42" s="15"/>
      <c r="DC42" s="15"/>
      <c r="DD42" s="15"/>
      <c r="DE42" s="15"/>
      <c r="DF42" s="15"/>
      <c r="DG42" s="15"/>
      <c r="DH42" s="15"/>
      <c r="DI42" s="15"/>
      <c r="DJ42" s="15"/>
      <c r="DK42" s="15"/>
    </row>
    <row r="43" spans="1:115" ht="30" customHeight="1" x14ac:dyDescent="0.25">
      <c r="A43" s="15" t="s">
        <v>50</v>
      </c>
      <c r="B43" s="15">
        <v>85.050003051757813</v>
      </c>
      <c r="C43" s="18">
        <v>85.39</v>
      </c>
      <c r="D43" s="18">
        <v>85.39</v>
      </c>
      <c r="E43" s="18">
        <v>85.39</v>
      </c>
      <c r="F43" s="18">
        <v>85.33</v>
      </c>
      <c r="G43" s="18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  <c r="CA43" s="15"/>
      <c r="CB43" s="15"/>
      <c r="CC43" s="15"/>
      <c r="CD43" s="15"/>
      <c r="CE43" s="15"/>
      <c r="CF43" s="15"/>
      <c r="CG43" s="15"/>
      <c r="CH43" s="15"/>
      <c r="CI43" s="15"/>
      <c r="CJ43" s="15"/>
      <c r="CK43" s="15"/>
      <c r="CL43" s="15"/>
      <c r="CM43" s="15"/>
      <c r="CN43" s="15"/>
      <c r="CO43" s="15"/>
      <c r="CP43" s="15"/>
      <c r="CQ43" s="15"/>
      <c r="CR43" s="15"/>
      <c r="CS43" s="15"/>
      <c r="CT43" s="15"/>
      <c r="CU43" s="15"/>
      <c r="CV43" s="15"/>
      <c r="CW43" s="15"/>
      <c r="CX43" s="15"/>
      <c r="CY43" s="15"/>
      <c r="CZ43" s="15"/>
      <c r="DA43" s="15"/>
      <c r="DB43" s="15"/>
      <c r="DC43" s="15"/>
      <c r="DD43" s="15"/>
      <c r="DE43" s="15"/>
      <c r="DF43" s="15"/>
      <c r="DG43" s="15"/>
      <c r="DH43" s="15"/>
      <c r="DI43" s="15"/>
      <c r="DJ43" s="15"/>
      <c r="DK43" s="15"/>
    </row>
    <row r="44" spans="1:115" ht="30" customHeight="1" x14ac:dyDescent="0.25">
      <c r="A44" s="15" t="s">
        <v>116</v>
      </c>
      <c r="B44" s="15">
        <v>75.610000610351563</v>
      </c>
      <c r="C44" s="18">
        <v>73.02</v>
      </c>
      <c r="D44" s="18">
        <v>73.02</v>
      </c>
      <c r="E44" s="18">
        <v>73.02</v>
      </c>
      <c r="F44" s="18">
        <v>73.3</v>
      </c>
      <c r="G44" s="18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  <c r="CA44" s="15"/>
      <c r="CB44" s="15"/>
      <c r="CC44" s="15"/>
      <c r="CD44" s="15"/>
      <c r="CE44" s="15"/>
      <c r="CF44" s="15"/>
      <c r="CG44" s="15"/>
      <c r="CH44" s="15"/>
      <c r="CI44" s="15"/>
      <c r="CJ44" s="15"/>
      <c r="CK44" s="15"/>
      <c r="CL44" s="15"/>
      <c r="CM44" s="15"/>
      <c r="CN44" s="15"/>
      <c r="CO44" s="15"/>
      <c r="CP44" s="15"/>
      <c r="CQ44" s="15"/>
      <c r="CR44" s="15"/>
      <c r="CS44" s="15"/>
      <c r="CT44" s="15"/>
      <c r="CU44" s="15"/>
      <c r="CV44" s="15"/>
      <c r="CW44" s="15"/>
      <c r="CX44" s="15"/>
      <c r="CY44" s="15"/>
      <c r="CZ44" s="15"/>
      <c r="DA44" s="15"/>
      <c r="DB44" s="15"/>
      <c r="DC44" s="15"/>
      <c r="DD44" s="15"/>
      <c r="DE44" s="15"/>
      <c r="DF44" s="15"/>
      <c r="DG44" s="15"/>
      <c r="DH44" s="15"/>
      <c r="DI44" s="15"/>
      <c r="DJ44" s="15"/>
      <c r="DK44" s="15"/>
    </row>
    <row r="45" spans="1:115" ht="30" customHeight="1" x14ac:dyDescent="0.25">
      <c r="A45" s="15" t="s">
        <v>375</v>
      </c>
      <c r="B45" s="15">
        <v>45908.48046875</v>
      </c>
      <c r="C45" s="18">
        <v>45534.483999999997</v>
      </c>
      <c r="D45" s="18">
        <v>42969.71</v>
      </c>
      <c r="E45" s="18">
        <v>43851.15</v>
      </c>
      <c r="F45" s="18">
        <v>40703.203000000001</v>
      </c>
      <c r="G45" s="18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  <c r="CA45" s="15"/>
      <c r="CB45" s="15"/>
      <c r="CC45" s="15"/>
      <c r="CD45" s="15"/>
      <c r="CE45" s="15"/>
      <c r="CF45" s="15"/>
      <c r="CG45" s="15"/>
      <c r="CH45" s="15"/>
      <c r="CI45" s="15"/>
      <c r="CJ45" s="15"/>
      <c r="CK45" s="15"/>
      <c r="CL45" s="15"/>
      <c r="CM45" s="15"/>
      <c r="CN45" s="15"/>
      <c r="CO45" s="15"/>
      <c r="CP45" s="15"/>
      <c r="CQ45" s="15"/>
      <c r="CR45" s="15"/>
      <c r="CS45" s="15"/>
      <c r="CT45" s="15"/>
      <c r="CU45" s="15"/>
      <c r="CV45" s="15"/>
      <c r="CW45" s="15"/>
      <c r="CX45" s="15"/>
      <c r="CY45" s="15"/>
      <c r="CZ45" s="15"/>
      <c r="DA45" s="15"/>
      <c r="DB45" s="15"/>
      <c r="DC45" s="15"/>
      <c r="DD45" s="15"/>
      <c r="DE45" s="15"/>
      <c r="DF45" s="15"/>
      <c r="DG45" s="15"/>
      <c r="DH45" s="15"/>
      <c r="DI45" s="15"/>
      <c r="DJ45" s="15"/>
      <c r="DK45" s="15"/>
    </row>
    <row r="46" spans="1:115" ht="30" customHeight="1" x14ac:dyDescent="0.25">
      <c r="A46" s="15" t="s">
        <v>117</v>
      </c>
      <c r="B46" s="15">
        <v>39.080001831054688</v>
      </c>
      <c r="C46" s="18">
        <v>39.049999999999997</v>
      </c>
      <c r="D46" s="18">
        <v>39.049999999999997</v>
      </c>
      <c r="E46" s="18">
        <v>39.049999999999997</v>
      </c>
      <c r="F46" s="18">
        <v>39.93</v>
      </c>
      <c r="G46" s="18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  <c r="CA46" s="15"/>
      <c r="CB46" s="15"/>
      <c r="CC46" s="15"/>
      <c r="CD46" s="15"/>
      <c r="CE46" s="15"/>
      <c r="CF46" s="15"/>
      <c r="CG46" s="15"/>
      <c r="CH46" s="15"/>
      <c r="CI46" s="15"/>
      <c r="CJ46" s="15"/>
      <c r="CK46" s="15"/>
      <c r="CL46" s="15"/>
      <c r="CM46" s="15"/>
      <c r="CN46" s="15"/>
      <c r="CO46" s="15"/>
      <c r="CP46" s="15"/>
      <c r="CQ46" s="15"/>
      <c r="CR46" s="15"/>
      <c r="CS46" s="15"/>
      <c r="CT46" s="15"/>
      <c r="CU46" s="15"/>
      <c r="CV46" s="15"/>
      <c r="CW46" s="15"/>
      <c r="CX46" s="15"/>
      <c r="CY46" s="15"/>
      <c r="CZ46" s="15"/>
      <c r="DA46" s="15"/>
      <c r="DB46" s="15"/>
      <c r="DC46" s="15"/>
      <c r="DD46" s="15"/>
      <c r="DE46" s="15"/>
      <c r="DF46" s="15"/>
      <c r="DG46" s="15"/>
      <c r="DH46" s="15"/>
      <c r="DI46" s="15"/>
      <c r="DJ46" s="15"/>
      <c r="DK46" s="15"/>
    </row>
    <row r="47" spans="1:115" ht="30" customHeight="1" x14ac:dyDescent="0.25">
      <c r="A47" s="15" t="s">
        <v>118</v>
      </c>
      <c r="B47" s="15">
        <v>7.820000171661377</v>
      </c>
      <c r="C47" s="18">
        <v>8.3000000000000007</v>
      </c>
      <c r="D47" s="18">
        <v>8.3000000000000007</v>
      </c>
      <c r="E47" s="18">
        <v>8.3000000000000007</v>
      </c>
      <c r="F47" s="18">
        <v>7.63</v>
      </c>
      <c r="G47" s="18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  <c r="CA47" s="15"/>
      <c r="CB47" s="15"/>
      <c r="CC47" s="15"/>
      <c r="CD47" s="15"/>
      <c r="CE47" s="15"/>
      <c r="CF47" s="15"/>
      <c r="CG47" s="15"/>
      <c r="CH47" s="15"/>
      <c r="CI47" s="15"/>
      <c r="CJ47" s="15"/>
      <c r="CK47" s="15"/>
      <c r="CL47" s="15"/>
      <c r="CM47" s="15"/>
      <c r="CN47" s="15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15"/>
      <c r="DA47" s="15"/>
      <c r="DB47" s="15"/>
      <c r="DC47" s="15"/>
      <c r="DD47" s="15"/>
      <c r="DE47" s="15"/>
      <c r="DF47" s="15"/>
      <c r="DG47" s="15"/>
      <c r="DH47" s="15"/>
      <c r="DI47" s="15"/>
      <c r="DJ47" s="15"/>
      <c r="DK47" s="15"/>
    </row>
    <row r="48" spans="1:115" ht="30" customHeight="1" x14ac:dyDescent="0.25">
      <c r="A48" s="15" t="s">
        <v>119</v>
      </c>
      <c r="B48" s="15">
        <v>76.339996337890625</v>
      </c>
      <c r="C48" s="18">
        <v>76.790000000000006</v>
      </c>
      <c r="D48" s="18">
        <v>76.790000000000006</v>
      </c>
      <c r="E48" s="18">
        <v>76.790000000000006</v>
      </c>
      <c r="F48" s="18">
        <v>78.19</v>
      </c>
      <c r="G48" s="18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  <c r="CA48" s="15"/>
      <c r="CB48" s="15"/>
      <c r="CC48" s="15"/>
      <c r="CD48" s="15"/>
      <c r="CE48" s="15"/>
      <c r="CF48" s="15"/>
      <c r="CG48" s="15"/>
      <c r="CH48" s="15"/>
      <c r="CI48" s="15"/>
      <c r="CJ48" s="15"/>
      <c r="CK48" s="15"/>
      <c r="CL48" s="15"/>
      <c r="CM48" s="15"/>
      <c r="CN48" s="15"/>
      <c r="CO48" s="15"/>
      <c r="CP48" s="15"/>
      <c r="CQ48" s="15"/>
      <c r="CR48" s="15"/>
      <c r="CS48" s="15"/>
      <c r="CT48" s="15"/>
      <c r="CU48" s="15"/>
      <c r="CV48" s="15"/>
      <c r="CW48" s="15"/>
      <c r="CX48" s="15"/>
      <c r="CY48" s="15"/>
      <c r="CZ48" s="15"/>
      <c r="DA48" s="15"/>
      <c r="DB48" s="15"/>
      <c r="DC48" s="15"/>
      <c r="DD48" s="15"/>
      <c r="DE48" s="15"/>
      <c r="DF48" s="15"/>
      <c r="DG48" s="15"/>
      <c r="DH48" s="15"/>
      <c r="DI48" s="15"/>
      <c r="DJ48" s="15"/>
      <c r="DK48" s="15"/>
    </row>
    <row r="49" spans="1:115" ht="30" customHeight="1" x14ac:dyDescent="0.25">
      <c r="A49" s="15" t="s">
        <v>120</v>
      </c>
      <c r="B49" s="15">
        <v>120.12000274658203</v>
      </c>
      <c r="C49" s="18">
        <v>120.27</v>
      </c>
      <c r="D49" s="18">
        <v>120.27</v>
      </c>
      <c r="E49" s="18">
        <v>120.27</v>
      </c>
      <c r="F49" s="18">
        <v>123.15</v>
      </c>
      <c r="G49" s="18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  <c r="CA49" s="15"/>
      <c r="CB49" s="15"/>
      <c r="CC49" s="15"/>
      <c r="CD49" s="15"/>
      <c r="CE49" s="15"/>
      <c r="CF49" s="15"/>
      <c r="CG49" s="15"/>
      <c r="CH49" s="15"/>
      <c r="CI49" s="15"/>
      <c r="CJ49" s="15"/>
      <c r="CK49" s="15"/>
      <c r="CL49" s="15"/>
      <c r="CM49" s="15"/>
      <c r="CN49" s="15"/>
      <c r="CO49" s="15"/>
      <c r="CP49" s="15"/>
      <c r="CQ49" s="15"/>
      <c r="CR49" s="15"/>
      <c r="CS49" s="15"/>
      <c r="CT49" s="15"/>
      <c r="CU49" s="15"/>
      <c r="CV49" s="15"/>
      <c r="CW49" s="15"/>
      <c r="CX49" s="15"/>
      <c r="CY49" s="15"/>
      <c r="CZ49" s="15"/>
      <c r="DA49" s="15"/>
      <c r="DB49" s="15"/>
      <c r="DC49" s="15"/>
      <c r="DD49" s="15"/>
      <c r="DE49" s="15"/>
      <c r="DF49" s="15"/>
      <c r="DG49" s="15"/>
      <c r="DH49" s="15"/>
      <c r="DI49" s="15"/>
      <c r="DJ49" s="15"/>
      <c r="DK49" s="15"/>
    </row>
    <row r="50" spans="1:115" ht="30" customHeight="1" x14ac:dyDescent="0.25">
      <c r="A50" s="15" t="s">
        <v>121</v>
      </c>
      <c r="B50" s="15">
        <v>23.059999465942383</v>
      </c>
      <c r="C50" s="18">
        <v>23.49</v>
      </c>
      <c r="D50" s="18">
        <v>23.49</v>
      </c>
      <c r="E50" s="18">
        <v>23.49</v>
      </c>
      <c r="F50" s="18">
        <v>23.55</v>
      </c>
      <c r="G50" s="18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  <c r="CA50" s="15"/>
      <c r="CB50" s="15"/>
      <c r="CC50" s="15"/>
      <c r="CD50" s="15"/>
      <c r="CE50" s="15"/>
      <c r="CF50" s="15"/>
      <c r="CG50" s="15"/>
      <c r="CH50" s="15"/>
      <c r="CI50" s="15"/>
      <c r="CJ50" s="15"/>
      <c r="CK50" s="15"/>
      <c r="CL50" s="15"/>
      <c r="CM50" s="15"/>
      <c r="CN50" s="15"/>
      <c r="CO50" s="15"/>
      <c r="CP50" s="15"/>
      <c r="CQ50" s="15"/>
      <c r="CR50" s="15"/>
      <c r="CS50" s="15"/>
      <c r="CT50" s="15"/>
      <c r="CU50" s="15"/>
      <c r="CV50" s="15"/>
      <c r="CW50" s="15"/>
      <c r="CX50" s="15"/>
      <c r="CY50" s="15"/>
      <c r="CZ50" s="15"/>
      <c r="DA50" s="15"/>
      <c r="DB50" s="15"/>
      <c r="DC50" s="15"/>
      <c r="DD50" s="15"/>
      <c r="DE50" s="15"/>
      <c r="DF50" s="15"/>
      <c r="DG50" s="15"/>
      <c r="DH50" s="15"/>
      <c r="DI50" s="15"/>
      <c r="DJ50" s="15"/>
      <c r="DK50" s="15"/>
    </row>
    <row r="51" spans="1:115" ht="30" customHeight="1" x14ac:dyDescent="0.25">
      <c r="A51" s="15" t="s">
        <v>122</v>
      </c>
      <c r="B51" s="15">
        <v>56.349998474121094</v>
      </c>
      <c r="C51" s="18">
        <v>56.56</v>
      </c>
      <c r="D51" s="18">
        <v>56.56</v>
      </c>
      <c r="E51" s="18">
        <v>56.56</v>
      </c>
      <c r="F51" s="18">
        <v>58.9</v>
      </c>
      <c r="G51" s="18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  <c r="CA51" s="15"/>
      <c r="CB51" s="15"/>
      <c r="CC51" s="15"/>
      <c r="CD51" s="15"/>
      <c r="CE51" s="15"/>
      <c r="CF51" s="15"/>
      <c r="CG51" s="15"/>
      <c r="CH51" s="15"/>
      <c r="CI51" s="15"/>
      <c r="CJ51" s="15"/>
      <c r="CK51" s="15"/>
      <c r="CL51" s="15"/>
      <c r="CM51" s="15"/>
      <c r="CN51" s="15"/>
      <c r="CO51" s="15"/>
      <c r="CP51" s="15"/>
      <c r="CQ51" s="15"/>
      <c r="CR51" s="15"/>
      <c r="CS51" s="15"/>
      <c r="CT51" s="15"/>
      <c r="CU51" s="15"/>
      <c r="CV51" s="15"/>
      <c r="CW51" s="15"/>
      <c r="CX51" s="15"/>
      <c r="CY51" s="15"/>
      <c r="CZ51" s="15"/>
      <c r="DA51" s="15"/>
      <c r="DB51" s="15"/>
      <c r="DC51" s="15"/>
      <c r="DD51" s="15"/>
      <c r="DE51" s="15"/>
      <c r="DF51" s="15"/>
      <c r="DG51" s="15"/>
      <c r="DH51" s="15"/>
      <c r="DI51" s="15"/>
      <c r="DJ51" s="15"/>
      <c r="DK51" s="15"/>
    </row>
    <row r="52" spans="1:115" ht="30" customHeight="1" x14ac:dyDescent="0.25">
      <c r="A52" s="15" t="s">
        <v>123</v>
      </c>
      <c r="B52" s="15">
        <v>19.559999465942383</v>
      </c>
      <c r="C52" s="18">
        <v>19.21</v>
      </c>
      <c r="D52" s="18">
        <v>19.21</v>
      </c>
      <c r="E52" s="18">
        <v>19.21</v>
      </c>
      <c r="F52" s="18">
        <v>19.45</v>
      </c>
      <c r="G52" s="18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  <c r="CA52" s="15"/>
      <c r="CB52" s="15"/>
      <c r="CC52" s="15"/>
      <c r="CD52" s="15"/>
      <c r="CE52" s="15"/>
      <c r="CF52" s="15"/>
      <c r="CG52" s="15"/>
      <c r="CH52" s="15"/>
      <c r="CI52" s="15"/>
      <c r="CJ52" s="15"/>
      <c r="CK52" s="15"/>
      <c r="CL52" s="15"/>
      <c r="CM52" s="15"/>
      <c r="CN52" s="15"/>
      <c r="CO52" s="15"/>
      <c r="CP52" s="15"/>
      <c r="CQ52" s="15"/>
      <c r="CR52" s="15"/>
      <c r="CS52" s="15"/>
      <c r="CT52" s="15"/>
      <c r="CU52" s="15"/>
      <c r="CV52" s="15"/>
      <c r="CW52" s="15"/>
      <c r="CX52" s="15"/>
      <c r="CY52" s="15"/>
      <c r="CZ52" s="15"/>
      <c r="DA52" s="15"/>
      <c r="DB52" s="15"/>
      <c r="DC52" s="15"/>
      <c r="DD52" s="15"/>
      <c r="DE52" s="15"/>
      <c r="DF52" s="15"/>
      <c r="DG52" s="15"/>
      <c r="DH52" s="15"/>
      <c r="DI52" s="15"/>
      <c r="DJ52" s="15"/>
      <c r="DK52" s="15"/>
    </row>
    <row r="53" spans="1:115" ht="30" customHeight="1" x14ac:dyDescent="0.25">
      <c r="A53" s="15" t="s">
        <v>124</v>
      </c>
      <c r="B53" s="15">
        <v>20.979999542236328</v>
      </c>
      <c r="C53" s="18">
        <v>21.42</v>
      </c>
      <c r="D53" s="18">
        <v>21.42</v>
      </c>
      <c r="E53" s="18">
        <v>21.42</v>
      </c>
      <c r="F53" s="18">
        <v>21.59</v>
      </c>
      <c r="G53" s="18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  <c r="CA53" s="15"/>
      <c r="CB53" s="15"/>
      <c r="CC53" s="15"/>
      <c r="CD53" s="15"/>
      <c r="CE53" s="15"/>
      <c r="CF53" s="15"/>
      <c r="CG53" s="15"/>
      <c r="CH53" s="15"/>
      <c r="CI53" s="15"/>
      <c r="CJ53" s="15"/>
      <c r="CK53" s="15"/>
      <c r="CL53" s="15"/>
      <c r="CM53" s="15"/>
      <c r="CN53" s="15"/>
      <c r="CO53" s="15"/>
      <c r="CP53" s="15"/>
      <c r="CQ53" s="15"/>
      <c r="CR53" s="15"/>
      <c r="CS53" s="15"/>
      <c r="CT53" s="15"/>
      <c r="CU53" s="15"/>
      <c r="CV53" s="15"/>
      <c r="CW53" s="15"/>
      <c r="CX53" s="15"/>
      <c r="CY53" s="15"/>
      <c r="CZ53" s="15"/>
      <c r="DA53" s="15"/>
      <c r="DB53" s="15"/>
      <c r="DC53" s="15"/>
      <c r="DD53" s="15"/>
      <c r="DE53" s="15"/>
      <c r="DF53" s="15"/>
      <c r="DG53" s="15"/>
      <c r="DH53" s="15"/>
      <c r="DI53" s="15"/>
      <c r="DJ53" s="15"/>
      <c r="DK53" s="15"/>
    </row>
    <row r="54" spans="1:115" ht="30" customHeight="1" x14ac:dyDescent="0.25">
      <c r="A54" s="15" t="s">
        <v>125</v>
      </c>
      <c r="B54" s="15">
        <v>100.59999847412109</v>
      </c>
      <c r="C54" s="18">
        <v>100.44</v>
      </c>
      <c r="D54" s="18">
        <v>100.44</v>
      </c>
      <c r="E54" s="18">
        <v>100.44</v>
      </c>
      <c r="F54" s="18">
        <v>99.59</v>
      </c>
      <c r="G54" s="18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  <c r="CA54" s="15"/>
      <c r="CB54" s="15"/>
      <c r="CC54" s="15"/>
      <c r="CD54" s="15"/>
      <c r="CE54" s="15"/>
      <c r="CF54" s="15"/>
      <c r="CG54" s="15"/>
      <c r="CH54" s="15"/>
      <c r="CI54" s="15"/>
      <c r="CJ54" s="15"/>
      <c r="CK54" s="15"/>
      <c r="CL54" s="15"/>
      <c r="CM54" s="15"/>
      <c r="CN54" s="15"/>
      <c r="CO54" s="15"/>
      <c r="CP54" s="15"/>
      <c r="CQ54" s="15"/>
      <c r="CR54" s="15"/>
      <c r="CS54" s="15"/>
      <c r="CT54" s="15"/>
      <c r="CU54" s="15"/>
      <c r="CV54" s="15"/>
      <c r="CW54" s="15"/>
      <c r="CX54" s="15"/>
      <c r="CY54" s="15"/>
      <c r="CZ54" s="15"/>
      <c r="DA54" s="15"/>
      <c r="DB54" s="15"/>
      <c r="DC54" s="15"/>
      <c r="DD54" s="15"/>
      <c r="DE54" s="15"/>
      <c r="DF54" s="15"/>
      <c r="DG54" s="15"/>
      <c r="DH54" s="15"/>
      <c r="DI54" s="15"/>
      <c r="DJ54" s="15"/>
      <c r="DK54" s="15"/>
    </row>
    <row r="55" spans="1:115" ht="30" customHeight="1" x14ac:dyDescent="0.25">
      <c r="A55" s="15" t="s">
        <v>126</v>
      </c>
      <c r="B55" s="15">
        <v>12.829999923706055</v>
      </c>
      <c r="C55" s="18">
        <v>12.86</v>
      </c>
      <c r="D55" s="18">
        <v>12.86</v>
      </c>
      <c r="E55" s="18">
        <v>12.86</v>
      </c>
      <c r="F55" s="18">
        <v>12.65</v>
      </c>
      <c r="G55" s="18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  <c r="CA55" s="15"/>
      <c r="CB55" s="15"/>
      <c r="CC55" s="15"/>
      <c r="CD55" s="15"/>
      <c r="CE55" s="15"/>
      <c r="CF55" s="15"/>
      <c r="CG55" s="15"/>
      <c r="CH55" s="15"/>
      <c r="CI55" s="15"/>
      <c r="CJ55" s="15"/>
      <c r="CK55" s="15"/>
      <c r="CL55" s="15"/>
      <c r="CM55" s="15"/>
      <c r="CN55" s="15"/>
      <c r="CO55" s="15"/>
      <c r="CP55" s="15"/>
      <c r="CQ55" s="15"/>
      <c r="CR55" s="15"/>
      <c r="CS55" s="15"/>
      <c r="CT55" s="15"/>
      <c r="CU55" s="15"/>
      <c r="CV55" s="15"/>
      <c r="CW55" s="15"/>
      <c r="CX55" s="15"/>
      <c r="CY55" s="15"/>
      <c r="CZ55" s="15"/>
      <c r="DA55" s="15"/>
      <c r="DB55" s="15"/>
      <c r="DC55" s="15"/>
      <c r="DD55" s="15"/>
      <c r="DE55" s="15"/>
      <c r="DF55" s="15"/>
      <c r="DG55" s="15"/>
      <c r="DH55" s="15"/>
      <c r="DI55" s="15"/>
      <c r="DJ55" s="15"/>
      <c r="DK55" s="15"/>
    </row>
    <row r="56" spans="1:115" ht="30" customHeight="1" x14ac:dyDescent="0.25">
      <c r="A56" s="15" t="s">
        <v>64</v>
      </c>
      <c r="B56" s="15">
        <v>18.404499053955078</v>
      </c>
      <c r="C56" s="18">
        <v>18.54</v>
      </c>
      <c r="D56" s="18">
        <v>18.54</v>
      </c>
      <c r="E56" s="18">
        <v>18.54</v>
      </c>
      <c r="F56" s="18">
        <v>18.57</v>
      </c>
      <c r="G56" s="18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  <c r="CA56" s="15"/>
      <c r="CB56" s="15"/>
      <c r="CC56" s="15"/>
      <c r="CD56" s="15"/>
      <c r="CE56" s="15"/>
      <c r="CF56" s="15"/>
      <c r="CG56" s="15"/>
      <c r="CH56" s="15"/>
      <c r="CI56" s="15"/>
      <c r="CJ56" s="15"/>
      <c r="CK56" s="15"/>
      <c r="CL56" s="15"/>
      <c r="CM56" s="15"/>
      <c r="CN56" s="15"/>
      <c r="CO56" s="15"/>
      <c r="CP56" s="15"/>
      <c r="CQ56" s="15"/>
      <c r="CR56" s="15"/>
      <c r="CS56" s="15"/>
      <c r="CT56" s="15"/>
      <c r="CU56" s="15"/>
      <c r="CV56" s="15"/>
      <c r="CW56" s="15"/>
      <c r="CX56" s="15"/>
      <c r="CY56" s="15"/>
      <c r="CZ56" s="15"/>
      <c r="DA56" s="15"/>
      <c r="DB56" s="15"/>
      <c r="DC56" s="15"/>
      <c r="DD56" s="15"/>
      <c r="DE56" s="15"/>
      <c r="DF56" s="15"/>
      <c r="DG56" s="15"/>
      <c r="DH56" s="15"/>
      <c r="DI56" s="15"/>
      <c r="DJ56" s="15"/>
      <c r="DK56" s="15"/>
    </row>
    <row r="57" spans="1:115" ht="30" customHeight="1" x14ac:dyDescent="0.25">
      <c r="A57" s="15" t="s">
        <v>127</v>
      </c>
      <c r="B57" s="15">
        <v>43.049999237060547</v>
      </c>
      <c r="C57" s="18">
        <v>43.32</v>
      </c>
      <c r="D57" s="18">
        <v>43.32</v>
      </c>
      <c r="E57" s="18">
        <v>43.32</v>
      </c>
      <c r="F57" s="18">
        <v>43.49</v>
      </c>
      <c r="G57" s="18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  <c r="CA57" s="15"/>
      <c r="CB57" s="15"/>
      <c r="CC57" s="15"/>
      <c r="CD57" s="15"/>
      <c r="CE57" s="15"/>
      <c r="CF57" s="15"/>
      <c r="CG57" s="15"/>
      <c r="CH57" s="15"/>
      <c r="CI57" s="15"/>
      <c r="CJ57" s="15"/>
      <c r="CK57" s="15"/>
      <c r="CL57" s="15"/>
      <c r="CM57" s="15"/>
      <c r="CN57" s="15"/>
      <c r="CO57" s="15"/>
      <c r="CP57" s="15"/>
      <c r="CQ57" s="15"/>
      <c r="CR57" s="15"/>
      <c r="CS57" s="15"/>
      <c r="CT57" s="15"/>
      <c r="CU57" s="15"/>
      <c r="CV57" s="15"/>
      <c r="CW57" s="15"/>
      <c r="CX57" s="15"/>
      <c r="CY57" s="15"/>
      <c r="CZ57" s="15"/>
      <c r="DA57" s="15"/>
      <c r="DB57" s="15"/>
      <c r="DC57" s="15"/>
      <c r="DD57" s="15"/>
      <c r="DE57" s="15"/>
      <c r="DF57" s="15"/>
      <c r="DG57" s="15"/>
      <c r="DH57" s="15"/>
      <c r="DI57" s="15"/>
      <c r="DJ57" s="15"/>
      <c r="DK57" s="15"/>
    </row>
    <row r="58" spans="1:115" ht="30" customHeight="1" x14ac:dyDescent="0.25">
      <c r="A58" s="15" t="s">
        <v>390</v>
      </c>
      <c r="B58" s="15">
        <v>15.439999580383301</v>
      </c>
      <c r="C58" s="18">
        <v>15.58</v>
      </c>
      <c r="D58" s="18">
        <v>15.58</v>
      </c>
      <c r="E58" s="18">
        <v>15.58</v>
      </c>
      <c r="F58" s="18">
        <v>15.64</v>
      </c>
      <c r="G58" s="18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  <c r="CA58" s="15"/>
      <c r="CB58" s="15"/>
      <c r="CC58" s="15"/>
      <c r="CD58" s="15"/>
      <c r="CE58" s="15"/>
      <c r="CF58" s="15"/>
      <c r="CG58" s="15"/>
      <c r="CH58" s="15"/>
      <c r="CI58" s="15"/>
      <c r="CJ58" s="15"/>
      <c r="CK58" s="15"/>
      <c r="CL58" s="15"/>
      <c r="CM58" s="15"/>
      <c r="CN58" s="15"/>
      <c r="CO58" s="15"/>
      <c r="CP58" s="15"/>
      <c r="CQ58" s="15"/>
      <c r="CR58" s="15"/>
      <c r="CS58" s="15"/>
      <c r="CT58" s="15"/>
      <c r="CU58" s="15"/>
      <c r="CV58" s="15"/>
      <c r="CW58" s="15"/>
      <c r="CX58" s="15"/>
      <c r="CY58" s="15"/>
      <c r="CZ58" s="15"/>
      <c r="DA58" s="15"/>
      <c r="DB58" s="15"/>
      <c r="DC58" s="15"/>
      <c r="DD58" s="15"/>
      <c r="DE58" s="15"/>
      <c r="DF58" s="15"/>
      <c r="DG58" s="15"/>
      <c r="DH58" s="15"/>
      <c r="DI58" s="15"/>
      <c r="DJ58" s="15"/>
      <c r="DK58" s="15"/>
    </row>
    <row r="59" spans="1:115" ht="30" customHeight="1" x14ac:dyDescent="0.25">
      <c r="A59" s="15" t="s">
        <v>128</v>
      </c>
      <c r="B59" s="15">
        <v>30.899999618530273</v>
      </c>
      <c r="C59" s="18">
        <v>30.82</v>
      </c>
      <c r="D59" s="18">
        <v>30.82</v>
      </c>
      <c r="E59" s="18">
        <v>30.82</v>
      </c>
      <c r="F59" s="18">
        <v>32.479999999999997</v>
      </c>
      <c r="G59" s="18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  <c r="CA59" s="15"/>
      <c r="CB59" s="15"/>
      <c r="CC59" s="15"/>
      <c r="CD59" s="15"/>
      <c r="CE59" s="15"/>
      <c r="CF59" s="15"/>
      <c r="CG59" s="15"/>
      <c r="CH59" s="15"/>
      <c r="CI59" s="15"/>
      <c r="CJ59" s="15"/>
      <c r="CK59" s="15"/>
      <c r="CL59" s="15"/>
      <c r="CM59" s="15"/>
      <c r="CN59" s="15"/>
      <c r="CO59" s="15"/>
      <c r="CP59" s="15"/>
      <c r="CQ59" s="15"/>
      <c r="CR59" s="15"/>
      <c r="CS59" s="15"/>
      <c r="CT59" s="15"/>
      <c r="CU59" s="15"/>
      <c r="CV59" s="15"/>
      <c r="CW59" s="15"/>
      <c r="CX59" s="15"/>
      <c r="CY59" s="15"/>
      <c r="CZ59" s="15"/>
      <c r="DA59" s="15"/>
      <c r="DB59" s="15"/>
      <c r="DC59" s="15"/>
      <c r="DD59" s="15"/>
      <c r="DE59" s="15"/>
      <c r="DF59" s="15"/>
      <c r="DG59" s="15"/>
      <c r="DH59" s="15"/>
      <c r="DI59" s="15"/>
      <c r="DJ59" s="15"/>
      <c r="DK59" s="15"/>
    </row>
    <row r="60" spans="1:115" ht="30" customHeight="1" x14ac:dyDescent="0.25">
      <c r="A60" s="15" t="s">
        <v>129</v>
      </c>
      <c r="B60" s="15">
        <v>83.949996948242188</v>
      </c>
      <c r="C60" s="18">
        <v>83.97</v>
      </c>
      <c r="D60" s="18">
        <v>83.97</v>
      </c>
      <c r="E60" s="18">
        <v>83.97</v>
      </c>
      <c r="F60" s="18">
        <v>83.9</v>
      </c>
      <c r="G60" s="18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  <c r="CA60" s="15"/>
      <c r="CB60" s="15"/>
      <c r="CC60" s="15"/>
      <c r="CD60" s="15"/>
      <c r="CE60" s="15"/>
      <c r="CF60" s="15"/>
      <c r="CG60" s="15"/>
      <c r="CH60" s="15"/>
      <c r="CI60" s="15"/>
      <c r="CJ60" s="15"/>
      <c r="CK60" s="15"/>
      <c r="CL60" s="15"/>
      <c r="CM60" s="15"/>
      <c r="CN60" s="15"/>
      <c r="CO60" s="15"/>
      <c r="CP60" s="15"/>
      <c r="CQ60" s="15"/>
      <c r="CR60" s="15"/>
      <c r="CS60" s="15"/>
      <c r="CT60" s="15"/>
      <c r="CU60" s="15"/>
      <c r="CV60" s="15"/>
      <c r="CW60" s="15"/>
      <c r="CX60" s="15"/>
      <c r="CY60" s="15"/>
      <c r="CZ60" s="15"/>
      <c r="DA60" s="15"/>
      <c r="DB60" s="15"/>
      <c r="DC60" s="15"/>
      <c r="DD60" s="15"/>
      <c r="DE60" s="15"/>
      <c r="DF60" s="15"/>
      <c r="DG60" s="15"/>
      <c r="DH60" s="15"/>
      <c r="DI60" s="15"/>
      <c r="DJ60" s="15"/>
      <c r="DK60" s="15"/>
    </row>
    <row r="61" spans="1:115" ht="30" customHeight="1" x14ac:dyDescent="0.25">
      <c r="A61" s="15" t="s">
        <v>130</v>
      </c>
      <c r="B61" s="15">
        <v>45.880001068115234</v>
      </c>
      <c r="C61" s="18">
        <v>47.56</v>
      </c>
      <c r="D61" s="18">
        <v>47.56</v>
      </c>
      <c r="E61" s="18">
        <v>47.56</v>
      </c>
      <c r="F61" s="18">
        <v>47.89</v>
      </c>
      <c r="G61" s="18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  <c r="CA61" s="15"/>
      <c r="CB61" s="15"/>
      <c r="CC61" s="15"/>
      <c r="CD61" s="15"/>
      <c r="CE61" s="15"/>
      <c r="CF61" s="15"/>
      <c r="CG61" s="15"/>
      <c r="CH61" s="15"/>
      <c r="CI61" s="15"/>
      <c r="CJ61" s="15"/>
      <c r="CK61" s="15"/>
      <c r="CL61" s="15"/>
      <c r="CM61" s="15"/>
      <c r="CN61" s="15"/>
      <c r="CO61" s="15"/>
      <c r="CP61" s="15"/>
      <c r="CQ61" s="15"/>
      <c r="CR61" s="15"/>
      <c r="CS61" s="15"/>
      <c r="CT61" s="15"/>
      <c r="CU61" s="15"/>
      <c r="CV61" s="15"/>
      <c r="CW61" s="15"/>
      <c r="CX61" s="15"/>
      <c r="CY61" s="15"/>
      <c r="CZ61" s="15"/>
      <c r="DA61" s="15"/>
      <c r="DB61" s="15"/>
      <c r="DC61" s="15"/>
      <c r="DD61" s="15"/>
      <c r="DE61" s="15"/>
      <c r="DF61" s="15"/>
      <c r="DG61" s="15"/>
      <c r="DH61" s="15"/>
      <c r="DI61" s="15"/>
      <c r="DJ61" s="15"/>
      <c r="DK61" s="15"/>
    </row>
    <row r="62" spans="1:115" ht="30" customHeight="1" x14ac:dyDescent="0.25">
      <c r="A62" s="15" t="s">
        <v>131</v>
      </c>
      <c r="B62" s="15">
        <v>6.3299999237060547</v>
      </c>
      <c r="C62" s="18">
        <v>6.38</v>
      </c>
      <c r="D62" s="18">
        <v>6.38</v>
      </c>
      <c r="E62" s="18">
        <v>6.38</v>
      </c>
      <c r="F62" s="18">
        <v>6.15</v>
      </c>
      <c r="G62" s="18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  <c r="CA62" s="15"/>
      <c r="CB62" s="15"/>
      <c r="CC62" s="15"/>
      <c r="CD62" s="15"/>
      <c r="CE62" s="15"/>
      <c r="CF62" s="15"/>
      <c r="CG62" s="15"/>
      <c r="CH62" s="15"/>
      <c r="CI62" s="15"/>
      <c r="CJ62" s="15"/>
      <c r="CK62" s="15"/>
      <c r="CL62" s="15"/>
      <c r="CM62" s="15"/>
      <c r="CN62" s="15"/>
      <c r="CO62" s="15"/>
      <c r="CP62" s="15"/>
      <c r="CQ62" s="15"/>
      <c r="CR62" s="15"/>
      <c r="CS62" s="15"/>
      <c r="CT62" s="15"/>
      <c r="CU62" s="15"/>
      <c r="CV62" s="15"/>
      <c r="CW62" s="15"/>
      <c r="CX62" s="15"/>
      <c r="CY62" s="15"/>
      <c r="CZ62" s="15"/>
      <c r="DA62" s="15"/>
      <c r="DB62" s="15"/>
      <c r="DC62" s="15"/>
      <c r="DD62" s="15"/>
      <c r="DE62" s="15"/>
      <c r="DF62" s="15"/>
      <c r="DG62" s="15"/>
      <c r="DH62" s="15"/>
      <c r="DI62" s="15"/>
      <c r="DJ62" s="15"/>
      <c r="DK62" s="15"/>
    </row>
    <row r="63" spans="1:115" ht="30" customHeight="1" x14ac:dyDescent="0.25">
      <c r="A63" s="15" t="s">
        <v>132</v>
      </c>
      <c r="B63" s="15">
        <v>9.119999885559082</v>
      </c>
      <c r="C63" s="18">
        <v>9.31</v>
      </c>
      <c r="D63" s="18">
        <v>9.31</v>
      </c>
      <c r="E63" s="18">
        <v>9.31</v>
      </c>
      <c r="F63" s="18">
        <v>10.36</v>
      </c>
      <c r="G63" s="18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  <c r="CA63" s="15"/>
      <c r="CB63" s="15"/>
      <c r="CC63" s="15"/>
      <c r="CD63" s="15"/>
      <c r="CE63" s="15"/>
      <c r="CF63" s="15"/>
      <c r="CG63" s="15"/>
      <c r="CH63" s="15"/>
      <c r="CI63" s="15"/>
      <c r="CJ63" s="15"/>
      <c r="CK63" s="15"/>
      <c r="CL63" s="15"/>
      <c r="CM63" s="15"/>
      <c r="CN63" s="15"/>
      <c r="CO63" s="15"/>
      <c r="CP63" s="15"/>
      <c r="CQ63" s="15"/>
      <c r="CR63" s="15"/>
      <c r="CS63" s="15"/>
      <c r="CT63" s="15"/>
      <c r="CU63" s="15"/>
      <c r="CV63" s="15"/>
      <c r="CW63" s="15"/>
      <c r="CX63" s="15"/>
      <c r="CY63" s="15"/>
      <c r="CZ63" s="15"/>
      <c r="DA63" s="15"/>
      <c r="DB63" s="15"/>
      <c r="DC63" s="15"/>
      <c r="DD63" s="15"/>
      <c r="DE63" s="15"/>
      <c r="DF63" s="15"/>
      <c r="DG63" s="15"/>
      <c r="DH63" s="15"/>
      <c r="DI63" s="15"/>
      <c r="DJ63" s="15"/>
      <c r="DK63" s="15"/>
    </row>
    <row r="64" spans="1:115" ht="30" customHeight="1" x14ac:dyDescent="0.25">
      <c r="A64" s="15" t="s">
        <v>133</v>
      </c>
      <c r="B64" s="15">
        <v>7.0100002288818359</v>
      </c>
      <c r="C64" s="18">
        <v>7.32</v>
      </c>
      <c r="D64" s="18">
        <v>7.32</v>
      </c>
      <c r="E64" s="18">
        <v>7.32</v>
      </c>
      <c r="F64" s="18">
        <v>7.55</v>
      </c>
      <c r="G64" s="18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  <c r="CA64" s="15"/>
      <c r="CB64" s="15"/>
      <c r="CC64" s="15"/>
      <c r="CD64" s="15"/>
      <c r="CE64" s="15"/>
      <c r="CF64" s="15"/>
      <c r="CG64" s="15"/>
      <c r="CH64" s="15"/>
      <c r="CI64" s="15"/>
      <c r="CJ64" s="15"/>
      <c r="CK64" s="15"/>
      <c r="CL64" s="15"/>
      <c r="CM64" s="15"/>
      <c r="CN64" s="15"/>
      <c r="CO64" s="15"/>
      <c r="CP64" s="15"/>
      <c r="CQ64" s="15"/>
      <c r="CR64" s="15"/>
      <c r="CS64" s="15"/>
      <c r="CT64" s="15"/>
      <c r="CU64" s="15"/>
      <c r="CV64" s="15"/>
      <c r="CW64" s="15"/>
      <c r="CX64" s="15"/>
      <c r="CY64" s="15"/>
      <c r="CZ64" s="15"/>
      <c r="DA64" s="15"/>
      <c r="DB64" s="15"/>
      <c r="DC64" s="15"/>
      <c r="DD64" s="15"/>
      <c r="DE64" s="15"/>
      <c r="DF64" s="15"/>
      <c r="DG64" s="15"/>
      <c r="DH64" s="15"/>
      <c r="DI64" s="15"/>
      <c r="DJ64" s="15"/>
      <c r="DK64" s="15"/>
    </row>
    <row r="65" spans="1:115" ht="30" customHeight="1" x14ac:dyDescent="0.25">
      <c r="A65" s="15" t="s">
        <v>134</v>
      </c>
      <c r="B65" s="15">
        <v>1.1599999666213989</v>
      </c>
      <c r="C65" s="18">
        <v>1.24</v>
      </c>
      <c r="D65" s="18">
        <v>1.24</v>
      </c>
      <c r="E65" s="18">
        <v>1.24</v>
      </c>
      <c r="F65" s="18">
        <v>1.21</v>
      </c>
      <c r="G65" s="18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  <c r="CA65" s="15"/>
      <c r="CB65" s="15"/>
      <c r="CC65" s="15"/>
      <c r="CD65" s="15"/>
      <c r="CE65" s="15"/>
      <c r="CF65" s="15"/>
      <c r="CG65" s="15"/>
      <c r="CH65" s="15"/>
      <c r="CI65" s="15"/>
      <c r="CJ65" s="15"/>
      <c r="CK65" s="15"/>
      <c r="CL65" s="15"/>
      <c r="CM65" s="15"/>
      <c r="CN65" s="15"/>
      <c r="CO65" s="15"/>
      <c r="CP65" s="15"/>
      <c r="CQ65" s="15"/>
      <c r="CR65" s="15"/>
      <c r="CS65" s="15"/>
      <c r="CT65" s="15"/>
      <c r="CU65" s="15"/>
      <c r="CV65" s="15"/>
      <c r="CW65" s="15"/>
      <c r="CX65" s="15"/>
      <c r="CY65" s="15"/>
      <c r="CZ65" s="15"/>
      <c r="DA65" s="15"/>
      <c r="DB65" s="15"/>
      <c r="DC65" s="15"/>
      <c r="DD65" s="15"/>
      <c r="DE65" s="15"/>
      <c r="DF65" s="15"/>
      <c r="DG65" s="15"/>
      <c r="DH65" s="15"/>
      <c r="DI65" s="15"/>
      <c r="DJ65" s="15"/>
      <c r="DK65" s="15"/>
    </row>
    <row r="66" spans="1:115" ht="30" customHeight="1" x14ac:dyDescent="0.25">
      <c r="A66" s="15" t="s">
        <v>135</v>
      </c>
      <c r="B66" s="15">
        <v>178.72000122070313</v>
      </c>
      <c r="C66" s="18">
        <v>179.01</v>
      </c>
      <c r="D66" s="18">
        <v>179.01</v>
      </c>
      <c r="E66" s="18">
        <v>179.01</v>
      </c>
      <c r="F66" s="18">
        <v>178.64</v>
      </c>
      <c r="G66" s="18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  <c r="CA66" s="15"/>
      <c r="CB66" s="15"/>
      <c r="CC66" s="15"/>
      <c r="CD66" s="15"/>
      <c r="CE66" s="15"/>
      <c r="CF66" s="15"/>
      <c r="CG66" s="15"/>
      <c r="CH66" s="15"/>
      <c r="CI66" s="15"/>
      <c r="CJ66" s="15"/>
      <c r="CK66" s="15"/>
      <c r="CL66" s="15"/>
      <c r="CM66" s="15"/>
      <c r="CN66" s="15"/>
      <c r="CO66" s="15"/>
      <c r="CP66" s="15"/>
      <c r="CQ66" s="15"/>
      <c r="CR66" s="15"/>
      <c r="CS66" s="15"/>
      <c r="CT66" s="15"/>
      <c r="CU66" s="15"/>
      <c r="CV66" s="15"/>
      <c r="CW66" s="15"/>
      <c r="CX66" s="15"/>
      <c r="CY66" s="15"/>
      <c r="CZ66" s="15"/>
      <c r="DA66" s="15"/>
      <c r="DB66" s="15"/>
      <c r="DC66" s="15"/>
      <c r="DD66" s="15"/>
      <c r="DE66" s="15"/>
      <c r="DF66" s="15"/>
      <c r="DG66" s="15"/>
      <c r="DH66" s="15"/>
      <c r="DI66" s="15"/>
      <c r="DJ66" s="15"/>
      <c r="DK66" s="15"/>
    </row>
    <row r="67" spans="1:115" ht="30" customHeight="1" x14ac:dyDescent="0.25">
      <c r="A67" s="15" t="s">
        <v>136</v>
      </c>
      <c r="B67" s="15">
        <v>56.389999389648438</v>
      </c>
      <c r="C67" s="18">
        <v>57</v>
      </c>
      <c r="D67" s="18">
        <v>57</v>
      </c>
      <c r="E67" s="18">
        <v>57</v>
      </c>
      <c r="F67" s="18">
        <v>56.92</v>
      </c>
      <c r="G67" s="18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  <c r="CA67" s="15"/>
      <c r="CB67" s="15"/>
      <c r="CC67" s="15"/>
      <c r="CD67" s="15"/>
      <c r="CE67" s="15"/>
      <c r="CF67" s="15"/>
      <c r="CG67" s="15"/>
      <c r="CH67" s="15"/>
      <c r="CI67" s="15"/>
      <c r="CJ67" s="15"/>
      <c r="CK67" s="15"/>
      <c r="CL67" s="15"/>
      <c r="CM67" s="15"/>
      <c r="CN67" s="15"/>
      <c r="CO67" s="15"/>
      <c r="CP67" s="15"/>
      <c r="CQ67" s="15"/>
      <c r="CR67" s="15"/>
      <c r="CS67" s="15"/>
      <c r="CT67" s="15"/>
      <c r="CU67" s="15"/>
      <c r="CV67" s="15"/>
      <c r="CW67" s="15"/>
      <c r="CX67" s="15"/>
      <c r="CY67" s="15"/>
      <c r="CZ67" s="15"/>
      <c r="DA67" s="15"/>
      <c r="DB67" s="15"/>
      <c r="DC67" s="15"/>
      <c r="DD67" s="15"/>
      <c r="DE67" s="15"/>
      <c r="DF67" s="15"/>
      <c r="DG67" s="15"/>
      <c r="DH67" s="15"/>
      <c r="DI67" s="15"/>
      <c r="DJ67" s="15"/>
      <c r="DK67" s="15"/>
    </row>
    <row r="68" spans="1:115" ht="30" customHeight="1" x14ac:dyDescent="0.25">
      <c r="A68" s="15" t="s">
        <v>137</v>
      </c>
      <c r="B68" s="15">
        <v>68.279998779296875</v>
      </c>
      <c r="C68" s="18">
        <v>68.33</v>
      </c>
      <c r="D68" s="18">
        <v>68.33</v>
      </c>
      <c r="E68" s="18">
        <v>68.33</v>
      </c>
      <c r="F68" s="18">
        <v>67.260000000000005</v>
      </c>
      <c r="G68" s="18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  <c r="CA68" s="15"/>
      <c r="CB68" s="15"/>
      <c r="CC68" s="15"/>
      <c r="CD68" s="15"/>
      <c r="CE68" s="15"/>
      <c r="CF68" s="15"/>
      <c r="CG68" s="15"/>
      <c r="CH68" s="15"/>
      <c r="CI68" s="15"/>
      <c r="CJ68" s="15"/>
      <c r="CK68" s="15"/>
      <c r="CL68" s="15"/>
      <c r="CM68" s="15"/>
      <c r="CN68" s="15"/>
      <c r="CO68" s="15"/>
      <c r="CP68" s="15"/>
      <c r="CQ68" s="15"/>
      <c r="CR68" s="15"/>
      <c r="CS68" s="15"/>
      <c r="CT68" s="15"/>
      <c r="CU68" s="15"/>
      <c r="CV68" s="15"/>
      <c r="CW68" s="15"/>
      <c r="CX68" s="15"/>
      <c r="CY68" s="15"/>
      <c r="CZ68" s="15"/>
      <c r="DA68" s="15"/>
      <c r="DB68" s="15"/>
      <c r="DC68" s="15"/>
      <c r="DD68" s="15"/>
      <c r="DE68" s="15"/>
      <c r="DF68" s="15"/>
      <c r="DG68" s="15"/>
      <c r="DH68" s="15"/>
      <c r="DI68" s="15"/>
      <c r="DJ68" s="15"/>
      <c r="DK68" s="15"/>
    </row>
    <row r="69" spans="1:115" ht="30" customHeight="1" x14ac:dyDescent="0.25">
      <c r="A69" s="15" t="s">
        <v>138</v>
      </c>
      <c r="B69" s="15">
        <v>24.75</v>
      </c>
      <c r="C69" s="18">
        <v>24.52</v>
      </c>
      <c r="D69" s="18">
        <v>24.52</v>
      </c>
      <c r="E69" s="18">
        <v>24.52</v>
      </c>
      <c r="F69" s="18">
        <v>24.71</v>
      </c>
      <c r="G69" s="18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  <c r="CA69" s="15"/>
      <c r="CB69" s="15"/>
      <c r="CC69" s="15"/>
      <c r="CD69" s="15"/>
      <c r="CE69" s="15"/>
      <c r="CF69" s="15"/>
      <c r="CG69" s="15"/>
      <c r="CH69" s="15"/>
      <c r="CI69" s="15"/>
      <c r="CJ69" s="15"/>
      <c r="CK69" s="15"/>
      <c r="CL69" s="15"/>
      <c r="CM69" s="15"/>
      <c r="CN69" s="15"/>
      <c r="CO69" s="15"/>
      <c r="CP69" s="15"/>
      <c r="CQ69" s="15"/>
      <c r="CR69" s="15"/>
      <c r="CS69" s="15"/>
      <c r="CT69" s="15"/>
      <c r="CU69" s="15"/>
      <c r="CV69" s="15"/>
      <c r="CW69" s="15"/>
      <c r="CX69" s="15"/>
      <c r="CY69" s="15"/>
      <c r="CZ69" s="15"/>
      <c r="DA69" s="15"/>
      <c r="DB69" s="15"/>
      <c r="DC69" s="15"/>
      <c r="DD69" s="15"/>
      <c r="DE69" s="15"/>
      <c r="DF69" s="15"/>
      <c r="DG69" s="15"/>
      <c r="DH69" s="15"/>
      <c r="DI69" s="15"/>
      <c r="DJ69" s="15"/>
      <c r="DK69" s="15"/>
    </row>
    <row r="70" spans="1:115" ht="30" customHeight="1" x14ac:dyDescent="0.25">
      <c r="A70" s="15" t="s">
        <v>139</v>
      </c>
      <c r="B70" s="15">
        <v>72.410003662109375</v>
      </c>
      <c r="C70" s="18">
        <v>71.44</v>
      </c>
      <c r="D70" s="18">
        <v>71.44</v>
      </c>
      <c r="E70" s="18">
        <v>71.44</v>
      </c>
      <c r="F70" s="18">
        <v>71.28</v>
      </c>
      <c r="G70" s="18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  <c r="CA70" s="15"/>
      <c r="CB70" s="15"/>
      <c r="CC70" s="15"/>
      <c r="CD70" s="15"/>
      <c r="CE70" s="15"/>
      <c r="CF70" s="15"/>
      <c r="CG70" s="15"/>
      <c r="CH70" s="15"/>
      <c r="CI70" s="15"/>
      <c r="CJ70" s="15"/>
      <c r="CK70" s="15"/>
      <c r="CL70" s="15"/>
      <c r="CM70" s="15"/>
      <c r="CN70" s="15"/>
      <c r="CO70" s="15"/>
      <c r="CP70" s="15"/>
      <c r="CQ70" s="15"/>
      <c r="CR70" s="15"/>
      <c r="CS70" s="15"/>
      <c r="CT70" s="15"/>
      <c r="CU70" s="15"/>
      <c r="CV70" s="15"/>
      <c r="CW70" s="15"/>
      <c r="CX70" s="15"/>
      <c r="CY70" s="15"/>
      <c r="CZ70" s="15"/>
      <c r="DA70" s="15"/>
      <c r="DB70" s="15"/>
      <c r="DC70" s="15"/>
      <c r="DD70" s="15"/>
      <c r="DE70" s="15"/>
      <c r="DF70" s="15"/>
      <c r="DG70" s="15"/>
      <c r="DH70" s="15"/>
      <c r="DI70" s="15"/>
      <c r="DJ70" s="15"/>
      <c r="DK70" s="15"/>
    </row>
    <row r="71" spans="1:115" ht="30" customHeight="1" x14ac:dyDescent="0.25">
      <c r="A71" s="15" t="s">
        <v>140</v>
      </c>
      <c r="B71" s="15">
        <v>17.670000076293945</v>
      </c>
      <c r="C71" s="18">
        <v>17.86</v>
      </c>
      <c r="D71" s="18">
        <v>17.86</v>
      </c>
      <c r="E71" s="18">
        <v>17.86</v>
      </c>
      <c r="F71" s="18">
        <v>18.07</v>
      </c>
      <c r="G71" s="18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  <c r="CA71" s="15"/>
      <c r="CB71" s="15"/>
      <c r="CC71" s="15"/>
      <c r="CD71" s="15"/>
      <c r="CE71" s="15"/>
      <c r="CF71" s="15"/>
      <c r="CG71" s="15"/>
      <c r="CH71" s="15"/>
      <c r="CI71" s="15"/>
      <c r="CJ71" s="15"/>
      <c r="CK71" s="15"/>
      <c r="CL71" s="15"/>
      <c r="CM71" s="15"/>
      <c r="CN71" s="15"/>
      <c r="CO71" s="15"/>
      <c r="CP71" s="15"/>
      <c r="CQ71" s="15"/>
      <c r="CR71" s="15"/>
      <c r="CS71" s="15"/>
      <c r="CT71" s="15"/>
      <c r="CU71" s="15"/>
      <c r="CV71" s="15"/>
      <c r="CW71" s="15"/>
      <c r="CX71" s="15"/>
      <c r="CY71" s="15"/>
      <c r="CZ71" s="15"/>
      <c r="DA71" s="15"/>
      <c r="DB71" s="15"/>
      <c r="DC71" s="15"/>
      <c r="DD71" s="15"/>
      <c r="DE71" s="15"/>
      <c r="DF71" s="15"/>
      <c r="DG71" s="15"/>
      <c r="DH71" s="15"/>
      <c r="DI71" s="15"/>
      <c r="DJ71" s="15"/>
      <c r="DK71" s="15"/>
    </row>
    <row r="72" spans="1:115" ht="30" customHeight="1" x14ac:dyDescent="0.25">
      <c r="A72" s="15" t="s">
        <v>141</v>
      </c>
      <c r="B72" s="15">
        <v>9.2200002670288086</v>
      </c>
      <c r="C72" s="18">
        <v>8.39</v>
      </c>
      <c r="D72" s="18">
        <v>8.39</v>
      </c>
      <c r="E72" s="18">
        <v>8.39</v>
      </c>
      <c r="F72" s="18">
        <v>8.08</v>
      </c>
      <c r="G72" s="18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  <c r="CA72" s="15"/>
      <c r="CB72" s="15"/>
      <c r="CC72" s="15"/>
      <c r="CD72" s="15"/>
      <c r="CE72" s="15"/>
      <c r="CF72" s="15"/>
      <c r="CG72" s="15"/>
      <c r="CH72" s="15"/>
      <c r="CI72" s="15"/>
      <c r="CJ72" s="15"/>
      <c r="CK72" s="15"/>
      <c r="CL72" s="15"/>
      <c r="CM72" s="15"/>
      <c r="CN72" s="15"/>
      <c r="CO72" s="15"/>
      <c r="CP72" s="15"/>
      <c r="CQ72" s="15"/>
      <c r="CR72" s="15"/>
      <c r="CS72" s="15"/>
      <c r="CT72" s="15"/>
      <c r="CU72" s="15"/>
      <c r="CV72" s="15"/>
      <c r="CW72" s="15"/>
      <c r="CX72" s="15"/>
      <c r="CY72" s="15"/>
      <c r="CZ72" s="15"/>
      <c r="DA72" s="15"/>
      <c r="DB72" s="15"/>
      <c r="DC72" s="15"/>
      <c r="DD72" s="15"/>
      <c r="DE72" s="15"/>
      <c r="DF72" s="15"/>
      <c r="DG72" s="15"/>
      <c r="DH72" s="15"/>
      <c r="DI72" s="15"/>
      <c r="DJ72" s="15"/>
      <c r="DK72" s="15"/>
    </row>
    <row r="73" spans="1:115" ht="30" customHeight="1" x14ac:dyDescent="0.25">
      <c r="A73" s="15" t="s">
        <v>142</v>
      </c>
      <c r="B73" s="15">
        <v>166.28999328613281</v>
      </c>
      <c r="C73" s="18">
        <v>166.26</v>
      </c>
      <c r="D73" s="18">
        <v>166.26</v>
      </c>
      <c r="E73" s="18">
        <v>166.26</v>
      </c>
      <c r="F73" s="18">
        <v>163.55000000000001</v>
      </c>
      <c r="G73" s="18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  <c r="CA73" s="15"/>
      <c r="CB73" s="15"/>
      <c r="CC73" s="15"/>
      <c r="CD73" s="15"/>
      <c r="CE73" s="15"/>
      <c r="CF73" s="15"/>
      <c r="CG73" s="15"/>
      <c r="CH73" s="15"/>
      <c r="CI73" s="15"/>
      <c r="CJ73" s="15"/>
      <c r="CK73" s="15"/>
      <c r="CL73" s="15"/>
      <c r="CM73" s="15"/>
      <c r="CN73" s="15"/>
      <c r="CO73" s="15"/>
      <c r="CP73" s="15"/>
      <c r="CQ73" s="15"/>
      <c r="CR73" s="15"/>
      <c r="CS73" s="15"/>
      <c r="CT73" s="15"/>
      <c r="CU73" s="15"/>
      <c r="CV73" s="15"/>
      <c r="CW73" s="15"/>
      <c r="CX73" s="15"/>
      <c r="CY73" s="15"/>
      <c r="CZ73" s="15"/>
      <c r="DA73" s="15"/>
      <c r="DB73" s="15"/>
      <c r="DC73" s="15"/>
      <c r="DD73" s="15"/>
      <c r="DE73" s="15"/>
      <c r="DF73" s="15"/>
      <c r="DG73" s="15"/>
      <c r="DH73" s="15"/>
      <c r="DI73" s="15"/>
      <c r="DJ73" s="15"/>
      <c r="DK73" s="15"/>
    </row>
    <row r="74" spans="1:115" ht="30" customHeight="1" x14ac:dyDescent="0.25">
      <c r="A74" s="15" t="s">
        <v>143</v>
      </c>
      <c r="B74" s="15">
        <v>432.6300048828125</v>
      </c>
      <c r="C74" s="18">
        <v>429.23</v>
      </c>
      <c r="D74" s="18">
        <v>429.23</v>
      </c>
      <c r="E74" s="18">
        <v>429.23</v>
      </c>
      <c r="F74" s="18">
        <v>448.06</v>
      </c>
      <c r="G74" s="18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  <c r="CA74" s="15"/>
      <c r="CB74" s="15"/>
      <c r="CC74" s="15"/>
      <c r="CD74" s="15"/>
      <c r="CE74" s="15"/>
      <c r="CF74" s="15"/>
      <c r="CG74" s="15"/>
      <c r="CH74" s="15"/>
      <c r="CI74" s="15"/>
      <c r="CJ74" s="15"/>
      <c r="CK74" s="15"/>
      <c r="CL74" s="15"/>
      <c r="CM74" s="15"/>
      <c r="CN74" s="15"/>
      <c r="CO74" s="15"/>
      <c r="CP74" s="15"/>
      <c r="CQ74" s="15"/>
      <c r="CR74" s="15"/>
      <c r="CS74" s="15"/>
      <c r="CT74" s="15"/>
      <c r="CU74" s="15"/>
      <c r="CV74" s="15"/>
      <c r="CW74" s="15"/>
      <c r="CX74" s="15"/>
      <c r="CY74" s="15"/>
      <c r="CZ74" s="15"/>
      <c r="DA74" s="15"/>
      <c r="DB74" s="15"/>
      <c r="DC74" s="15"/>
      <c r="DD74" s="15"/>
      <c r="DE74" s="15"/>
      <c r="DF74" s="15"/>
      <c r="DG74" s="15"/>
      <c r="DH74" s="15"/>
      <c r="DI74" s="15"/>
      <c r="DJ74" s="15"/>
      <c r="DK74" s="15"/>
    </row>
    <row r="75" spans="1:115" ht="30" customHeight="1" x14ac:dyDescent="0.25">
      <c r="A75" s="15" t="s">
        <v>144</v>
      </c>
      <c r="B75" s="15">
        <v>30.569999694824219</v>
      </c>
      <c r="C75" s="18">
        <v>29</v>
      </c>
      <c r="D75" s="18">
        <v>29</v>
      </c>
      <c r="E75" s="18">
        <v>29</v>
      </c>
      <c r="F75" s="18">
        <v>29.05</v>
      </c>
      <c r="G75" s="18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  <c r="CA75" s="15"/>
      <c r="CB75" s="15"/>
      <c r="CC75" s="15"/>
      <c r="CD75" s="15"/>
      <c r="CE75" s="15"/>
      <c r="CF75" s="15"/>
      <c r="CG75" s="15"/>
      <c r="CH75" s="15"/>
      <c r="CI75" s="15"/>
      <c r="CJ75" s="15"/>
      <c r="CK75" s="15"/>
      <c r="CL75" s="15"/>
      <c r="CM75" s="15"/>
      <c r="CN75" s="15"/>
      <c r="CO75" s="15"/>
      <c r="CP75" s="15"/>
      <c r="CQ75" s="15"/>
      <c r="CR75" s="15"/>
      <c r="CS75" s="15"/>
      <c r="CT75" s="15"/>
      <c r="CU75" s="15"/>
      <c r="CV75" s="15"/>
      <c r="CW75" s="15"/>
      <c r="CX75" s="15"/>
      <c r="CY75" s="15"/>
      <c r="CZ75" s="15"/>
      <c r="DA75" s="15"/>
      <c r="DB75" s="15"/>
      <c r="DC75" s="15"/>
      <c r="DD75" s="15"/>
      <c r="DE75" s="15"/>
      <c r="DF75" s="15"/>
      <c r="DG75" s="15"/>
      <c r="DH75" s="15"/>
      <c r="DI75" s="15"/>
      <c r="DJ75" s="15"/>
      <c r="DK75" s="15"/>
    </row>
    <row r="76" spans="1:115" ht="30" customHeight="1" x14ac:dyDescent="0.25">
      <c r="A76" s="15" t="s">
        <v>145</v>
      </c>
      <c r="B76" s="15">
        <v>46.459999084472656</v>
      </c>
      <c r="C76" s="18">
        <v>45.62</v>
      </c>
      <c r="D76" s="18">
        <v>45.62</v>
      </c>
      <c r="E76" s="18">
        <v>45.62</v>
      </c>
      <c r="F76" s="18">
        <v>46.03</v>
      </c>
      <c r="G76" s="18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  <c r="CA76" s="15"/>
      <c r="CB76" s="15"/>
      <c r="CC76" s="15"/>
      <c r="CD76" s="15"/>
      <c r="CE76" s="15"/>
      <c r="CF76" s="15"/>
      <c r="CG76" s="15"/>
      <c r="CH76" s="15"/>
      <c r="CI76" s="15"/>
      <c r="CJ76" s="15"/>
      <c r="CK76" s="15"/>
      <c r="CL76" s="15"/>
      <c r="CM76" s="15"/>
      <c r="CN76" s="15"/>
      <c r="CO76" s="15"/>
      <c r="CP76" s="15"/>
      <c r="CQ76" s="15"/>
      <c r="CR76" s="15"/>
      <c r="CS76" s="15"/>
      <c r="CT76" s="15"/>
      <c r="CU76" s="15"/>
      <c r="CV76" s="15"/>
      <c r="CW76" s="15"/>
      <c r="CX76" s="15"/>
      <c r="CY76" s="15"/>
      <c r="CZ76" s="15"/>
      <c r="DA76" s="15"/>
      <c r="DB76" s="15"/>
      <c r="DC76" s="15"/>
      <c r="DD76" s="15"/>
      <c r="DE76" s="15"/>
      <c r="DF76" s="15"/>
      <c r="DG76" s="15"/>
      <c r="DH76" s="15"/>
      <c r="DI76" s="15"/>
      <c r="DJ76" s="15"/>
      <c r="DK76" s="15"/>
    </row>
    <row r="77" spans="1:115" ht="30" customHeight="1" x14ac:dyDescent="0.25">
      <c r="A77" s="15" t="s">
        <v>146</v>
      </c>
      <c r="B77" s="15">
        <v>8.8100004196166992</v>
      </c>
      <c r="C77" s="18">
        <v>8.73</v>
      </c>
      <c r="D77" s="18">
        <v>8.73</v>
      </c>
      <c r="E77" s="18">
        <v>8.73</v>
      </c>
      <c r="F77" s="18">
        <v>9.01</v>
      </c>
      <c r="G77" s="18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  <c r="CA77" s="15"/>
      <c r="CB77" s="15"/>
      <c r="CC77" s="15"/>
      <c r="CD77" s="15"/>
      <c r="CE77" s="15"/>
      <c r="CF77" s="15"/>
      <c r="CG77" s="15"/>
      <c r="CH77" s="15"/>
      <c r="CI77" s="15"/>
      <c r="CJ77" s="15"/>
      <c r="CK77" s="15"/>
      <c r="CL77" s="15"/>
      <c r="CM77" s="15"/>
      <c r="CN77" s="15"/>
      <c r="CO77" s="15"/>
      <c r="CP77" s="15"/>
      <c r="CQ77" s="15"/>
      <c r="CR77" s="15"/>
      <c r="CS77" s="15"/>
      <c r="CT77" s="15"/>
      <c r="CU77" s="15"/>
      <c r="CV77" s="15"/>
      <c r="CW77" s="15"/>
      <c r="CX77" s="15"/>
      <c r="CY77" s="15"/>
      <c r="CZ77" s="15"/>
      <c r="DA77" s="15"/>
      <c r="DB77" s="15"/>
      <c r="DC77" s="15"/>
      <c r="DD77" s="15"/>
      <c r="DE77" s="15"/>
      <c r="DF77" s="15"/>
      <c r="DG77" s="15"/>
      <c r="DH77" s="15"/>
      <c r="DI77" s="15"/>
      <c r="DJ77" s="15"/>
      <c r="DK77" s="15"/>
    </row>
    <row r="78" spans="1:115" ht="30" customHeight="1" x14ac:dyDescent="0.25">
      <c r="A78" s="15" t="s">
        <v>147</v>
      </c>
      <c r="B78" s="15">
        <v>29.5</v>
      </c>
      <c r="C78" s="18">
        <v>30.71</v>
      </c>
      <c r="D78" s="18">
        <v>30.71</v>
      </c>
      <c r="E78" s="18">
        <v>30.71</v>
      </c>
      <c r="F78" s="18">
        <v>32.68</v>
      </c>
      <c r="G78" s="18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  <c r="CA78" s="15"/>
      <c r="CB78" s="15"/>
      <c r="CC78" s="15"/>
      <c r="CD78" s="15"/>
      <c r="CE78" s="15"/>
      <c r="CF78" s="15"/>
      <c r="CG78" s="15"/>
      <c r="CH78" s="15"/>
      <c r="CI78" s="15"/>
      <c r="CJ78" s="15"/>
      <c r="CK78" s="15"/>
      <c r="CL78" s="15"/>
      <c r="CM78" s="15"/>
      <c r="CN78" s="15"/>
      <c r="CO78" s="15"/>
      <c r="CP78" s="15"/>
      <c r="CQ78" s="15"/>
      <c r="CR78" s="15"/>
      <c r="CS78" s="15"/>
      <c r="CT78" s="15"/>
      <c r="CU78" s="15"/>
      <c r="CV78" s="15"/>
      <c r="CW78" s="15"/>
      <c r="CX78" s="15"/>
      <c r="CY78" s="15"/>
      <c r="CZ78" s="15"/>
      <c r="DA78" s="15"/>
      <c r="DB78" s="15"/>
      <c r="DC78" s="15"/>
      <c r="DD78" s="15"/>
      <c r="DE78" s="15"/>
      <c r="DF78" s="15"/>
      <c r="DG78" s="15"/>
      <c r="DH78" s="15"/>
      <c r="DI78" s="15"/>
      <c r="DJ78" s="15"/>
      <c r="DK78" s="15"/>
    </row>
    <row r="79" spans="1:115" ht="30" customHeight="1" x14ac:dyDescent="0.25">
      <c r="A79" s="15" t="s">
        <v>148</v>
      </c>
      <c r="B79" s="15">
        <v>230.83999633789063</v>
      </c>
      <c r="C79" s="18">
        <v>237.48</v>
      </c>
      <c r="D79" s="18">
        <v>237.48</v>
      </c>
      <c r="E79" s="18">
        <v>237.48</v>
      </c>
      <c r="F79" s="18">
        <v>238.14</v>
      </c>
      <c r="G79" s="18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  <c r="CA79" s="15"/>
      <c r="CB79" s="15"/>
      <c r="CC79" s="15"/>
      <c r="CD79" s="15"/>
      <c r="CE79" s="15"/>
      <c r="CF79" s="15"/>
      <c r="CG79" s="15"/>
      <c r="CH79" s="15"/>
      <c r="CI79" s="15"/>
      <c r="CJ79" s="15"/>
      <c r="CK79" s="15"/>
      <c r="CL79" s="15"/>
      <c r="CM79" s="15"/>
      <c r="CN79" s="15"/>
      <c r="CO79" s="15"/>
      <c r="CP79" s="15"/>
      <c r="CQ79" s="15"/>
      <c r="CR79" s="15"/>
      <c r="CS79" s="15"/>
      <c r="CT79" s="15"/>
      <c r="CU79" s="15"/>
      <c r="CV79" s="15"/>
      <c r="CW79" s="15"/>
      <c r="CX79" s="15"/>
      <c r="CY79" s="15"/>
      <c r="CZ79" s="15"/>
      <c r="DA79" s="15"/>
      <c r="DB79" s="15"/>
      <c r="DC79" s="15"/>
      <c r="DD79" s="15"/>
      <c r="DE79" s="15"/>
      <c r="DF79" s="15"/>
      <c r="DG79" s="15"/>
      <c r="DH79" s="15"/>
      <c r="DI79" s="15"/>
      <c r="DJ79" s="15"/>
      <c r="DK79" s="15"/>
    </row>
    <row r="80" spans="1:115" ht="30" customHeight="1" x14ac:dyDescent="0.25">
      <c r="A80" s="15" t="s">
        <v>149</v>
      </c>
      <c r="B80" s="15">
        <v>101.02999877929688</v>
      </c>
      <c r="C80" s="18">
        <v>103.02</v>
      </c>
      <c r="D80" s="18">
        <v>103.02</v>
      </c>
      <c r="E80" s="18">
        <v>103.02</v>
      </c>
      <c r="F80" s="18">
        <v>104.87</v>
      </c>
      <c r="G80" s="18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  <c r="CA80" s="15"/>
      <c r="CB80" s="15"/>
      <c r="CC80" s="15"/>
      <c r="CD80" s="15"/>
      <c r="CE80" s="15"/>
      <c r="CF80" s="15"/>
      <c r="CG80" s="15"/>
      <c r="CH80" s="15"/>
      <c r="CI80" s="15"/>
      <c r="CJ80" s="15"/>
      <c r="CK80" s="15"/>
      <c r="CL80" s="15"/>
      <c r="CM80" s="15"/>
      <c r="CN80" s="15"/>
      <c r="CO80" s="15"/>
      <c r="CP80" s="15"/>
      <c r="CQ80" s="15"/>
      <c r="CR80" s="15"/>
      <c r="CS80" s="15"/>
      <c r="CT80" s="15"/>
      <c r="CU80" s="15"/>
      <c r="CV80" s="15"/>
      <c r="CW80" s="15"/>
      <c r="CX80" s="15"/>
      <c r="CY80" s="15"/>
      <c r="CZ80" s="15"/>
      <c r="DA80" s="15"/>
      <c r="DB80" s="15"/>
      <c r="DC80" s="15"/>
      <c r="DD80" s="15"/>
      <c r="DE80" s="15"/>
      <c r="DF80" s="15"/>
      <c r="DG80" s="15"/>
      <c r="DH80" s="15"/>
      <c r="DI80" s="15"/>
      <c r="DJ80" s="15"/>
      <c r="DK80" s="15"/>
    </row>
    <row r="81" spans="1:115" ht="30" customHeight="1" x14ac:dyDescent="0.25">
      <c r="A81" s="15" t="s">
        <v>150</v>
      </c>
      <c r="B81" s="15">
        <v>39.229999542236328</v>
      </c>
      <c r="C81" s="18">
        <v>41.58</v>
      </c>
      <c r="D81" s="18">
        <v>41.58</v>
      </c>
      <c r="E81" s="18">
        <v>41.58</v>
      </c>
      <c r="F81" s="18">
        <v>44.13</v>
      </c>
      <c r="G81" s="18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  <c r="CA81" s="15"/>
      <c r="CB81" s="15"/>
      <c r="CC81" s="15"/>
      <c r="CD81" s="15"/>
      <c r="CE81" s="15"/>
      <c r="CF81" s="15"/>
      <c r="CG81" s="15"/>
      <c r="CH81" s="15"/>
      <c r="CI81" s="15"/>
      <c r="CJ81" s="15"/>
      <c r="CK81" s="15"/>
      <c r="CL81" s="15"/>
      <c r="CM81" s="15"/>
      <c r="CN81" s="15"/>
      <c r="CO81" s="15"/>
      <c r="CP81" s="15"/>
      <c r="CQ81" s="15"/>
      <c r="CR81" s="15"/>
      <c r="CS81" s="15"/>
      <c r="CT81" s="15"/>
      <c r="CU81" s="15"/>
      <c r="CV81" s="15"/>
      <c r="CW81" s="15"/>
      <c r="CX81" s="15"/>
      <c r="CY81" s="15"/>
      <c r="CZ81" s="15"/>
      <c r="DA81" s="15"/>
      <c r="DB81" s="15"/>
      <c r="DC81" s="15"/>
      <c r="DD81" s="15"/>
      <c r="DE81" s="15"/>
      <c r="DF81" s="15"/>
      <c r="DG81" s="15"/>
      <c r="DH81" s="15"/>
      <c r="DI81" s="15"/>
      <c r="DJ81" s="15"/>
      <c r="DK81" s="15"/>
    </row>
    <row r="82" spans="1:115" ht="30" customHeight="1" x14ac:dyDescent="0.25">
      <c r="A82" s="15" t="s">
        <v>151</v>
      </c>
      <c r="B82" s="15">
        <v>18.040000915527344</v>
      </c>
      <c r="C82" s="18">
        <v>17.88</v>
      </c>
      <c r="D82" s="18">
        <v>17.88</v>
      </c>
      <c r="E82" s="18">
        <v>17.88</v>
      </c>
      <c r="F82" s="18">
        <v>18.95</v>
      </c>
      <c r="G82" s="18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  <c r="CA82" s="15"/>
      <c r="CB82" s="15"/>
      <c r="CC82" s="15"/>
      <c r="CD82" s="15"/>
      <c r="CE82" s="15"/>
      <c r="CF82" s="15"/>
      <c r="CG82" s="15"/>
      <c r="CH82" s="15"/>
      <c r="CI82" s="15"/>
      <c r="CJ82" s="15"/>
      <c r="CK82" s="15"/>
      <c r="CL82" s="15"/>
      <c r="CM82" s="15"/>
      <c r="CN82" s="15"/>
      <c r="CO82" s="15"/>
      <c r="CP82" s="15"/>
      <c r="CQ82" s="15"/>
      <c r="CR82" s="15"/>
      <c r="CS82" s="15"/>
      <c r="CT82" s="15"/>
      <c r="CU82" s="15"/>
      <c r="CV82" s="15"/>
      <c r="CW82" s="15"/>
      <c r="CX82" s="15"/>
      <c r="CY82" s="15"/>
      <c r="CZ82" s="15"/>
      <c r="DA82" s="15"/>
      <c r="DB82" s="15"/>
      <c r="DC82" s="15"/>
      <c r="DD82" s="15"/>
      <c r="DE82" s="15"/>
      <c r="DF82" s="15"/>
      <c r="DG82" s="15"/>
      <c r="DH82" s="15"/>
      <c r="DI82" s="15"/>
      <c r="DJ82" s="15"/>
      <c r="DK82" s="15"/>
    </row>
    <row r="83" spans="1:115" ht="30" customHeight="1" x14ac:dyDescent="0.25">
      <c r="A83" s="15" t="s">
        <v>152</v>
      </c>
      <c r="B83" s="15">
        <v>17.950000762939453</v>
      </c>
      <c r="C83" s="18">
        <v>17.71</v>
      </c>
      <c r="D83" s="18">
        <v>17.71</v>
      </c>
      <c r="E83" s="18">
        <v>17.71</v>
      </c>
      <c r="F83" s="18">
        <v>18.010000000000002</v>
      </c>
      <c r="G83" s="18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</row>
    <row r="84" spans="1:115" ht="30" customHeight="1" x14ac:dyDescent="0.25">
      <c r="A84" s="15" t="s">
        <v>153</v>
      </c>
      <c r="B84" s="15">
        <v>9.1800003051757813</v>
      </c>
      <c r="C84" s="18">
        <v>9.42</v>
      </c>
      <c r="D84" s="18">
        <v>9.42</v>
      </c>
      <c r="E84" s="18">
        <v>9.42</v>
      </c>
      <c r="F84" s="18">
        <v>9.4700000000000006</v>
      </c>
      <c r="G84" s="18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</row>
    <row r="85" spans="1:115" ht="30" customHeight="1" x14ac:dyDescent="0.25">
      <c r="A85" s="15" t="s">
        <v>154</v>
      </c>
      <c r="B85" s="15">
        <v>22.520000457763672</v>
      </c>
      <c r="C85" s="18">
        <v>23.02</v>
      </c>
      <c r="D85" s="18">
        <v>23.02</v>
      </c>
      <c r="E85" s="18">
        <v>23.02</v>
      </c>
      <c r="F85" s="18">
        <v>23.25</v>
      </c>
      <c r="G85" s="18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</row>
    <row r="86" spans="1:115" ht="30" customHeight="1" x14ac:dyDescent="0.25">
      <c r="A86" s="15" t="s">
        <v>155</v>
      </c>
      <c r="B86" s="15">
        <v>87.05999755859375</v>
      </c>
      <c r="C86" s="18">
        <v>86.47</v>
      </c>
      <c r="D86" s="18">
        <v>86.47</v>
      </c>
      <c r="E86" s="18">
        <v>86.47</v>
      </c>
      <c r="F86" s="18">
        <v>86.33</v>
      </c>
      <c r="G86" s="18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</row>
    <row r="87" spans="1:115" ht="30" customHeight="1" x14ac:dyDescent="0.25">
      <c r="A87" s="15" t="s">
        <v>156</v>
      </c>
      <c r="B87" s="15">
        <v>15.649999618530273</v>
      </c>
      <c r="C87" s="18">
        <v>15.75</v>
      </c>
      <c r="D87" s="18">
        <v>15.75</v>
      </c>
      <c r="E87" s="18">
        <v>15.75</v>
      </c>
      <c r="F87" s="18">
        <v>15.83</v>
      </c>
      <c r="G87" s="18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</row>
    <row r="88" spans="1:115" ht="30" customHeight="1" x14ac:dyDescent="0.25">
      <c r="A88" s="15" t="s">
        <v>157</v>
      </c>
      <c r="B88" s="15">
        <v>109.56999969482422</v>
      </c>
      <c r="C88" s="18">
        <v>110.64</v>
      </c>
      <c r="D88" s="18">
        <v>110.64</v>
      </c>
      <c r="E88" s="18">
        <v>110.64</v>
      </c>
      <c r="F88" s="18">
        <v>110.6</v>
      </c>
      <c r="G88" s="18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</row>
    <row r="89" spans="1:115" ht="30" customHeight="1" x14ac:dyDescent="0.25">
      <c r="A89" s="15" t="s">
        <v>158</v>
      </c>
      <c r="B89" s="15">
        <v>76.709999084472656</v>
      </c>
      <c r="C89" s="18">
        <v>76.52</v>
      </c>
      <c r="D89" s="18">
        <v>76.52</v>
      </c>
      <c r="E89" s="18">
        <v>76.52</v>
      </c>
      <c r="F89" s="18">
        <v>76.41</v>
      </c>
      <c r="G89" s="18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</row>
    <row r="90" spans="1:115" ht="30" customHeight="1" x14ac:dyDescent="0.25">
      <c r="A90" s="15" t="s">
        <v>159</v>
      </c>
      <c r="B90" s="15">
        <v>28.010000228881836</v>
      </c>
      <c r="C90" s="18">
        <v>27.9</v>
      </c>
      <c r="D90" s="18">
        <v>27.9</v>
      </c>
      <c r="E90" s="18">
        <v>27.9</v>
      </c>
      <c r="F90" s="18">
        <v>27.17</v>
      </c>
      <c r="G90" s="18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5"/>
      <c r="CM90" s="15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Y90" s="15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</row>
    <row r="91" spans="1:115" ht="30" customHeight="1" x14ac:dyDescent="0.25">
      <c r="A91" s="15" t="s">
        <v>160</v>
      </c>
      <c r="B91" s="15">
        <v>96.866500854492188</v>
      </c>
      <c r="C91" s="18">
        <v>96.77</v>
      </c>
      <c r="D91" s="18">
        <v>96.77</v>
      </c>
      <c r="E91" s="18">
        <v>96.77</v>
      </c>
      <c r="F91" s="18">
        <v>97.84</v>
      </c>
      <c r="G91" s="18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</row>
    <row r="92" spans="1:115" ht="30" customHeight="1" x14ac:dyDescent="0.25">
      <c r="A92" s="15" t="s">
        <v>161</v>
      </c>
      <c r="B92" s="15">
        <v>156.19999694824219</v>
      </c>
      <c r="C92" s="18">
        <v>160.47999999999999</v>
      </c>
      <c r="D92" s="18">
        <v>160.47999999999999</v>
      </c>
      <c r="E92" s="18">
        <v>160.47999999999999</v>
      </c>
      <c r="F92" s="18">
        <v>163.30000000000001</v>
      </c>
      <c r="G92" s="18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</row>
    <row r="93" spans="1:115" ht="30" customHeight="1" x14ac:dyDescent="0.25">
      <c r="A93" s="15" t="s">
        <v>162</v>
      </c>
      <c r="B93" s="15">
        <v>91.330001831054688</v>
      </c>
      <c r="C93" s="18">
        <v>92.58</v>
      </c>
      <c r="D93" s="18">
        <v>92.58</v>
      </c>
      <c r="E93" s="18">
        <v>92.58</v>
      </c>
      <c r="F93" s="18">
        <v>92.33</v>
      </c>
      <c r="G93" s="18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</row>
    <row r="94" spans="1:115" ht="30" customHeight="1" x14ac:dyDescent="0.25">
      <c r="A94" s="15" t="s">
        <v>65</v>
      </c>
      <c r="B94" s="15">
        <v>346.01998901367188</v>
      </c>
      <c r="C94" s="18">
        <v>347.9</v>
      </c>
      <c r="D94" s="18">
        <v>347.9</v>
      </c>
      <c r="E94" s="18">
        <v>347.9</v>
      </c>
      <c r="F94" s="18">
        <v>346.59</v>
      </c>
      <c r="G94" s="18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</row>
    <row r="95" spans="1:115" ht="30" customHeight="1" x14ac:dyDescent="0.25">
      <c r="A95" s="15" t="s">
        <v>163</v>
      </c>
      <c r="B95" s="15">
        <v>31.629999160766602</v>
      </c>
      <c r="C95" s="18">
        <v>31.55</v>
      </c>
      <c r="D95" s="18">
        <v>31.55</v>
      </c>
      <c r="E95" s="18">
        <v>31.55</v>
      </c>
      <c r="F95" s="18">
        <v>31.24</v>
      </c>
      <c r="G95" s="18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</row>
    <row r="96" spans="1:115" ht="30" customHeight="1" x14ac:dyDescent="0.25">
      <c r="A96" s="15" t="s">
        <v>164</v>
      </c>
      <c r="B96" s="15">
        <v>24.670000076293945</v>
      </c>
      <c r="C96" s="18">
        <v>24.95</v>
      </c>
      <c r="D96" s="18">
        <v>24.95</v>
      </c>
      <c r="E96" s="18">
        <v>24.95</v>
      </c>
      <c r="F96" s="18">
        <v>24.64</v>
      </c>
      <c r="G96" s="18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</row>
    <row r="97" spans="1:115" ht="30" customHeight="1" x14ac:dyDescent="0.25">
      <c r="A97" s="15" t="s">
        <v>376</v>
      </c>
      <c r="B97" s="15">
        <v>0.45442661643028259</v>
      </c>
      <c r="C97" s="18">
        <v>0.46492243</v>
      </c>
      <c r="D97" s="18">
        <v>0.44672600000000001</v>
      </c>
      <c r="E97" s="18">
        <v>0.44850056999999999</v>
      </c>
      <c r="F97" s="18">
        <v>0.4014876</v>
      </c>
      <c r="G97" s="18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</row>
    <row r="98" spans="1:115" ht="30" customHeight="1" x14ac:dyDescent="0.25">
      <c r="A98" s="15" t="s">
        <v>165</v>
      </c>
      <c r="B98" s="15">
        <v>3.25</v>
      </c>
      <c r="C98" s="18">
        <v>3.27</v>
      </c>
      <c r="D98" s="18">
        <v>3.27</v>
      </c>
      <c r="E98" s="18">
        <v>3.27</v>
      </c>
      <c r="F98" s="18">
        <v>3.42</v>
      </c>
      <c r="G98" s="18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</row>
    <row r="99" spans="1:115" ht="30" customHeight="1" x14ac:dyDescent="0.25">
      <c r="A99" s="15" t="s">
        <v>166</v>
      </c>
      <c r="B99" s="15">
        <v>7.5300002098083496</v>
      </c>
      <c r="C99" s="18">
        <v>7.5</v>
      </c>
      <c r="D99" s="18">
        <v>7.5</v>
      </c>
      <c r="E99" s="18">
        <v>7.5</v>
      </c>
      <c r="F99" s="18">
        <v>7.5</v>
      </c>
      <c r="G99" s="18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</row>
    <row r="100" spans="1:115" ht="30" customHeight="1" x14ac:dyDescent="0.25">
      <c r="A100" s="15" t="s">
        <v>167</v>
      </c>
      <c r="B100" s="15">
        <v>18.020000457763672</v>
      </c>
      <c r="C100" s="18">
        <v>18.14</v>
      </c>
      <c r="D100" s="18">
        <v>18.14</v>
      </c>
      <c r="E100" s="18">
        <v>18.14</v>
      </c>
      <c r="F100" s="18">
        <v>19.7</v>
      </c>
      <c r="G100" s="18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</row>
    <row r="101" spans="1:115" ht="30" customHeight="1" x14ac:dyDescent="0.25">
      <c r="A101" s="15" t="s">
        <v>66</v>
      </c>
      <c r="B101" s="15">
        <v>55.490001678466797</v>
      </c>
      <c r="C101" s="18">
        <v>55.99</v>
      </c>
      <c r="D101" s="18">
        <v>55.99</v>
      </c>
      <c r="E101" s="18">
        <v>55.99</v>
      </c>
      <c r="F101" s="18">
        <v>55.71</v>
      </c>
      <c r="G101" s="18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</row>
    <row r="102" spans="1:115" ht="30" customHeight="1" x14ac:dyDescent="0.25">
      <c r="A102" s="15" t="s">
        <v>168</v>
      </c>
      <c r="B102" s="15">
        <v>97.5</v>
      </c>
      <c r="C102" s="18">
        <v>98.21</v>
      </c>
      <c r="D102" s="18">
        <v>98.21</v>
      </c>
      <c r="E102" s="18">
        <v>98.21</v>
      </c>
      <c r="F102" s="18">
        <v>97.87</v>
      </c>
      <c r="G102" s="18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</row>
    <row r="103" spans="1:115" ht="30" customHeight="1" x14ac:dyDescent="0.25">
      <c r="A103" s="15" t="s">
        <v>169</v>
      </c>
      <c r="B103" s="15">
        <v>38.630001068115234</v>
      </c>
      <c r="C103" s="18">
        <v>39.06</v>
      </c>
      <c r="D103" s="18">
        <v>39.06</v>
      </c>
      <c r="E103" s="18">
        <v>39.06</v>
      </c>
      <c r="F103" s="18">
        <v>39.520000000000003</v>
      </c>
      <c r="G103" s="18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</row>
    <row r="104" spans="1:115" ht="30" customHeight="1" x14ac:dyDescent="0.25">
      <c r="A104" s="15" t="s">
        <v>170</v>
      </c>
      <c r="B104" s="15">
        <v>134.1300048828125</v>
      </c>
      <c r="C104" s="18">
        <v>134.69999999999999</v>
      </c>
      <c r="D104" s="18">
        <v>134.69999999999999</v>
      </c>
      <c r="E104" s="18">
        <v>134.69999999999999</v>
      </c>
      <c r="F104" s="18">
        <v>137.47</v>
      </c>
      <c r="G104" s="18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</row>
    <row r="105" spans="1:115" ht="30" customHeight="1" x14ac:dyDescent="0.25">
      <c r="A105" s="15" t="s">
        <v>171</v>
      </c>
      <c r="B105" s="15">
        <v>82.459999084472656</v>
      </c>
      <c r="C105" s="18">
        <v>82.63</v>
      </c>
      <c r="D105" s="18">
        <v>82.63</v>
      </c>
      <c r="E105" s="18">
        <v>82.63</v>
      </c>
      <c r="F105" s="18">
        <v>83.26</v>
      </c>
      <c r="G105" s="18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</row>
    <row r="106" spans="1:115" ht="30" customHeight="1" x14ac:dyDescent="0.25">
      <c r="A106" s="15" t="s">
        <v>172</v>
      </c>
      <c r="B106" s="15">
        <v>36.880001068115234</v>
      </c>
      <c r="C106" s="18">
        <v>36.549999999999997</v>
      </c>
      <c r="D106" s="18">
        <v>36.549999999999997</v>
      </c>
      <c r="E106" s="18">
        <v>36.549999999999997</v>
      </c>
      <c r="F106" s="18">
        <v>36.6</v>
      </c>
      <c r="G106" s="18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</row>
    <row r="107" spans="1:115" ht="30" customHeight="1" x14ac:dyDescent="0.25">
      <c r="A107" s="15" t="s">
        <v>377</v>
      </c>
      <c r="B107" s="15">
        <v>7.4281768798828125</v>
      </c>
      <c r="C107" s="18">
        <v>7.4172060000000002</v>
      </c>
      <c r="D107" s="18">
        <v>6.9616480000000003</v>
      </c>
      <c r="E107" s="18">
        <v>7.1249037</v>
      </c>
      <c r="F107" s="18">
        <v>6.2641030000000004</v>
      </c>
      <c r="G107" s="18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</row>
    <row r="108" spans="1:115" ht="30" customHeight="1" x14ac:dyDescent="0.25">
      <c r="A108" s="15" t="s">
        <v>173</v>
      </c>
      <c r="B108" s="15">
        <v>24.209999084472656</v>
      </c>
      <c r="C108" s="18">
        <v>24.44</v>
      </c>
      <c r="D108" s="18">
        <v>24.44</v>
      </c>
      <c r="E108" s="18">
        <v>24.44</v>
      </c>
      <c r="F108" s="18">
        <v>24.7</v>
      </c>
      <c r="G108" s="18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</row>
    <row r="109" spans="1:115" ht="30" customHeight="1" x14ac:dyDescent="0.25">
      <c r="A109" s="15" t="s">
        <v>174</v>
      </c>
      <c r="B109" s="15">
        <v>10.489999771118164</v>
      </c>
      <c r="C109" s="18">
        <v>10.78</v>
      </c>
      <c r="D109" s="18">
        <v>10.78</v>
      </c>
      <c r="E109" s="18">
        <v>10.78</v>
      </c>
      <c r="F109" s="18">
        <v>10.91</v>
      </c>
      <c r="G109" s="18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</row>
    <row r="110" spans="1:115" ht="30" customHeight="1" x14ac:dyDescent="0.25">
      <c r="A110" s="15" t="s">
        <v>378</v>
      </c>
      <c r="B110" s="15">
        <v>3305.337158203125</v>
      </c>
      <c r="C110" s="18">
        <v>3336.6637999999998</v>
      </c>
      <c r="D110" s="18">
        <v>3176.8980000000001</v>
      </c>
      <c r="E110" s="18">
        <v>3334.5554000000002</v>
      </c>
      <c r="F110" s="18">
        <v>3133.828</v>
      </c>
      <c r="G110" s="18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</row>
    <row r="111" spans="1:115" ht="30" customHeight="1" x14ac:dyDescent="0.25">
      <c r="A111" s="15" t="s">
        <v>175</v>
      </c>
      <c r="B111" s="15">
        <v>22.079999923706055</v>
      </c>
      <c r="C111" s="18">
        <v>22.59</v>
      </c>
      <c r="D111" s="18">
        <v>22.59</v>
      </c>
      <c r="E111" s="18">
        <v>22.59</v>
      </c>
      <c r="F111" s="18">
        <v>22.8</v>
      </c>
      <c r="G111" s="18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</row>
    <row r="112" spans="1:115" ht="30" customHeight="1" x14ac:dyDescent="0.25">
      <c r="A112" s="15" t="s">
        <v>176</v>
      </c>
      <c r="B112" s="15">
        <v>170.75</v>
      </c>
      <c r="C112" s="18">
        <v>171.42</v>
      </c>
      <c r="D112" s="18">
        <v>171.42</v>
      </c>
      <c r="E112" s="18">
        <v>171.42</v>
      </c>
      <c r="F112" s="18">
        <v>170.35</v>
      </c>
      <c r="G112" s="18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</row>
    <row r="113" spans="1:115" ht="30" customHeight="1" x14ac:dyDescent="0.25">
      <c r="A113" s="15" t="s">
        <v>177</v>
      </c>
      <c r="B113" s="15">
        <v>5.369999885559082</v>
      </c>
      <c r="C113" s="18">
        <v>5.29</v>
      </c>
      <c r="D113" s="18">
        <v>5.29</v>
      </c>
      <c r="E113" s="18">
        <v>5.29</v>
      </c>
      <c r="F113" s="18">
        <v>5.07</v>
      </c>
      <c r="G113" s="18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</row>
    <row r="114" spans="1:115" ht="30" customHeight="1" x14ac:dyDescent="0.25">
      <c r="A114" s="15" t="s">
        <v>178</v>
      </c>
      <c r="B114" s="15">
        <v>7.5</v>
      </c>
      <c r="C114" s="18">
        <v>7.44</v>
      </c>
      <c r="D114" s="18">
        <v>7.44</v>
      </c>
      <c r="E114" s="18">
        <v>7.44</v>
      </c>
      <c r="F114" s="18">
        <v>7.12</v>
      </c>
      <c r="G114" s="18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</row>
    <row r="115" spans="1:115" ht="30" customHeight="1" x14ac:dyDescent="0.25">
      <c r="A115" s="15" t="s">
        <v>179</v>
      </c>
      <c r="B115" s="15">
        <v>15.989999771118164</v>
      </c>
      <c r="C115" s="18">
        <v>15.97</v>
      </c>
      <c r="D115" s="18">
        <v>15.97</v>
      </c>
      <c r="E115" s="18">
        <v>15.97</v>
      </c>
      <c r="F115" s="18">
        <v>15.88</v>
      </c>
      <c r="G115" s="18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</row>
    <row r="116" spans="1:115" ht="30" customHeight="1" x14ac:dyDescent="0.25">
      <c r="A116" s="15" t="s">
        <v>180</v>
      </c>
      <c r="B116" s="15">
        <v>23.889999389648438</v>
      </c>
      <c r="C116" s="18">
        <v>23.74</v>
      </c>
      <c r="D116" s="18">
        <v>23.74</v>
      </c>
      <c r="E116" s="18">
        <v>23.74</v>
      </c>
      <c r="F116" s="18">
        <v>23.74</v>
      </c>
      <c r="G116" s="18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</row>
    <row r="117" spans="1:115" ht="30" customHeight="1" x14ac:dyDescent="0.25">
      <c r="A117" s="15" t="s">
        <v>181</v>
      </c>
      <c r="B117" s="15">
        <v>62.369998931884766</v>
      </c>
      <c r="C117" s="18">
        <v>62.07</v>
      </c>
      <c r="D117" s="18">
        <v>62.07</v>
      </c>
      <c r="E117" s="18">
        <v>62.07</v>
      </c>
      <c r="F117" s="18">
        <v>61.24</v>
      </c>
      <c r="G117" s="18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</row>
    <row r="118" spans="1:115" ht="30" customHeight="1" x14ac:dyDescent="0.25">
      <c r="A118" s="15" t="s">
        <v>182</v>
      </c>
      <c r="B118" s="15">
        <v>68.069999694824219</v>
      </c>
      <c r="C118" s="18">
        <v>67.959999999999994</v>
      </c>
      <c r="D118" s="18">
        <v>67.959999999999994</v>
      </c>
      <c r="E118" s="18">
        <v>67.959999999999994</v>
      </c>
      <c r="F118" s="18">
        <v>67.989999999999995</v>
      </c>
      <c r="G118" s="18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</row>
    <row r="119" spans="1:115" ht="30" customHeight="1" x14ac:dyDescent="0.25">
      <c r="A119" s="15" t="s">
        <v>183</v>
      </c>
      <c r="B119" s="15">
        <v>15.210000038146973</v>
      </c>
      <c r="C119" s="18">
        <v>14.15</v>
      </c>
      <c r="D119" s="18">
        <v>14.15</v>
      </c>
      <c r="E119" s="18">
        <v>14.15</v>
      </c>
      <c r="F119" s="18">
        <v>15.36</v>
      </c>
      <c r="G119" s="18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</row>
    <row r="120" spans="1:115" ht="30" customHeight="1" x14ac:dyDescent="0.25">
      <c r="A120" s="15" t="s">
        <v>184</v>
      </c>
      <c r="B120" s="15">
        <v>12.890000343322754</v>
      </c>
      <c r="C120" s="18">
        <v>12.81</v>
      </c>
      <c r="D120" s="18">
        <v>12.81</v>
      </c>
      <c r="E120" s="18">
        <v>12.81</v>
      </c>
      <c r="F120" s="18">
        <v>13.09</v>
      </c>
      <c r="G120" s="18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</row>
    <row r="121" spans="1:115" ht="30" customHeight="1" x14ac:dyDescent="0.25">
      <c r="A121" s="15" t="s">
        <v>185</v>
      </c>
      <c r="B121" s="15">
        <v>27.670000076293945</v>
      </c>
      <c r="C121" s="18">
        <v>27.62</v>
      </c>
      <c r="D121" s="18">
        <v>27.62</v>
      </c>
      <c r="E121" s="18">
        <v>27.62</v>
      </c>
      <c r="F121" s="18">
        <v>26.95</v>
      </c>
      <c r="G121" s="18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</row>
    <row r="122" spans="1:115" ht="30" customHeight="1" x14ac:dyDescent="0.25">
      <c r="A122" s="15" t="s">
        <v>51</v>
      </c>
      <c r="B122" s="15">
        <v>38.169998168945313</v>
      </c>
      <c r="C122" s="18">
        <v>38.68</v>
      </c>
      <c r="D122" s="18">
        <v>38.68</v>
      </c>
      <c r="E122" s="18">
        <v>38.68</v>
      </c>
      <c r="F122" s="18">
        <v>38.65</v>
      </c>
      <c r="G122" s="18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</row>
    <row r="123" spans="1:115" ht="30" customHeight="1" x14ac:dyDescent="0.25">
      <c r="A123" s="15" t="s">
        <v>186</v>
      </c>
      <c r="B123" s="15">
        <v>28.850000381469727</v>
      </c>
      <c r="C123" s="18">
        <v>28.21</v>
      </c>
      <c r="D123" s="18">
        <v>28.21</v>
      </c>
      <c r="E123" s="18">
        <v>28.21</v>
      </c>
      <c r="F123" s="18">
        <v>28.497499999999999</v>
      </c>
      <c r="G123" s="18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</row>
    <row r="124" spans="1:115" ht="30" customHeight="1" x14ac:dyDescent="0.25">
      <c r="A124" s="15" t="s">
        <v>187</v>
      </c>
      <c r="B124" s="15">
        <v>32.139999389648438</v>
      </c>
      <c r="C124" s="18">
        <v>31.44</v>
      </c>
      <c r="D124" s="18">
        <v>31.44</v>
      </c>
      <c r="E124" s="18">
        <v>31.44</v>
      </c>
      <c r="F124" s="18">
        <v>34.799999999999997</v>
      </c>
      <c r="G124" s="18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</row>
    <row r="125" spans="1:115" ht="30" customHeight="1" x14ac:dyDescent="0.25">
      <c r="A125" s="15" t="s">
        <v>188</v>
      </c>
      <c r="B125" s="15">
        <v>66.480003356933594</v>
      </c>
      <c r="C125" s="18">
        <v>67.430000000000007</v>
      </c>
      <c r="D125" s="18">
        <v>67.430000000000007</v>
      </c>
      <c r="E125" s="18">
        <v>67.430000000000007</v>
      </c>
      <c r="F125" s="18">
        <v>67.42</v>
      </c>
      <c r="G125" s="18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</row>
    <row r="126" spans="1:115" ht="30" customHeight="1" x14ac:dyDescent="0.25">
      <c r="A126" s="15" t="s">
        <v>189</v>
      </c>
      <c r="B126" s="15">
        <v>63.799999237060547</v>
      </c>
      <c r="C126" s="18">
        <v>64.03</v>
      </c>
      <c r="D126" s="18">
        <v>64.03</v>
      </c>
      <c r="E126" s="18">
        <v>64.03</v>
      </c>
      <c r="F126" s="18">
        <v>63.72</v>
      </c>
      <c r="G126" s="18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</row>
    <row r="127" spans="1:115" ht="30" customHeight="1" x14ac:dyDescent="0.25">
      <c r="A127" s="15" t="s">
        <v>67</v>
      </c>
      <c r="B127" s="15">
        <v>175.27000427246094</v>
      </c>
      <c r="C127" s="18">
        <v>177.16</v>
      </c>
      <c r="D127" s="18">
        <v>177.16</v>
      </c>
      <c r="E127" s="18">
        <v>177.16</v>
      </c>
      <c r="F127" s="18">
        <v>177.87</v>
      </c>
      <c r="G127" s="18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</row>
    <row r="128" spans="1:115" ht="30" customHeight="1" x14ac:dyDescent="0.25">
      <c r="A128" s="15" t="s">
        <v>190</v>
      </c>
      <c r="B128" s="15">
        <v>63.459999084472656</v>
      </c>
      <c r="C128" s="18">
        <v>63.37</v>
      </c>
      <c r="D128" s="18">
        <v>63.37</v>
      </c>
      <c r="E128" s="18">
        <v>63.37</v>
      </c>
      <c r="F128" s="18">
        <v>63.23</v>
      </c>
      <c r="G128" s="18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</row>
    <row r="129" spans="1:115" ht="30" customHeight="1" x14ac:dyDescent="0.25">
      <c r="A129" s="15" t="s">
        <v>41</v>
      </c>
      <c r="B129" s="15">
        <v>258.17999267578125</v>
      </c>
      <c r="C129" s="18">
        <v>248.36</v>
      </c>
      <c r="D129" s="18">
        <v>248.36</v>
      </c>
      <c r="E129" s="18">
        <v>248.36</v>
      </c>
      <c r="F129" s="18">
        <v>280.01</v>
      </c>
      <c r="G129" s="18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</row>
    <row r="130" spans="1:115" ht="30" customHeight="1" x14ac:dyDescent="0.25">
      <c r="A130" s="15" t="s">
        <v>191</v>
      </c>
      <c r="B130" s="15">
        <v>15.539999961853027</v>
      </c>
      <c r="C130" s="18">
        <v>15.91</v>
      </c>
      <c r="D130" s="18">
        <v>15.91</v>
      </c>
      <c r="E130" s="18">
        <v>15.91</v>
      </c>
      <c r="F130" s="18">
        <v>15.48</v>
      </c>
      <c r="G130" s="18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</row>
    <row r="131" spans="1:115" ht="30" customHeight="1" x14ac:dyDescent="0.25">
      <c r="A131" s="15" t="s">
        <v>192</v>
      </c>
      <c r="B131" s="15">
        <v>11.130000114440918</v>
      </c>
      <c r="C131" s="18">
        <v>11.04</v>
      </c>
      <c r="D131" s="18">
        <v>11.04</v>
      </c>
      <c r="E131" s="18">
        <v>11.04</v>
      </c>
      <c r="F131" s="18">
        <v>11.17</v>
      </c>
      <c r="G131" s="18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</row>
    <row r="132" spans="1:115" ht="30" customHeight="1" x14ac:dyDescent="0.25">
      <c r="A132" s="15" t="s">
        <v>193</v>
      </c>
      <c r="B132" s="15">
        <v>16.760000228881836</v>
      </c>
      <c r="C132" s="18">
        <v>16.88</v>
      </c>
      <c r="D132" s="18">
        <v>16.88</v>
      </c>
      <c r="E132" s="18">
        <v>16.88</v>
      </c>
      <c r="F132" s="18">
        <v>17.12</v>
      </c>
      <c r="G132" s="18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</row>
    <row r="133" spans="1:115" ht="30" customHeight="1" x14ac:dyDescent="0.25">
      <c r="A133" s="15" t="s">
        <v>194</v>
      </c>
      <c r="B133" s="15">
        <v>58.840000152587891</v>
      </c>
      <c r="C133" s="18">
        <v>60.25</v>
      </c>
      <c r="D133" s="18">
        <v>60.25</v>
      </c>
      <c r="E133" s="18">
        <v>60.25</v>
      </c>
      <c r="F133" s="18">
        <v>60.24</v>
      </c>
      <c r="G133" s="18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</row>
    <row r="134" spans="1:115" ht="30" customHeight="1" x14ac:dyDescent="0.25">
      <c r="A134" s="15" t="s">
        <v>195</v>
      </c>
      <c r="B134" s="15">
        <v>38.709999084472656</v>
      </c>
      <c r="C134" s="18">
        <v>38.9</v>
      </c>
      <c r="D134" s="18">
        <v>38.9</v>
      </c>
      <c r="E134" s="18">
        <v>38.9</v>
      </c>
      <c r="F134" s="18">
        <v>38.75</v>
      </c>
      <c r="G134" s="18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</row>
    <row r="135" spans="1:115" ht="30" customHeight="1" x14ac:dyDescent="0.25">
      <c r="A135" s="15" t="s">
        <v>196</v>
      </c>
      <c r="B135" s="15">
        <v>23.5</v>
      </c>
      <c r="C135" s="18">
        <v>23.51</v>
      </c>
      <c r="D135" s="18">
        <v>23.51</v>
      </c>
      <c r="E135" s="18">
        <v>23.51</v>
      </c>
      <c r="F135" s="18">
        <v>23.64</v>
      </c>
      <c r="G135" s="18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</row>
    <row r="136" spans="1:115" ht="30" customHeight="1" x14ac:dyDescent="0.25">
      <c r="A136" s="15" t="s">
        <v>197</v>
      </c>
      <c r="B136" s="15">
        <v>101.34999847412109</v>
      </c>
      <c r="C136" s="18">
        <v>104.28</v>
      </c>
      <c r="D136" s="18">
        <v>104.28</v>
      </c>
      <c r="E136" s="18">
        <v>104.28</v>
      </c>
      <c r="F136" s="18">
        <v>103.72</v>
      </c>
      <c r="G136" s="18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</row>
    <row r="137" spans="1:115" ht="30" customHeight="1" x14ac:dyDescent="0.25">
      <c r="A137" s="15" t="s">
        <v>52</v>
      </c>
      <c r="B137" s="15">
        <v>0.79000002145767212</v>
      </c>
      <c r="C137" s="18">
        <v>0.77</v>
      </c>
      <c r="D137" s="18">
        <v>0.77</v>
      </c>
      <c r="E137" s="18">
        <v>0.77</v>
      </c>
      <c r="F137" s="18">
        <v>0.77</v>
      </c>
      <c r="G137" s="18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</row>
    <row r="138" spans="1:115" ht="30" customHeight="1" x14ac:dyDescent="0.25">
      <c r="A138" s="15" t="s">
        <v>198</v>
      </c>
      <c r="B138" s="15">
        <v>19.5</v>
      </c>
      <c r="C138" s="18">
        <v>19.36</v>
      </c>
      <c r="D138" s="18">
        <v>19.36</v>
      </c>
      <c r="E138" s="18">
        <v>19.36</v>
      </c>
      <c r="F138" s="18">
        <v>19.46</v>
      </c>
      <c r="G138" s="18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</row>
    <row r="139" spans="1:115" ht="30" customHeight="1" x14ac:dyDescent="0.25">
      <c r="A139" s="15" t="s">
        <v>199</v>
      </c>
      <c r="B139" s="15">
        <v>19.579999923706055</v>
      </c>
      <c r="C139" s="18">
        <v>19.34</v>
      </c>
      <c r="D139" s="18">
        <v>19.34</v>
      </c>
      <c r="E139" s="18">
        <v>19.34</v>
      </c>
      <c r="F139" s="18">
        <v>18.37</v>
      </c>
      <c r="G139" s="18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</row>
    <row r="140" spans="1:115" ht="30" customHeight="1" x14ac:dyDescent="0.25">
      <c r="A140" s="15" t="s">
        <v>200</v>
      </c>
      <c r="B140" s="15">
        <v>36.290000915527344</v>
      </c>
      <c r="C140" s="18">
        <v>35.96</v>
      </c>
      <c r="D140" s="18">
        <v>35.96</v>
      </c>
      <c r="E140" s="18">
        <v>35.96</v>
      </c>
      <c r="F140" s="18">
        <v>34.369999999999997</v>
      </c>
      <c r="G140" s="18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</row>
    <row r="141" spans="1:115" ht="30" customHeight="1" x14ac:dyDescent="0.25">
      <c r="A141" s="15" t="s">
        <v>53</v>
      </c>
      <c r="B141" s="15">
        <v>32.299999237060547</v>
      </c>
      <c r="C141" s="18">
        <v>32.71</v>
      </c>
      <c r="D141" s="18">
        <v>32.71</v>
      </c>
      <c r="E141" s="18">
        <v>32.71</v>
      </c>
      <c r="F141" s="18">
        <v>32.71</v>
      </c>
      <c r="G141" s="18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</row>
    <row r="142" spans="1:115" ht="30" customHeight="1" x14ac:dyDescent="0.25">
      <c r="A142" s="15" t="s">
        <v>201</v>
      </c>
      <c r="B142" s="15">
        <v>35</v>
      </c>
      <c r="C142" s="18">
        <v>35.729999999999997</v>
      </c>
      <c r="D142" s="18">
        <v>35.729999999999997</v>
      </c>
      <c r="E142" s="18">
        <v>35.729999999999997</v>
      </c>
      <c r="F142" s="18">
        <v>36.159999999999997</v>
      </c>
      <c r="G142" s="18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</row>
    <row r="143" spans="1:115" ht="30" customHeight="1" x14ac:dyDescent="0.25">
      <c r="A143" s="15" t="s">
        <v>202</v>
      </c>
      <c r="B143" s="15">
        <v>37.479999542236328</v>
      </c>
      <c r="C143" s="18">
        <v>41.15</v>
      </c>
      <c r="D143" s="18">
        <v>41.15</v>
      </c>
      <c r="E143" s="18">
        <v>41.15</v>
      </c>
      <c r="F143" s="18">
        <v>40.25</v>
      </c>
      <c r="G143" s="18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</row>
    <row r="144" spans="1:115" ht="30" customHeight="1" x14ac:dyDescent="0.25">
      <c r="A144" s="15" t="s">
        <v>203</v>
      </c>
      <c r="B144" s="15">
        <v>37.020000457763672</v>
      </c>
      <c r="C144" s="18">
        <v>37.1</v>
      </c>
      <c r="D144" s="18">
        <v>37.1</v>
      </c>
      <c r="E144" s="18">
        <v>37.1</v>
      </c>
      <c r="F144" s="18">
        <v>36.950000000000003</v>
      </c>
      <c r="G144" s="18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</row>
    <row r="145" spans="1:115" ht="30" customHeight="1" x14ac:dyDescent="0.25">
      <c r="A145" s="15" t="s">
        <v>204</v>
      </c>
      <c r="B145" s="15">
        <v>29.930000305175781</v>
      </c>
      <c r="C145" s="18">
        <v>30.63</v>
      </c>
      <c r="D145" s="18">
        <v>30.63</v>
      </c>
      <c r="E145" s="18">
        <v>30.63</v>
      </c>
      <c r="F145" s="18">
        <v>30.356200000000001</v>
      </c>
      <c r="G145" s="18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</row>
    <row r="146" spans="1:115" ht="30" customHeight="1" x14ac:dyDescent="0.25">
      <c r="A146" s="15" t="s">
        <v>47</v>
      </c>
      <c r="B146" s="15">
        <v>8.4650001525878906</v>
      </c>
      <c r="C146" s="18">
        <v>8.31</v>
      </c>
      <c r="D146" s="18">
        <v>8.31</v>
      </c>
      <c r="E146" s="18">
        <v>8.31</v>
      </c>
      <c r="F146" s="18">
        <v>8.3249999999999993</v>
      </c>
      <c r="G146" s="18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</row>
    <row r="147" spans="1:115" ht="30" customHeight="1" x14ac:dyDescent="0.25">
      <c r="A147" s="15" t="s">
        <v>391</v>
      </c>
      <c r="B147" s="15">
        <v>50.270000457763672</v>
      </c>
      <c r="C147" s="18">
        <v>51.15</v>
      </c>
      <c r="D147" s="18">
        <v>51.15</v>
      </c>
      <c r="E147" s="18">
        <v>51.15</v>
      </c>
      <c r="F147" s="18">
        <v>51.1</v>
      </c>
      <c r="G147" s="18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</row>
    <row r="148" spans="1:115" ht="30" customHeight="1" x14ac:dyDescent="0.25">
      <c r="A148" s="15" t="s">
        <v>400</v>
      </c>
      <c r="B148" s="15">
        <v>6.2199997901916504</v>
      </c>
      <c r="C148" s="18">
        <v>5.96</v>
      </c>
      <c r="D148" s="18">
        <v>5.96</v>
      </c>
      <c r="E148" s="18">
        <v>5.96</v>
      </c>
      <c r="F148" s="18">
        <v>6.21</v>
      </c>
      <c r="G148" s="18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</row>
    <row r="149" spans="1:115" ht="30" customHeight="1" x14ac:dyDescent="0.25">
      <c r="A149" s="15" t="s">
        <v>206</v>
      </c>
      <c r="B149" s="15">
        <v>28.159999847412109</v>
      </c>
      <c r="C149" s="18">
        <v>28.25</v>
      </c>
      <c r="D149" s="18">
        <v>28.25</v>
      </c>
      <c r="E149" s="18">
        <v>28.25</v>
      </c>
      <c r="F149" s="18">
        <v>27.97</v>
      </c>
      <c r="G149" s="18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</row>
    <row r="150" spans="1:115" ht="30" customHeight="1" x14ac:dyDescent="0.25">
      <c r="A150" s="15" t="s">
        <v>68</v>
      </c>
      <c r="B150" s="15">
        <v>35.639999389648438</v>
      </c>
      <c r="C150" s="18">
        <v>36.04</v>
      </c>
      <c r="D150" s="18">
        <v>36.04</v>
      </c>
      <c r="E150" s="18">
        <v>36.04</v>
      </c>
      <c r="F150" s="18">
        <v>36.19</v>
      </c>
      <c r="G150" s="18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</row>
    <row r="151" spans="1:115" ht="30" customHeight="1" x14ac:dyDescent="0.25">
      <c r="A151" s="15" t="s">
        <v>207</v>
      </c>
      <c r="B151" s="15">
        <v>17.920000076293945</v>
      </c>
      <c r="C151" s="18">
        <v>18.010000000000002</v>
      </c>
      <c r="D151" s="18">
        <v>18.010000000000002</v>
      </c>
      <c r="E151" s="18">
        <v>18.010000000000002</v>
      </c>
      <c r="F151" s="18">
        <v>19.2</v>
      </c>
      <c r="G151" s="18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</row>
    <row r="152" spans="1:115" ht="30" customHeight="1" x14ac:dyDescent="0.25">
      <c r="A152" s="15" t="s">
        <v>208</v>
      </c>
      <c r="B152" s="15">
        <v>142.71000671386719</v>
      </c>
      <c r="C152" s="18">
        <v>143</v>
      </c>
      <c r="D152" s="18">
        <v>143</v>
      </c>
      <c r="E152" s="18">
        <v>143</v>
      </c>
      <c r="F152" s="18">
        <v>143.18</v>
      </c>
      <c r="G152" s="18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</row>
    <row r="153" spans="1:115" ht="30" customHeight="1" x14ac:dyDescent="0.25">
      <c r="A153" s="15" t="s">
        <v>54</v>
      </c>
      <c r="B153" s="15">
        <v>113.45999908447266</v>
      </c>
      <c r="C153" s="18">
        <v>113.87</v>
      </c>
      <c r="D153" s="18">
        <v>113.87</v>
      </c>
      <c r="E153" s="18">
        <v>113.87</v>
      </c>
      <c r="F153" s="18">
        <v>114.98</v>
      </c>
      <c r="G153" s="18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</row>
    <row r="154" spans="1:115" ht="30" customHeight="1" x14ac:dyDescent="0.25">
      <c r="A154" s="15" t="s">
        <v>209</v>
      </c>
      <c r="B154" s="15">
        <v>404.57998657226563</v>
      </c>
      <c r="C154" s="18">
        <v>418.12</v>
      </c>
      <c r="D154" s="18">
        <v>418.12</v>
      </c>
      <c r="E154" s="18">
        <v>418.12</v>
      </c>
      <c r="F154" s="18">
        <v>430.34</v>
      </c>
      <c r="G154" s="18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</row>
    <row r="155" spans="1:115" ht="30" customHeight="1" x14ac:dyDescent="0.25">
      <c r="A155" s="15" t="s">
        <v>210</v>
      </c>
      <c r="B155" s="15">
        <v>23.059999465942383</v>
      </c>
      <c r="C155" s="18">
        <v>23.03</v>
      </c>
      <c r="D155" s="18">
        <v>23.03</v>
      </c>
      <c r="E155" s="18">
        <v>23.03</v>
      </c>
      <c r="F155" s="18">
        <v>23.31</v>
      </c>
      <c r="G155" s="18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</row>
    <row r="156" spans="1:115" ht="30" customHeight="1" x14ac:dyDescent="0.25">
      <c r="A156" s="15" t="s">
        <v>211</v>
      </c>
      <c r="B156" s="15">
        <v>14.090000152587891</v>
      </c>
      <c r="C156" s="18">
        <v>13.89</v>
      </c>
      <c r="D156" s="18">
        <v>13.89</v>
      </c>
      <c r="E156" s="18">
        <v>13.89</v>
      </c>
      <c r="F156" s="18">
        <v>13.79</v>
      </c>
      <c r="G156" s="18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</row>
    <row r="157" spans="1:115" ht="30" customHeight="1" x14ac:dyDescent="0.25">
      <c r="A157" s="15" t="s">
        <v>212</v>
      </c>
      <c r="B157" s="15">
        <v>96.55999755859375</v>
      </c>
      <c r="C157" s="18">
        <v>96.36</v>
      </c>
      <c r="D157" s="18">
        <v>96.36</v>
      </c>
      <c r="E157" s="18">
        <v>96.36</v>
      </c>
      <c r="F157" s="18">
        <v>96.18</v>
      </c>
      <c r="G157" s="18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</row>
    <row r="158" spans="1:115" ht="30" customHeight="1" x14ac:dyDescent="0.25">
      <c r="A158" s="15" t="s">
        <v>55</v>
      </c>
      <c r="B158" s="15">
        <v>0.15000000596046448</v>
      </c>
      <c r="C158" s="18">
        <v>0.14499999999999999</v>
      </c>
      <c r="D158" s="18">
        <v>0.14499999999999999</v>
      </c>
      <c r="E158" s="18">
        <v>0.14499999999999999</v>
      </c>
      <c r="F158" s="18">
        <v>0.155</v>
      </c>
      <c r="G158" s="18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</row>
    <row r="159" spans="1:115" ht="30" customHeight="1" x14ac:dyDescent="0.25">
      <c r="A159" s="15" t="s">
        <v>213</v>
      </c>
      <c r="B159" s="15">
        <v>87.05999755859375</v>
      </c>
      <c r="C159" s="18">
        <v>85.84</v>
      </c>
      <c r="D159" s="18">
        <v>85.84</v>
      </c>
      <c r="E159" s="18">
        <v>85.84</v>
      </c>
      <c r="F159" s="18">
        <v>86.27</v>
      </c>
      <c r="G159" s="18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</row>
    <row r="160" spans="1:115" ht="30" customHeight="1" x14ac:dyDescent="0.25">
      <c r="A160" s="15" t="s">
        <v>69</v>
      </c>
      <c r="B160" s="15">
        <v>96.410003662109375</v>
      </c>
      <c r="C160" s="18">
        <v>97.26</v>
      </c>
      <c r="D160" s="18">
        <v>97.26</v>
      </c>
      <c r="E160" s="18">
        <v>97.26</v>
      </c>
      <c r="F160" s="18">
        <v>97.37</v>
      </c>
      <c r="G160" s="18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</row>
    <row r="161" spans="1:115" ht="30" customHeight="1" x14ac:dyDescent="0.25">
      <c r="A161" s="15" t="s">
        <v>214</v>
      </c>
      <c r="B161" s="15">
        <v>8.1400003433227539</v>
      </c>
      <c r="C161" s="18">
        <v>8.2899999999999991</v>
      </c>
      <c r="D161" s="18">
        <v>8.2899999999999991</v>
      </c>
      <c r="E161" s="18">
        <v>8.2899999999999991</v>
      </c>
      <c r="F161" s="18">
        <v>8.09</v>
      </c>
      <c r="G161" s="18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</row>
    <row r="162" spans="1:115" ht="30" customHeight="1" x14ac:dyDescent="0.25">
      <c r="A162" s="15" t="s">
        <v>215</v>
      </c>
      <c r="B162" s="15">
        <v>29.329999923706055</v>
      </c>
      <c r="C162" s="18">
        <v>29.27</v>
      </c>
      <c r="D162" s="18">
        <v>29.27</v>
      </c>
      <c r="E162" s="18">
        <v>29.27</v>
      </c>
      <c r="F162" s="18">
        <v>28.99</v>
      </c>
      <c r="G162" s="18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</row>
    <row r="163" spans="1:115" ht="30" customHeight="1" x14ac:dyDescent="0.25">
      <c r="A163" s="15" t="s">
        <v>70</v>
      </c>
      <c r="B163" s="15">
        <v>170.32000732421875</v>
      </c>
      <c r="C163" s="18">
        <v>170.39</v>
      </c>
      <c r="D163" s="18">
        <v>170.39</v>
      </c>
      <c r="E163" s="18">
        <v>170.39</v>
      </c>
      <c r="F163" s="18">
        <v>172.26</v>
      </c>
      <c r="G163" s="18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</row>
    <row r="164" spans="1:115" ht="30" customHeight="1" x14ac:dyDescent="0.25">
      <c r="A164" s="15" t="s">
        <v>216</v>
      </c>
      <c r="B164" s="15">
        <v>66.599998474121094</v>
      </c>
      <c r="C164" s="18">
        <v>66.73</v>
      </c>
      <c r="D164" s="18">
        <v>66.73</v>
      </c>
      <c r="E164" s="18">
        <v>66.73</v>
      </c>
      <c r="F164" s="18">
        <v>66.2</v>
      </c>
      <c r="G164" s="18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</row>
    <row r="165" spans="1:115" ht="30" customHeight="1" x14ac:dyDescent="0.25">
      <c r="A165" s="15" t="s">
        <v>217</v>
      </c>
      <c r="B165" s="15">
        <v>40.110000610351563</v>
      </c>
      <c r="C165" s="18">
        <v>41.21</v>
      </c>
      <c r="D165" s="18">
        <v>41.21</v>
      </c>
      <c r="E165" s="18">
        <v>41.21</v>
      </c>
      <c r="F165" s="18">
        <v>38.39</v>
      </c>
      <c r="G165" s="18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</row>
    <row r="166" spans="1:115" ht="30" customHeight="1" x14ac:dyDescent="0.25">
      <c r="A166" s="15" t="s">
        <v>218</v>
      </c>
      <c r="B166" s="15">
        <v>206.46000671386719</v>
      </c>
      <c r="C166" s="18">
        <v>202.53</v>
      </c>
      <c r="D166" s="18">
        <v>202.53</v>
      </c>
      <c r="E166" s="18">
        <v>202.53</v>
      </c>
      <c r="F166" s="18">
        <v>205.99</v>
      </c>
      <c r="G166" s="18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</row>
    <row r="167" spans="1:115" ht="30" customHeight="1" x14ac:dyDescent="0.25">
      <c r="A167" s="15" t="s">
        <v>219</v>
      </c>
      <c r="B167" s="15">
        <v>66.730003356933594</v>
      </c>
      <c r="C167" s="18">
        <v>66.63</v>
      </c>
      <c r="D167" s="18">
        <v>66.63</v>
      </c>
      <c r="E167" s="18">
        <v>66.63</v>
      </c>
      <c r="F167" s="18">
        <v>66.41</v>
      </c>
      <c r="G167" s="18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</row>
    <row r="168" spans="1:115" ht="30" customHeight="1" x14ac:dyDescent="0.25">
      <c r="A168" s="15" t="s">
        <v>220</v>
      </c>
      <c r="B168" s="15">
        <v>45.240001678466797</v>
      </c>
      <c r="C168" s="18">
        <v>46</v>
      </c>
      <c r="D168" s="18">
        <v>46</v>
      </c>
      <c r="E168" s="18">
        <v>46</v>
      </c>
      <c r="F168" s="18">
        <v>45.69</v>
      </c>
      <c r="G168" s="18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</row>
    <row r="169" spans="1:115" ht="30" customHeight="1" x14ac:dyDescent="0.25">
      <c r="A169" s="15" t="s">
        <v>221</v>
      </c>
      <c r="B169" s="15">
        <v>34.799999237060547</v>
      </c>
      <c r="C169" s="18">
        <v>35.082999999999998</v>
      </c>
      <c r="D169" s="18">
        <v>35.082999999999998</v>
      </c>
      <c r="E169" s="18">
        <v>35.082999999999998</v>
      </c>
      <c r="F169" s="18">
        <v>35.61</v>
      </c>
      <c r="G169" s="18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</row>
    <row r="170" spans="1:115" ht="30" customHeight="1" x14ac:dyDescent="0.25">
      <c r="A170" s="15" t="s">
        <v>222</v>
      </c>
      <c r="B170" s="15">
        <v>62.590000152587891</v>
      </c>
      <c r="C170" s="18">
        <v>62.61</v>
      </c>
      <c r="D170" s="18">
        <v>62.61</v>
      </c>
      <c r="E170" s="18">
        <v>62.61</v>
      </c>
      <c r="F170" s="18">
        <v>62.91</v>
      </c>
      <c r="G170" s="18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</row>
    <row r="171" spans="1:115" ht="30" customHeight="1" x14ac:dyDescent="0.25">
      <c r="A171" s="15" t="s">
        <v>223</v>
      </c>
      <c r="B171" s="15">
        <v>66.260002136230469</v>
      </c>
      <c r="C171" s="18">
        <v>66.790000000000006</v>
      </c>
      <c r="D171" s="18">
        <v>66.790000000000006</v>
      </c>
      <c r="E171" s="18">
        <v>66.790000000000006</v>
      </c>
      <c r="F171" s="18">
        <v>66.48</v>
      </c>
      <c r="G171" s="18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</row>
    <row r="172" spans="1:115" ht="30" customHeight="1" x14ac:dyDescent="0.25">
      <c r="A172" s="15" t="s">
        <v>224</v>
      </c>
      <c r="B172" s="15">
        <v>43.990001678466797</v>
      </c>
      <c r="C172" s="18">
        <v>43.96</v>
      </c>
      <c r="D172" s="18">
        <v>43.96</v>
      </c>
      <c r="E172" s="18">
        <v>43.96</v>
      </c>
      <c r="F172" s="18">
        <v>43.88</v>
      </c>
      <c r="G172" s="18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</row>
    <row r="173" spans="1:115" ht="30" customHeight="1" x14ac:dyDescent="0.25">
      <c r="A173" s="15" t="s">
        <v>225</v>
      </c>
      <c r="B173" s="15">
        <v>72.989997863769531</v>
      </c>
      <c r="C173" s="18">
        <v>73.650000000000006</v>
      </c>
      <c r="D173" s="18">
        <v>73.650000000000006</v>
      </c>
      <c r="E173" s="18">
        <v>73.650000000000006</v>
      </c>
      <c r="F173" s="18">
        <v>72.13</v>
      </c>
      <c r="G173" s="18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</row>
    <row r="174" spans="1:115" ht="30" customHeight="1" x14ac:dyDescent="0.25">
      <c r="A174" s="15" t="s">
        <v>226</v>
      </c>
      <c r="B174" s="15">
        <v>55.639999389648438</v>
      </c>
      <c r="C174" s="18">
        <v>56.24</v>
      </c>
      <c r="D174" s="18">
        <v>56.24</v>
      </c>
      <c r="E174" s="18">
        <v>56.24</v>
      </c>
      <c r="F174" s="18">
        <v>56.04</v>
      </c>
      <c r="G174" s="18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</row>
    <row r="175" spans="1:115" ht="30" customHeight="1" x14ac:dyDescent="0.25">
      <c r="A175" s="15" t="s">
        <v>366</v>
      </c>
      <c r="B175" s="15">
        <v>30.829999923706055</v>
      </c>
      <c r="C175" s="18">
        <v>26.95</v>
      </c>
      <c r="D175" s="18">
        <v>26.95</v>
      </c>
      <c r="E175" s="18">
        <v>26.95</v>
      </c>
      <c r="F175" s="18">
        <v>27.6</v>
      </c>
      <c r="G175" s="18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</row>
    <row r="176" spans="1:115" ht="30" customHeight="1" x14ac:dyDescent="0.25">
      <c r="A176" s="15" t="s">
        <v>227</v>
      </c>
      <c r="B176" s="15">
        <v>34.729999542236328</v>
      </c>
      <c r="C176" s="18">
        <v>35.409999999999997</v>
      </c>
      <c r="D176" s="18">
        <v>35.409999999999997</v>
      </c>
      <c r="E176" s="18">
        <v>35.409999999999997</v>
      </c>
      <c r="F176" s="18">
        <v>35.42</v>
      </c>
      <c r="G176" s="18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</row>
    <row r="177" spans="1:115" ht="30" customHeight="1" x14ac:dyDescent="0.25">
      <c r="A177" s="15" t="s">
        <v>228</v>
      </c>
      <c r="B177" s="15">
        <v>72.769996643066406</v>
      </c>
      <c r="C177" s="18">
        <v>71.95</v>
      </c>
      <c r="D177" s="18">
        <v>71.95</v>
      </c>
      <c r="E177" s="18">
        <v>71.95</v>
      </c>
      <c r="F177" s="18">
        <v>72.27</v>
      </c>
      <c r="G177" s="18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S177" s="15"/>
      <c r="CT177" s="15"/>
      <c r="CU177" s="15"/>
      <c r="CV177" s="15"/>
      <c r="CW177" s="15"/>
      <c r="CX177" s="15"/>
      <c r="CY177" s="15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</row>
    <row r="178" spans="1:115" ht="30" customHeight="1" x14ac:dyDescent="0.25">
      <c r="A178" s="15" t="s">
        <v>229</v>
      </c>
      <c r="B178" s="15">
        <v>53.409999847412109</v>
      </c>
      <c r="C178" s="18">
        <v>53.42</v>
      </c>
      <c r="D178" s="18">
        <v>53.42</v>
      </c>
      <c r="E178" s="18">
        <v>53.42</v>
      </c>
      <c r="F178" s="18">
        <v>54.09</v>
      </c>
      <c r="G178" s="18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CV178" s="15"/>
      <c r="CW178" s="15"/>
      <c r="CX178" s="15"/>
      <c r="CY178" s="15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</row>
    <row r="179" spans="1:115" ht="30" customHeight="1" x14ac:dyDescent="0.25">
      <c r="A179" s="15" t="s">
        <v>230</v>
      </c>
      <c r="B179" s="15">
        <v>66.069999694824219</v>
      </c>
      <c r="C179" s="18">
        <v>65.709999999999994</v>
      </c>
      <c r="D179" s="18">
        <v>65.709999999999994</v>
      </c>
      <c r="E179" s="18">
        <v>65.709999999999994</v>
      </c>
      <c r="F179" s="18">
        <v>66.14</v>
      </c>
      <c r="G179" s="18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CV179" s="15"/>
      <c r="CW179" s="15"/>
      <c r="CX179" s="15"/>
      <c r="CY179" s="15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</row>
    <row r="180" spans="1:115" ht="30" customHeight="1" x14ac:dyDescent="0.25">
      <c r="A180" s="15" t="s">
        <v>231</v>
      </c>
      <c r="B180" s="15">
        <v>33.959999084472656</v>
      </c>
      <c r="C180" s="18">
        <v>35.1</v>
      </c>
      <c r="D180" s="18">
        <v>35.1</v>
      </c>
      <c r="E180" s="18">
        <v>35.1</v>
      </c>
      <c r="F180" s="18">
        <v>34.54</v>
      </c>
      <c r="G180" s="18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  <c r="CA180" s="15"/>
      <c r="CB180" s="15"/>
      <c r="CC180" s="15"/>
      <c r="CD180" s="15"/>
      <c r="CE180" s="15"/>
      <c r="CF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R180" s="15"/>
      <c r="CS180" s="15"/>
      <c r="CT180" s="15"/>
      <c r="CU180" s="15"/>
      <c r="CV180" s="15"/>
      <c r="CW180" s="15"/>
      <c r="CX180" s="15"/>
      <c r="CY180" s="15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</row>
    <row r="181" spans="1:115" ht="30" customHeight="1" x14ac:dyDescent="0.25">
      <c r="A181" s="15" t="s">
        <v>56</v>
      </c>
      <c r="B181" s="15">
        <v>0.4050000011920929</v>
      </c>
      <c r="C181" s="18">
        <v>0.4</v>
      </c>
      <c r="D181" s="18">
        <v>0.4</v>
      </c>
      <c r="E181" s="18">
        <v>0.4</v>
      </c>
      <c r="F181" s="18">
        <v>0.38500000000000001</v>
      </c>
      <c r="G181" s="18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CV181" s="15"/>
      <c r="CW181" s="15"/>
      <c r="CX181" s="15"/>
      <c r="CY181" s="15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</row>
    <row r="182" spans="1:115" ht="30" customHeight="1" x14ac:dyDescent="0.25">
      <c r="A182" s="15" t="s">
        <v>232</v>
      </c>
      <c r="B182" s="15">
        <v>94.970001220703125</v>
      </c>
      <c r="C182" s="18">
        <v>96.6</v>
      </c>
      <c r="D182" s="18">
        <v>96.6</v>
      </c>
      <c r="E182" s="18">
        <v>96.6</v>
      </c>
      <c r="F182" s="18">
        <v>95.76</v>
      </c>
      <c r="G182" s="18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  <c r="CQ182" s="15"/>
      <c r="CR182" s="15"/>
      <c r="CS182" s="15"/>
      <c r="CT182" s="15"/>
      <c r="CU182" s="15"/>
      <c r="CV182" s="15"/>
      <c r="CW182" s="15"/>
      <c r="CX182" s="15"/>
      <c r="CY182" s="15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</row>
    <row r="183" spans="1:115" ht="30" customHeight="1" x14ac:dyDescent="0.25">
      <c r="A183" s="15" t="s">
        <v>379</v>
      </c>
      <c r="B183" s="15">
        <v>35.274074554443359</v>
      </c>
      <c r="C183" s="18">
        <v>35.741</v>
      </c>
      <c r="D183" s="18">
        <v>32.628999999999998</v>
      </c>
      <c r="E183" s="18">
        <v>33.625489999999999</v>
      </c>
      <c r="F183" s="18">
        <v>29.704685000000001</v>
      </c>
      <c r="G183" s="18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</row>
    <row r="184" spans="1:115" ht="30" customHeight="1" x14ac:dyDescent="0.25">
      <c r="A184" s="15" t="s">
        <v>233</v>
      </c>
      <c r="B184" s="15">
        <v>50.180000305175781</v>
      </c>
      <c r="C184" s="18">
        <v>50.45</v>
      </c>
      <c r="D184" s="18">
        <v>50.45</v>
      </c>
      <c r="E184" s="18">
        <v>50.45</v>
      </c>
      <c r="F184" s="18">
        <v>49.53</v>
      </c>
      <c r="G184" s="18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</row>
    <row r="185" spans="1:115" ht="30" customHeight="1" x14ac:dyDescent="0.25">
      <c r="A185" s="15" t="s">
        <v>234</v>
      </c>
      <c r="B185" s="15">
        <v>22.290000915527344</v>
      </c>
      <c r="C185" s="18">
        <v>22.71</v>
      </c>
      <c r="D185" s="18">
        <v>22.71</v>
      </c>
      <c r="E185" s="18">
        <v>22.71</v>
      </c>
      <c r="F185" s="18">
        <v>23.06</v>
      </c>
      <c r="G185" s="18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</row>
    <row r="186" spans="1:115" ht="30" customHeight="1" x14ac:dyDescent="0.25">
      <c r="A186" s="15" t="s">
        <v>380</v>
      </c>
      <c r="B186" s="15">
        <v>222.78532409667969</v>
      </c>
      <c r="C186" s="18">
        <v>221.78226000000001</v>
      </c>
      <c r="D186" s="18">
        <v>209.43053</v>
      </c>
      <c r="E186" s="18">
        <v>216.03209000000001</v>
      </c>
      <c r="F186" s="18">
        <v>195.74284</v>
      </c>
      <c r="G186" s="18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Q186" s="15"/>
      <c r="CR186" s="15"/>
      <c r="CS186" s="15"/>
      <c r="CT186" s="15"/>
      <c r="CU186" s="15"/>
      <c r="CV186" s="15"/>
      <c r="CW186" s="15"/>
      <c r="CX186" s="15"/>
      <c r="CY186" s="15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</row>
    <row r="187" spans="1:115" ht="30" customHeight="1" x14ac:dyDescent="0.25">
      <c r="A187" s="15" t="s">
        <v>235</v>
      </c>
      <c r="B187" s="15">
        <v>4.3499999046325684</v>
      </c>
      <c r="C187" s="18">
        <v>4.25</v>
      </c>
      <c r="D187" s="18">
        <v>4.25</v>
      </c>
      <c r="E187" s="18">
        <v>4.25</v>
      </c>
      <c r="F187" s="18">
        <v>4.3</v>
      </c>
      <c r="G187" s="18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  <c r="CA187" s="15"/>
      <c r="CB187" s="15"/>
      <c r="CC187" s="15"/>
      <c r="CD187" s="15"/>
      <c r="CE187" s="15"/>
      <c r="CF187" s="15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  <c r="CQ187" s="15"/>
      <c r="CR187" s="15"/>
      <c r="CS187" s="15"/>
      <c r="CT187" s="15"/>
      <c r="CU187" s="15"/>
      <c r="CV187" s="15"/>
      <c r="CW187" s="15"/>
      <c r="CX187" s="15"/>
      <c r="CY187" s="15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</row>
    <row r="188" spans="1:115" ht="30" customHeight="1" x14ac:dyDescent="0.25">
      <c r="A188" s="15" t="s">
        <v>236</v>
      </c>
      <c r="B188" s="15">
        <v>90.029998779296875</v>
      </c>
      <c r="C188" s="18">
        <v>89.24</v>
      </c>
      <c r="D188" s="18">
        <v>89.24</v>
      </c>
      <c r="E188" s="18">
        <v>89.24</v>
      </c>
      <c r="F188" s="18">
        <v>89.7</v>
      </c>
      <c r="G188" s="18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  <c r="CA188" s="15"/>
      <c r="CB188" s="15"/>
      <c r="CC188" s="15"/>
      <c r="CD188" s="15"/>
      <c r="CE188" s="15"/>
      <c r="CF188" s="15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  <c r="CQ188" s="15"/>
      <c r="CR188" s="15"/>
      <c r="CS188" s="15"/>
      <c r="CT188" s="15"/>
      <c r="CU188" s="15"/>
      <c r="CV188" s="15"/>
      <c r="CW188" s="15"/>
      <c r="CX188" s="15"/>
      <c r="CY188" s="15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</row>
    <row r="189" spans="1:115" ht="30" customHeight="1" x14ac:dyDescent="0.25">
      <c r="A189" s="15" t="s">
        <v>237</v>
      </c>
      <c r="B189" s="15">
        <v>18.319999694824219</v>
      </c>
      <c r="C189" s="18">
        <v>17.940000000000001</v>
      </c>
      <c r="D189" s="18">
        <v>17.940000000000001</v>
      </c>
      <c r="E189" s="18">
        <v>17.940000000000001</v>
      </c>
      <c r="F189" s="18">
        <v>18.64</v>
      </c>
      <c r="G189" s="18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  <c r="CE189" s="15"/>
      <c r="CF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CV189" s="15"/>
      <c r="CW189" s="15"/>
      <c r="CX189" s="15"/>
      <c r="CY189" s="15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</row>
    <row r="190" spans="1:115" ht="30" customHeight="1" x14ac:dyDescent="0.25">
      <c r="A190" s="15" t="s">
        <v>238</v>
      </c>
      <c r="B190" s="15">
        <v>17.559999465942383</v>
      </c>
      <c r="C190" s="18">
        <v>17.05</v>
      </c>
      <c r="D190" s="18">
        <v>17.05</v>
      </c>
      <c r="E190" s="18">
        <v>17.05</v>
      </c>
      <c r="F190" s="18">
        <v>17.7</v>
      </c>
      <c r="G190" s="18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  <c r="CE190" s="15"/>
      <c r="CF190" s="15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  <c r="CQ190" s="15"/>
      <c r="CR190" s="15"/>
      <c r="CS190" s="15"/>
      <c r="CT190" s="15"/>
      <c r="CU190" s="15"/>
      <c r="CV190" s="15"/>
      <c r="CW190" s="15"/>
      <c r="CX190" s="15"/>
      <c r="CY190" s="15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</row>
    <row r="191" spans="1:115" ht="30" customHeight="1" x14ac:dyDescent="0.25">
      <c r="A191" s="15" t="s">
        <v>239</v>
      </c>
      <c r="B191" s="15">
        <v>20.860000610351563</v>
      </c>
      <c r="C191" s="18">
        <v>20.68</v>
      </c>
      <c r="D191" s="18">
        <v>20.68</v>
      </c>
      <c r="E191" s="18">
        <v>20.68</v>
      </c>
      <c r="F191" s="18">
        <v>20.69</v>
      </c>
      <c r="G191" s="18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CR191" s="15"/>
      <c r="CS191" s="15"/>
      <c r="CT191" s="15"/>
      <c r="CU191" s="15"/>
      <c r="CV191" s="15"/>
      <c r="CW191" s="15"/>
      <c r="CX191" s="15"/>
      <c r="CY191" s="15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</row>
    <row r="192" spans="1:115" ht="30" customHeight="1" x14ac:dyDescent="0.25">
      <c r="A192" s="15" t="s">
        <v>381</v>
      </c>
      <c r="B192" s="15">
        <v>1.9697607755661011</v>
      </c>
      <c r="C192" s="18">
        <v>2.0081120000000001</v>
      </c>
      <c r="D192" s="18">
        <v>1.8586096999999999</v>
      </c>
      <c r="E192" s="18">
        <v>2.0044385999999998</v>
      </c>
      <c r="F192" s="18">
        <v>1.8124914000000001</v>
      </c>
      <c r="G192" s="18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  <c r="CA192" s="15"/>
      <c r="CB192" s="15"/>
      <c r="CC192" s="15"/>
      <c r="CD192" s="15"/>
      <c r="CE192" s="15"/>
      <c r="CF192" s="15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  <c r="CQ192" s="15"/>
      <c r="CR192" s="15"/>
      <c r="CS192" s="15"/>
      <c r="CT192" s="15"/>
      <c r="CU192" s="15"/>
      <c r="CV192" s="15"/>
      <c r="CW192" s="15"/>
      <c r="CX192" s="15"/>
      <c r="CY192" s="15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</row>
    <row r="193" spans="1:115" ht="30" customHeight="1" x14ac:dyDescent="0.25">
      <c r="A193" s="15" t="s">
        <v>240</v>
      </c>
      <c r="B193" s="15">
        <v>232.44999694824219</v>
      </c>
      <c r="C193" s="18">
        <v>233.38</v>
      </c>
      <c r="D193" s="18">
        <v>233.38</v>
      </c>
      <c r="E193" s="18">
        <v>233.38</v>
      </c>
      <c r="F193" s="18">
        <v>231.69</v>
      </c>
      <c r="G193" s="18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</row>
    <row r="194" spans="1:115" ht="30" customHeight="1" x14ac:dyDescent="0.25">
      <c r="A194" s="15" t="s">
        <v>241</v>
      </c>
      <c r="B194" s="15">
        <v>151.71000671386719</v>
      </c>
      <c r="C194" s="18">
        <v>155.38</v>
      </c>
      <c r="D194" s="18">
        <v>155.38</v>
      </c>
      <c r="E194" s="18">
        <v>155.38</v>
      </c>
      <c r="F194" s="18">
        <v>153.57</v>
      </c>
      <c r="G194" s="18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</row>
    <row r="195" spans="1:115" ht="30" customHeight="1" x14ac:dyDescent="0.25">
      <c r="A195" s="15" t="s">
        <v>242</v>
      </c>
      <c r="B195" s="15">
        <v>193.86000061035156</v>
      </c>
      <c r="C195" s="18">
        <v>194.94</v>
      </c>
      <c r="D195" s="18">
        <v>194.94</v>
      </c>
      <c r="E195" s="18">
        <v>194.94</v>
      </c>
      <c r="F195" s="18">
        <v>195.03</v>
      </c>
      <c r="G195" s="18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</row>
    <row r="196" spans="1:115" ht="30" customHeight="1" x14ac:dyDescent="0.25">
      <c r="A196" s="15" t="s">
        <v>243</v>
      </c>
      <c r="B196" s="15">
        <v>55.360000610351563</v>
      </c>
      <c r="C196" s="18">
        <v>56.68</v>
      </c>
      <c r="D196" s="18">
        <v>56.68</v>
      </c>
      <c r="E196" s="18">
        <v>56.68</v>
      </c>
      <c r="F196" s="18">
        <v>56.2</v>
      </c>
      <c r="G196" s="18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CV196" s="15"/>
      <c r="CW196" s="15"/>
      <c r="CX196" s="15"/>
      <c r="CY196" s="15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</row>
    <row r="197" spans="1:115" ht="30" customHeight="1" x14ac:dyDescent="0.25">
      <c r="A197" s="15" t="s">
        <v>244</v>
      </c>
      <c r="B197" s="15">
        <v>123.06999969482422</v>
      </c>
      <c r="C197" s="18">
        <v>123.85</v>
      </c>
      <c r="D197" s="18">
        <v>123.85</v>
      </c>
      <c r="E197" s="18">
        <v>123.85</v>
      </c>
      <c r="F197" s="18">
        <v>123.96</v>
      </c>
      <c r="G197" s="18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CR197" s="15"/>
      <c r="CS197" s="15"/>
      <c r="CT197" s="15"/>
      <c r="CU197" s="15"/>
      <c r="CV197" s="15"/>
      <c r="CW197" s="15"/>
      <c r="CX197" s="15"/>
      <c r="CY197" s="15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</row>
    <row r="198" spans="1:115" ht="30" customHeight="1" x14ac:dyDescent="0.25">
      <c r="A198" s="15" t="s">
        <v>245</v>
      </c>
      <c r="B198" s="15">
        <v>11.25</v>
      </c>
      <c r="C198" s="18">
        <v>11.12</v>
      </c>
      <c r="D198" s="18">
        <v>11.12</v>
      </c>
      <c r="E198" s="18">
        <v>11.12</v>
      </c>
      <c r="F198" s="18">
        <v>10.15</v>
      </c>
      <c r="G198" s="18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S198" s="15"/>
      <c r="CT198" s="15"/>
      <c r="CU198" s="15"/>
      <c r="CV198" s="15"/>
      <c r="CW198" s="15"/>
      <c r="CX198" s="15"/>
      <c r="CY198" s="15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</row>
    <row r="199" spans="1:115" ht="30" customHeight="1" x14ac:dyDescent="0.25">
      <c r="A199" s="15" t="s">
        <v>246</v>
      </c>
      <c r="B199" s="15">
        <v>94.230003356933594</v>
      </c>
      <c r="C199" s="18">
        <v>94.26</v>
      </c>
      <c r="D199" s="18">
        <v>94.26</v>
      </c>
      <c r="E199" s="18">
        <v>94.26</v>
      </c>
      <c r="F199" s="18">
        <v>94.25</v>
      </c>
      <c r="G199" s="18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CV199" s="15"/>
      <c r="CW199" s="15"/>
      <c r="CX199" s="15"/>
      <c r="CY199" s="15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</row>
    <row r="200" spans="1:115" ht="30" customHeight="1" x14ac:dyDescent="0.25">
      <c r="A200" s="15" t="s">
        <v>247</v>
      </c>
      <c r="B200" s="15">
        <v>42.549999237060547</v>
      </c>
      <c r="C200" s="18">
        <v>42.77</v>
      </c>
      <c r="D200" s="18">
        <v>42.77</v>
      </c>
      <c r="E200" s="18">
        <v>42.77</v>
      </c>
      <c r="F200" s="18">
        <v>43.41</v>
      </c>
      <c r="G200" s="18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  <c r="CB200" s="15"/>
      <c r="CC200" s="15"/>
      <c r="CD200" s="15"/>
      <c r="CE200" s="15"/>
      <c r="CF200" s="15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  <c r="CQ200" s="15"/>
      <c r="CR200" s="15"/>
      <c r="CS200" s="15"/>
      <c r="CT200" s="15"/>
      <c r="CU200" s="15"/>
      <c r="CV200" s="15"/>
      <c r="CW200" s="15"/>
      <c r="CX200" s="15"/>
      <c r="CY200" s="15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</row>
    <row r="201" spans="1:115" ht="30" customHeight="1" x14ac:dyDescent="0.25">
      <c r="A201" s="15" t="s">
        <v>248</v>
      </c>
      <c r="B201" s="15">
        <v>359.55999755859375</v>
      </c>
      <c r="C201" s="18">
        <v>351.77</v>
      </c>
      <c r="D201" s="18">
        <v>351.77</v>
      </c>
      <c r="E201" s="18">
        <v>351.77</v>
      </c>
      <c r="F201" s="18">
        <v>353.77</v>
      </c>
      <c r="G201" s="18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CV201" s="15"/>
      <c r="CW201" s="15"/>
      <c r="CX201" s="15"/>
      <c r="CY201" s="15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</row>
    <row r="202" spans="1:115" ht="30" customHeight="1" x14ac:dyDescent="0.25">
      <c r="A202" s="15" t="s">
        <v>249</v>
      </c>
      <c r="B202" s="15">
        <v>51.619998931884766</v>
      </c>
      <c r="C202" s="18">
        <v>51.96</v>
      </c>
      <c r="D202" s="18">
        <v>51.96</v>
      </c>
      <c r="E202" s="18">
        <v>51.96</v>
      </c>
      <c r="F202" s="18">
        <v>51.68</v>
      </c>
      <c r="G202" s="18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  <c r="CQ202" s="15"/>
      <c r="CR202" s="15"/>
      <c r="CS202" s="15"/>
      <c r="CT202" s="15"/>
      <c r="CU202" s="15"/>
      <c r="CV202" s="15"/>
      <c r="CW202" s="15"/>
      <c r="CX202" s="15"/>
      <c r="CY202" s="15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</row>
    <row r="203" spans="1:115" ht="30" customHeight="1" x14ac:dyDescent="0.25">
      <c r="A203" s="15" t="s">
        <v>250</v>
      </c>
      <c r="B203" s="15">
        <v>17.860000610351563</v>
      </c>
      <c r="C203" s="18">
        <v>17.79</v>
      </c>
      <c r="D203" s="18">
        <v>17.79</v>
      </c>
      <c r="E203" s="18">
        <v>17.79</v>
      </c>
      <c r="F203" s="18">
        <v>17.73</v>
      </c>
      <c r="G203" s="18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</row>
    <row r="204" spans="1:115" ht="30" customHeight="1" x14ac:dyDescent="0.25">
      <c r="A204" s="15" t="s">
        <v>251</v>
      </c>
      <c r="B204" s="15">
        <v>250.3699951171875</v>
      </c>
      <c r="C204" s="18">
        <v>249</v>
      </c>
      <c r="D204" s="18">
        <v>249</v>
      </c>
      <c r="E204" s="18">
        <v>249</v>
      </c>
      <c r="F204" s="18">
        <v>245.2</v>
      </c>
      <c r="G204" s="18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</row>
    <row r="205" spans="1:115" ht="30" customHeight="1" x14ac:dyDescent="0.25">
      <c r="A205" s="15" t="s">
        <v>252</v>
      </c>
      <c r="B205" s="15">
        <v>29.920000076293945</v>
      </c>
      <c r="C205" s="18">
        <v>29.12</v>
      </c>
      <c r="D205" s="18">
        <v>29.12</v>
      </c>
      <c r="E205" s="18">
        <v>29.12</v>
      </c>
      <c r="F205" s="18">
        <v>28.83</v>
      </c>
      <c r="G205" s="18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</row>
    <row r="206" spans="1:115" ht="30" customHeight="1" x14ac:dyDescent="0.25">
      <c r="A206" s="15" t="s">
        <v>253</v>
      </c>
      <c r="B206" s="15">
        <v>73.910003662109375</v>
      </c>
      <c r="C206" s="18">
        <v>74.11</v>
      </c>
      <c r="D206" s="18">
        <v>74.11</v>
      </c>
      <c r="E206" s="18">
        <v>74.11</v>
      </c>
      <c r="F206" s="18">
        <v>72.8</v>
      </c>
      <c r="G206" s="18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</row>
    <row r="207" spans="1:115" ht="30" customHeight="1" x14ac:dyDescent="0.25">
      <c r="A207" s="15" t="s">
        <v>254</v>
      </c>
      <c r="B207" s="15">
        <v>245.71000671386719</v>
      </c>
      <c r="C207" s="18">
        <v>250.79</v>
      </c>
      <c r="D207" s="18">
        <v>250.79</v>
      </c>
      <c r="E207" s="18">
        <v>250.79</v>
      </c>
      <c r="F207" s="18">
        <v>253.81</v>
      </c>
      <c r="G207" s="18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</row>
    <row r="208" spans="1:115" ht="30" customHeight="1" x14ac:dyDescent="0.25">
      <c r="A208" s="15" t="s">
        <v>255</v>
      </c>
      <c r="B208" s="15">
        <v>136.80999755859375</v>
      </c>
      <c r="C208" s="18">
        <v>137.93</v>
      </c>
      <c r="D208" s="18">
        <v>137.93</v>
      </c>
      <c r="E208" s="18">
        <v>137.93</v>
      </c>
      <c r="F208" s="18">
        <v>143.47999999999999</v>
      </c>
      <c r="G208" s="18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</row>
    <row r="209" spans="1:115" ht="30" customHeight="1" x14ac:dyDescent="0.25">
      <c r="A209" s="15" t="s">
        <v>256</v>
      </c>
      <c r="B209" s="15">
        <v>26.670000076293945</v>
      </c>
      <c r="C209" s="18">
        <v>27.41</v>
      </c>
      <c r="D209" s="18">
        <v>27.41</v>
      </c>
      <c r="E209" s="18">
        <v>27.41</v>
      </c>
      <c r="F209" s="18">
        <v>26.83</v>
      </c>
      <c r="G209" s="18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</row>
    <row r="210" spans="1:115" ht="30" customHeight="1" x14ac:dyDescent="0.25">
      <c r="A210" s="15" t="s">
        <v>257</v>
      </c>
      <c r="B210" s="15">
        <v>79.44000244140625</v>
      </c>
      <c r="C210" s="18">
        <v>78.75</v>
      </c>
      <c r="D210" s="18">
        <v>78.75</v>
      </c>
      <c r="E210" s="18">
        <v>78.75</v>
      </c>
      <c r="F210" s="18">
        <v>77.66</v>
      </c>
      <c r="G210" s="18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</row>
    <row r="211" spans="1:115" ht="30" customHeight="1" x14ac:dyDescent="0.25">
      <c r="A211" s="15" t="s">
        <v>258</v>
      </c>
      <c r="B211" s="15">
        <v>11.310000419616699</v>
      </c>
      <c r="C211" s="18">
        <v>11.13</v>
      </c>
      <c r="D211" s="18">
        <v>11.13</v>
      </c>
      <c r="E211" s="18">
        <v>11.13</v>
      </c>
      <c r="F211" s="18">
        <v>10.96</v>
      </c>
      <c r="G211" s="18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</row>
    <row r="212" spans="1:115" ht="30" customHeight="1" x14ac:dyDescent="0.25">
      <c r="A212" s="15" t="s">
        <v>259</v>
      </c>
      <c r="B212" s="15">
        <v>26.590000152587891</v>
      </c>
      <c r="C212" s="18">
        <v>27.22</v>
      </c>
      <c r="D212" s="18">
        <v>27.22</v>
      </c>
      <c r="E212" s="18">
        <v>27.22</v>
      </c>
      <c r="F212" s="18">
        <v>26.56</v>
      </c>
      <c r="G212" s="18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</row>
    <row r="213" spans="1:115" ht="30" customHeight="1" x14ac:dyDescent="0.25">
      <c r="A213" s="15" t="s">
        <v>260</v>
      </c>
      <c r="B213" s="15">
        <v>5.8499999046325684</v>
      </c>
      <c r="C213" s="18">
        <v>5.85</v>
      </c>
      <c r="D213" s="18">
        <v>5.85</v>
      </c>
      <c r="E213" s="18">
        <v>5.85</v>
      </c>
      <c r="F213" s="18">
        <v>5.82</v>
      </c>
      <c r="G213" s="18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</row>
    <row r="214" spans="1:115" ht="30" customHeight="1" x14ac:dyDescent="0.25">
      <c r="A214" s="15" t="s">
        <v>261</v>
      </c>
      <c r="B214" s="15">
        <v>44.380001068115234</v>
      </c>
      <c r="C214" s="18">
        <v>44.41</v>
      </c>
      <c r="D214" s="18">
        <v>44.41</v>
      </c>
      <c r="E214" s="18">
        <v>44.41</v>
      </c>
      <c r="F214" s="18">
        <v>44.33</v>
      </c>
      <c r="G214" s="18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</row>
    <row r="215" spans="1:115" ht="30" customHeight="1" x14ac:dyDescent="0.25">
      <c r="A215" s="15" t="s">
        <v>262</v>
      </c>
      <c r="B215" s="15">
        <v>18.579999923706055</v>
      </c>
      <c r="C215" s="18">
        <v>18.86</v>
      </c>
      <c r="D215" s="18">
        <v>18.86</v>
      </c>
      <c r="E215" s="18">
        <v>18.86</v>
      </c>
      <c r="F215" s="18">
        <v>19.52</v>
      </c>
      <c r="G215" s="18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</row>
    <row r="216" spans="1:115" ht="30" customHeight="1" x14ac:dyDescent="0.25">
      <c r="A216" s="15" t="s">
        <v>367</v>
      </c>
      <c r="B216" s="15">
        <v>5.4800000190734863</v>
      </c>
      <c r="C216" s="18">
        <v>5.48</v>
      </c>
      <c r="D216" s="18">
        <v>5.48</v>
      </c>
      <c r="E216" s="18">
        <v>5.48</v>
      </c>
      <c r="F216" s="18">
        <v>5.61</v>
      </c>
      <c r="G216" s="18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</row>
    <row r="217" spans="1:115" ht="30" customHeight="1" x14ac:dyDescent="0.25">
      <c r="A217" s="15" t="s">
        <v>263</v>
      </c>
      <c r="B217" s="15">
        <v>459.20001220703125</v>
      </c>
      <c r="C217" s="18">
        <v>460.65</v>
      </c>
      <c r="D217" s="18">
        <v>460.65</v>
      </c>
      <c r="E217" s="18">
        <v>460.65</v>
      </c>
      <c r="F217" s="18">
        <v>459.46</v>
      </c>
      <c r="G217" s="18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</row>
    <row r="218" spans="1:115" ht="30" customHeight="1" x14ac:dyDescent="0.25">
      <c r="A218" s="15" t="s">
        <v>264</v>
      </c>
      <c r="B218" s="15">
        <v>34.290000915527344</v>
      </c>
      <c r="C218" s="18">
        <v>33.9</v>
      </c>
      <c r="D218" s="18">
        <v>33.9</v>
      </c>
      <c r="E218" s="18">
        <v>33.9</v>
      </c>
      <c r="F218" s="18">
        <v>34.51</v>
      </c>
      <c r="G218" s="18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</row>
    <row r="219" spans="1:115" ht="30" customHeight="1" x14ac:dyDescent="0.25">
      <c r="A219" s="15" t="s">
        <v>265</v>
      </c>
      <c r="B219" s="15">
        <v>10.300000190734863</v>
      </c>
      <c r="C219" s="18">
        <v>10.49</v>
      </c>
      <c r="D219" s="18">
        <v>10.49</v>
      </c>
      <c r="E219" s="18">
        <v>10.49</v>
      </c>
      <c r="F219" s="18">
        <v>10.271000000000001</v>
      </c>
      <c r="G219" s="18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  <c r="CA219" s="15"/>
      <c r="CB219" s="15"/>
      <c r="CC219" s="15"/>
      <c r="CD219" s="15"/>
      <c r="CE219" s="15"/>
      <c r="CF219" s="15"/>
      <c r="CG219" s="15"/>
      <c r="CH219" s="15"/>
      <c r="CI219" s="15"/>
      <c r="CJ219" s="15"/>
      <c r="CK219" s="15"/>
      <c r="CL219" s="15"/>
      <c r="CM219" s="15"/>
      <c r="CN219" s="15"/>
      <c r="CO219" s="15"/>
      <c r="CP219" s="15"/>
      <c r="CQ219" s="15"/>
      <c r="CR219" s="15"/>
      <c r="CS219" s="15"/>
      <c r="CT219" s="15"/>
      <c r="CU219" s="15"/>
      <c r="CV219" s="15"/>
      <c r="CW219" s="15"/>
      <c r="CX219" s="15"/>
      <c r="CY219" s="15"/>
      <c r="CZ219" s="15"/>
      <c r="DA219" s="15"/>
      <c r="DB219" s="15"/>
      <c r="DC219" s="15"/>
      <c r="DD219" s="15"/>
      <c r="DE219" s="15"/>
      <c r="DF219" s="15"/>
      <c r="DG219" s="15"/>
      <c r="DH219" s="15"/>
      <c r="DI219" s="15"/>
      <c r="DJ219" s="15"/>
      <c r="DK219" s="15"/>
    </row>
    <row r="220" spans="1:115" ht="30" customHeight="1" x14ac:dyDescent="0.25">
      <c r="A220" s="15" t="s">
        <v>266</v>
      </c>
      <c r="B220" s="15">
        <v>89.050003051757813</v>
      </c>
      <c r="C220" s="18">
        <v>90.55</v>
      </c>
      <c r="D220" s="18">
        <v>90.55</v>
      </c>
      <c r="E220" s="18">
        <v>90.55</v>
      </c>
      <c r="F220" s="18">
        <v>90.7</v>
      </c>
      <c r="G220" s="18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  <c r="CA220" s="15"/>
      <c r="CB220" s="15"/>
      <c r="CC220" s="15"/>
      <c r="CD220" s="15"/>
      <c r="CE220" s="15"/>
      <c r="CF220" s="15"/>
      <c r="CG220" s="15"/>
      <c r="CH220" s="15"/>
      <c r="CI220" s="15"/>
      <c r="CJ220" s="15"/>
      <c r="CK220" s="15"/>
      <c r="CL220" s="15"/>
      <c r="CM220" s="15"/>
      <c r="CN220" s="15"/>
      <c r="CO220" s="15"/>
      <c r="CP220" s="15"/>
      <c r="CQ220" s="15"/>
      <c r="CR220" s="15"/>
      <c r="CS220" s="15"/>
      <c r="CT220" s="15"/>
      <c r="CU220" s="15"/>
      <c r="CV220" s="15"/>
      <c r="CW220" s="15"/>
      <c r="CX220" s="15"/>
      <c r="CY220" s="15"/>
      <c r="CZ220" s="15"/>
      <c r="DA220" s="15"/>
      <c r="DB220" s="15"/>
      <c r="DC220" s="15"/>
      <c r="DD220" s="15"/>
      <c r="DE220" s="15"/>
      <c r="DF220" s="15"/>
      <c r="DG220" s="15"/>
      <c r="DH220" s="15"/>
      <c r="DI220" s="15"/>
      <c r="DJ220" s="15"/>
      <c r="DK220" s="15"/>
    </row>
    <row r="221" spans="1:115" ht="30" customHeight="1" x14ac:dyDescent="0.25">
      <c r="A221" s="15" t="s">
        <v>267</v>
      </c>
      <c r="B221" s="15">
        <v>53.549999237060547</v>
      </c>
      <c r="C221" s="18">
        <v>54.88</v>
      </c>
      <c r="D221" s="18">
        <v>54.88</v>
      </c>
      <c r="E221" s="18">
        <v>54.88</v>
      </c>
      <c r="F221" s="18">
        <v>54.92</v>
      </c>
      <c r="G221" s="18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  <c r="CA221" s="15"/>
      <c r="CB221" s="15"/>
      <c r="CC221" s="15"/>
      <c r="CD221" s="15"/>
      <c r="CE221" s="15"/>
      <c r="CF221" s="15"/>
      <c r="CG221" s="15"/>
      <c r="CH221" s="15"/>
      <c r="CI221" s="15"/>
      <c r="CJ221" s="15"/>
      <c r="CK221" s="15"/>
      <c r="CL221" s="15"/>
      <c r="CM221" s="15"/>
      <c r="CN221" s="15"/>
      <c r="CO221" s="15"/>
      <c r="CP221" s="15"/>
      <c r="CQ221" s="15"/>
      <c r="CR221" s="15"/>
      <c r="CS221" s="15"/>
      <c r="CT221" s="15"/>
      <c r="CU221" s="15"/>
      <c r="CV221" s="15"/>
      <c r="CW221" s="15"/>
      <c r="CX221" s="15"/>
      <c r="CY221" s="15"/>
      <c r="CZ221" s="15"/>
      <c r="DA221" s="15"/>
      <c r="DB221" s="15"/>
      <c r="DC221" s="15"/>
      <c r="DD221" s="15"/>
      <c r="DE221" s="15"/>
      <c r="DF221" s="15"/>
      <c r="DG221" s="15"/>
      <c r="DH221" s="15"/>
      <c r="DI221" s="15"/>
      <c r="DJ221" s="15"/>
      <c r="DK221" s="15"/>
    </row>
    <row r="222" spans="1:115" ht="30" customHeight="1" x14ac:dyDescent="0.25">
      <c r="A222" s="15" t="s">
        <v>268</v>
      </c>
      <c r="B222" s="15">
        <v>89.30999755859375</v>
      </c>
      <c r="C222" s="18">
        <v>89.8</v>
      </c>
      <c r="D222" s="18">
        <v>89.8</v>
      </c>
      <c r="E222" s="18">
        <v>89.8</v>
      </c>
      <c r="F222" s="18">
        <v>89.67</v>
      </c>
      <c r="G222" s="18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  <c r="CA222" s="15"/>
      <c r="CB222" s="15"/>
      <c r="CC222" s="15"/>
      <c r="CD222" s="15"/>
      <c r="CE222" s="15"/>
      <c r="CF222" s="15"/>
      <c r="CG222" s="15"/>
      <c r="CH222" s="15"/>
      <c r="CI222" s="15"/>
      <c r="CJ222" s="15"/>
      <c r="CK222" s="15"/>
      <c r="CL222" s="15"/>
      <c r="CM222" s="15"/>
      <c r="CN222" s="15"/>
      <c r="CO222" s="15"/>
      <c r="CP222" s="15"/>
      <c r="CQ222" s="15"/>
      <c r="CR222" s="15"/>
      <c r="CS222" s="15"/>
      <c r="CT222" s="15"/>
      <c r="CU222" s="15"/>
      <c r="CV222" s="15"/>
      <c r="CW222" s="15"/>
      <c r="CX222" s="15"/>
      <c r="CY222" s="15"/>
      <c r="CZ222" s="15"/>
      <c r="DA222" s="15"/>
      <c r="DB222" s="15"/>
      <c r="DC222" s="15"/>
      <c r="DD222" s="15"/>
      <c r="DE222" s="15"/>
      <c r="DF222" s="15"/>
      <c r="DG222" s="15"/>
      <c r="DH222" s="15"/>
      <c r="DI222" s="15"/>
      <c r="DJ222" s="15"/>
      <c r="DK222" s="15"/>
    </row>
    <row r="223" spans="1:115" ht="30" customHeight="1" x14ac:dyDescent="0.25">
      <c r="A223" s="15" t="s">
        <v>269</v>
      </c>
      <c r="B223" s="15">
        <v>44.569999694824219</v>
      </c>
      <c r="C223" s="18">
        <v>49.56</v>
      </c>
      <c r="D223" s="18">
        <v>49.56</v>
      </c>
      <c r="E223" s="18">
        <v>49.56</v>
      </c>
      <c r="F223" s="18">
        <v>49.56</v>
      </c>
      <c r="G223" s="18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  <c r="CA223" s="15"/>
      <c r="CB223" s="15"/>
      <c r="CC223" s="15"/>
      <c r="CD223" s="15"/>
      <c r="CE223" s="15"/>
      <c r="CF223" s="15"/>
      <c r="CG223" s="15"/>
      <c r="CH223" s="15"/>
      <c r="CI223" s="15"/>
      <c r="CJ223" s="15"/>
      <c r="CK223" s="15"/>
      <c r="CL223" s="15"/>
      <c r="CM223" s="15"/>
      <c r="CN223" s="15"/>
      <c r="CO223" s="15"/>
      <c r="CP223" s="15"/>
      <c r="CQ223" s="15"/>
      <c r="CR223" s="15"/>
      <c r="CS223" s="15"/>
      <c r="CT223" s="15"/>
      <c r="CU223" s="15"/>
      <c r="CV223" s="15"/>
      <c r="CW223" s="15"/>
      <c r="CX223" s="15"/>
      <c r="CY223" s="15"/>
      <c r="CZ223" s="15"/>
      <c r="DA223" s="15"/>
      <c r="DB223" s="15"/>
      <c r="DC223" s="15"/>
      <c r="DD223" s="15"/>
      <c r="DE223" s="15"/>
      <c r="DF223" s="15"/>
      <c r="DG223" s="15"/>
      <c r="DH223" s="15"/>
      <c r="DI223" s="15"/>
      <c r="DJ223" s="15"/>
      <c r="DK223" s="15"/>
    </row>
    <row r="224" spans="1:115" ht="30" customHeight="1" x14ac:dyDescent="0.25">
      <c r="A224" s="15" t="s">
        <v>270</v>
      </c>
      <c r="B224" s="15">
        <v>90.930000305175781</v>
      </c>
      <c r="C224" s="18">
        <v>90.444999999999993</v>
      </c>
      <c r="D224" s="18">
        <v>90.444999999999993</v>
      </c>
      <c r="E224" s="18">
        <v>90.444999999999993</v>
      </c>
      <c r="F224" s="18">
        <v>93.75</v>
      </c>
      <c r="G224" s="18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  <c r="CA224" s="15"/>
      <c r="CB224" s="15"/>
      <c r="CC224" s="15"/>
      <c r="CD224" s="15"/>
      <c r="CE224" s="15"/>
      <c r="CF224" s="15"/>
      <c r="CG224" s="15"/>
      <c r="CH224" s="15"/>
      <c r="CI224" s="15"/>
      <c r="CJ224" s="15"/>
      <c r="CK224" s="15"/>
      <c r="CL224" s="15"/>
      <c r="CM224" s="15"/>
      <c r="CN224" s="15"/>
      <c r="CO224" s="15"/>
      <c r="CP224" s="15"/>
      <c r="CQ224" s="15"/>
      <c r="CR224" s="15"/>
      <c r="CS224" s="15"/>
      <c r="CT224" s="15"/>
      <c r="CU224" s="15"/>
      <c r="CV224" s="15"/>
      <c r="CW224" s="15"/>
      <c r="CX224" s="15"/>
      <c r="CY224" s="15"/>
      <c r="CZ224" s="15"/>
      <c r="DA224" s="15"/>
      <c r="DB224" s="15"/>
      <c r="DC224" s="15"/>
      <c r="DD224" s="15"/>
      <c r="DE224" s="15"/>
      <c r="DF224" s="15"/>
      <c r="DG224" s="15"/>
      <c r="DH224" s="15"/>
      <c r="DI224" s="15"/>
      <c r="DJ224" s="15"/>
      <c r="DK224" s="15"/>
    </row>
    <row r="225" spans="1:115" ht="30" customHeight="1" x14ac:dyDescent="0.25">
      <c r="A225" s="15" t="s">
        <v>271</v>
      </c>
      <c r="B225" s="15">
        <v>17.760000228881836</v>
      </c>
      <c r="C225" s="18">
        <v>17.57</v>
      </c>
      <c r="D225" s="18">
        <v>17.57</v>
      </c>
      <c r="E225" s="18">
        <v>17.57</v>
      </c>
      <c r="F225" s="18">
        <v>17.89</v>
      </c>
      <c r="G225" s="18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  <c r="CA225" s="15"/>
      <c r="CB225" s="15"/>
      <c r="CC225" s="15"/>
      <c r="CD225" s="15"/>
      <c r="CE225" s="15"/>
      <c r="CF225" s="15"/>
      <c r="CG225" s="15"/>
      <c r="CH225" s="15"/>
      <c r="CI225" s="15"/>
      <c r="CJ225" s="15"/>
      <c r="CK225" s="15"/>
      <c r="CL225" s="15"/>
      <c r="CM225" s="15"/>
      <c r="CN225" s="15"/>
      <c r="CO225" s="15"/>
      <c r="CP225" s="15"/>
      <c r="CQ225" s="15"/>
      <c r="CR225" s="15"/>
      <c r="CS225" s="15"/>
      <c r="CT225" s="15"/>
      <c r="CU225" s="15"/>
      <c r="CV225" s="15"/>
      <c r="CW225" s="15"/>
      <c r="CX225" s="15"/>
      <c r="CY225" s="15"/>
      <c r="CZ225" s="15"/>
      <c r="DA225" s="15"/>
      <c r="DB225" s="15"/>
      <c r="DC225" s="15"/>
      <c r="DD225" s="15"/>
      <c r="DE225" s="15"/>
      <c r="DF225" s="15"/>
      <c r="DG225" s="15"/>
      <c r="DH225" s="15"/>
      <c r="DI225" s="15"/>
      <c r="DJ225" s="15"/>
      <c r="DK225" s="15"/>
    </row>
    <row r="226" spans="1:115" ht="30" customHeight="1" x14ac:dyDescent="0.25">
      <c r="A226" s="15" t="s">
        <v>272</v>
      </c>
      <c r="B226" s="15">
        <v>50.369998931884766</v>
      </c>
      <c r="C226" s="18">
        <v>50</v>
      </c>
      <c r="D226" s="18">
        <v>50</v>
      </c>
      <c r="E226" s="18">
        <v>50</v>
      </c>
      <c r="F226" s="18">
        <v>49.9</v>
      </c>
      <c r="G226" s="18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  <c r="CA226" s="15"/>
      <c r="CB226" s="15"/>
      <c r="CC226" s="15"/>
      <c r="CD226" s="15"/>
      <c r="CE226" s="15"/>
      <c r="CF226" s="15"/>
      <c r="CG226" s="15"/>
      <c r="CH226" s="15"/>
      <c r="CI226" s="15"/>
      <c r="CJ226" s="15"/>
      <c r="CK226" s="15"/>
      <c r="CL226" s="15"/>
      <c r="CM226" s="15"/>
      <c r="CN226" s="15"/>
      <c r="CO226" s="15"/>
      <c r="CP226" s="15"/>
      <c r="CQ226" s="15"/>
      <c r="CR226" s="15"/>
      <c r="CS226" s="15"/>
      <c r="CT226" s="15"/>
      <c r="CU226" s="15"/>
      <c r="CV226" s="15"/>
      <c r="CW226" s="15"/>
      <c r="CX226" s="15"/>
      <c r="CY226" s="15"/>
      <c r="CZ226" s="15"/>
      <c r="DA226" s="15"/>
      <c r="DB226" s="15"/>
      <c r="DC226" s="15"/>
      <c r="DD226" s="15"/>
      <c r="DE226" s="15"/>
      <c r="DF226" s="15"/>
      <c r="DG226" s="15"/>
      <c r="DH226" s="15"/>
      <c r="DI226" s="15"/>
      <c r="DJ226" s="15"/>
      <c r="DK226" s="15"/>
    </row>
    <row r="227" spans="1:115" ht="30" customHeight="1" x14ac:dyDescent="0.25">
      <c r="A227" s="15" t="s">
        <v>273</v>
      </c>
      <c r="B227" s="15">
        <v>8.8900003433227539</v>
      </c>
      <c r="C227" s="18">
        <v>9.09</v>
      </c>
      <c r="D227" s="18">
        <v>9.09</v>
      </c>
      <c r="E227" s="18">
        <v>9.09</v>
      </c>
      <c r="F227" s="18">
        <v>8.7899999999999991</v>
      </c>
      <c r="G227" s="18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  <c r="CA227" s="15"/>
      <c r="CB227" s="15"/>
      <c r="CC227" s="15"/>
      <c r="CD227" s="15"/>
      <c r="CE227" s="15"/>
      <c r="CF227" s="15"/>
      <c r="CG227" s="15"/>
      <c r="CH227" s="15"/>
      <c r="CI227" s="15"/>
      <c r="CJ227" s="15"/>
      <c r="CK227" s="15"/>
      <c r="CL227" s="15"/>
      <c r="CM227" s="15"/>
      <c r="CN227" s="15"/>
      <c r="CO227" s="15"/>
      <c r="CP227" s="15"/>
      <c r="CQ227" s="15"/>
      <c r="CR227" s="15"/>
      <c r="CS227" s="15"/>
      <c r="CT227" s="15"/>
      <c r="CU227" s="15"/>
      <c r="CV227" s="15"/>
      <c r="CW227" s="15"/>
      <c r="CX227" s="15"/>
      <c r="CY227" s="15"/>
      <c r="CZ227" s="15"/>
      <c r="DA227" s="15"/>
      <c r="DB227" s="15"/>
      <c r="DC227" s="15"/>
      <c r="DD227" s="15"/>
      <c r="DE227" s="15"/>
      <c r="DF227" s="15"/>
      <c r="DG227" s="15"/>
      <c r="DH227" s="15"/>
      <c r="DI227" s="15"/>
      <c r="DJ227" s="15"/>
      <c r="DK227" s="15"/>
    </row>
    <row r="228" spans="1:115" ht="30" customHeight="1" x14ac:dyDescent="0.25">
      <c r="A228" s="15" t="s">
        <v>274</v>
      </c>
      <c r="B228" s="15">
        <v>11.279999732971191</v>
      </c>
      <c r="C228" s="18">
        <v>11.59</v>
      </c>
      <c r="D228" s="18">
        <v>11.59</v>
      </c>
      <c r="E228" s="18">
        <v>11.59</v>
      </c>
      <c r="F228" s="18">
        <v>11.43</v>
      </c>
      <c r="G228" s="18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  <c r="CA228" s="15"/>
      <c r="CB228" s="15"/>
      <c r="CC228" s="15"/>
      <c r="CD228" s="15"/>
      <c r="CE228" s="15"/>
      <c r="CF228" s="15"/>
      <c r="CG228" s="15"/>
      <c r="CH228" s="15"/>
      <c r="CI228" s="15"/>
      <c r="CJ228" s="15"/>
      <c r="CK228" s="15"/>
      <c r="CL228" s="15"/>
      <c r="CM228" s="15"/>
      <c r="CN228" s="15"/>
      <c r="CO228" s="15"/>
      <c r="CP228" s="15"/>
      <c r="CQ228" s="15"/>
      <c r="CR228" s="15"/>
      <c r="CS228" s="15"/>
      <c r="CT228" s="15"/>
      <c r="CU228" s="15"/>
      <c r="CV228" s="15"/>
      <c r="CW228" s="15"/>
      <c r="CX228" s="15"/>
      <c r="CY228" s="15"/>
      <c r="CZ228" s="15"/>
      <c r="DA228" s="15"/>
      <c r="DB228" s="15"/>
      <c r="DC228" s="15"/>
      <c r="DD228" s="15"/>
      <c r="DE228" s="15"/>
      <c r="DF228" s="15"/>
      <c r="DG228" s="15"/>
      <c r="DH228" s="15"/>
      <c r="DI228" s="15"/>
      <c r="DJ228" s="15"/>
      <c r="DK228" s="15"/>
    </row>
    <row r="229" spans="1:115" ht="30" customHeight="1" x14ac:dyDescent="0.25">
      <c r="A229" s="15" t="s">
        <v>275</v>
      </c>
      <c r="B229" s="15">
        <v>10.430000305175781</v>
      </c>
      <c r="C229" s="18">
        <v>10.38</v>
      </c>
      <c r="D229" s="18">
        <v>10.38</v>
      </c>
      <c r="E229" s="18">
        <v>10.38</v>
      </c>
      <c r="F229" s="18">
        <v>10.3</v>
      </c>
      <c r="G229" s="18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  <c r="CA229" s="15"/>
      <c r="CB229" s="15"/>
      <c r="CC229" s="15"/>
      <c r="CD229" s="15"/>
      <c r="CE229" s="15"/>
      <c r="CF229" s="15"/>
      <c r="CG229" s="15"/>
      <c r="CH229" s="15"/>
      <c r="CI229" s="15"/>
      <c r="CJ229" s="15"/>
      <c r="CK229" s="15"/>
      <c r="CL229" s="15"/>
      <c r="CM229" s="15"/>
      <c r="CN229" s="15"/>
      <c r="CO229" s="15"/>
      <c r="CP229" s="15"/>
      <c r="CQ229" s="15"/>
      <c r="CR229" s="15"/>
      <c r="CS229" s="15"/>
      <c r="CT229" s="15"/>
      <c r="CU229" s="15"/>
      <c r="CV229" s="15"/>
      <c r="CW229" s="15"/>
      <c r="CX229" s="15"/>
      <c r="CY229" s="15"/>
      <c r="CZ229" s="15"/>
      <c r="DA229" s="15"/>
      <c r="DB229" s="15"/>
      <c r="DC229" s="15"/>
      <c r="DD229" s="15"/>
      <c r="DE229" s="15"/>
      <c r="DF229" s="15"/>
      <c r="DG229" s="15"/>
      <c r="DH229" s="15"/>
      <c r="DI229" s="15"/>
      <c r="DJ229" s="15"/>
      <c r="DK229" s="15"/>
    </row>
    <row r="230" spans="1:115" ht="30" customHeight="1" x14ac:dyDescent="0.25">
      <c r="A230" s="15" t="s">
        <v>276</v>
      </c>
      <c r="B230" s="15">
        <v>34.200000762939453</v>
      </c>
      <c r="C230" s="18">
        <v>34.450000000000003</v>
      </c>
      <c r="D230" s="18">
        <v>34.450000000000003</v>
      </c>
      <c r="E230" s="18">
        <v>34.450000000000003</v>
      </c>
      <c r="F230" s="18">
        <v>33.630000000000003</v>
      </c>
      <c r="G230" s="18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  <c r="CA230" s="15"/>
      <c r="CB230" s="15"/>
      <c r="CC230" s="15"/>
      <c r="CD230" s="15"/>
      <c r="CE230" s="15"/>
      <c r="CF230" s="15"/>
      <c r="CG230" s="15"/>
      <c r="CH230" s="15"/>
      <c r="CI230" s="15"/>
      <c r="CJ230" s="15"/>
      <c r="CK230" s="15"/>
      <c r="CL230" s="15"/>
      <c r="CM230" s="15"/>
      <c r="CN230" s="15"/>
      <c r="CO230" s="15"/>
      <c r="CP230" s="15"/>
      <c r="CQ230" s="15"/>
      <c r="CR230" s="15"/>
      <c r="CS230" s="15"/>
      <c r="CT230" s="15"/>
      <c r="CU230" s="15"/>
      <c r="CV230" s="15"/>
      <c r="CW230" s="15"/>
      <c r="CX230" s="15"/>
      <c r="CY230" s="15"/>
      <c r="CZ230" s="15"/>
      <c r="DA230" s="15"/>
      <c r="DB230" s="15"/>
      <c r="DC230" s="15"/>
      <c r="DD230" s="15"/>
      <c r="DE230" s="15"/>
      <c r="DF230" s="15"/>
      <c r="DG230" s="15"/>
      <c r="DH230" s="15"/>
      <c r="DI230" s="15"/>
      <c r="DJ230" s="15"/>
      <c r="DK230" s="15"/>
    </row>
    <row r="231" spans="1:115" ht="30" customHeight="1" x14ac:dyDescent="0.25">
      <c r="A231" s="15" t="s">
        <v>277</v>
      </c>
      <c r="B231" s="15">
        <v>79.680000305175781</v>
      </c>
      <c r="C231" s="18">
        <v>80.540000000000006</v>
      </c>
      <c r="D231" s="18">
        <v>80.540000000000006</v>
      </c>
      <c r="E231" s="18">
        <v>80.540000000000006</v>
      </c>
      <c r="F231" s="18">
        <v>84.25</v>
      </c>
      <c r="G231" s="18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  <c r="CA231" s="15"/>
      <c r="CB231" s="15"/>
      <c r="CC231" s="15"/>
      <c r="CD231" s="15"/>
      <c r="CE231" s="15"/>
      <c r="CF231" s="15"/>
      <c r="CG231" s="15"/>
      <c r="CH231" s="15"/>
      <c r="CI231" s="15"/>
      <c r="CJ231" s="15"/>
      <c r="CK231" s="15"/>
      <c r="CL231" s="15"/>
      <c r="CM231" s="15"/>
      <c r="CN231" s="15"/>
      <c r="CO231" s="15"/>
      <c r="CP231" s="15"/>
      <c r="CQ231" s="15"/>
      <c r="CR231" s="15"/>
      <c r="CS231" s="15"/>
      <c r="CT231" s="15"/>
      <c r="CU231" s="15"/>
      <c r="CV231" s="15"/>
      <c r="CW231" s="15"/>
      <c r="CX231" s="15"/>
      <c r="CY231" s="15"/>
      <c r="CZ231" s="15"/>
      <c r="DA231" s="15"/>
      <c r="DB231" s="15"/>
      <c r="DC231" s="15"/>
      <c r="DD231" s="15"/>
      <c r="DE231" s="15"/>
      <c r="DF231" s="15"/>
      <c r="DG231" s="15"/>
      <c r="DH231" s="15"/>
      <c r="DI231" s="15"/>
      <c r="DJ231" s="15"/>
      <c r="DK231" s="15"/>
    </row>
    <row r="232" spans="1:115" ht="30" customHeight="1" x14ac:dyDescent="0.25">
      <c r="A232" s="15" t="s">
        <v>278</v>
      </c>
      <c r="B232" s="15">
        <v>147.66999816894531</v>
      </c>
      <c r="C232" s="18">
        <v>147.84</v>
      </c>
      <c r="D232" s="18">
        <v>147.84</v>
      </c>
      <c r="E232" s="18">
        <v>147.84</v>
      </c>
      <c r="F232" s="18">
        <v>147.75</v>
      </c>
      <c r="G232" s="18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  <c r="CA232" s="15"/>
      <c r="CB232" s="15"/>
      <c r="CC232" s="15"/>
      <c r="CD232" s="15"/>
      <c r="CE232" s="15"/>
      <c r="CF232" s="15"/>
      <c r="CG232" s="15"/>
      <c r="CH232" s="15"/>
      <c r="CI232" s="15"/>
      <c r="CJ232" s="15"/>
      <c r="CK232" s="15"/>
      <c r="CL232" s="15"/>
      <c r="CM232" s="15"/>
      <c r="CN232" s="15"/>
      <c r="CO232" s="15"/>
      <c r="CP232" s="15"/>
      <c r="CQ232" s="15"/>
      <c r="CR232" s="15"/>
      <c r="CS232" s="15"/>
      <c r="CT232" s="15"/>
      <c r="CU232" s="15"/>
      <c r="CV232" s="15"/>
      <c r="CW232" s="15"/>
      <c r="CX232" s="15"/>
      <c r="CY232" s="15"/>
      <c r="CZ232" s="15"/>
      <c r="DA232" s="15"/>
      <c r="DB232" s="15"/>
      <c r="DC232" s="15"/>
      <c r="DD232" s="15"/>
      <c r="DE232" s="15"/>
      <c r="DF232" s="15"/>
      <c r="DG232" s="15"/>
      <c r="DH232" s="15"/>
      <c r="DI232" s="15"/>
      <c r="DJ232" s="15"/>
      <c r="DK232" s="15"/>
    </row>
    <row r="233" spans="1:115" ht="30" customHeight="1" x14ac:dyDescent="0.25">
      <c r="A233" s="15" t="s">
        <v>279</v>
      </c>
      <c r="B233" s="15">
        <v>38.970001220703125</v>
      </c>
      <c r="C233" s="18">
        <v>39.15</v>
      </c>
      <c r="D233" s="18">
        <v>39.15</v>
      </c>
      <c r="E233" s="18">
        <v>39.15</v>
      </c>
      <c r="F233" s="18">
        <v>38.99</v>
      </c>
      <c r="G233" s="18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  <c r="CA233" s="15"/>
      <c r="CB233" s="15"/>
      <c r="CC233" s="15"/>
      <c r="CD233" s="15"/>
      <c r="CE233" s="15"/>
      <c r="CF233" s="15"/>
      <c r="CG233" s="15"/>
      <c r="CH233" s="15"/>
      <c r="CI233" s="15"/>
      <c r="CJ233" s="15"/>
      <c r="CK233" s="15"/>
      <c r="CL233" s="15"/>
      <c r="CM233" s="15"/>
      <c r="CN233" s="15"/>
      <c r="CO233" s="15"/>
      <c r="CP233" s="15"/>
      <c r="CQ233" s="15"/>
      <c r="CR233" s="15"/>
      <c r="CS233" s="15"/>
      <c r="CT233" s="15"/>
      <c r="CU233" s="15"/>
      <c r="CV233" s="15"/>
      <c r="CW233" s="15"/>
      <c r="CX233" s="15"/>
      <c r="CY233" s="15"/>
      <c r="CZ233" s="15"/>
      <c r="DA233" s="15"/>
      <c r="DB233" s="15"/>
      <c r="DC233" s="15"/>
      <c r="DD233" s="15"/>
      <c r="DE233" s="15"/>
      <c r="DF233" s="15"/>
      <c r="DG233" s="15"/>
      <c r="DH233" s="15"/>
      <c r="DI233" s="15"/>
      <c r="DJ233" s="15"/>
      <c r="DK233" s="15"/>
    </row>
    <row r="234" spans="1:115" ht="30" customHeight="1" x14ac:dyDescent="0.25">
      <c r="A234" s="15" t="s">
        <v>280</v>
      </c>
      <c r="B234" s="15">
        <v>135.85000610351563</v>
      </c>
      <c r="C234" s="18">
        <v>135.94999999999999</v>
      </c>
      <c r="D234" s="18">
        <v>135.94999999999999</v>
      </c>
      <c r="E234" s="18">
        <v>135.94999999999999</v>
      </c>
      <c r="F234" s="18">
        <v>136.41999999999999</v>
      </c>
      <c r="G234" s="18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  <c r="CA234" s="15"/>
      <c r="CB234" s="15"/>
      <c r="CC234" s="15"/>
      <c r="CD234" s="15"/>
      <c r="CE234" s="15"/>
      <c r="CF234" s="15"/>
      <c r="CG234" s="15"/>
      <c r="CH234" s="15"/>
      <c r="CI234" s="15"/>
      <c r="CJ234" s="15"/>
      <c r="CK234" s="15"/>
      <c r="CL234" s="15"/>
      <c r="CM234" s="15"/>
      <c r="CN234" s="15"/>
      <c r="CO234" s="15"/>
      <c r="CP234" s="15"/>
      <c r="CQ234" s="15"/>
      <c r="CR234" s="15"/>
      <c r="CS234" s="15"/>
      <c r="CT234" s="15"/>
      <c r="CU234" s="15"/>
      <c r="CV234" s="15"/>
      <c r="CW234" s="15"/>
      <c r="CX234" s="15"/>
      <c r="CY234" s="15"/>
      <c r="CZ234" s="15"/>
      <c r="DA234" s="15"/>
      <c r="DB234" s="15"/>
      <c r="DC234" s="15"/>
      <c r="DD234" s="15"/>
      <c r="DE234" s="15"/>
      <c r="DF234" s="15"/>
      <c r="DG234" s="15"/>
      <c r="DH234" s="15"/>
      <c r="DI234" s="15"/>
      <c r="DJ234" s="15"/>
      <c r="DK234" s="15"/>
    </row>
    <row r="235" spans="1:115" ht="30" customHeight="1" x14ac:dyDescent="0.25">
      <c r="A235" s="15" t="s">
        <v>281</v>
      </c>
      <c r="B235" s="15">
        <v>55.810001373291016</v>
      </c>
      <c r="C235" s="18">
        <v>56.33</v>
      </c>
      <c r="D235" s="18">
        <v>56.33</v>
      </c>
      <c r="E235" s="18">
        <v>56.33</v>
      </c>
      <c r="F235" s="18">
        <v>56.24</v>
      </c>
      <c r="G235" s="18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  <c r="CA235" s="15"/>
      <c r="CB235" s="15"/>
      <c r="CC235" s="15"/>
      <c r="CD235" s="15"/>
      <c r="CE235" s="15"/>
      <c r="CF235" s="15"/>
      <c r="CG235" s="15"/>
      <c r="CH235" s="15"/>
      <c r="CI235" s="15"/>
      <c r="CJ235" s="15"/>
      <c r="CK235" s="15"/>
      <c r="CL235" s="15"/>
      <c r="CM235" s="15"/>
      <c r="CN235" s="15"/>
      <c r="CO235" s="15"/>
      <c r="CP235" s="15"/>
      <c r="CQ235" s="15"/>
      <c r="CR235" s="15"/>
      <c r="CS235" s="15"/>
      <c r="CT235" s="15"/>
      <c r="CU235" s="15"/>
      <c r="CV235" s="15"/>
      <c r="CW235" s="15"/>
      <c r="CX235" s="15"/>
      <c r="CY235" s="15"/>
      <c r="CZ235" s="15"/>
      <c r="DA235" s="15"/>
      <c r="DB235" s="15"/>
      <c r="DC235" s="15"/>
      <c r="DD235" s="15"/>
      <c r="DE235" s="15"/>
      <c r="DF235" s="15"/>
      <c r="DG235" s="15"/>
      <c r="DH235" s="15"/>
      <c r="DI235" s="15"/>
      <c r="DJ235" s="15"/>
      <c r="DK235" s="15"/>
    </row>
    <row r="236" spans="1:115" ht="30" customHeight="1" x14ac:dyDescent="0.25">
      <c r="A236" s="15" t="s">
        <v>282</v>
      </c>
      <c r="B236" s="15">
        <v>56.310001373291016</v>
      </c>
      <c r="C236" s="18">
        <v>56.95</v>
      </c>
      <c r="D236" s="18">
        <v>56.95</v>
      </c>
      <c r="E236" s="18">
        <v>56.95</v>
      </c>
      <c r="F236" s="18">
        <v>56.71</v>
      </c>
      <c r="G236" s="18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  <c r="CA236" s="15"/>
      <c r="CB236" s="15"/>
      <c r="CC236" s="15"/>
      <c r="CD236" s="15"/>
      <c r="CE236" s="15"/>
      <c r="CF236" s="15"/>
      <c r="CG236" s="15"/>
      <c r="CH236" s="15"/>
      <c r="CI236" s="15"/>
      <c r="CJ236" s="15"/>
      <c r="CK236" s="15"/>
      <c r="CL236" s="15"/>
      <c r="CM236" s="15"/>
      <c r="CN236" s="15"/>
      <c r="CO236" s="15"/>
      <c r="CP236" s="15"/>
      <c r="CQ236" s="15"/>
      <c r="CR236" s="15"/>
      <c r="CS236" s="15"/>
      <c r="CT236" s="15"/>
      <c r="CU236" s="15"/>
      <c r="CV236" s="15"/>
      <c r="CW236" s="15"/>
      <c r="CX236" s="15"/>
      <c r="CY236" s="15"/>
      <c r="CZ236" s="15"/>
      <c r="DA236" s="15"/>
      <c r="DB236" s="15"/>
      <c r="DC236" s="15"/>
      <c r="DD236" s="15"/>
      <c r="DE236" s="15"/>
      <c r="DF236" s="15"/>
      <c r="DG236" s="15"/>
      <c r="DH236" s="15"/>
      <c r="DI236" s="15"/>
      <c r="DJ236" s="15"/>
      <c r="DK236" s="15"/>
    </row>
    <row r="237" spans="1:115" ht="30" customHeight="1" x14ac:dyDescent="0.25">
      <c r="A237" s="15" t="s">
        <v>369</v>
      </c>
      <c r="B237" s="15">
        <v>23.629999160766602</v>
      </c>
      <c r="C237" s="18">
        <v>24.03</v>
      </c>
      <c r="D237" s="18">
        <v>24.03</v>
      </c>
      <c r="E237" s="18">
        <v>24.03</v>
      </c>
      <c r="F237" s="18">
        <v>24.46</v>
      </c>
      <c r="G237" s="18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  <c r="CA237" s="15"/>
      <c r="CB237" s="15"/>
      <c r="CC237" s="15"/>
      <c r="CD237" s="15"/>
      <c r="CE237" s="15"/>
      <c r="CF237" s="15"/>
      <c r="CG237" s="15"/>
      <c r="CH237" s="15"/>
      <c r="CI237" s="15"/>
      <c r="CJ237" s="15"/>
      <c r="CK237" s="15"/>
      <c r="CL237" s="15"/>
      <c r="CM237" s="15"/>
      <c r="CN237" s="15"/>
      <c r="CO237" s="15"/>
      <c r="CP237" s="15"/>
      <c r="CQ237" s="15"/>
      <c r="CR237" s="15"/>
      <c r="CS237" s="15"/>
      <c r="CT237" s="15"/>
      <c r="CU237" s="15"/>
      <c r="CV237" s="15"/>
      <c r="CW237" s="15"/>
      <c r="CX237" s="15"/>
      <c r="CY237" s="15"/>
      <c r="CZ237" s="15"/>
      <c r="DA237" s="15"/>
      <c r="DB237" s="15"/>
      <c r="DC237" s="15"/>
      <c r="DD237" s="15"/>
      <c r="DE237" s="15"/>
      <c r="DF237" s="15"/>
      <c r="DG237" s="15"/>
      <c r="DH237" s="15"/>
      <c r="DI237" s="15"/>
      <c r="DJ237" s="15"/>
      <c r="DK237" s="15"/>
    </row>
    <row r="238" spans="1:115" ht="30" customHeight="1" x14ac:dyDescent="0.25">
      <c r="A238" s="15" t="s">
        <v>283</v>
      </c>
      <c r="B238" s="15">
        <v>91.879997253417969</v>
      </c>
      <c r="C238" s="18">
        <v>91.92</v>
      </c>
      <c r="D238" s="18">
        <v>91.92</v>
      </c>
      <c r="E238" s="18">
        <v>91.92</v>
      </c>
      <c r="F238" s="18">
        <v>91.17</v>
      </c>
      <c r="G238" s="18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  <c r="CA238" s="15"/>
      <c r="CB238" s="15"/>
      <c r="CC238" s="15"/>
      <c r="CD238" s="15"/>
      <c r="CE238" s="15"/>
      <c r="CF238" s="15"/>
      <c r="CG238" s="15"/>
      <c r="CH238" s="15"/>
      <c r="CI238" s="15"/>
      <c r="CJ238" s="15"/>
      <c r="CK238" s="15"/>
      <c r="CL238" s="15"/>
      <c r="CM238" s="15"/>
      <c r="CN238" s="15"/>
      <c r="CO238" s="15"/>
      <c r="CP238" s="15"/>
      <c r="CQ238" s="15"/>
      <c r="CR238" s="15"/>
      <c r="CS238" s="15"/>
      <c r="CT238" s="15"/>
      <c r="CU238" s="15"/>
      <c r="CV238" s="15"/>
      <c r="CW238" s="15"/>
      <c r="CX238" s="15"/>
      <c r="CY238" s="15"/>
      <c r="CZ238" s="15"/>
      <c r="DA238" s="15"/>
      <c r="DB238" s="15"/>
      <c r="DC238" s="15"/>
      <c r="DD238" s="15"/>
      <c r="DE238" s="15"/>
      <c r="DF238" s="15"/>
      <c r="DG238" s="15"/>
      <c r="DH238" s="15"/>
      <c r="DI238" s="15"/>
      <c r="DJ238" s="15"/>
      <c r="DK238" s="15"/>
    </row>
    <row r="239" spans="1:115" ht="30" customHeight="1" x14ac:dyDescent="0.25">
      <c r="A239" s="15" t="s">
        <v>284</v>
      </c>
      <c r="B239" s="15">
        <v>97.370002746582031</v>
      </c>
      <c r="C239" s="18">
        <v>97.9</v>
      </c>
      <c r="D239" s="18">
        <v>97.9</v>
      </c>
      <c r="E239" s="18">
        <v>97.9</v>
      </c>
      <c r="F239" s="18">
        <v>98.56</v>
      </c>
      <c r="G239" s="18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  <c r="CA239" s="15"/>
      <c r="CB239" s="15"/>
      <c r="CC239" s="15"/>
      <c r="CD239" s="15"/>
      <c r="CE239" s="15"/>
      <c r="CF239" s="15"/>
      <c r="CG239" s="15"/>
      <c r="CH239" s="15"/>
      <c r="CI239" s="15"/>
      <c r="CJ239" s="15"/>
      <c r="CK239" s="15"/>
      <c r="CL239" s="15"/>
      <c r="CM239" s="15"/>
      <c r="CN239" s="15"/>
      <c r="CO239" s="15"/>
      <c r="CP239" s="15"/>
      <c r="CQ239" s="15"/>
      <c r="CR239" s="15"/>
      <c r="CS239" s="15"/>
      <c r="CT239" s="15"/>
      <c r="CU239" s="15"/>
      <c r="CV239" s="15"/>
      <c r="CW239" s="15"/>
      <c r="CX239" s="15"/>
      <c r="CY239" s="15"/>
      <c r="CZ239" s="15"/>
      <c r="DA239" s="15"/>
      <c r="DB239" s="15"/>
      <c r="DC239" s="15"/>
      <c r="DD239" s="15"/>
      <c r="DE239" s="15"/>
      <c r="DF239" s="15"/>
      <c r="DG239" s="15"/>
      <c r="DH239" s="15"/>
      <c r="DI239" s="15"/>
      <c r="DJ239" s="15"/>
      <c r="DK239" s="15"/>
    </row>
    <row r="240" spans="1:115" ht="30" customHeight="1" x14ac:dyDescent="0.25">
      <c r="A240" s="15" t="s">
        <v>387</v>
      </c>
      <c r="B240" s="15">
        <v>0.18999999761581421</v>
      </c>
      <c r="C240" s="18">
        <v>0.2</v>
      </c>
      <c r="D240" s="18">
        <v>0.2</v>
      </c>
      <c r="E240" s="18">
        <v>0.2</v>
      </c>
      <c r="F240" s="18">
        <v>0.26</v>
      </c>
      <c r="G240" s="18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  <c r="CA240" s="15"/>
      <c r="CB240" s="15"/>
      <c r="CC240" s="15"/>
      <c r="CD240" s="15"/>
      <c r="CE240" s="15"/>
      <c r="CF240" s="15"/>
      <c r="CG240" s="15"/>
      <c r="CH240" s="15"/>
      <c r="CI240" s="15"/>
      <c r="CJ240" s="15"/>
      <c r="CK240" s="15"/>
      <c r="CL240" s="15"/>
      <c r="CM240" s="15"/>
      <c r="CN240" s="15"/>
      <c r="CO240" s="15"/>
      <c r="CP240" s="15"/>
      <c r="CQ240" s="15"/>
      <c r="CR240" s="15"/>
      <c r="CS240" s="15"/>
      <c r="CT240" s="15"/>
      <c r="CU240" s="15"/>
      <c r="CV240" s="15"/>
      <c r="CW240" s="15"/>
      <c r="CX240" s="15"/>
      <c r="CY240" s="15"/>
      <c r="CZ240" s="15"/>
      <c r="DA240" s="15"/>
      <c r="DB240" s="15"/>
      <c r="DC240" s="15"/>
      <c r="DD240" s="15"/>
      <c r="DE240" s="15"/>
      <c r="DF240" s="15"/>
      <c r="DG240" s="15"/>
      <c r="DH240" s="15"/>
      <c r="DI240" s="15"/>
      <c r="DJ240" s="15"/>
      <c r="DK240" s="15"/>
    </row>
    <row r="241" spans="1:115" ht="30" customHeight="1" x14ac:dyDescent="0.25">
      <c r="A241" s="15" t="s">
        <v>285</v>
      </c>
      <c r="B241" s="15">
        <v>23.629999160766602</v>
      </c>
      <c r="C241" s="18">
        <v>23.16</v>
      </c>
      <c r="D241" s="18">
        <v>23.16</v>
      </c>
      <c r="E241" s="18">
        <v>23.16</v>
      </c>
      <c r="F241" s="18">
        <v>23.03</v>
      </c>
      <c r="G241" s="18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  <c r="CA241" s="15"/>
      <c r="CB241" s="15"/>
      <c r="CC241" s="15"/>
      <c r="CD241" s="15"/>
      <c r="CE241" s="15"/>
      <c r="CF241" s="15"/>
      <c r="CG241" s="15"/>
      <c r="CH241" s="15"/>
      <c r="CI241" s="15"/>
      <c r="CJ241" s="15"/>
      <c r="CK241" s="15"/>
      <c r="CL241" s="15"/>
      <c r="CM241" s="15"/>
      <c r="CN241" s="15"/>
      <c r="CO241" s="15"/>
      <c r="CP241" s="15"/>
      <c r="CQ241" s="15"/>
      <c r="CR241" s="15"/>
      <c r="CS241" s="15"/>
      <c r="CT241" s="15"/>
      <c r="CU241" s="15"/>
      <c r="CV241" s="15"/>
      <c r="CW241" s="15"/>
      <c r="CX241" s="15"/>
      <c r="CY241" s="15"/>
      <c r="CZ241" s="15"/>
      <c r="DA241" s="15"/>
      <c r="DB241" s="15"/>
      <c r="DC241" s="15"/>
      <c r="DD241" s="15"/>
      <c r="DE241" s="15"/>
      <c r="DF241" s="15"/>
      <c r="DG241" s="15"/>
      <c r="DH241" s="15"/>
      <c r="DI241" s="15"/>
      <c r="DJ241" s="15"/>
      <c r="DK241" s="15"/>
    </row>
    <row r="242" spans="1:115" ht="30" customHeight="1" x14ac:dyDescent="0.25">
      <c r="A242" s="15" t="s">
        <v>286</v>
      </c>
      <c r="B242" s="15">
        <v>29.020000457763672</v>
      </c>
      <c r="C242" s="18">
        <v>28.99</v>
      </c>
      <c r="D242" s="18">
        <v>28.99</v>
      </c>
      <c r="E242" s="18">
        <v>28.99</v>
      </c>
      <c r="F242" s="18">
        <v>29.08</v>
      </c>
      <c r="G242" s="18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  <c r="CA242" s="15"/>
      <c r="CB242" s="15"/>
      <c r="CC242" s="15"/>
      <c r="CD242" s="15"/>
      <c r="CE242" s="15"/>
      <c r="CF242" s="15"/>
      <c r="CG242" s="15"/>
      <c r="CH242" s="15"/>
      <c r="CI242" s="15"/>
      <c r="CJ242" s="15"/>
      <c r="CK242" s="15"/>
      <c r="CL242" s="15"/>
      <c r="CM242" s="15"/>
      <c r="CN242" s="15"/>
      <c r="CO242" s="15"/>
      <c r="CP242" s="15"/>
      <c r="CQ242" s="15"/>
      <c r="CR242" s="15"/>
      <c r="CS242" s="15"/>
      <c r="CT242" s="15"/>
      <c r="CU242" s="15"/>
      <c r="CV242" s="15"/>
      <c r="CW242" s="15"/>
      <c r="CX242" s="15"/>
      <c r="CY242" s="15"/>
      <c r="CZ242" s="15"/>
      <c r="DA242" s="15"/>
      <c r="DB242" s="15"/>
      <c r="DC242" s="15"/>
      <c r="DD242" s="15"/>
      <c r="DE242" s="15"/>
      <c r="DF242" s="15"/>
      <c r="DG242" s="15"/>
      <c r="DH242" s="15"/>
      <c r="DI242" s="15"/>
      <c r="DJ242" s="15"/>
      <c r="DK242" s="15"/>
    </row>
    <row r="243" spans="1:115" ht="30" customHeight="1" x14ac:dyDescent="0.25">
      <c r="A243" s="15" t="s">
        <v>287</v>
      </c>
      <c r="B243" s="15">
        <v>17.790000915527344</v>
      </c>
      <c r="C243" s="18">
        <v>17.829999999999998</v>
      </c>
      <c r="D243" s="18">
        <v>17.829999999999998</v>
      </c>
      <c r="E243" s="18">
        <v>17.829999999999998</v>
      </c>
      <c r="F243" s="18">
        <v>17.95</v>
      </c>
      <c r="G243" s="18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  <c r="CA243" s="15"/>
      <c r="CB243" s="15"/>
      <c r="CC243" s="15"/>
      <c r="CD243" s="15"/>
      <c r="CE243" s="15"/>
      <c r="CF243" s="15"/>
      <c r="CG243" s="15"/>
      <c r="CH243" s="15"/>
      <c r="CI243" s="15"/>
      <c r="CJ243" s="15"/>
      <c r="CK243" s="15"/>
      <c r="CL243" s="15"/>
      <c r="CM243" s="15"/>
      <c r="CN243" s="15"/>
      <c r="CO243" s="15"/>
      <c r="CP243" s="15"/>
      <c r="CQ243" s="15"/>
      <c r="CR243" s="15"/>
      <c r="CS243" s="15"/>
      <c r="CT243" s="15"/>
      <c r="CU243" s="15"/>
      <c r="CV243" s="15"/>
      <c r="CW243" s="15"/>
      <c r="CX243" s="15"/>
      <c r="CY243" s="15"/>
      <c r="CZ243" s="15"/>
      <c r="DA243" s="15"/>
      <c r="DB243" s="15"/>
      <c r="DC243" s="15"/>
      <c r="DD243" s="15"/>
      <c r="DE243" s="15"/>
      <c r="DF243" s="15"/>
      <c r="DG243" s="15"/>
      <c r="DH243" s="15"/>
      <c r="DI243" s="15"/>
      <c r="DJ243" s="15"/>
      <c r="DK243" s="15"/>
    </row>
    <row r="244" spans="1:115" ht="30" customHeight="1" x14ac:dyDescent="0.25">
      <c r="A244" s="15" t="s">
        <v>57</v>
      </c>
      <c r="B244" s="15">
        <v>330</v>
      </c>
      <c r="C244" s="18">
        <v>335.6</v>
      </c>
      <c r="D244" s="18">
        <v>335.6</v>
      </c>
      <c r="E244" s="18">
        <v>335.6</v>
      </c>
      <c r="F244" s="18">
        <v>336.6</v>
      </c>
      <c r="G244" s="18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  <c r="CA244" s="15"/>
      <c r="CB244" s="15"/>
      <c r="CC244" s="15"/>
      <c r="CD244" s="15"/>
      <c r="CE244" s="15"/>
      <c r="CF244" s="15"/>
      <c r="CG244" s="15"/>
      <c r="CH244" s="15"/>
      <c r="CI244" s="15"/>
      <c r="CJ244" s="15"/>
      <c r="CK244" s="15"/>
      <c r="CL244" s="15"/>
      <c r="CM244" s="15"/>
      <c r="CN244" s="15"/>
      <c r="CO244" s="15"/>
      <c r="CP244" s="15"/>
      <c r="CQ244" s="15"/>
      <c r="CR244" s="15"/>
      <c r="CS244" s="15"/>
      <c r="CT244" s="15"/>
      <c r="CU244" s="15"/>
      <c r="CV244" s="15"/>
      <c r="CW244" s="15"/>
      <c r="CX244" s="15"/>
      <c r="CY244" s="15"/>
      <c r="CZ244" s="15"/>
      <c r="DA244" s="15"/>
      <c r="DB244" s="15"/>
      <c r="DC244" s="15"/>
      <c r="DD244" s="15"/>
      <c r="DE244" s="15"/>
      <c r="DF244" s="15"/>
      <c r="DG244" s="15"/>
      <c r="DH244" s="15"/>
      <c r="DI244" s="15"/>
      <c r="DJ244" s="15"/>
      <c r="DK244" s="15"/>
    </row>
    <row r="245" spans="1:115" ht="30" customHeight="1" x14ac:dyDescent="0.25">
      <c r="A245" s="15" t="s">
        <v>288</v>
      </c>
      <c r="B245" s="15">
        <v>69.120002746582031</v>
      </c>
      <c r="C245" s="18">
        <v>69.180000000000007</v>
      </c>
      <c r="D245" s="18">
        <v>69.180000000000007</v>
      </c>
      <c r="E245" s="18">
        <v>69.180000000000007</v>
      </c>
      <c r="F245" s="18">
        <v>68.67</v>
      </c>
      <c r="G245" s="18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  <c r="CA245" s="15"/>
      <c r="CB245" s="15"/>
      <c r="CC245" s="15"/>
      <c r="CD245" s="15"/>
      <c r="CE245" s="15"/>
      <c r="CF245" s="15"/>
      <c r="CG245" s="15"/>
      <c r="CH245" s="15"/>
      <c r="CI245" s="15"/>
      <c r="CJ245" s="15"/>
      <c r="CK245" s="15"/>
      <c r="CL245" s="15"/>
      <c r="CM245" s="15"/>
      <c r="CN245" s="15"/>
      <c r="CO245" s="15"/>
      <c r="CP245" s="15"/>
      <c r="CQ245" s="15"/>
      <c r="CR245" s="15"/>
      <c r="CS245" s="15"/>
      <c r="CT245" s="15"/>
      <c r="CU245" s="15"/>
      <c r="CV245" s="15"/>
      <c r="CW245" s="15"/>
      <c r="CX245" s="15"/>
      <c r="CY245" s="15"/>
      <c r="CZ245" s="15"/>
      <c r="DA245" s="15"/>
      <c r="DB245" s="15"/>
      <c r="DC245" s="15"/>
      <c r="DD245" s="15"/>
      <c r="DE245" s="15"/>
      <c r="DF245" s="15"/>
      <c r="DG245" s="15"/>
      <c r="DH245" s="15"/>
      <c r="DI245" s="15"/>
      <c r="DJ245" s="15"/>
      <c r="DK245" s="15"/>
    </row>
    <row r="246" spans="1:115" ht="30" customHeight="1" x14ac:dyDescent="0.25">
      <c r="A246" s="15" t="s">
        <v>289</v>
      </c>
      <c r="B246" s="15">
        <v>18.440000534057617</v>
      </c>
      <c r="C246" s="18">
        <v>18.690000000000001</v>
      </c>
      <c r="D246" s="18">
        <v>18.690000000000001</v>
      </c>
      <c r="E246" s="18">
        <v>18.690000000000001</v>
      </c>
      <c r="F246" s="18">
        <v>18.577500000000001</v>
      </c>
      <c r="G246" s="18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  <c r="CA246" s="15"/>
      <c r="CB246" s="15"/>
      <c r="CC246" s="15"/>
      <c r="CD246" s="15"/>
      <c r="CE246" s="15"/>
      <c r="CF246" s="15"/>
      <c r="CG246" s="15"/>
      <c r="CH246" s="15"/>
      <c r="CI246" s="15"/>
      <c r="CJ246" s="15"/>
      <c r="CK246" s="15"/>
      <c r="CL246" s="15"/>
      <c r="CM246" s="15"/>
      <c r="CN246" s="15"/>
      <c r="CO246" s="15"/>
      <c r="CP246" s="15"/>
      <c r="CQ246" s="15"/>
      <c r="CR246" s="15"/>
      <c r="CS246" s="15"/>
      <c r="CT246" s="15"/>
      <c r="CU246" s="15"/>
      <c r="CV246" s="15"/>
      <c r="CW246" s="15"/>
      <c r="CX246" s="15"/>
      <c r="CY246" s="15"/>
      <c r="CZ246" s="15"/>
      <c r="DA246" s="15"/>
      <c r="DB246" s="15"/>
      <c r="DC246" s="15"/>
      <c r="DD246" s="15"/>
      <c r="DE246" s="15"/>
      <c r="DF246" s="15"/>
      <c r="DG246" s="15"/>
      <c r="DH246" s="15"/>
      <c r="DI246" s="15"/>
      <c r="DJ246" s="15"/>
      <c r="DK246" s="15"/>
    </row>
    <row r="247" spans="1:115" ht="30" customHeight="1" x14ac:dyDescent="0.25">
      <c r="A247" s="15" t="s">
        <v>290</v>
      </c>
      <c r="B247" s="15">
        <v>60.349998474121094</v>
      </c>
      <c r="C247" s="18">
        <v>60.1</v>
      </c>
      <c r="D247" s="18">
        <v>60.1</v>
      </c>
      <c r="E247" s="18">
        <v>60.1</v>
      </c>
      <c r="F247" s="18">
        <v>63.17</v>
      </c>
      <c r="G247" s="18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  <c r="CA247" s="15"/>
      <c r="CB247" s="15"/>
      <c r="CC247" s="15"/>
      <c r="CD247" s="15"/>
      <c r="CE247" s="15"/>
      <c r="CF247" s="15"/>
      <c r="CG247" s="15"/>
      <c r="CH247" s="15"/>
      <c r="CI247" s="15"/>
      <c r="CJ247" s="15"/>
      <c r="CK247" s="15"/>
      <c r="CL247" s="15"/>
      <c r="CM247" s="15"/>
      <c r="CN247" s="15"/>
      <c r="CO247" s="15"/>
      <c r="CP247" s="15"/>
      <c r="CQ247" s="15"/>
      <c r="CR247" s="15"/>
      <c r="CS247" s="15"/>
      <c r="CT247" s="15"/>
      <c r="CU247" s="15"/>
      <c r="CV247" s="15"/>
      <c r="CW247" s="15"/>
      <c r="CX247" s="15"/>
      <c r="CY247" s="15"/>
      <c r="CZ247" s="15"/>
      <c r="DA247" s="15"/>
      <c r="DB247" s="15"/>
      <c r="DC247" s="15"/>
      <c r="DD247" s="15"/>
      <c r="DE247" s="15"/>
      <c r="DF247" s="15"/>
      <c r="DG247" s="15"/>
      <c r="DH247" s="15"/>
      <c r="DI247" s="15"/>
      <c r="DJ247" s="15"/>
      <c r="DK247" s="15"/>
    </row>
    <row r="248" spans="1:115" ht="30" customHeight="1" x14ac:dyDescent="0.25">
      <c r="A248" s="15" t="s">
        <v>291</v>
      </c>
      <c r="B248" s="15">
        <v>21.549999237060547</v>
      </c>
      <c r="C248" s="18">
        <v>21.55</v>
      </c>
      <c r="D248" s="18">
        <v>21.55</v>
      </c>
      <c r="E248" s="18">
        <v>21.55</v>
      </c>
      <c r="F248" s="18">
        <v>21.7</v>
      </c>
      <c r="G248" s="18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  <c r="CA248" s="15"/>
      <c r="CB248" s="15"/>
      <c r="CC248" s="15"/>
      <c r="CD248" s="15"/>
      <c r="CE248" s="15"/>
      <c r="CF248" s="15"/>
      <c r="CG248" s="15"/>
      <c r="CH248" s="15"/>
      <c r="CI248" s="15"/>
      <c r="CJ248" s="15"/>
      <c r="CK248" s="15"/>
      <c r="CL248" s="15"/>
      <c r="CM248" s="15"/>
      <c r="CN248" s="15"/>
      <c r="CO248" s="15"/>
      <c r="CP248" s="15"/>
      <c r="CQ248" s="15"/>
      <c r="CR248" s="15"/>
      <c r="CS248" s="15"/>
      <c r="CT248" s="15"/>
      <c r="CU248" s="15"/>
      <c r="CV248" s="15"/>
      <c r="CW248" s="15"/>
      <c r="CX248" s="15"/>
      <c r="CY248" s="15"/>
      <c r="CZ248" s="15"/>
      <c r="DA248" s="15"/>
      <c r="DB248" s="15"/>
      <c r="DC248" s="15"/>
      <c r="DD248" s="15"/>
      <c r="DE248" s="15"/>
      <c r="DF248" s="15"/>
      <c r="DG248" s="15"/>
      <c r="DH248" s="15"/>
      <c r="DI248" s="15"/>
      <c r="DJ248" s="15"/>
      <c r="DK248" s="15"/>
    </row>
    <row r="249" spans="1:115" ht="30" customHeight="1" x14ac:dyDescent="0.25">
      <c r="A249" s="15" t="s">
        <v>292</v>
      </c>
      <c r="B249" s="15">
        <v>26.25</v>
      </c>
      <c r="C249" s="18">
        <v>26.7</v>
      </c>
      <c r="D249" s="18">
        <v>26.7</v>
      </c>
      <c r="E249" s="18">
        <v>26.7</v>
      </c>
      <c r="F249" s="18">
        <v>29.6</v>
      </c>
      <c r="G249" s="18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  <c r="CA249" s="15"/>
      <c r="CB249" s="15"/>
      <c r="CC249" s="15"/>
      <c r="CD249" s="15"/>
      <c r="CE249" s="15"/>
      <c r="CF249" s="15"/>
      <c r="CG249" s="15"/>
      <c r="CH249" s="15"/>
      <c r="CI249" s="15"/>
      <c r="CJ249" s="15"/>
      <c r="CK249" s="15"/>
      <c r="CL249" s="15"/>
      <c r="CM249" s="15"/>
      <c r="CN249" s="15"/>
      <c r="CO249" s="15"/>
      <c r="CP249" s="15"/>
      <c r="CQ249" s="15"/>
      <c r="CR249" s="15"/>
      <c r="CS249" s="15"/>
      <c r="CT249" s="15"/>
      <c r="CU249" s="15"/>
      <c r="CV249" s="15"/>
      <c r="CW249" s="15"/>
      <c r="CX249" s="15"/>
      <c r="CY249" s="15"/>
      <c r="CZ249" s="15"/>
      <c r="DA249" s="15"/>
      <c r="DB249" s="15"/>
      <c r="DC249" s="15"/>
      <c r="DD249" s="15"/>
      <c r="DE249" s="15"/>
      <c r="DF249" s="15"/>
      <c r="DG249" s="15"/>
      <c r="DH249" s="15"/>
      <c r="DI249" s="15"/>
      <c r="DJ249" s="15"/>
      <c r="DK249" s="15"/>
    </row>
    <row r="250" spans="1:115" ht="30" customHeight="1" x14ac:dyDescent="0.25">
      <c r="A250" s="15" t="s">
        <v>293</v>
      </c>
      <c r="B250" s="15">
        <v>6.070000171661377</v>
      </c>
      <c r="C250" s="18">
        <v>6.14</v>
      </c>
      <c r="D250" s="18">
        <v>6.14</v>
      </c>
      <c r="E250" s="18">
        <v>6.14</v>
      </c>
      <c r="F250" s="18">
        <v>6</v>
      </c>
      <c r="G250" s="18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  <c r="CA250" s="15"/>
      <c r="CB250" s="15"/>
      <c r="CC250" s="15"/>
      <c r="CD250" s="15"/>
      <c r="CE250" s="15"/>
      <c r="CF250" s="15"/>
      <c r="CG250" s="15"/>
      <c r="CH250" s="15"/>
      <c r="CI250" s="15"/>
      <c r="CJ250" s="15"/>
      <c r="CK250" s="15"/>
      <c r="CL250" s="15"/>
      <c r="CM250" s="15"/>
      <c r="CN250" s="15"/>
      <c r="CO250" s="15"/>
      <c r="CP250" s="15"/>
      <c r="CQ250" s="15"/>
      <c r="CR250" s="15"/>
      <c r="CS250" s="15"/>
      <c r="CT250" s="15"/>
      <c r="CU250" s="15"/>
      <c r="CV250" s="15"/>
      <c r="CW250" s="15"/>
      <c r="CX250" s="15"/>
      <c r="CY250" s="15"/>
      <c r="CZ250" s="15"/>
      <c r="DA250" s="15"/>
      <c r="DB250" s="15"/>
      <c r="DC250" s="15"/>
      <c r="DD250" s="15"/>
      <c r="DE250" s="15"/>
      <c r="DF250" s="15"/>
      <c r="DG250" s="15"/>
      <c r="DH250" s="15"/>
      <c r="DI250" s="15"/>
      <c r="DJ250" s="15"/>
      <c r="DK250" s="15"/>
    </row>
    <row r="251" spans="1:115" ht="30" customHeight="1" x14ac:dyDescent="0.25">
      <c r="A251" s="15" t="s">
        <v>294</v>
      </c>
      <c r="B251" s="15">
        <v>18.610000610351563</v>
      </c>
      <c r="C251" s="18">
        <v>19.260000000000002</v>
      </c>
      <c r="D251" s="18">
        <v>19.260000000000002</v>
      </c>
      <c r="E251" s="18">
        <v>19.260000000000002</v>
      </c>
      <c r="F251" s="18">
        <v>19.62</v>
      </c>
      <c r="G251" s="18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  <c r="CA251" s="15"/>
      <c r="CB251" s="15"/>
      <c r="CC251" s="15"/>
      <c r="CD251" s="15"/>
      <c r="CE251" s="15"/>
      <c r="CF251" s="15"/>
      <c r="CG251" s="15"/>
      <c r="CH251" s="15"/>
      <c r="CI251" s="15"/>
      <c r="CJ251" s="15"/>
      <c r="CK251" s="15"/>
      <c r="CL251" s="15"/>
      <c r="CM251" s="15"/>
      <c r="CN251" s="15"/>
      <c r="CO251" s="15"/>
      <c r="CP251" s="15"/>
      <c r="CQ251" s="15"/>
      <c r="CR251" s="15"/>
      <c r="CS251" s="15"/>
      <c r="CT251" s="15"/>
      <c r="CU251" s="15"/>
      <c r="CV251" s="15"/>
      <c r="CW251" s="15"/>
      <c r="CX251" s="15"/>
      <c r="CY251" s="15"/>
      <c r="CZ251" s="15"/>
      <c r="DA251" s="15"/>
      <c r="DB251" s="15"/>
      <c r="DC251" s="15"/>
      <c r="DD251" s="15"/>
      <c r="DE251" s="15"/>
      <c r="DF251" s="15"/>
      <c r="DG251" s="15"/>
      <c r="DH251" s="15"/>
      <c r="DI251" s="15"/>
      <c r="DJ251" s="15"/>
      <c r="DK251" s="15"/>
    </row>
    <row r="252" spans="1:115" ht="30" customHeight="1" x14ac:dyDescent="0.25">
      <c r="A252" s="15" t="s">
        <v>295</v>
      </c>
      <c r="B252" s="15">
        <v>14.359999656677246</v>
      </c>
      <c r="C252" s="18">
        <v>14.27</v>
      </c>
      <c r="D252" s="18">
        <v>14.27</v>
      </c>
      <c r="E252" s="18">
        <v>14.27</v>
      </c>
      <c r="F252" s="18">
        <v>13.6</v>
      </c>
      <c r="G252" s="18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  <c r="CA252" s="15"/>
      <c r="CB252" s="15"/>
      <c r="CC252" s="15"/>
      <c r="CD252" s="15"/>
      <c r="CE252" s="15"/>
      <c r="CF252" s="15"/>
      <c r="CG252" s="15"/>
      <c r="CH252" s="15"/>
      <c r="CI252" s="15"/>
      <c r="CJ252" s="15"/>
      <c r="CK252" s="15"/>
      <c r="CL252" s="15"/>
      <c r="CM252" s="15"/>
      <c r="CN252" s="15"/>
      <c r="CO252" s="15"/>
      <c r="CP252" s="15"/>
      <c r="CQ252" s="15"/>
      <c r="CR252" s="15"/>
      <c r="CS252" s="15"/>
      <c r="CT252" s="15"/>
      <c r="CU252" s="15"/>
      <c r="CV252" s="15"/>
      <c r="CW252" s="15"/>
      <c r="CX252" s="15"/>
      <c r="CY252" s="15"/>
      <c r="CZ252" s="15"/>
      <c r="DA252" s="15"/>
      <c r="DB252" s="15"/>
      <c r="DC252" s="15"/>
      <c r="DD252" s="15"/>
      <c r="DE252" s="15"/>
      <c r="DF252" s="15"/>
      <c r="DG252" s="15"/>
      <c r="DH252" s="15"/>
      <c r="DI252" s="15"/>
      <c r="DJ252" s="15"/>
      <c r="DK252" s="15"/>
    </row>
    <row r="253" spans="1:115" ht="30" customHeight="1" x14ac:dyDescent="0.25">
      <c r="A253" s="15" t="s">
        <v>296</v>
      </c>
      <c r="B253" s="15">
        <v>611.53997802734375</v>
      </c>
      <c r="C253" s="18">
        <v>613.22</v>
      </c>
      <c r="D253" s="18">
        <v>613.22</v>
      </c>
      <c r="E253" s="18">
        <v>613.22</v>
      </c>
      <c r="F253" s="18">
        <v>624.41999999999996</v>
      </c>
      <c r="G253" s="18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  <c r="CA253" s="15"/>
      <c r="CB253" s="15"/>
      <c r="CC253" s="15"/>
      <c r="CD253" s="15"/>
      <c r="CE253" s="15"/>
      <c r="CF253" s="15"/>
      <c r="CG253" s="15"/>
      <c r="CH253" s="15"/>
      <c r="CI253" s="15"/>
      <c r="CJ253" s="15"/>
      <c r="CK253" s="15"/>
      <c r="CL253" s="15"/>
      <c r="CM253" s="15"/>
      <c r="CN253" s="15"/>
      <c r="CO253" s="15"/>
      <c r="CP253" s="15"/>
      <c r="CQ253" s="15"/>
      <c r="CR253" s="15"/>
      <c r="CS253" s="15"/>
      <c r="CT253" s="15"/>
      <c r="CU253" s="15"/>
      <c r="CV253" s="15"/>
      <c r="CW253" s="15"/>
      <c r="CX253" s="15"/>
      <c r="CY253" s="15"/>
      <c r="CZ253" s="15"/>
      <c r="DA253" s="15"/>
      <c r="DB253" s="15"/>
      <c r="DC253" s="15"/>
      <c r="DD253" s="15"/>
      <c r="DE253" s="15"/>
      <c r="DF253" s="15"/>
      <c r="DG253" s="15"/>
      <c r="DH253" s="15"/>
      <c r="DI253" s="15"/>
      <c r="DJ253" s="15"/>
      <c r="DK253" s="15"/>
    </row>
    <row r="254" spans="1:115" ht="30" customHeight="1" x14ac:dyDescent="0.25">
      <c r="A254" s="15" t="s">
        <v>297</v>
      </c>
      <c r="B254" s="15">
        <v>43.700000762939453</v>
      </c>
      <c r="C254" s="18">
        <v>44.4</v>
      </c>
      <c r="D254" s="18">
        <v>44.4</v>
      </c>
      <c r="E254" s="18">
        <v>44.4</v>
      </c>
      <c r="F254" s="18">
        <v>45.93</v>
      </c>
      <c r="G254" s="18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  <c r="CA254" s="15"/>
      <c r="CB254" s="15"/>
      <c r="CC254" s="15"/>
      <c r="CD254" s="15"/>
      <c r="CE254" s="15"/>
      <c r="CF254" s="15"/>
      <c r="CG254" s="15"/>
      <c r="CH254" s="15"/>
      <c r="CI254" s="15"/>
      <c r="CJ254" s="15"/>
      <c r="CK254" s="15"/>
      <c r="CL254" s="15"/>
      <c r="CM254" s="15"/>
      <c r="CN254" s="15"/>
      <c r="CO254" s="15"/>
      <c r="CP254" s="15"/>
      <c r="CQ254" s="15"/>
      <c r="CR254" s="15"/>
      <c r="CS254" s="15"/>
      <c r="CT254" s="15"/>
      <c r="CU254" s="15"/>
      <c r="CV254" s="15"/>
      <c r="CW254" s="15"/>
      <c r="CX254" s="15"/>
      <c r="CY254" s="15"/>
      <c r="CZ254" s="15"/>
      <c r="DA254" s="15"/>
      <c r="DB254" s="15"/>
      <c r="DC254" s="15"/>
      <c r="DD254" s="15"/>
      <c r="DE254" s="15"/>
      <c r="DF254" s="15"/>
      <c r="DG254" s="15"/>
      <c r="DH254" s="15"/>
      <c r="DI254" s="15"/>
      <c r="DJ254" s="15"/>
      <c r="DK254" s="15"/>
    </row>
    <row r="255" spans="1:115" ht="30" customHeight="1" x14ac:dyDescent="0.25">
      <c r="A255" s="15" t="s">
        <v>298</v>
      </c>
      <c r="B255" s="15">
        <v>121.13999938964844</v>
      </c>
      <c r="C255" s="18">
        <v>120.77</v>
      </c>
      <c r="D255" s="18">
        <v>120.77</v>
      </c>
      <c r="E255" s="18">
        <v>120.77</v>
      </c>
      <c r="F255" s="18">
        <v>121.14</v>
      </c>
      <c r="G255" s="18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  <c r="CA255" s="15"/>
      <c r="CB255" s="15"/>
      <c r="CC255" s="15"/>
      <c r="CD255" s="15"/>
      <c r="CE255" s="15"/>
      <c r="CF255" s="15"/>
      <c r="CG255" s="15"/>
      <c r="CH255" s="15"/>
      <c r="CI255" s="15"/>
      <c r="CJ255" s="15"/>
      <c r="CK255" s="15"/>
      <c r="CL255" s="15"/>
      <c r="CM255" s="15"/>
      <c r="CN255" s="15"/>
      <c r="CO255" s="15"/>
      <c r="CP255" s="15"/>
      <c r="CQ255" s="15"/>
      <c r="CR255" s="15"/>
      <c r="CS255" s="15"/>
      <c r="CT255" s="15"/>
      <c r="CU255" s="15"/>
      <c r="CV255" s="15"/>
      <c r="CW255" s="15"/>
      <c r="CX255" s="15"/>
      <c r="CY255" s="15"/>
      <c r="CZ255" s="15"/>
      <c r="DA255" s="15"/>
      <c r="DB255" s="15"/>
      <c r="DC255" s="15"/>
      <c r="DD255" s="15"/>
      <c r="DE255" s="15"/>
      <c r="DF255" s="15"/>
      <c r="DG255" s="15"/>
      <c r="DH255" s="15"/>
      <c r="DI255" s="15"/>
      <c r="DJ255" s="15"/>
      <c r="DK255" s="15"/>
    </row>
    <row r="256" spans="1:115" ht="30" customHeight="1" x14ac:dyDescent="0.25">
      <c r="A256" s="15" t="s">
        <v>299</v>
      </c>
      <c r="B256" s="15">
        <v>14.409999847412109</v>
      </c>
      <c r="C256" s="18">
        <v>14.23</v>
      </c>
      <c r="D256" s="18">
        <v>14.23</v>
      </c>
      <c r="E256" s="18">
        <v>14.23</v>
      </c>
      <c r="F256" s="18">
        <v>14.41</v>
      </c>
      <c r="G256" s="18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  <c r="CA256" s="15"/>
      <c r="CB256" s="15"/>
      <c r="CC256" s="15"/>
      <c r="CD256" s="15"/>
      <c r="CE256" s="15"/>
      <c r="CF256" s="15"/>
      <c r="CG256" s="15"/>
      <c r="CH256" s="15"/>
      <c r="CI256" s="15"/>
      <c r="CJ256" s="15"/>
      <c r="CK256" s="15"/>
      <c r="CL256" s="15"/>
      <c r="CM256" s="15"/>
      <c r="CN256" s="15"/>
      <c r="CO256" s="15"/>
      <c r="CP256" s="15"/>
      <c r="CQ256" s="15"/>
      <c r="CR256" s="15"/>
      <c r="CS256" s="15"/>
      <c r="CT256" s="15"/>
      <c r="CU256" s="15"/>
      <c r="CV256" s="15"/>
      <c r="CW256" s="15"/>
      <c r="CX256" s="15"/>
      <c r="CY256" s="15"/>
      <c r="CZ256" s="15"/>
      <c r="DA256" s="15"/>
      <c r="DB256" s="15"/>
      <c r="DC256" s="15"/>
      <c r="DD256" s="15"/>
      <c r="DE256" s="15"/>
      <c r="DF256" s="15"/>
      <c r="DG256" s="15"/>
      <c r="DH256" s="15"/>
      <c r="DI256" s="15"/>
      <c r="DJ256" s="15"/>
      <c r="DK256" s="15"/>
    </row>
    <row r="257" spans="1:115" ht="30" customHeight="1" x14ac:dyDescent="0.25">
      <c r="A257" s="15" t="s">
        <v>300</v>
      </c>
      <c r="B257" s="15">
        <v>46.990001678466797</v>
      </c>
      <c r="C257" s="18">
        <v>46.9</v>
      </c>
      <c r="D257" s="18">
        <v>46.9</v>
      </c>
      <c r="E257" s="18">
        <v>46.9</v>
      </c>
      <c r="F257" s="18">
        <v>46.99</v>
      </c>
      <c r="G257" s="18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  <c r="CA257" s="15"/>
      <c r="CB257" s="15"/>
      <c r="CC257" s="15"/>
      <c r="CD257" s="15"/>
      <c r="CE257" s="15"/>
      <c r="CF257" s="15"/>
      <c r="CG257" s="15"/>
      <c r="CH257" s="15"/>
      <c r="CI257" s="15"/>
      <c r="CJ257" s="15"/>
      <c r="CK257" s="15"/>
      <c r="CL257" s="15"/>
      <c r="CM257" s="15"/>
      <c r="CN257" s="15"/>
      <c r="CO257" s="15"/>
      <c r="CP257" s="15"/>
      <c r="CQ257" s="15"/>
      <c r="CR257" s="15"/>
      <c r="CS257" s="15"/>
      <c r="CT257" s="15"/>
      <c r="CU257" s="15"/>
      <c r="CV257" s="15"/>
      <c r="CW257" s="15"/>
      <c r="CX257" s="15"/>
      <c r="CY257" s="15"/>
      <c r="CZ257" s="15"/>
      <c r="DA257" s="15"/>
      <c r="DB257" s="15"/>
      <c r="DC257" s="15"/>
      <c r="DD257" s="15"/>
      <c r="DE257" s="15"/>
      <c r="DF257" s="15"/>
      <c r="DG257" s="15"/>
      <c r="DH257" s="15"/>
      <c r="DI257" s="15"/>
      <c r="DJ257" s="15"/>
      <c r="DK257" s="15"/>
    </row>
    <row r="258" spans="1:115" ht="30" customHeight="1" x14ac:dyDescent="0.25">
      <c r="A258" s="15" t="s">
        <v>71</v>
      </c>
      <c r="B258" s="15">
        <v>21.329999923706055</v>
      </c>
      <c r="C258" s="18">
        <v>21.23</v>
      </c>
      <c r="D258" s="18">
        <v>21.23</v>
      </c>
      <c r="E258" s="18">
        <v>21.23</v>
      </c>
      <c r="F258" s="18">
        <v>21.33</v>
      </c>
      <c r="G258" s="18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  <c r="CA258" s="15"/>
      <c r="CB258" s="15"/>
      <c r="CC258" s="15"/>
      <c r="CD258" s="15"/>
      <c r="CE258" s="15"/>
      <c r="CF258" s="15"/>
      <c r="CG258" s="15"/>
      <c r="CH258" s="15"/>
      <c r="CI258" s="15"/>
      <c r="CJ258" s="15"/>
      <c r="CK258" s="15"/>
      <c r="CL258" s="15"/>
      <c r="CM258" s="15"/>
      <c r="CN258" s="15"/>
      <c r="CO258" s="15"/>
      <c r="CP258" s="15"/>
      <c r="CQ258" s="15"/>
      <c r="CR258" s="15"/>
      <c r="CS258" s="15"/>
      <c r="CT258" s="15"/>
      <c r="CU258" s="15"/>
      <c r="CV258" s="15"/>
      <c r="CW258" s="15"/>
      <c r="CX258" s="15"/>
      <c r="CY258" s="15"/>
      <c r="CZ258" s="15"/>
      <c r="DA258" s="15"/>
      <c r="DB258" s="15"/>
      <c r="DC258" s="15"/>
      <c r="DD258" s="15"/>
      <c r="DE258" s="15"/>
      <c r="DF258" s="15"/>
      <c r="DG258" s="15"/>
      <c r="DH258" s="15"/>
      <c r="DI258" s="15"/>
      <c r="DJ258" s="15"/>
      <c r="DK258" s="15"/>
    </row>
    <row r="259" spans="1:115" ht="30" customHeight="1" x14ac:dyDescent="0.25">
      <c r="A259" s="15" t="s">
        <v>301</v>
      </c>
      <c r="B259" s="15">
        <v>111.12000274658203</v>
      </c>
      <c r="C259" s="18">
        <v>111.99</v>
      </c>
      <c r="D259" s="18">
        <v>111.99</v>
      </c>
      <c r="E259" s="18">
        <v>111.99</v>
      </c>
      <c r="F259" s="18">
        <v>111.12</v>
      </c>
      <c r="G259" s="18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  <c r="CA259" s="15"/>
      <c r="CB259" s="15"/>
      <c r="CC259" s="15"/>
      <c r="CD259" s="15"/>
      <c r="CE259" s="15"/>
      <c r="CF259" s="15"/>
      <c r="CG259" s="15"/>
      <c r="CH259" s="15"/>
      <c r="CI259" s="15"/>
      <c r="CJ259" s="15"/>
      <c r="CK259" s="15"/>
      <c r="CL259" s="15"/>
      <c r="CM259" s="15"/>
      <c r="CN259" s="15"/>
      <c r="CO259" s="15"/>
      <c r="CP259" s="15"/>
      <c r="CQ259" s="15"/>
      <c r="CR259" s="15"/>
      <c r="CS259" s="15"/>
      <c r="CT259" s="15"/>
      <c r="CU259" s="15"/>
      <c r="CV259" s="15"/>
      <c r="CW259" s="15"/>
      <c r="CX259" s="15"/>
      <c r="CY259" s="15"/>
      <c r="CZ259" s="15"/>
      <c r="DA259" s="15"/>
      <c r="DB259" s="15"/>
      <c r="DC259" s="15"/>
      <c r="DD259" s="15"/>
      <c r="DE259" s="15"/>
      <c r="DF259" s="15"/>
      <c r="DG259" s="15"/>
      <c r="DH259" s="15"/>
      <c r="DI259" s="15"/>
      <c r="DJ259" s="15"/>
      <c r="DK259" s="15"/>
    </row>
    <row r="260" spans="1:115" ht="30" customHeight="1" x14ac:dyDescent="0.25">
      <c r="A260" s="15" t="s">
        <v>72</v>
      </c>
      <c r="B260" s="15">
        <v>101.73999786376953</v>
      </c>
      <c r="C260" s="18">
        <v>102.63</v>
      </c>
      <c r="D260" s="18">
        <v>102.63</v>
      </c>
      <c r="E260" s="18">
        <v>102.63</v>
      </c>
      <c r="F260" s="18">
        <v>101.74</v>
      </c>
      <c r="G260" s="18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  <c r="CA260" s="15"/>
      <c r="CB260" s="15"/>
      <c r="CC260" s="15"/>
      <c r="CD260" s="15"/>
      <c r="CE260" s="15"/>
      <c r="CF260" s="15"/>
      <c r="CG260" s="15"/>
      <c r="CH260" s="15"/>
      <c r="CI260" s="15"/>
      <c r="CJ260" s="15"/>
      <c r="CK260" s="15"/>
      <c r="CL260" s="15"/>
      <c r="CM260" s="15"/>
      <c r="CN260" s="15"/>
      <c r="CO260" s="15"/>
      <c r="CP260" s="15"/>
      <c r="CQ260" s="15"/>
      <c r="CR260" s="15"/>
      <c r="CS260" s="15"/>
      <c r="CT260" s="15"/>
      <c r="CU260" s="15"/>
      <c r="CV260" s="15"/>
      <c r="CW260" s="15"/>
      <c r="CX260" s="15"/>
      <c r="CY260" s="15"/>
      <c r="CZ260" s="15"/>
      <c r="DA260" s="15"/>
      <c r="DB260" s="15"/>
      <c r="DC260" s="15"/>
      <c r="DD260" s="15"/>
      <c r="DE260" s="15"/>
      <c r="DF260" s="15"/>
      <c r="DG260" s="15"/>
      <c r="DH260" s="15"/>
      <c r="DI260" s="15"/>
      <c r="DJ260" s="15"/>
      <c r="DK260" s="15"/>
    </row>
    <row r="261" spans="1:115" ht="30" customHeight="1" x14ac:dyDescent="0.25">
      <c r="A261" s="15" t="s">
        <v>302</v>
      </c>
      <c r="B261" s="15">
        <v>57.470001220703125</v>
      </c>
      <c r="C261" s="18">
        <v>56.86</v>
      </c>
      <c r="D261" s="18">
        <v>56.86</v>
      </c>
      <c r="E261" s="18">
        <v>56.86</v>
      </c>
      <c r="F261" s="18">
        <v>57.47</v>
      </c>
      <c r="G261" s="18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  <c r="CA261" s="15"/>
      <c r="CB261" s="15"/>
      <c r="CC261" s="15"/>
      <c r="CD261" s="15"/>
      <c r="CE261" s="15"/>
      <c r="CF261" s="15"/>
      <c r="CG261" s="15"/>
      <c r="CH261" s="15"/>
      <c r="CI261" s="15"/>
      <c r="CJ261" s="15"/>
      <c r="CK261" s="15"/>
      <c r="CL261" s="15"/>
      <c r="CM261" s="15"/>
      <c r="CN261" s="15"/>
      <c r="CO261" s="15"/>
      <c r="CP261" s="15"/>
      <c r="CQ261" s="15"/>
      <c r="CR261" s="15"/>
      <c r="CS261" s="15"/>
      <c r="CT261" s="15"/>
      <c r="CU261" s="15"/>
      <c r="CV261" s="15"/>
      <c r="CW261" s="15"/>
      <c r="CX261" s="15"/>
      <c r="CY261" s="15"/>
      <c r="CZ261" s="15"/>
      <c r="DA261" s="15"/>
      <c r="DB261" s="15"/>
      <c r="DC261" s="15"/>
      <c r="DD261" s="15"/>
      <c r="DE261" s="15"/>
      <c r="DF261" s="15"/>
      <c r="DG261" s="15"/>
      <c r="DH261" s="15"/>
      <c r="DI261" s="15"/>
      <c r="DJ261" s="15"/>
      <c r="DK261" s="15"/>
    </row>
    <row r="262" spans="1:115" ht="30" customHeight="1" x14ac:dyDescent="0.25">
      <c r="A262" s="15" t="s">
        <v>73</v>
      </c>
      <c r="B262" s="15">
        <v>32.959999084472656</v>
      </c>
      <c r="C262" s="18">
        <v>32.42</v>
      </c>
      <c r="D262" s="18">
        <v>32.42</v>
      </c>
      <c r="E262" s="18">
        <v>32.42</v>
      </c>
      <c r="F262" s="18">
        <v>32.96</v>
      </c>
      <c r="G262" s="18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  <c r="CA262" s="15"/>
      <c r="CB262" s="15"/>
      <c r="CC262" s="15"/>
      <c r="CD262" s="15"/>
      <c r="CE262" s="15"/>
      <c r="CF262" s="15"/>
      <c r="CG262" s="15"/>
      <c r="CH262" s="15"/>
      <c r="CI262" s="15"/>
      <c r="CJ262" s="15"/>
      <c r="CK262" s="15"/>
      <c r="CL262" s="15"/>
      <c r="CM262" s="15"/>
      <c r="CN262" s="15"/>
      <c r="CO262" s="15"/>
      <c r="CP262" s="15"/>
      <c r="CQ262" s="15"/>
      <c r="CR262" s="15"/>
      <c r="CS262" s="15"/>
      <c r="CT262" s="15"/>
      <c r="CU262" s="15"/>
      <c r="CV262" s="15"/>
      <c r="CW262" s="15"/>
      <c r="CX262" s="15"/>
      <c r="CY262" s="15"/>
      <c r="CZ262" s="15"/>
      <c r="DA262" s="15"/>
      <c r="DB262" s="15"/>
      <c r="DC262" s="15"/>
      <c r="DD262" s="15"/>
      <c r="DE262" s="15"/>
      <c r="DF262" s="15"/>
      <c r="DG262" s="15"/>
      <c r="DH262" s="15"/>
      <c r="DI262" s="15"/>
      <c r="DJ262" s="15"/>
      <c r="DK262" s="15"/>
    </row>
    <row r="263" spans="1:115" ht="30" customHeight="1" x14ac:dyDescent="0.25">
      <c r="A263" s="15" t="s">
        <v>74</v>
      </c>
      <c r="B263" s="15">
        <v>9.5399999618530273</v>
      </c>
      <c r="C263" s="18">
        <v>9.36</v>
      </c>
      <c r="D263" s="18">
        <v>9.36</v>
      </c>
      <c r="E263" s="18">
        <v>9.36</v>
      </c>
      <c r="F263" s="18">
        <v>9.5399999999999991</v>
      </c>
      <c r="G263" s="18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  <c r="CA263" s="15"/>
      <c r="CB263" s="15"/>
      <c r="CC263" s="15"/>
      <c r="CD263" s="15"/>
      <c r="CE263" s="15"/>
      <c r="CF263" s="15"/>
      <c r="CG263" s="15"/>
      <c r="CH263" s="15"/>
      <c r="CI263" s="15"/>
      <c r="CJ263" s="15"/>
      <c r="CK263" s="15"/>
      <c r="CL263" s="15"/>
      <c r="CM263" s="15"/>
      <c r="CN263" s="15"/>
      <c r="CO263" s="15"/>
      <c r="CP263" s="15"/>
      <c r="CQ263" s="15"/>
      <c r="CR263" s="15"/>
      <c r="CS263" s="15"/>
      <c r="CT263" s="15"/>
      <c r="CU263" s="15"/>
      <c r="CV263" s="15"/>
      <c r="CW263" s="15"/>
      <c r="CX263" s="15"/>
      <c r="CY263" s="15"/>
      <c r="CZ263" s="15"/>
      <c r="DA263" s="15"/>
      <c r="DB263" s="15"/>
      <c r="DC263" s="15"/>
      <c r="DD263" s="15"/>
      <c r="DE263" s="15"/>
      <c r="DF263" s="15"/>
      <c r="DG263" s="15"/>
      <c r="DH263" s="15"/>
      <c r="DI263" s="15"/>
      <c r="DJ263" s="15"/>
      <c r="DK263" s="15"/>
    </row>
    <row r="264" spans="1:115" ht="30" customHeight="1" x14ac:dyDescent="0.25">
      <c r="A264" s="15" t="s">
        <v>303</v>
      </c>
      <c r="B264" s="15">
        <v>39.549999237060547</v>
      </c>
      <c r="C264" s="18">
        <v>39.94</v>
      </c>
      <c r="D264" s="18">
        <v>39.94</v>
      </c>
      <c r="E264" s="18">
        <v>39.94</v>
      </c>
      <c r="F264" s="18">
        <v>39.549999999999997</v>
      </c>
      <c r="G264" s="18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  <c r="CA264" s="15"/>
      <c r="CB264" s="15"/>
      <c r="CC264" s="15"/>
      <c r="CD264" s="15"/>
      <c r="CE264" s="15"/>
      <c r="CF264" s="15"/>
      <c r="CG264" s="15"/>
      <c r="CH264" s="15"/>
      <c r="CI264" s="15"/>
      <c r="CJ264" s="15"/>
      <c r="CK264" s="15"/>
      <c r="CL264" s="15"/>
      <c r="CM264" s="15"/>
      <c r="CN264" s="15"/>
      <c r="CO264" s="15"/>
      <c r="CP264" s="15"/>
      <c r="CQ264" s="15"/>
      <c r="CR264" s="15"/>
      <c r="CS264" s="15"/>
      <c r="CT264" s="15"/>
      <c r="CU264" s="15"/>
      <c r="CV264" s="15"/>
      <c r="CW264" s="15"/>
      <c r="CX264" s="15"/>
      <c r="CY264" s="15"/>
      <c r="CZ264" s="15"/>
      <c r="DA264" s="15"/>
      <c r="DB264" s="15"/>
      <c r="DC264" s="15"/>
      <c r="DD264" s="15"/>
      <c r="DE264" s="15"/>
      <c r="DF264" s="15"/>
      <c r="DG264" s="15"/>
      <c r="DH264" s="15"/>
      <c r="DI264" s="15"/>
      <c r="DJ264" s="15"/>
      <c r="DK264" s="15"/>
    </row>
    <row r="265" spans="1:115" ht="30" customHeight="1" x14ac:dyDescent="0.25">
      <c r="A265" s="15" t="s">
        <v>304</v>
      </c>
      <c r="B265" s="15">
        <v>73.569999694824219</v>
      </c>
      <c r="C265" s="18">
        <v>73.59</v>
      </c>
      <c r="D265" s="18">
        <v>73.59</v>
      </c>
      <c r="E265" s="18">
        <v>73.59</v>
      </c>
      <c r="F265" s="18">
        <v>73.569999999999993</v>
      </c>
      <c r="G265" s="18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  <c r="CA265" s="15"/>
      <c r="CB265" s="15"/>
      <c r="CC265" s="15"/>
      <c r="CD265" s="15"/>
      <c r="CE265" s="15"/>
      <c r="CF265" s="15"/>
      <c r="CG265" s="15"/>
      <c r="CH265" s="15"/>
      <c r="CI265" s="15"/>
      <c r="CJ265" s="15"/>
      <c r="CK265" s="15"/>
      <c r="CL265" s="15"/>
      <c r="CM265" s="15"/>
      <c r="CN265" s="15"/>
      <c r="CO265" s="15"/>
      <c r="CP265" s="15"/>
      <c r="CQ265" s="15"/>
      <c r="CR265" s="15"/>
      <c r="CS265" s="15"/>
      <c r="CT265" s="15"/>
      <c r="CU265" s="15"/>
      <c r="CV265" s="15"/>
      <c r="CW265" s="15"/>
      <c r="CX265" s="15"/>
      <c r="CY265" s="15"/>
      <c r="CZ265" s="15"/>
      <c r="DA265" s="15"/>
      <c r="DB265" s="15"/>
      <c r="DC265" s="15"/>
      <c r="DD265" s="15"/>
      <c r="DE265" s="15"/>
      <c r="DF265" s="15"/>
      <c r="DG265" s="15"/>
      <c r="DH265" s="15"/>
      <c r="DI265" s="15"/>
      <c r="DJ265" s="15"/>
      <c r="DK265" s="15"/>
    </row>
    <row r="266" spans="1:115" ht="30" customHeight="1" x14ac:dyDescent="0.25">
      <c r="A266" s="15" t="s">
        <v>75</v>
      </c>
      <c r="B266" s="15">
        <v>15.800000190734863</v>
      </c>
      <c r="C266" s="18">
        <v>15.66</v>
      </c>
      <c r="D266" s="18">
        <v>15.66</v>
      </c>
      <c r="E266" s="18">
        <v>15.66</v>
      </c>
      <c r="F266" s="18">
        <v>15.8</v>
      </c>
      <c r="G266" s="18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  <c r="CA266" s="15"/>
      <c r="CB266" s="15"/>
      <c r="CC266" s="15"/>
      <c r="CD266" s="15"/>
      <c r="CE266" s="15"/>
      <c r="CF266" s="15"/>
      <c r="CG266" s="15"/>
      <c r="CH266" s="15"/>
      <c r="CI266" s="15"/>
      <c r="CJ266" s="15"/>
      <c r="CK266" s="15"/>
      <c r="CL266" s="15"/>
      <c r="CM266" s="15"/>
      <c r="CN266" s="15"/>
      <c r="CO266" s="15"/>
      <c r="CP266" s="15"/>
      <c r="CQ266" s="15"/>
      <c r="CR266" s="15"/>
      <c r="CS266" s="15"/>
      <c r="CT266" s="15"/>
      <c r="CU266" s="15"/>
      <c r="CV266" s="15"/>
      <c r="CW266" s="15"/>
      <c r="CX266" s="15"/>
      <c r="CY266" s="15"/>
      <c r="CZ266" s="15"/>
      <c r="DA266" s="15"/>
      <c r="DB266" s="15"/>
      <c r="DC266" s="15"/>
      <c r="DD266" s="15"/>
      <c r="DE266" s="15"/>
      <c r="DF266" s="15"/>
      <c r="DG266" s="15"/>
      <c r="DH266" s="15"/>
      <c r="DI266" s="15"/>
      <c r="DJ266" s="15"/>
      <c r="DK266" s="15"/>
    </row>
    <row r="267" spans="1:115" ht="30" customHeight="1" x14ac:dyDescent="0.25">
      <c r="A267" s="15" t="s">
        <v>305</v>
      </c>
      <c r="B267" s="15">
        <v>51.729999542236328</v>
      </c>
      <c r="C267" s="18">
        <v>52.72</v>
      </c>
      <c r="D267" s="18">
        <v>52.72</v>
      </c>
      <c r="E267" s="18">
        <v>52.72</v>
      </c>
      <c r="F267" s="18">
        <v>51.73</v>
      </c>
      <c r="G267" s="18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  <c r="CA267" s="15"/>
      <c r="CB267" s="15"/>
      <c r="CC267" s="15"/>
      <c r="CD267" s="15"/>
      <c r="CE267" s="15"/>
      <c r="CF267" s="15"/>
      <c r="CG267" s="15"/>
      <c r="CH267" s="15"/>
      <c r="CI267" s="15"/>
      <c r="CJ267" s="15"/>
      <c r="CK267" s="15"/>
      <c r="CL267" s="15"/>
      <c r="CM267" s="15"/>
      <c r="CN267" s="15"/>
      <c r="CO267" s="15"/>
      <c r="CP267" s="15"/>
      <c r="CQ267" s="15"/>
      <c r="CR267" s="15"/>
      <c r="CS267" s="15"/>
      <c r="CT267" s="15"/>
      <c r="CU267" s="15"/>
      <c r="CV267" s="15"/>
      <c r="CW267" s="15"/>
      <c r="CX267" s="15"/>
      <c r="CY267" s="15"/>
      <c r="CZ267" s="15"/>
      <c r="DA267" s="15"/>
      <c r="DB267" s="15"/>
      <c r="DC267" s="15"/>
      <c r="DD267" s="15"/>
      <c r="DE267" s="15"/>
      <c r="DF267" s="15"/>
      <c r="DG267" s="15"/>
      <c r="DH267" s="15"/>
      <c r="DI267" s="15"/>
      <c r="DJ267" s="15"/>
      <c r="DK267" s="15"/>
    </row>
    <row r="268" spans="1:115" ht="30" customHeight="1" x14ac:dyDescent="0.25">
      <c r="A268" s="15" t="s">
        <v>306</v>
      </c>
      <c r="B268" s="15">
        <v>49.099998474121094</v>
      </c>
      <c r="C268" s="18">
        <v>48.02</v>
      </c>
      <c r="D268" s="18">
        <v>48.02</v>
      </c>
      <c r="E268" s="18">
        <v>48.02</v>
      </c>
      <c r="F268" s="18">
        <v>49.1</v>
      </c>
      <c r="G268" s="18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  <c r="CA268" s="15"/>
      <c r="CB268" s="15"/>
      <c r="CC268" s="15"/>
      <c r="CD268" s="15"/>
      <c r="CE268" s="15"/>
      <c r="CF268" s="15"/>
      <c r="CG268" s="15"/>
      <c r="CH268" s="15"/>
      <c r="CI268" s="15"/>
      <c r="CJ268" s="15"/>
      <c r="CK268" s="15"/>
      <c r="CL268" s="15"/>
      <c r="CM268" s="15"/>
      <c r="CN268" s="15"/>
      <c r="CO268" s="15"/>
      <c r="CP268" s="15"/>
      <c r="CQ268" s="15"/>
      <c r="CR268" s="15"/>
      <c r="CS268" s="15"/>
      <c r="CT268" s="15"/>
      <c r="CU268" s="15"/>
      <c r="CV268" s="15"/>
      <c r="CW268" s="15"/>
      <c r="CX268" s="15"/>
      <c r="CY268" s="15"/>
      <c r="CZ268" s="15"/>
      <c r="DA268" s="15"/>
      <c r="DB268" s="15"/>
      <c r="DC268" s="15"/>
      <c r="DD268" s="15"/>
      <c r="DE268" s="15"/>
      <c r="DF268" s="15"/>
      <c r="DG268" s="15"/>
      <c r="DH268" s="15"/>
      <c r="DI268" s="15"/>
      <c r="DJ268" s="15"/>
      <c r="DK268" s="15"/>
    </row>
    <row r="269" spans="1:115" ht="30" customHeight="1" x14ac:dyDescent="0.25">
      <c r="A269" s="15" t="s">
        <v>307</v>
      </c>
      <c r="B269" s="15">
        <v>80.5</v>
      </c>
      <c r="C269" s="18">
        <v>79.45</v>
      </c>
      <c r="D269" s="18">
        <v>79.45</v>
      </c>
      <c r="E269" s="18">
        <v>79.45</v>
      </c>
      <c r="F269" s="18">
        <v>80.5</v>
      </c>
      <c r="G269" s="18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  <c r="CA269" s="15"/>
      <c r="CB269" s="15"/>
      <c r="CC269" s="15"/>
      <c r="CD269" s="15"/>
      <c r="CE269" s="15"/>
      <c r="CF269" s="15"/>
      <c r="CG269" s="15"/>
      <c r="CH269" s="15"/>
      <c r="CI269" s="15"/>
      <c r="CJ269" s="15"/>
      <c r="CK269" s="15"/>
      <c r="CL269" s="15"/>
      <c r="CM269" s="15"/>
      <c r="CN269" s="15"/>
      <c r="CO269" s="15"/>
      <c r="CP269" s="15"/>
      <c r="CQ269" s="15"/>
      <c r="CR269" s="15"/>
      <c r="CS269" s="15"/>
      <c r="CT269" s="15"/>
      <c r="CU269" s="15"/>
      <c r="CV269" s="15"/>
      <c r="CW269" s="15"/>
      <c r="CX269" s="15"/>
      <c r="CY269" s="15"/>
      <c r="CZ269" s="15"/>
      <c r="DA269" s="15"/>
      <c r="DB269" s="15"/>
      <c r="DC269" s="15"/>
      <c r="DD269" s="15"/>
      <c r="DE269" s="15"/>
      <c r="DF269" s="15"/>
      <c r="DG269" s="15"/>
      <c r="DH269" s="15"/>
      <c r="DI269" s="15"/>
      <c r="DJ269" s="15"/>
      <c r="DK269" s="15"/>
    </row>
    <row r="270" spans="1:115" ht="30" customHeight="1" x14ac:dyDescent="0.25">
      <c r="A270" s="15" t="s">
        <v>308</v>
      </c>
      <c r="B270" s="15">
        <v>36.409999847412109</v>
      </c>
      <c r="C270" s="18">
        <v>36.69</v>
      </c>
      <c r="D270" s="18">
        <v>36.69</v>
      </c>
      <c r="E270" s="18">
        <v>36.69</v>
      </c>
      <c r="F270" s="18">
        <v>36.409999999999997</v>
      </c>
      <c r="G270" s="18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  <c r="CA270" s="15"/>
      <c r="CB270" s="15"/>
      <c r="CC270" s="15"/>
      <c r="CD270" s="15"/>
      <c r="CE270" s="15"/>
      <c r="CF270" s="15"/>
      <c r="CG270" s="15"/>
      <c r="CH270" s="15"/>
      <c r="CI270" s="15"/>
      <c r="CJ270" s="15"/>
      <c r="CK270" s="15"/>
      <c r="CL270" s="15"/>
      <c r="CM270" s="15"/>
      <c r="CN270" s="15"/>
      <c r="CO270" s="15"/>
      <c r="CP270" s="15"/>
      <c r="CQ270" s="15"/>
      <c r="CR270" s="15"/>
      <c r="CS270" s="15"/>
      <c r="CT270" s="15"/>
      <c r="CU270" s="15"/>
      <c r="CV270" s="15"/>
      <c r="CW270" s="15"/>
      <c r="CX270" s="15"/>
      <c r="CY270" s="15"/>
      <c r="CZ270" s="15"/>
      <c r="DA270" s="15"/>
      <c r="DB270" s="15"/>
      <c r="DC270" s="15"/>
      <c r="DD270" s="15"/>
      <c r="DE270" s="15"/>
      <c r="DF270" s="15"/>
      <c r="DG270" s="15"/>
      <c r="DH270" s="15"/>
      <c r="DI270" s="15"/>
      <c r="DJ270" s="15"/>
      <c r="DK270" s="15"/>
    </row>
    <row r="271" spans="1:115" ht="30" customHeight="1" x14ac:dyDescent="0.25">
      <c r="A271" s="15" t="s">
        <v>309</v>
      </c>
      <c r="B271" s="15">
        <v>17.030000686645508</v>
      </c>
      <c r="C271" s="18">
        <v>17.02</v>
      </c>
      <c r="D271" s="18">
        <v>17.02</v>
      </c>
      <c r="E271" s="18">
        <v>17.02</v>
      </c>
      <c r="F271" s="18">
        <v>17.03</v>
      </c>
      <c r="G271" s="18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  <c r="CA271" s="15"/>
      <c r="CB271" s="15"/>
      <c r="CC271" s="15"/>
      <c r="CD271" s="15"/>
      <c r="CE271" s="15"/>
      <c r="CF271" s="15"/>
      <c r="CG271" s="15"/>
      <c r="CH271" s="15"/>
      <c r="CI271" s="15"/>
      <c r="CJ271" s="15"/>
      <c r="CK271" s="15"/>
      <c r="CL271" s="15"/>
      <c r="CM271" s="15"/>
      <c r="CN271" s="15"/>
      <c r="CO271" s="15"/>
      <c r="CP271" s="15"/>
      <c r="CQ271" s="15"/>
      <c r="CR271" s="15"/>
      <c r="CS271" s="15"/>
      <c r="CT271" s="15"/>
      <c r="CU271" s="15"/>
      <c r="CV271" s="15"/>
      <c r="CW271" s="15"/>
      <c r="CX271" s="15"/>
      <c r="CY271" s="15"/>
      <c r="CZ271" s="15"/>
      <c r="DA271" s="15"/>
      <c r="DB271" s="15"/>
      <c r="DC271" s="15"/>
      <c r="DD271" s="15"/>
      <c r="DE271" s="15"/>
      <c r="DF271" s="15"/>
      <c r="DG271" s="15"/>
      <c r="DH271" s="15"/>
      <c r="DI271" s="15"/>
      <c r="DJ271" s="15"/>
      <c r="DK271" s="15"/>
    </row>
    <row r="272" spans="1:115" ht="30" customHeight="1" x14ac:dyDescent="0.25">
      <c r="A272" s="15" t="s">
        <v>310</v>
      </c>
      <c r="B272" s="15">
        <v>87.419998168945313</v>
      </c>
      <c r="C272" s="18">
        <v>86.24</v>
      </c>
      <c r="D272" s="18">
        <v>86.24</v>
      </c>
      <c r="E272" s="18">
        <v>86.24</v>
      </c>
      <c r="F272" s="18">
        <v>87.42</v>
      </c>
      <c r="G272" s="18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  <c r="CA272" s="15"/>
      <c r="CB272" s="15"/>
      <c r="CC272" s="15"/>
      <c r="CD272" s="15"/>
      <c r="CE272" s="15"/>
      <c r="CF272" s="15"/>
      <c r="CG272" s="15"/>
      <c r="CH272" s="15"/>
      <c r="CI272" s="15"/>
      <c r="CJ272" s="15"/>
      <c r="CK272" s="15"/>
      <c r="CL272" s="15"/>
      <c r="CM272" s="15"/>
      <c r="CN272" s="15"/>
      <c r="CO272" s="15"/>
      <c r="CP272" s="15"/>
      <c r="CQ272" s="15"/>
      <c r="CR272" s="15"/>
      <c r="CS272" s="15"/>
      <c r="CT272" s="15"/>
      <c r="CU272" s="15"/>
      <c r="CV272" s="15"/>
      <c r="CW272" s="15"/>
      <c r="CX272" s="15"/>
      <c r="CY272" s="15"/>
      <c r="CZ272" s="15"/>
      <c r="DA272" s="15"/>
      <c r="DB272" s="15"/>
      <c r="DC272" s="15"/>
      <c r="DD272" s="15"/>
      <c r="DE272" s="15"/>
      <c r="DF272" s="15"/>
      <c r="DG272" s="15"/>
      <c r="DH272" s="15"/>
      <c r="DI272" s="15"/>
      <c r="DJ272" s="15"/>
      <c r="DK272" s="15"/>
    </row>
    <row r="273" spans="1:115" ht="30" customHeight="1" x14ac:dyDescent="0.25">
      <c r="A273" s="15" t="s">
        <v>311</v>
      </c>
      <c r="B273" s="15">
        <v>20.180000305175781</v>
      </c>
      <c r="C273" s="18">
        <v>19.77</v>
      </c>
      <c r="D273" s="18">
        <v>19.77</v>
      </c>
      <c r="E273" s="18">
        <v>19.77</v>
      </c>
      <c r="F273" s="18">
        <v>20.18</v>
      </c>
      <c r="G273" s="18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  <c r="CA273" s="15"/>
      <c r="CB273" s="15"/>
      <c r="CC273" s="15"/>
      <c r="CD273" s="15"/>
      <c r="CE273" s="15"/>
      <c r="CF273" s="15"/>
      <c r="CG273" s="15"/>
      <c r="CH273" s="15"/>
      <c r="CI273" s="15"/>
      <c r="CJ273" s="15"/>
      <c r="CK273" s="15"/>
      <c r="CL273" s="15"/>
      <c r="CM273" s="15"/>
      <c r="CN273" s="15"/>
      <c r="CO273" s="15"/>
      <c r="CP273" s="15"/>
      <c r="CQ273" s="15"/>
      <c r="CR273" s="15"/>
      <c r="CS273" s="15"/>
      <c r="CT273" s="15"/>
      <c r="CU273" s="15"/>
      <c r="CV273" s="15"/>
      <c r="CW273" s="15"/>
      <c r="CX273" s="15"/>
      <c r="CY273" s="15"/>
      <c r="CZ273" s="15"/>
      <c r="DA273" s="15"/>
      <c r="DB273" s="15"/>
      <c r="DC273" s="15"/>
      <c r="DD273" s="15"/>
      <c r="DE273" s="15"/>
      <c r="DF273" s="15"/>
      <c r="DG273" s="15"/>
      <c r="DH273" s="15"/>
      <c r="DI273" s="15"/>
      <c r="DJ273" s="15"/>
      <c r="DK273" s="15"/>
    </row>
    <row r="274" spans="1:115" ht="30" customHeight="1" x14ac:dyDescent="0.25">
      <c r="A274" s="15" t="s">
        <v>76</v>
      </c>
      <c r="B274" s="15">
        <v>99.120002746582031</v>
      </c>
      <c r="C274" s="18">
        <v>101.79</v>
      </c>
      <c r="D274" s="18">
        <v>101.79</v>
      </c>
      <c r="E274" s="18">
        <v>101.79</v>
      </c>
      <c r="F274" s="18">
        <v>99.12</v>
      </c>
      <c r="G274" s="18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  <c r="CA274" s="15"/>
      <c r="CB274" s="15"/>
      <c r="CC274" s="15"/>
      <c r="CD274" s="15"/>
      <c r="CE274" s="15"/>
      <c r="CF274" s="15"/>
      <c r="CG274" s="15"/>
      <c r="CH274" s="15"/>
      <c r="CI274" s="15"/>
      <c r="CJ274" s="15"/>
      <c r="CK274" s="15"/>
      <c r="CL274" s="15"/>
      <c r="CM274" s="15"/>
      <c r="CN274" s="15"/>
      <c r="CO274" s="15"/>
      <c r="CP274" s="15"/>
      <c r="CQ274" s="15"/>
      <c r="CR274" s="15"/>
      <c r="CS274" s="15"/>
      <c r="CT274" s="15"/>
      <c r="CU274" s="15"/>
      <c r="CV274" s="15"/>
      <c r="CW274" s="15"/>
      <c r="CX274" s="15"/>
      <c r="CY274" s="15"/>
      <c r="CZ274" s="15"/>
      <c r="DA274" s="15"/>
      <c r="DB274" s="15"/>
      <c r="DC274" s="15"/>
      <c r="DD274" s="15"/>
      <c r="DE274" s="15"/>
      <c r="DF274" s="15"/>
      <c r="DG274" s="15"/>
      <c r="DH274" s="15"/>
      <c r="DI274" s="15"/>
      <c r="DJ274" s="15"/>
      <c r="DK274" s="15"/>
    </row>
    <row r="275" spans="1:115" ht="30" customHeight="1" x14ac:dyDescent="0.25">
      <c r="A275" s="15" t="s">
        <v>312</v>
      </c>
      <c r="B275" s="15">
        <v>45.069999694824219</v>
      </c>
      <c r="C275" s="18">
        <v>45.74</v>
      </c>
      <c r="D275" s="18">
        <v>45.74</v>
      </c>
      <c r="E275" s="18">
        <v>45.74</v>
      </c>
      <c r="F275" s="18">
        <v>45.07</v>
      </c>
      <c r="G275" s="18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  <c r="CA275" s="15"/>
      <c r="CB275" s="15"/>
      <c r="CC275" s="15"/>
      <c r="CD275" s="15"/>
      <c r="CE275" s="15"/>
      <c r="CF275" s="15"/>
      <c r="CG275" s="15"/>
      <c r="CH275" s="15"/>
      <c r="CI275" s="15"/>
      <c r="CJ275" s="15"/>
      <c r="CK275" s="15"/>
      <c r="CL275" s="15"/>
      <c r="CM275" s="15"/>
      <c r="CN275" s="15"/>
      <c r="CO275" s="15"/>
      <c r="CP275" s="15"/>
      <c r="CQ275" s="15"/>
      <c r="CR275" s="15"/>
      <c r="CS275" s="15"/>
      <c r="CT275" s="15"/>
      <c r="CU275" s="15"/>
      <c r="CV275" s="15"/>
      <c r="CW275" s="15"/>
      <c r="CX275" s="15"/>
      <c r="CY275" s="15"/>
      <c r="CZ275" s="15"/>
      <c r="DA275" s="15"/>
      <c r="DB275" s="15"/>
      <c r="DC275" s="15"/>
      <c r="DD275" s="15"/>
      <c r="DE275" s="15"/>
      <c r="DF275" s="15"/>
      <c r="DG275" s="15"/>
      <c r="DH275" s="15"/>
      <c r="DI275" s="15"/>
      <c r="DJ275" s="15"/>
      <c r="DK275" s="15"/>
    </row>
    <row r="276" spans="1:115" ht="30" customHeight="1" x14ac:dyDescent="0.25">
      <c r="A276" s="15" t="s">
        <v>77</v>
      </c>
      <c r="B276" s="15">
        <v>11.470000267028809</v>
      </c>
      <c r="C276" s="18">
        <v>10.87</v>
      </c>
      <c r="D276" s="18">
        <v>10.87</v>
      </c>
      <c r="E276" s="18">
        <v>10.87</v>
      </c>
      <c r="F276" s="18">
        <v>11.47</v>
      </c>
      <c r="G276" s="18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  <c r="CA276" s="15"/>
      <c r="CB276" s="15"/>
      <c r="CC276" s="15"/>
      <c r="CD276" s="15"/>
      <c r="CE276" s="15"/>
      <c r="CF276" s="15"/>
      <c r="CG276" s="15"/>
      <c r="CH276" s="15"/>
      <c r="CI276" s="15"/>
      <c r="CJ276" s="15"/>
      <c r="CK276" s="15"/>
      <c r="CL276" s="15"/>
      <c r="CM276" s="15"/>
      <c r="CN276" s="15"/>
      <c r="CO276" s="15"/>
      <c r="CP276" s="15"/>
      <c r="CQ276" s="15"/>
      <c r="CR276" s="15"/>
      <c r="CS276" s="15"/>
      <c r="CT276" s="15"/>
      <c r="CU276" s="15"/>
      <c r="CV276" s="15"/>
      <c r="CW276" s="15"/>
      <c r="CX276" s="15"/>
      <c r="CY276" s="15"/>
      <c r="CZ276" s="15"/>
      <c r="DA276" s="15"/>
      <c r="DB276" s="15"/>
      <c r="DC276" s="15"/>
      <c r="DD276" s="15"/>
      <c r="DE276" s="15"/>
      <c r="DF276" s="15"/>
      <c r="DG276" s="15"/>
      <c r="DH276" s="15"/>
      <c r="DI276" s="15"/>
      <c r="DJ276" s="15"/>
      <c r="DK276" s="15"/>
    </row>
    <row r="277" spans="1:115" ht="30" customHeight="1" x14ac:dyDescent="0.25">
      <c r="A277" s="15" t="s">
        <v>313</v>
      </c>
      <c r="B277" s="15">
        <v>31.309999465942383</v>
      </c>
      <c r="C277" s="18">
        <v>31.63</v>
      </c>
      <c r="D277" s="18">
        <v>31.63</v>
      </c>
      <c r="E277" s="18">
        <v>31.63</v>
      </c>
      <c r="F277" s="18">
        <v>31.31</v>
      </c>
      <c r="G277" s="18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  <c r="CA277" s="15"/>
      <c r="CB277" s="15"/>
      <c r="CC277" s="15"/>
      <c r="CD277" s="15"/>
      <c r="CE277" s="15"/>
      <c r="CF277" s="15"/>
      <c r="CG277" s="15"/>
      <c r="CH277" s="15"/>
      <c r="CI277" s="15"/>
      <c r="CJ277" s="15"/>
      <c r="CK277" s="15"/>
      <c r="CL277" s="15"/>
      <c r="CM277" s="15"/>
      <c r="CN277" s="15"/>
      <c r="CO277" s="15"/>
      <c r="CP277" s="15"/>
      <c r="CQ277" s="15"/>
      <c r="CR277" s="15"/>
      <c r="CS277" s="15"/>
      <c r="CT277" s="15"/>
      <c r="CU277" s="15"/>
      <c r="CV277" s="15"/>
      <c r="CW277" s="15"/>
      <c r="CX277" s="15"/>
      <c r="CY277" s="15"/>
      <c r="CZ277" s="15"/>
      <c r="DA277" s="15"/>
      <c r="DB277" s="15"/>
      <c r="DC277" s="15"/>
      <c r="DD277" s="15"/>
      <c r="DE277" s="15"/>
      <c r="DF277" s="15"/>
      <c r="DG277" s="15"/>
      <c r="DH277" s="15"/>
      <c r="DI277" s="15"/>
      <c r="DJ277" s="15"/>
      <c r="DK277" s="15"/>
    </row>
    <row r="278" spans="1:115" ht="30" customHeight="1" x14ac:dyDescent="0.25">
      <c r="A278" s="15" t="s">
        <v>78</v>
      </c>
      <c r="B278" s="15">
        <v>113.69999694824219</v>
      </c>
      <c r="C278" s="18">
        <v>115.73</v>
      </c>
      <c r="D278" s="18">
        <v>115.73</v>
      </c>
      <c r="E278" s="18">
        <v>115.73</v>
      </c>
      <c r="F278" s="18">
        <v>113.7</v>
      </c>
      <c r="G278" s="18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  <c r="CA278" s="15"/>
      <c r="CB278" s="15"/>
      <c r="CC278" s="15"/>
      <c r="CD278" s="15"/>
      <c r="CE278" s="15"/>
      <c r="CF278" s="15"/>
      <c r="CG278" s="15"/>
      <c r="CH278" s="15"/>
      <c r="CI278" s="15"/>
      <c r="CJ278" s="15"/>
      <c r="CK278" s="15"/>
      <c r="CL278" s="15"/>
      <c r="CM278" s="15"/>
      <c r="CN278" s="15"/>
      <c r="CO278" s="15"/>
      <c r="CP278" s="15"/>
      <c r="CQ278" s="15"/>
      <c r="CR278" s="15"/>
      <c r="CS278" s="15"/>
      <c r="CT278" s="15"/>
      <c r="CU278" s="15"/>
      <c r="CV278" s="15"/>
      <c r="CW278" s="15"/>
      <c r="CX278" s="15"/>
      <c r="CY278" s="15"/>
      <c r="CZ278" s="15"/>
      <c r="DA278" s="15"/>
      <c r="DB278" s="15"/>
      <c r="DC278" s="15"/>
      <c r="DD278" s="15"/>
      <c r="DE278" s="15"/>
      <c r="DF278" s="15"/>
      <c r="DG278" s="15"/>
      <c r="DH278" s="15"/>
      <c r="DI278" s="15"/>
      <c r="DJ278" s="15"/>
      <c r="DK278" s="15"/>
    </row>
    <row r="279" spans="1:115" ht="30" customHeight="1" x14ac:dyDescent="0.25">
      <c r="A279" s="15" t="s">
        <v>314</v>
      </c>
      <c r="B279" s="15">
        <v>20.809999465942383</v>
      </c>
      <c r="C279" s="18">
        <v>20.8</v>
      </c>
      <c r="D279" s="18">
        <v>20.8</v>
      </c>
      <c r="E279" s="18">
        <v>20.8</v>
      </c>
      <c r="F279" s="18">
        <v>20.81</v>
      </c>
      <c r="G279" s="18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  <c r="CA279" s="15"/>
      <c r="CB279" s="15"/>
      <c r="CC279" s="15"/>
      <c r="CD279" s="15"/>
      <c r="CE279" s="15"/>
      <c r="CF279" s="15"/>
      <c r="CG279" s="15"/>
      <c r="CH279" s="15"/>
      <c r="CI279" s="15"/>
      <c r="CJ279" s="15"/>
      <c r="CK279" s="15"/>
      <c r="CL279" s="15"/>
      <c r="CM279" s="15"/>
      <c r="CN279" s="15"/>
      <c r="CO279" s="15"/>
      <c r="CP279" s="15"/>
      <c r="CQ279" s="15"/>
      <c r="CR279" s="15"/>
      <c r="CS279" s="15"/>
      <c r="CT279" s="15"/>
      <c r="CU279" s="15"/>
      <c r="CV279" s="15"/>
      <c r="CW279" s="15"/>
      <c r="CX279" s="15"/>
      <c r="CY279" s="15"/>
      <c r="CZ279" s="15"/>
      <c r="DA279" s="15"/>
      <c r="DB279" s="15"/>
      <c r="DC279" s="15"/>
      <c r="DD279" s="15"/>
      <c r="DE279" s="15"/>
      <c r="DF279" s="15"/>
      <c r="DG279" s="15"/>
      <c r="DH279" s="15"/>
      <c r="DI279" s="15"/>
      <c r="DJ279" s="15"/>
      <c r="DK279" s="15"/>
    </row>
    <row r="280" spans="1:115" ht="30" customHeight="1" x14ac:dyDescent="0.25">
      <c r="A280" s="15" t="s">
        <v>315</v>
      </c>
      <c r="B280" s="15">
        <v>129.25999450683594</v>
      </c>
      <c r="C280" s="18">
        <v>136.96</v>
      </c>
      <c r="D280" s="18">
        <v>136.96</v>
      </c>
      <c r="E280" s="18">
        <v>136.96</v>
      </c>
      <c r="F280" s="18">
        <v>129.26</v>
      </c>
      <c r="G280" s="18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  <c r="CA280" s="15"/>
      <c r="CB280" s="15"/>
      <c r="CC280" s="15"/>
      <c r="CD280" s="15"/>
      <c r="CE280" s="15"/>
      <c r="CF280" s="15"/>
      <c r="CG280" s="15"/>
      <c r="CH280" s="15"/>
      <c r="CI280" s="15"/>
      <c r="CJ280" s="15"/>
      <c r="CK280" s="15"/>
      <c r="CL280" s="15"/>
      <c r="CM280" s="15"/>
      <c r="CN280" s="15"/>
      <c r="CO280" s="15"/>
      <c r="CP280" s="15"/>
      <c r="CQ280" s="15"/>
      <c r="CR280" s="15"/>
      <c r="CS280" s="15"/>
      <c r="CT280" s="15"/>
      <c r="CU280" s="15"/>
      <c r="CV280" s="15"/>
      <c r="CW280" s="15"/>
      <c r="CX280" s="15"/>
      <c r="CY280" s="15"/>
      <c r="CZ280" s="15"/>
      <c r="DA280" s="15"/>
      <c r="DB280" s="15"/>
      <c r="DC280" s="15"/>
      <c r="DD280" s="15"/>
      <c r="DE280" s="15"/>
      <c r="DF280" s="15"/>
      <c r="DG280" s="15"/>
      <c r="DH280" s="15"/>
      <c r="DI280" s="15"/>
      <c r="DJ280" s="15"/>
      <c r="DK280" s="15"/>
    </row>
    <row r="281" spans="1:115" ht="30" customHeight="1" x14ac:dyDescent="0.25">
      <c r="A281" s="15" t="s">
        <v>316</v>
      </c>
      <c r="B281" s="15">
        <v>34.310001373291016</v>
      </c>
      <c r="C281" s="18">
        <v>34.58</v>
      </c>
      <c r="D281" s="18">
        <v>34.58</v>
      </c>
      <c r="E281" s="18">
        <v>34.58</v>
      </c>
      <c r="F281" s="18">
        <v>34.31</v>
      </c>
      <c r="G281" s="18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  <c r="AG281" s="15"/>
      <c r="AH281" s="15"/>
      <c r="AI281" s="15"/>
      <c r="AJ281" s="15"/>
      <c r="AK281" s="15"/>
      <c r="AL281" s="15"/>
      <c r="AM281" s="15"/>
      <c r="AN281" s="15"/>
      <c r="AO281" s="15"/>
      <c r="AP281" s="15"/>
      <c r="AQ281" s="15"/>
      <c r="AR281" s="15"/>
      <c r="AS281" s="15"/>
      <c r="AT281" s="15"/>
      <c r="AU281" s="15"/>
      <c r="AV281" s="15"/>
      <c r="AW281" s="15"/>
      <c r="AX281" s="15"/>
      <c r="AY281" s="15"/>
      <c r="AZ281" s="15"/>
      <c r="BA281" s="15"/>
      <c r="BB281" s="15"/>
      <c r="BC281" s="15"/>
      <c r="BD281" s="15"/>
      <c r="BE281" s="15"/>
      <c r="BF281" s="15"/>
      <c r="BG281" s="15"/>
      <c r="BH281" s="15"/>
      <c r="BI281" s="15"/>
      <c r="BJ281" s="15"/>
      <c r="BK281" s="15"/>
      <c r="BL281" s="15"/>
      <c r="BM281" s="15"/>
      <c r="BN281" s="15"/>
      <c r="BO281" s="15"/>
      <c r="BP281" s="15"/>
      <c r="BQ281" s="15"/>
      <c r="BR281" s="15"/>
      <c r="BS281" s="15"/>
      <c r="BT281" s="15"/>
      <c r="BU281" s="15"/>
      <c r="BV281" s="15"/>
      <c r="BW281" s="15"/>
      <c r="BX281" s="15"/>
      <c r="BY281" s="15"/>
      <c r="BZ281" s="15"/>
      <c r="CA281" s="15"/>
      <c r="CB281" s="15"/>
      <c r="CC281" s="15"/>
      <c r="CD281" s="15"/>
      <c r="CE281" s="15"/>
      <c r="CF281" s="15"/>
      <c r="CG281" s="15"/>
      <c r="CH281" s="15"/>
      <c r="CI281" s="15"/>
      <c r="CJ281" s="15"/>
      <c r="CK281" s="15"/>
      <c r="CL281" s="15"/>
      <c r="CM281" s="15"/>
      <c r="CN281" s="15"/>
      <c r="CO281" s="15"/>
      <c r="CP281" s="15"/>
      <c r="CQ281" s="15"/>
      <c r="CR281" s="15"/>
      <c r="CS281" s="15"/>
      <c r="CT281" s="15"/>
      <c r="CU281" s="15"/>
      <c r="CV281" s="15"/>
      <c r="CW281" s="15"/>
      <c r="CX281" s="15"/>
      <c r="CY281" s="15"/>
      <c r="CZ281" s="15"/>
      <c r="DA281" s="15"/>
      <c r="DB281" s="15"/>
      <c r="DC281" s="15"/>
      <c r="DD281" s="15"/>
      <c r="DE281" s="15"/>
      <c r="DF281" s="15"/>
      <c r="DG281" s="15"/>
      <c r="DH281" s="15"/>
      <c r="DI281" s="15"/>
      <c r="DJ281" s="15"/>
      <c r="DK281" s="15"/>
    </row>
    <row r="282" spans="1:115" ht="30" customHeight="1" x14ac:dyDescent="0.25">
      <c r="A282" s="15" t="s">
        <v>317</v>
      </c>
      <c r="B282" s="15">
        <v>29.229999542236328</v>
      </c>
      <c r="C282" s="18">
        <v>29.27</v>
      </c>
      <c r="D282" s="18">
        <v>29.27</v>
      </c>
      <c r="E282" s="18">
        <v>29.27</v>
      </c>
      <c r="F282" s="18">
        <v>29.23</v>
      </c>
      <c r="G282" s="18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  <c r="AG282" s="15"/>
      <c r="AH282" s="15"/>
      <c r="AI282" s="15"/>
      <c r="AJ282" s="15"/>
      <c r="AK282" s="15"/>
      <c r="AL282" s="15"/>
      <c r="AM282" s="15"/>
      <c r="AN282" s="15"/>
      <c r="AO282" s="15"/>
      <c r="AP282" s="15"/>
      <c r="AQ282" s="15"/>
      <c r="AR282" s="15"/>
      <c r="AS282" s="15"/>
      <c r="AT282" s="15"/>
      <c r="AU282" s="15"/>
      <c r="AV282" s="15"/>
      <c r="AW282" s="15"/>
      <c r="AX282" s="15"/>
      <c r="AY282" s="15"/>
      <c r="AZ282" s="15"/>
      <c r="BA282" s="15"/>
      <c r="BB282" s="15"/>
      <c r="BC282" s="15"/>
      <c r="BD282" s="15"/>
      <c r="BE282" s="15"/>
      <c r="BF282" s="15"/>
      <c r="BG282" s="15"/>
      <c r="BH282" s="15"/>
      <c r="BI282" s="15"/>
      <c r="BJ282" s="15"/>
      <c r="BK282" s="15"/>
      <c r="BL282" s="15"/>
      <c r="BM282" s="15"/>
      <c r="BN282" s="15"/>
      <c r="BO282" s="15"/>
      <c r="BP282" s="15"/>
      <c r="BQ282" s="15"/>
      <c r="BR282" s="15"/>
      <c r="BS282" s="15"/>
      <c r="BT282" s="15"/>
      <c r="BU282" s="15"/>
      <c r="BV282" s="15"/>
      <c r="BW282" s="15"/>
      <c r="BX282" s="15"/>
      <c r="BY282" s="15"/>
      <c r="BZ282" s="15"/>
      <c r="CA282" s="15"/>
      <c r="CB282" s="15"/>
      <c r="CC282" s="15"/>
      <c r="CD282" s="15"/>
      <c r="CE282" s="15"/>
      <c r="CF282" s="15"/>
      <c r="CG282" s="15"/>
      <c r="CH282" s="15"/>
      <c r="CI282" s="15"/>
      <c r="CJ282" s="15"/>
      <c r="CK282" s="15"/>
      <c r="CL282" s="15"/>
      <c r="CM282" s="15"/>
      <c r="CN282" s="15"/>
      <c r="CO282" s="15"/>
      <c r="CP282" s="15"/>
      <c r="CQ282" s="15"/>
      <c r="CR282" s="15"/>
      <c r="CS282" s="15"/>
      <c r="CT282" s="15"/>
      <c r="CU282" s="15"/>
      <c r="CV282" s="15"/>
      <c r="CW282" s="15"/>
      <c r="CX282" s="15"/>
      <c r="CY282" s="15"/>
      <c r="CZ282" s="15"/>
      <c r="DA282" s="15"/>
      <c r="DB282" s="15"/>
      <c r="DC282" s="15"/>
      <c r="DD282" s="15"/>
      <c r="DE282" s="15"/>
      <c r="DF282" s="15"/>
      <c r="DG282" s="15"/>
      <c r="DH282" s="15"/>
      <c r="DI282" s="15"/>
      <c r="DJ282" s="15"/>
      <c r="DK282" s="15"/>
    </row>
    <row r="283" spans="1:115" ht="30" customHeight="1" x14ac:dyDescent="0.25">
      <c r="A283" s="15" t="s">
        <v>318</v>
      </c>
      <c r="B283" s="15">
        <v>10.020000457763672</v>
      </c>
      <c r="C283" s="18">
        <v>10.02</v>
      </c>
      <c r="D283" s="18">
        <v>10.02</v>
      </c>
      <c r="E283" s="18">
        <v>10.02</v>
      </c>
      <c r="F283" s="18">
        <v>10.02</v>
      </c>
      <c r="G283" s="18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  <c r="AG283" s="15"/>
      <c r="AH283" s="15"/>
      <c r="AI283" s="15"/>
      <c r="AJ283" s="15"/>
      <c r="AK283" s="15"/>
      <c r="AL283" s="15"/>
      <c r="AM283" s="15"/>
      <c r="AN283" s="15"/>
      <c r="AO283" s="15"/>
      <c r="AP283" s="15"/>
      <c r="AQ283" s="15"/>
      <c r="AR283" s="15"/>
      <c r="AS283" s="15"/>
      <c r="AT283" s="15"/>
      <c r="AU283" s="15"/>
      <c r="AV283" s="15"/>
      <c r="AW283" s="15"/>
      <c r="AX283" s="15"/>
      <c r="AY283" s="15"/>
      <c r="AZ283" s="15"/>
      <c r="BA283" s="15"/>
      <c r="BB283" s="15"/>
      <c r="BC283" s="15"/>
      <c r="BD283" s="15"/>
      <c r="BE283" s="15"/>
      <c r="BF283" s="15"/>
      <c r="BG283" s="15"/>
      <c r="BH283" s="15"/>
      <c r="BI283" s="15"/>
      <c r="BJ283" s="15"/>
      <c r="BK283" s="15"/>
      <c r="BL283" s="15"/>
      <c r="BM283" s="15"/>
      <c r="BN283" s="15"/>
      <c r="BO283" s="15"/>
      <c r="BP283" s="15"/>
      <c r="BQ283" s="15"/>
      <c r="BR283" s="15"/>
      <c r="BS283" s="15"/>
      <c r="BT283" s="15"/>
      <c r="BU283" s="15"/>
      <c r="BV283" s="15"/>
      <c r="BW283" s="15"/>
      <c r="BX283" s="15"/>
      <c r="BY283" s="15"/>
      <c r="BZ283" s="15"/>
      <c r="CA283" s="15"/>
      <c r="CB283" s="15"/>
      <c r="CC283" s="15"/>
      <c r="CD283" s="15"/>
      <c r="CE283" s="15"/>
      <c r="CF283" s="15"/>
      <c r="CG283" s="15"/>
      <c r="CH283" s="15"/>
      <c r="CI283" s="15"/>
      <c r="CJ283" s="15"/>
      <c r="CK283" s="15"/>
      <c r="CL283" s="15"/>
      <c r="CM283" s="15"/>
      <c r="CN283" s="15"/>
      <c r="CO283" s="15"/>
      <c r="CP283" s="15"/>
      <c r="CQ283" s="15"/>
      <c r="CR283" s="15"/>
      <c r="CS283" s="15"/>
      <c r="CT283" s="15"/>
      <c r="CU283" s="15"/>
      <c r="CV283" s="15"/>
      <c r="CW283" s="15"/>
      <c r="CX283" s="15"/>
      <c r="CY283" s="15"/>
      <c r="CZ283" s="15"/>
      <c r="DA283" s="15"/>
      <c r="DB283" s="15"/>
      <c r="DC283" s="15"/>
      <c r="DD283" s="15"/>
      <c r="DE283" s="15"/>
      <c r="DF283" s="15"/>
      <c r="DG283" s="15"/>
      <c r="DH283" s="15"/>
      <c r="DI283" s="15"/>
      <c r="DJ283" s="15"/>
      <c r="DK283" s="15"/>
    </row>
    <row r="284" spans="1:115" ht="30" customHeight="1" x14ac:dyDescent="0.25">
      <c r="A284" s="15" t="s">
        <v>319</v>
      </c>
      <c r="B284" s="15">
        <v>146.58999633789063</v>
      </c>
      <c r="C284" s="18">
        <v>146.57</v>
      </c>
      <c r="D284" s="18">
        <v>146.57</v>
      </c>
      <c r="E284" s="18">
        <v>146.57</v>
      </c>
      <c r="F284" s="18">
        <v>146.59</v>
      </c>
      <c r="G284" s="18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  <c r="AG284" s="15"/>
      <c r="AH284" s="15"/>
      <c r="AI284" s="15"/>
      <c r="AJ284" s="15"/>
      <c r="AK284" s="15"/>
      <c r="AL284" s="15"/>
      <c r="AM284" s="15"/>
      <c r="AN284" s="15"/>
      <c r="AO284" s="15"/>
      <c r="AP284" s="15"/>
      <c r="AQ284" s="15"/>
      <c r="AR284" s="15"/>
      <c r="AS284" s="15"/>
      <c r="AT284" s="15"/>
      <c r="AU284" s="15"/>
      <c r="AV284" s="15"/>
      <c r="AW284" s="15"/>
      <c r="AX284" s="15"/>
      <c r="AY284" s="15"/>
      <c r="AZ284" s="15"/>
      <c r="BA284" s="15"/>
      <c r="BB284" s="15"/>
      <c r="BC284" s="15"/>
      <c r="BD284" s="15"/>
      <c r="BE284" s="15"/>
      <c r="BF284" s="15"/>
      <c r="BG284" s="15"/>
      <c r="BH284" s="15"/>
      <c r="BI284" s="15"/>
      <c r="BJ284" s="15"/>
      <c r="BK284" s="15"/>
      <c r="BL284" s="15"/>
      <c r="BM284" s="15"/>
      <c r="BN284" s="15"/>
      <c r="BO284" s="15"/>
      <c r="BP284" s="15"/>
      <c r="BQ284" s="15"/>
      <c r="BR284" s="15"/>
      <c r="BS284" s="15"/>
      <c r="BT284" s="15"/>
      <c r="BU284" s="15"/>
      <c r="BV284" s="15"/>
      <c r="BW284" s="15"/>
      <c r="BX284" s="15"/>
      <c r="BY284" s="15"/>
      <c r="BZ284" s="15"/>
      <c r="CA284" s="15"/>
      <c r="CB284" s="15"/>
      <c r="CC284" s="15"/>
      <c r="CD284" s="15"/>
      <c r="CE284" s="15"/>
      <c r="CF284" s="15"/>
      <c r="CG284" s="15"/>
      <c r="CH284" s="15"/>
      <c r="CI284" s="15"/>
      <c r="CJ284" s="15"/>
      <c r="CK284" s="15"/>
      <c r="CL284" s="15"/>
      <c r="CM284" s="15"/>
      <c r="CN284" s="15"/>
      <c r="CO284" s="15"/>
      <c r="CP284" s="15"/>
      <c r="CQ284" s="15"/>
      <c r="CR284" s="15"/>
      <c r="CS284" s="15"/>
      <c r="CT284" s="15"/>
      <c r="CU284" s="15"/>
      <c r="CV284" s="15"/>
      <c r="CW284" s="15"/>
      <c r="CX284" s="15"/>
      <c r="CY284" s="15"/>
      <c r="CZ284" s="15"/>
      <c r="DA284" s="15"/>
      <c r="DB284" s="15"/>
      <c r="DC284" s="15"/>
      <c r="DD284" s="15"/>
      <c r="DE284" s="15"/>
      <c r="DF284" s="15"/>
      <c r="DG284" s="15"/>
      <c r="DH284" s="15"/>
      <c r="DI284" s="15"/>
      <c r="DJ284" s="15"/>
      <c r="DK284" s="15"/>
    </row>
    <row r="285" spans="1:115" ht="30" customHeight="1" x14ac:dyDescent="0.25">
      <c r="A285" s="15" t="s">
        <v>320</v>
      </c>
      <c r="B285" s="15">
        <v>4.7699999809265137</v>
      </c>
      <c r="C285" s="18">
        <v>4.7300000000000004</v>
      </c>
      <c r="D285" s="18">
        <v>4.7300000000000004</v>
      </c>
      <c r="E285" s="18">
        <v>4.7300000000000004</v>
      </c>
      <c r="F285" s="18">
        <v>4.7699999999999996</v>
      </c>
      <c r="G285" s="18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  <c r="AG285" s="15"/>
      <c r="AH285" s="15"/>
      <c r="AI285" s="15"/>
      <c r="AJ285" s="15"/>
      <c r="AK285" s="15"/>
      <c r="AL285" s="15"/>
      <c r="AM285" s="15"/>
      <c r="AN285" s="15"/>
      <c r="AO285" s="15"/>
      <c r="AP285" s="15"/>
      <c r="AQ285" s="15"/>
      <c r="AR285" s="15"/>
      <c r="AS285" s="15"/>
      <c r="AT285" s="15"/>
      <c r="AU285" s="15"/>
      <c r="AV285" s="15"/>
      <c r="AW285" s="15"/>
      <c r="AX285" s="15"/>
      <c r="AY285" s="15"/>
      <c r="AZ285" s="15"/>
      <c r="BA285" s="15"/>
      <c r="BB285" s="15"/>
      <c r="BC285" s="15"/>
      <c r="BD285" s="15"/>
      <c r="BE285" s="15"/>
      <c r="BF285" s="15"/>
      <c r="BG285" s="15"/>
      <c r="BH285" s="15"/>
      <c r="BI285" s="15"/>
      <c r="BJ285" s="15"/>
      <c r="BK285" s="15"/>
      <c r="BL285" s="15"/>
      <c r="BM285" s="15"/>
      <c r="BN285" s="15"/>
      <c r="BO285" s="15"/>
      <c r="BP285" s="15"/>
      <c r="BQ285" s="15"/>
      <c r="BR285" s="15"/>
      <c r="BS285" s="15"/>
      <c r="BT285" s="15"/>
      <c r="BU285" s="15"/>
      <c r="BV285" s="15"/>
      <c r="BW285" s="15"/>
      <c r="BX285" s="15"/>
      <c r="BY285" s="15"/>
      <c r="BZ285" s="15"/>
      <c r="CA285" s="15"/>
      <c r="CB285" s="15"/>
      <c r="CC285" s="15"/>
      <c r="CD285" s="15"/>
      <c r="CE285" s="15"/>
      <c r="CF285" s="15"/>
      <c r="CG285" s="15"/>
      <c r="CH285" s="15"/>
      <c r="CI285" s="15"/>
      <c r="CJ285" s="15"/>
      <c r="CK285" s="15"/>
      <c r="CL285" s="15"/>
      <c r="CM285" s="15"/>
      <c r="CN285" s="15"/>
      <c r="CO285" s="15"/>
      <c r="CP285" s="15"/>
      <c r="CQ285" s="15"/>
      <c r="CR285" s="15"/>
      <c r="CS285" s="15"/>
      <c r="CT285" s="15"/>
      <c r="CU285" s="15"/>
      <c r="CV285" s="15"/>
      <c r="CW285" s="15"/>
      <c r="CX285" s="15"/>
      <c r="CY285" s="15"/>
      <c r="CZ285" s="15"/>
      <c r="DA285" s="15"/>
      <c r="DB285" s="15"/>
      <c r="DC285" s="15"/>
      <c r="DD285" s="15"/>
      <c r="DE285" s="15"/>
      <c r="DF285" s="15"/>
      <c r="DG285" s="15"/>
      <c r="DH285" s="15"/>
      <c r="DI285" s="15"/>
      <c r="DJ285" s="15"/>
      <c r="DK285" s="15"/>
    </row>
    <row r="286" spans="1:115" ht="30" customHeight="1" x14ac:dyDescent="0.25">
      <c r="A286" s="15" t="s">
        <v>321</v>
      </c>
      <c r="B286" s="15">
        <v>5.559999942779541</v>
      </c>
      <c r="C286" s="18">
        <v>5.78</v>
      </c>
      <c r="D286" s="18">
        <v>5.78</v>
      </c>
      <c r="E286" s="18">
        <v>5.78</v>
      </c>
      <c r="F286" s="18">
        <v>5.56</v>
      </c>
      <c r="G286" s="18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  <c r="AG286" s="15"/>
      <c r="AH286" s="15"/>
      <c r="AI286" s="15"/>
      <c r="AJ286" s="15"/>
      <c r="AK286" s="15"/>
      <c r="AL286" s="15"/>
      <c r="AM286" s="15"/>
      <c r="AN286" s="15"/>
      <c r="AO286" s="15"/>
      <c r="AP286" s="15"/>
      <c r="AQ286" s="15"/>
      <c r="AR286" s="15"/>
      <c r="AS286" s="15"/>
      <c r="AT286" s="15"/>
      <c r="AU286" s="15"/>
      <c r="AV286" s="15"/>
      <c r="AW286" s="15"/>
      <c r="AX286" s="15"/>
      <c r="AY286" s="15"/>
      <c r="AZ286" s="15"/>
      <c r="BA286" s="15"/>
      <c r="BB286" s="15"/>
      <c r="BC286" s="15"/>
      <c r="BD286" s="15"/>
      <c r="BE286" s="15"/>
      <c r="BF286" s="15"/>
      <c r="BG286" s="15"/>
      <c r="BH286" s="15"/>
      <c r="BI286" s="15"/>
      <c r="BJ286" s="15"/>
      <c r="BK286" s="15"/>
      <c r="BL286" s="15"/>
      <c r="BM286" s="15"/>
      <c r="BN286" s="15"/>
      <c r="BO286" s="15"/>
      <c r="BP286" s="15"/>
      <c r="BQ286" s="15"/>
      <c r="BR286" s="15"/>
      <c r="BS286" s="15"/>
      <c r="BT286" s="15"/>
      <c r="BU286" s="15"/>
      <c r="BV286" s="15"/>
      <c r="BW286" s="15"/>
      <c r="BX286" s="15"/>
      <c r="BY286" s="15"/>
      <c r="BZ286" s="15"/>
      <c r="CA286" s="15"/>
      <c r="CB286" s="15"/>
      <c r="CC286" s="15"/>
      <c r="CD286" s="15"/>
      <c r="CE286" s="15"/>
      <c r="CF286" s="15"/>
      <c r="CG286" s="15"/>
      <c r="CH286" s="15"/>
      <c r="CI286" s="15"/>
      <c r="CJ286" s="15"/>
      <c r="CK286" s="15"/>
      <c r="CL286" s="15"/>
      <c r="CM286" s="15"/>
      <c r="CN286" s="15"/>
      <c r="CO286" s="15"/>
      <c r="CP286" s="15"/>
      <c r="CQ286" s="15"/>
      <c r="CR286" s="15"/>
      <c r="CS286" s="15"/>
      <c r="CT286" s="15"/>
      <c r="CU286" s="15"/>
      <c r="CV286" s="15"/>
      <c r="CW286" s="15"/>
      <c r="CX286" s="15"/>
      <c r="CY286" s="15"/>
      <c r="CZ286" s="15"/>
      <c r="DA286" s="15"/>
      <c r="DB286" s="15"/>
      <c r="DC286" s="15"/>
      <c r="DD286" s="15"/>
      <c r="DE286" s="15"/>
      <c r="DF286" s="15"/>
      <c r="DG286" s="15"/>
      <c r="DH286" s="15"/>
      <c r="DI286" s="15"/>
      <c r="DJ286" s="15"/>
      <c r="DK286" s="15"/>
    </row>
    <row r="287" spans="1:115" ht="30" customHeight="1" x14ac:dyDescent="0.25">
      <c r="A287" s="15" t="s">
        <v>322</v>
      </c>
      <c r="B287" s="15">
        <v>20.049999237060547</v>
      </c>
      <c r="C287" s="18">
        <v>20.18</v>
      </c>
      <c r="D287" s="18">
        <v>20.18</v>
      </c>
      <c r="E287" s="18">
        <v>20.18</v>
      </c>
      <c r="F287" s="18">
        <v>20.05</v>
      </c>
      <c r="G287" s="18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  <c r="AG287" s="15"/>
      <c r="AH287" s="15"/>
      <c r="AI287" s="15"/>
      <c r="AJ287" s="15"/>
      <c r="AK287" s="15"/>
      <c r="AL287" s="15"/>
      <c r="AM287" s="15"/>
      <c r="AN287" s="15"/>
      <c r="AO287" s="15"/>
      <c r="AP287" s="15"/>
      <c r="AQ287" s="15"/>
      <c r="AR287" s="15"/>
      <c r="AS287" s="15"/>
      <c r="AT287" s="15"/>
      <c r="AU287" s="15"/>
      <c r="AV287" s="15"/>
      <c r="AW287" s="15"/>
      <c r="AX287" s="15"/>
      <c r="AY287" s="15"/>
      <c r="AZ287" s="15"/>
      <c r="BA287" s="15"/>
      <c r="BB287" s="15"/>
      <c r="BC287" s="15"/>
      <c r="BD287" s="15"/>
      <c r="BE287" s="15"/>
      <c r="BF287" s="15"/>
      <c r="BG287" s="15"/>
      <c r="BH287" s="15"/>
      <c r="BI287" s="15"/>
      <c r="BJ287" s="15"/>
      <c r="BK287" s="15"/>
      <c r="BL287" s="15"/>
      <c r="BM287" s="15"/>
      <c r="BN287" s="15"/>
      <c r="BO287" s="15"/>
      <c r="BP287" s="15"/>
      <c r="BQ287" s="15"/>
      <c r="BR287" s="15"/>
      <c r="BS287" s="15"/>
      <c r="BT287" s="15"/>
      <c r="BU287" s="15"/>
      <c r="BV287" s="15"/>
      <c r="BW287" s="15"/>
      <c r="BX287" s="15"/>
      <c r="BY287" s="15"/>
      <c r="BZ287" s="15"/>
      <c r="CA287" s="15"/>
      <c r="CB287" s="15"/>
      <c r="CC287" s="15"/>
      <c r="CD287" s="15"/>
      <c r="CE287" s="15"/>
      <c r="CF287" s="15"/>
      <c r="CG287" s="15"/>
      <c r="CH287" s="15"/>
      <c r="CI287" s="15"/>
      <c r="CJ287" s="15"/>
      <c r="CK287" s="15"/>
      <c r="CL287" s="15"/>
      <c r="CM287" s="15"/>
      <c r="CN287" s="15"/>
      <c r="CO287" s="15"/>
      <c r="CP287" s="15"/>
      <c r="CQ287" s="15"/>
      <c r="CR287" s="15"/>
      <c r="CS287" s="15"/>
      <c r="CT287" s="15"/>
      <c r="CU287" s="15"/>
      <c r="CV287" s="15"/>
      <c r="CW287" s="15"/>
      <c r="CX287" s="15"/>
      <c r="CY287" s="15"/>
      <c r="CZ287" s="15"/>
      <c r="DA287" s="15"/>
      <c r="DB287" s="15"/>
      <c r="DC287" s="15"/>
      <c r="DD287" s="15"/>
      <c r="DE287" s="15"/>
      <c r="DF287" s="15"/>
      <c r="DG287" s="15"/>
      <c r="DH287" s="15"/>
      <c r="DI287" s="15"/>
      <c r="DJ287" s="15"/>
      <c r="DK287" s="15"/>
    </row>
    <row r="288" spans="1:115" ht="30" customHeight="1" x14ac:dyDescent="0.25">
      <c r="A288" s="15" t="s">
        <v>323</v>
      </c>
      <c r="B288" s="15">
        <v>18.940000534057617</v>
      </c>
      <c r="C288" s="18">
        <v>19.09</v>
      </c>
      <c r="D288" s="18">
        <v>19.09</v>
      </c>
      <c r="E288" s="18">
        <v>19.09</v>
      </c>
      <c r="F288" s="18">
        <v>18.940000000000001</v>
      </c>
      <c r="G288" s="18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  <c r="AG288" s="15"/>
      <c r="AH288" s="15"/>
      <c r="AI288" s="15"/>
      <c r="AJ288" s="15"/>
      <c r="AK288" s="15"/>
      <c r="AL288" s="15"/>
      <c r="AM288" s="15"/>
      <c r="AN288" s="15"/>
      <c r="AO288" s="15"/>
      <c r="AP288" s="15"/>
      <c r="AQ288" s="15"/>
      <c r="AR288" s="15"/>
      <c r="AS288" s="15"/>
      <c r="AT288" s="15"/>
      <c r="AU288" s="15"/>
      <c r="AV288" s="15"/>
      <c r="AW288" s="15"/>
      <c r="AX288" s="15"/>
      <c r="AY288" s="15"/>
      <c r="AZ288" s="15"/>
      <c r="BA288" s="15"/>
      <c r="BB288" s="15"/>
      <c r="BC288" s="15"/>
      <c r="BD288" s="15"/>
      <c r="BE288" s="15"/>
      <c r="BF288" s="15"/>
      <c r="BG288" s="15"/>
      <c r="BH288" s="15"/>
      <c r="BI288" s="15"/>
      <c r="BJ288" s="15"/>
      <c r="BK288" s="15"/>
      <c r="BL288" s="15"/>
      <c r="BM288" s="15"/>
      <c r="BN288" s="15"/>
      <c r="BO288" s="15"/>
      <c r="BP288" s="15"/>
      <c r="BQ288" s="15"/>
      <c r="BR288" s="15"/>
      <c r="BS288" s="15"/>
      <c r="BT288" s="15"/>
      <c r="BU288" s="15"/>
      <c r="BV288" s="15"/>
      <c r="BW288" s="15"/>
      <c r="BX288" s="15"/>
      <c r="BY288" s="15"/>
      <c r="BZ288" s="15"/>
      <c r="CA288" s="15"/>
      <c r="CB288" s="15"/>
      <c r="CC288" s="15"/>
      <c r="CD288" s="15"/>
      <c r="CE288" s="15"/>
      <c r="CF288" s="15"/>
      <c r="CG288" s="15"/>
      <c r="CH288" s="15"/>
      <c r="CI288" s="15"/>
      <c r="CJ288" s="15"/>
      <c r="CK288" s="15"/>
      <c r="CL288" s="15"/>
      <c r="CM288" s="15"/>
      <c r="CN288" s="15"/>
      <c r="CO288" s="15"/>
      <c r="CP288" s="15"/>
      <c r="CQ288" s="15"/>
      <c r="CR288" s="15"/>
      <c r="CS288" s="15"/>
      <c r="CT288" s="15"/>
      <c r="CU288" s="15"/>
      <c r="CV288" s="15"/>
      <c r="CW288" s="15"/>
      <c r="CX288" s="15"/>
      <c r="CY288" s="15"/>
      <c r="CZ288" s="15"/>
      <c r="DA288" s="15"/>
      <c r="DB288" s="15"/>
      <c r="DC288" s="15"/>
      <c r="DD288" s="15"/>
      <c r="DE288" s="15"/>
      <c r="DF288" s="15"/>
      <c r="DG288" s="15"/>
      <c r="DH288" s="15"/>
      <c r="DI288" s="15"/>
      <c r="DJ288" s="15"/>
      <c r="DK288" s="15"/>
    </row>
    <row r="289" spans="1:115" ht="30" customHeight="1" x14ac:dyDescent="0.25">
      <c r="A289" s="15" t="s">
        <v>324</v>
      </c>
      <c r="B289" s="15">
        <v>67.660003662109375</v>
      </c>
      <c r="C289" s="18">
        <v>67.73</v>
      </c>
      <c r="D289" s="18">
        <v>67.73</v>
      </c>
      <c r="E289" s="18">
        <v>67.73</v>
      </c>
      <c r="F289" s="18">
        <v>67.66</v>
      </c>
      <c r="G289" s="18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  <c r="AG289" s="15"/>
      <c r="AH289" s="15"/>
      <c r="AI289" s="15"/>
      <c r="AJ289" s="15"/>
      <c r="AK289" s="15"/>
      <c r="AL289" s="15"/>
      <c r="AM289" s="15"/>
      <c r="AN289" s="15"/>
      <c r="AO289" s="15"/>
      <c r="AP289" s="15"/>
      <c r="AQ289" s="15"/>
      <c r="AR289" s="15"/>
      <c r="AS289" s="15"/>
      <c r="AT289" s="15"/>
      <c r="AU289" s="15"/>
      <c r="AV289" s="15"/>
      <c r="AW289" s="15"/>
      <c r="AX289" s="15"/>
      <c r="AY289" s="15"/>
      <c r="AZ289" s="15"/>
      <c r="BA289" s="15"/>
      <c r="BB289" s="15"/>
      <c r="BC289" s="15"/>
      <c r="BD289" s="15"/>
      <c r="BE289" s="15"/>
      <c r="BF289" s="15"/>
      <c r="BG289" s="15"/>
      <c r="BH289" s="15"/>
      <c r="BI289" s="15"/>
      <c r="BJ289" s="15"/>
      <c r="BK289" s="15"/>
      <c r="BL289" s="15"/>
      <c r="BM289" s="15"/>
      <c r="BN289" s="15"/>
      <c r="BO289" s="15"/>
      <c r="BP289" s="15"/>
      <c r="BQ289" s="15"/>
      <c r="BR289" s="15"/>
      <c r="BS289" s="15"/>
      <c r="BT289" s="15"/>
      <c r="BU289" s="15"/>
      <c r="BV289" s="15"/>
      <c r="BW289" s="15"/>
      <c r="BX289" s="15"/>
      <c r="BY289" s="15"/>
      <c r="BZ289" s="15"/>
      <c r="CA289" s="15"/>
      <c r="CB289" s="15"/>
      <c r="CC289" s="15"/>
      <c r="CD289" s="15"/>
      <c r="CE289" s="15"/>
      <c r="CF289" s="15"/>
      <c r="CG289" s="15"/>
      <c r="CH289" s="15"/>
      <c r="CI289" s="15"/>
      <c r="CJ289" s="15"/>
      <c r="CK289" s="15"/>
      <c r="CL289" s="15"/>
      <c r="CM289" s="15"/>
      <c r="CN289" s="15"/>
      <c r="CO289" s="15"/>
      <c r="CP289" s="15"/>
      <c r="CQ289" s="15"/>
      <c r="CR289" s="15"/>
      <c r="CS289" s="15"/>
      <c r="CT289" s="15"/>
      <c r="CU289" s="15"/>
      <c r="CV289" s="15"/>
      <c r="CW289" s="15"/>
      <c r="CX289" s="15"/>
      <c r="CY289" s="15"/>
      <c r="CZ289" s="15"/>
      <c r="DA289" s="15"/>
      <c r="DB289" s="15"/>
      <c r="DC289" s="15"/>
      <c r="DD289" s="15"/>
      <c r="DE289" s="15"/>
      <c r="DF289" s="15"/>
      <c r="DG289" s="15"/>
      <c r="DH289" s="15"/>
      <c r="DI289" s="15"/>
      <c r="DJ289" s="15"/>
      <c r="DK289" s="15"/>
    </row>
    <row r="290" spans="1:115" ht="30" customHeight="1" x14ac:dyDescent="0.25">
      <c r="A290" s="15" t="s">
        <v>325</v>
      </c>
      <c r="B290" s="15">
        <v>117.41999816894531</v>
      </c>
      <c r="C290" s="18">
        <v>117.58</v>
      </c>
      <c r="D290" s="18">
        <v>117.58</v>
      </c>
      <c r="E290" s="18">
        <v>117.58</v>
      </c>
      <c r="F290" s="18">
        <v>117.42</v>
      </c>
      <c r="G290" s="18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  <c r="AG290" s="15"/>
      <c r="AH290" s="15"/>
      <c r="AI290" s="15"/>
      <c r="AJ290" s="15"/>
      <c r="AK290" s="15"/>
      <c r="AL290" s="15"/>
      <c r="AM290" s="15"/>
      <c r="AN290" s="15"/>
      <c r="AO290" s="15"/>
      <c r="AP290" s="15"/>
      <c r="AQ290" s="15"/>
      <c r="AR290" s="15"/>
      <c r="AS290" s="15"/>
      <c r="AT290" s="15"/>
      <c r="AU290" s="15"/>
      <c r="AV290" s="15"/>
      <c r="AW290" s="15"/>
      <c r="AX290" s="15"/>
      <c r="AY290" s="15"/>
      <c r="AZ290" s="15"/>
      <c r="BA290" s="15"/>
      <c r="BB290" s="15"/>
      <c r="BC290" s="15"/>
      <c r="BD290" s="15"/>
      <c r="BE290" s="15"/>
      <c r="BF290" s="15"/>
      <c r="BG290" s="15"/>
      <c r="BH290" s="15"/>
      <c r="BI290" s="15"/>
      <c r="BJ290" s="15"/>
      <c r="BK290" s="15"/>
      <c r="BL290" s="15"/>
      <c r="BM290" s="15"/>
      <c r="BN290" s="15"/>
      <c r="BO290" s="15"/>
      <c r="BP290" s="15"/>
      <c r="BQ290" s="15"/>
      <c r="BR290" s="15"/>
      <c r="BS290" s="15"/>
      <c r="BT290" s="15"/>
      <c r="BU290" s="15"/>
      <c r="BV290" s="15"/>
      <c r="BW290" s="15"/>
      <c r="BX290" s="15"/>
      <c r="BY290" s="15"/>
      <c r="BZ290" s="15"/>
      <c r="CA290" s="15"/>
      <c r="CB290" s="15"/>
      <c r="CC290" s="15"/>
      <c r="CD290" s="15"/>
      <c r="CE290" s="15"/>
      <c r="CF290" s="15"/>
      <c r="CG290" s="15"/>
      <c r="CH290" s="15"/>
      <c r="CI290" s="15"/>
      <c r="CJ290" s="15"/>
      <c r="CK290" s="15"/>
      <c r="CL290" s="15"/>
      <c r="CM290" s="15"/>
      <c r="CN290" s="15"/>
      <c r="CO290" s="15"/>
      <c r="CP290" s="15"/>
      <c r="CQ290" s="15"/>
      <c r="CR290" s="15"/>
      <c r="CS290" s="15"/>
      <c r="CT290" s="15"/>
      <c r="CU290" s="15"/>
      <c r="CV290" s="15"/>
      <c r="CW290" s="15"/>
      <c r="CX290" s="15"/>
      <c r="CY290" s="15"/>
      <c r="CZ290" s="15"/>
      <c r="DA290" s="15"/>
      <c r="DB290" s="15"/>
      <c r="DC290" s="15"/>
      <c r="DD290" s="15"/>
      <c r="DE290" s="15"/>
      <c r="DF290" s="15"/>
      <c r="DG290" s="15"/>
      <c r="DH290" s="15"/>
      <c r="DI290" s="15"/>
      <c r="DJ290" s="15"/>
      <c r="DK290" s="15"/>
    </row>
    <row r="291" spans="1:115" ht="30" customHeight="1" x14ac:dyDescent="0.25">
      <c r="A291" s="15" t="s">
        <v>326</v>
      </c>
      <c r="B291" s="15">
        <v>8.6400003433227539</v>
      </c>
      <c r="C291" s="18">
        <v>8.5299999999999994</v>
      </c>
      <c r="D291" s="18">
        <v>8.5299999999999994</v>
      </c>
      <c r="E291" s="18">
        <v>8.5299999999999994</v>
      </c>
      <c r="F291" s="18">
        <v>8.64</v>
      </c>
      <c r="G291" s="18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  <c r="AG291" s="15"/>
      <c r="AH291" s="15"/>
      <c r="AI291" s="15"/>
      <c r="AJ291" s="15"/>
      <c r="AK291" s="15"/>
      <c r="AL291" s="15"/>
      <c r="AM291" s="15"/>
      <c r="AN291" s="15"/>
      <c r="AO291" s="15"/>
      <c r="AP291" s="15"/>
      <c r="AQ291" s="15"/>
      <c r="AR291" s="15"/>
      <c r="AS291" s="15"/>
      <c r="AT291" s="15"/>
      <c r="AU291" s="15"/>
      <c r="AV291" s="15"/>
      <c r="AW291" s="15"/>
      <c r="AX291" s="15"/>
      <c r="AY291" s="15"/>
      <c r="AZ291" s="15"/>
      <c r="BA291" s="15"/>
      <c r="BB291" s="15"/>
      <c r="BC291" s="15"/>
      <c r="BD291" s="15"/>
      <c r="BE291" s="15"/>
      <c r="BF291" s="15"/>
      <c r="BG291" s="15"/>
      <c r="BH291" s="15"/>
      <c r="BI291" s="15"/>
      <c r="BJ291" s="15"/>
      <c r="BK291" s="15"/>
      <c r="BL291" s="15"/>
      <c r="BM291" s="15"/>
      <c r="BN291" s="15"/>
      <c r="BO291" s="15"/>
      <c r="BP291" s="15"/>
      <c r="BQ291" s="15"/>
      <c r="BR291" s="15"/>
      <c r="BS291" s="15"/>
      <c r="BT291" s="15"/>
      <c r="BU291" s="15"/>
      <c r="BV291" s="15"/>
      <c r="BW291" s="15"/>
      <c r="BX291" s="15"/>
      <c r="BY291" s="15"/>
      <c r="BZ291" s="15"/>
      <c r="CA291" s="15"/>
      <c r="CB291" s="15"/>
      <c r="CC291" s="15"/>
      <c r="CD291" s="15"/>
      <c r="CE291" s="15"/>
      <c r="CF291" s="15"/>
      <c r="CG291" s="15"/>
      <c r="CH291" s="15"/>
      <c r="CI291" s="15"/>
      <c r="CJ291" s="15"/>
      <c r="CK291" s="15"/>
      <c r="CL291" s="15"/>
      <c r="CM291" s="15"/>
      <c r="CN291" s="15"/>
      <c r="CO291" s="15"/>
      <c r="CP291" s="15"/>
      <c r="CQ291" s="15"/>
      <c r="CR291" s="15"/>
      <c r="CS291" s="15"/>
      <c r="CT291" s="15"/>
      <c r="CU291" s="15"/>
      <c r="CV291" s="15"/>
      <c r="CW291" s="15"/>
      <c r="CX291" s="15"/>
      <c r="CY291" s="15"/>
      <c r="CZ291" s="15"/>
      <c r="DA291" s="15"/>
      <c r="DB291" s="15"/>
      <c r="DC291" s="15"/>
      <c r="DD291" s="15"/>
      <c r="DE291" s="15"/>
      <c r="DF291" s="15"/>
      <c r="DG291" s="15"/>
      <c r="DH291" s="15"/>
      <c r="DI291" s="15"/>
      <c r="DJ291" s="15"/>
      <c r="DK291" s="15"/>
    </row>
    <row r="292" spans="1:115" ht="30" customHeight="1" x14ac:dyDescent="0.25">
      <c r="A292" s="15" t="s">
        <v>327</v>
      </c>
      <c r="B292" s="15">
        <v>32.950000762939453</v>
      </c>
      <c r="C292" s="18">
        <v>32.82</v>
      </c>
      <c r="D292" s="18">
        <v>32.82</v>
      </c>
      <c r="E292" s="18">
        <v>32.82</v>
      </c>
      <c r="F292" s="18">
        <v>32.950000000000003</v>
      </c>
      <c r="G292" s="18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  <c r="AG292" s="15"/>
      <c r="AH292" s="15"/>
      <c r="AI292" s="15"/>
      <c r="AJ292" s="15"/>
      <c r="AK292" s="15"/>
      <c r="AL292" s="15"/>
      <c r="AM292" s="15"/>
      <c r="AN292" s="15"/>
      <c r="AO292" s="15"/>
      <c r="AP292" s="15"/>
      <c r="AQ292" s="15"/>
      <c r="AR292" s="15"/>
      <c r="AS292" s="15"/>
      <c r="AT292" s="15"/>
      <c r="AU292" s="15"/>
      <c r="AV292" s="15"/>
      <c r="AW292" s="15"/>
      <c r="AX292" s="15"/>
      <c r="AY292" s="15"/>
      <c r="AZ292" s="15"/>
      <c r="BA292" s="15"/>
      <c r="BB292" s="15"/>
      <c r="BC292" s="15"/>
      <c r="BD292" s="15"/>
      <c r="BE292" s="15"/>
      <c r="BF292" s="15"/>
      <c r="BG292" s="15"/>
      <c r="BH292" s="15"/>
      <c r="BI292" s="15"/>
      <c r="BJ292" s="15"/>
      <c r="BK292" s="15"/>
      <c r="BL292" s="15"/>
      <c r="BM292" s="15"/>
      <c r="BN292" s="15"/>
      <c r="BO292" s="15"/>
      <c r="BP292" s="15"/>
      <c r="BQ292" s="15"/>
      <c r="BR292" s="15"/>
      <c r="BS292" s="15"/>
      <c r="BT292" s="15"/>
      <c r="BU292" s="15"/>
      <c r="BV292" s="15"/>
      <c r="BW292" s="15"/>
      <c r="BX292" s="15"/>
      <c r="BY292" s="15"/>
      <c r="BZ292" s="15"/>
      <c r="CA292" s="15"/>
      <c r="CB292" s="15"/>
      <c r="CC292" s="15"/>
      <c r="CD292" s="15"/>
      <c r="CE292" s="15"/>
      <c r="CF292" s="15"/>
      <c r="CG292" s="15"/>
      <c r="CH292" s="15"/>
      <c r="CI292" s="15"/>
      <c r="CJ292" s="15"/>
      <c r="CK292" s="15"/>
      <c r="CL292" s="15"/>
      <c r="CM292" s="15"/>
      <c r="CN292" s="15"/>
      <c r="CO292" s="15"/>
      <c r="CP292" s="15"/>
      <c r="CQ292" s="15"/>
      <c r="CR292" s="15"/>
      <c r="CS292" s="15"/>
      <c r="CT292" s="15"/>
      <c r="CU292" s="15"/>
      <c r="CV292" s="15"/>
      <c r="CW292" s="15"/>
      <c r="CX292" s="15"/>
      <c r="CY292" s="15"/>
      <c r="CZ292" s="15"/>
      <c r="DA292" s="15"/>
      <c r="DB292" s="15"/>
      <c r="DC292" s="15"/>
      <c r="DD292" s="15"/>
      <c r="DE292" s="15"/>
      <c r="DF292" s="15"/>
      <c r="DG292" s="15"/>
      <c r="DH292" s="15"/>
      <c r="DI292" s="15"/>
      <c r="DJ292" s="15"/>
      <c r="DK292" s="15"/>
    </row>
    <row r="293" spans="1:115" ht="30" customHeight="1" x14ac:dyDescent="0.25">
      <c r="A293" s="15" t="s">
        <v>368</v>
      </c>
      <c r="B293" s="15">
        <v>19.719999313354492</v>
      </c>
      <c r="C293" s="18">
        <v>18.8</v>
      </c>
      <c r="D293" s="18">
        <v>18.8</v>
      </c>
      <c r="E293" s="18">
        <v>18.8</v>
      </c>
      <c r="F293" s="18">
        <v>19.72</v>
      </c>
      <c r="G293" s="18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  <c r="AG293" s="15"/>
      <c r="AH293" s="15"/>
      <c r="AI293" s="15"/>
      <c r="AJ293" s="15"/>
      <c r="AK293" s="15"/>
      <c r="AL293" s="15"/>
      <c r="AM293" s="15"/>
      <c r="AN293" s="15"/>
      <c r="AO293" s="15"/>
      <c r="AP293" s="15"/>
      <c r="AQ293" s="15"/>
      <c r="AR293" s="15"/>
      <c r="AS293" s="15"/>
      <c r="AT293" s="15"/>
      <c r="AU293" s="15"/>
      <c r="AV293" s="15"/>
      <c r="AW293" s="15"/>
      <c r="AX293" s="15"/>
      <c r="AY293" s="15"/>
      <c r="AZ293" s="15"/>
      <c r="BA293" s="15"/>
      <c r="BB293" s="15"/>
      <c r="BC293" s="15"/>
      <c r="BD293" s="15"/>
      <c r="BE293" s="15"/>
      <c r="BF293" s="15"/>
      <c r="BG293" s="15"/>
      <c r="BH293" s="15"/>
      <c r="BI293" s="15"/>
      <c r="BJ293" s="15"/>
      <c r="BK293" s="15"/>
      <c r="BL293" s="15"/>
      <c r="BM293" s="15"/>
      <c r="BN293" s="15"/>
      <c r="BO293" s="15"/>
      <c r="BP293" s="15"/>
      <c r="BQ293" s="15"/>
      <c r="BR293" s="15"/>
      <c r="BS293" s="15"/>
      <c r="BT293" s="15"/>
      <c r="BU293" s="15"/>
      <c r="BV293" s="15"/>
      <c r="BW293" s="15"/>
      <c r="BX293" s="15"/>
      <c r="BY293" s="15"/>
      <c r="BZ293" s="15"/>
      <c r="CA293" s="15"/>
      <c r="CB293" s="15"/>
      <c r="CC293" s="15"/>
      <c r="CD293" s="15"/>
      <c r="CE293" s="15"/>
      <c r="CF293" s="15"/>
      <c r="CG293" s="15"/>
      <c r="CH293" s="15"/>
      <c r="CI293" s="15"/>
      <c r="CJ293" s="15"/>
      <c r="CK293" s="15"/>
      <c r="CL293" s="15"/>
      <c r="CM293" s="15"/>
      <c r="CN293" s="15"/>
      <c r="CO293" s="15"/>
      <c r="CP293" s="15"/>
      <c r="CQ293" s="15"/>
      <c r="CR293" s="15"/>
      <c r="CS293" s="15"/>
      <c r="CT293" s="15"/>
      <c r="CU293" s="15"/>
      <c r="CV293" s="15"/>
      <c r="CW293" s="15"/>
      <c r="CX293" s="15"/>
      <c r="CY293" s="15"/>
      <c r="CZ293" s="15"/>
      <c r="DA293" s="15"/>
      <c r="DB293" s="15"/>
      <c r="DC293" s="15"/>
      <c r="DD293" s="15"/>
      <c r="DE293" s="15"/>
      <c r="DF293" s="15"/>
      <c r="DG293" s="15"/>
      <c r="DH293" s="15"/>
      <c r="DI293" s="15"/>
      <c r="DJ293" s="15"/>
      <c r="DK293" s="15"/>
    </row>
    <row r="294" spans="1:115" ht="30" customHeight="1" x14ac:dyDescent="0.25">
      <c r="A294" s="15" t="s">
        <v>328</v>
      </c>
      <c r="B294" s="15">
        <v>14.840000152587891</v>
      </c>
      <c r="C294" s="18">
        <v>15.03</v>
      </c>
      <c r="D294" s="18">
        <v>15.03</v>
      </c>
      <c r="E294" s="18">
        <v>15.03</v>
      </c>
      <c r="F294" s="18">
        <v>14.84</v>
      </c>
      <c r="G294" s="18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  <c r="AG294" s="15"/>
      <c r="AH294" s="15"/>
      <c r="AI294" s="15"/>
      <c r="AJ294" s="15"/>
      <c r="AK294" s="15"/>
      <c r="AL294" s="15"/>
      <c r="AM294" s="15"/>
      <c r="AN294" s="15"/>
      <c r="AO294" s="15"/>
      <c r="AP294" s="15"/>
      <c r="AQ294" s="15"/>
      <c r="AR294" s="15"/>
      <c r="AS294" s="15"/>
      <c r="AT294" s="15"/>
      <c r="AU294" s="15"/>
      <c r="AV294" s="15"/>
      <c r="AW294" s="15"/>
      <c r="AX294" s="15"/>
      <c r="AY294" s="15"/>
      <c r="AZ294" s="15"/>
      <c r="BA294" s="15"/>
      <c r="BB294" s="15"/>
      <c r="BC294" s="15"/>
      <c r="BD294" s="15"/>
      <c r="BE294" s="15"/>
      <c r="BF294" s="15"/>
      <c r="BG294" s="15"/>
      <c r="BH294" s="15"/>
      <c r="BI294" s="15"/>
      <c r="BJ294" s="15"/>
      <c r="BK294" s="15"/>
      <c r="BL294" s="15"/>
      <c r="BM294" s="15"/>
      <c r="BN294" s="15"/>
      <c r="BO294" s="15"/>
      <c r="BP294" s="15"/>
      <c r="BQ294" s="15"/>
      <c r="BR294" s="15"/>
      <c r="BS294" s="15"/>
      <c r="BT294" s="15"/>
      <c r="BU294" s="15"/>
      <c r="BV294" s="15"/>
      <c r="BW294" s="15"/>
      <c r="BX294" s="15"/>
      <c r="BY294" s="15"/>
      <c r="BZ294" s="15"/>
      <c r="CA294" s="15"/>
      <c r="CB294" s="15"/>
      <c r="CC294" s="15"/>
      <c r="CD294" s="15"/>
      <c r="CE294" s="15"/>
      <c r="CF294" s="15"/>
      <c r="CG294" s="15"/>
      <c r="CH294" s="15"/>
      <c r="CI294" s="15"/>
      <c r="CJ294" s="15"/>
      <c r="CK294" s="15"/>
      <c r="CL294" s="15"/>
      <c r="CM294" s="15"/>
      <c r="CN294" s="15"/>
      <c r="CO294" s="15"/>
      <c r="CP294" s="15"/>
      <c r="CQ294" s="15"/>
      <c r="CR294" s="15"/>
      <c r="CS294" s="15"/>
      <c r="CT294" s="15"/>
      <c r="CU294" s="15"/>
      <c r="CV294" s="15"/>
      <c r="CW294" s="15"/>
      <c r="CX294" s="15"/>
      <c r="CY294" s="15"/>
      <c r="CZ294" s="15"/>
      <c r="DA294" s="15"/>
      <c r="DB294" s="15"/>
      <c r="DC294" s="15"/>
      <c r="DD294" s="15"/>
      <c r="DE294" s="15"/>
      <c r="DF294" s="15"/>
      <c r="DG294" s="15"/>
      <c r="DH294" s="15"/>
      <c r="DI294" s="15"/>
      <c r="DJ294" s="15"/>
      <c r="DK294" s="15"/>
    </row>
    <row r="295" spans="1:115" ht="30" customHeight="1" x14ac:dyDescent="0.25">
      <c r="A295" s="15" t="s">
        <v>79</v>
      </c>
      <c r="B295" s="15">
        <v>94.279998779296875</v>
      </c>
      <c r="C295" s="18">
        <v>95.5</v>
      </c>
      <c r="D295" s="18">
        <v>95.5</v>
      </c>
      <c r="E295" s="18">
        <v>95.5</v>
      </c>
      <c r="F295" s="18">
        <v>94.28</v>
      </c>
      <c r="G295" s="18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  <c r="AG295" s="15"/>
      <c r="AH295" s="15"/>
      <c r="AI295" s="15"/>
      <c r="AJ295" s="15"/>
      <c r="AK295" s="15"/>
      <c r="AL295" s="15"/>
      <c r="AM295" s="15"/>
      <c r="AN295" s="15"/>
      <c r="AO295" s="15"/>
      <c r="AP295" s="15"/>
      <c r="AQ295" s="15"/>
      <c r="AR295" s="15"/>
      <c r="AS295" s="15"/>
      <c r="AT295" s="15"/>
      <c r="AU295" s="15"/>
      <c r="AV295" s="15"/>
      <c r="AW295" s="15"/>
      <c r="AX295" s="15"/>
      <c r="AY295" s="15"/>
      <c r="AZ295" s="15"/>
      <c r="BA295" s="15"/>
      <c r="BB295" s="15"/>
      <c r="BC295" s="15"/>
      <c r="BD295" s="15"/>
      <c r="BE295" s="15"/>
      <c r="BF295" s="15"/>
      <c r="BG295" s="15"/>
      <c r="BH295" s="15"/>
      <c r="BI295" s="15"/>
      <c r="BJ295" s="15"/>
      <c r="BK295" s="15"/>
      <c r="BL295" s="15"/>
      <c r="BM295" s="15"/>
      <c r="BN295" s="15"/>
      <c r="BO295" s="15"/>
      <c r="BP295" s="15"/>
      <c r="BQ295" s="15"/>
      <c r="BR295" s="15"/>
      <c r="BS295" s="15"/>
      <c r="BT295" s="15"/>
      <c r="BU295" s="15"/>
      <c r="BV295" s="15"/>
      <c r="BW295" s="15"/>
      <c r="BX295" s="15"/>
      <c r="BY295" s="15"/>
      <c r="BZ295" s="15"/>
      <c r="CA295" s="15"/>
      <c r="CB295" s="15"/>
      <c r="CC295" s="15"/>
      <c r="CD295" s="15"/>
      <c r="CE295" s="15"/>
      <c r="CF295" s="15"/>
      <c r="CG295" s="15"/>
      <c r="CH295" s="15"/>
      <c r="CI295" s="15"/>
      <c r="CJ295" s="15"/>
      <c r="CK295" s="15"/>
      <c r="CL295" s="15"/>
      <c r="CM295" s="15"/>
      <c r="CN295" s="15"/>
      <c r="CO295" s="15"/>
      <c r="CP295" s="15"/>
      <c r="CQ295" s="15"/>
      <c r="CR295" s="15"/>
      <c r="CS295" s="15"/>
      <c r="CT295" s="15"/>
      <c r="CU295" s="15"/>
      <c r="CV295" s="15"/>
      <c r="CW295" s="15"/>
      <c r="CX295" s="15"/>
      <c r="CY295" s="15"/>
      <c r="CZ295" s="15"/>
      <c r="DA295" s="15"/>
      <c r="DB295" s="15"/>
      <c r="DC295" s="15"/>
      <c r="DD295" s="15"/>
      <c r="DE295" s="15"/>
      <c r="DF295" s="15"/>
      <c r="DG295" s="15"/>
      <c r="DH295" s="15"/>
      <c r="DI295" s="15"/>
      <c r="DJ295" s="15"/>
      <c r="DK295" s="15"/>
    </row>
    <row r="296" spans="1:115" ht="30" customHeight="1" x14ac:dyDescent="0.25">
      <c r="A296" s="15" t="s">
        <v>329</v>
      </c>
      <c r="B296" s="15">
        <v>86.330001831054688</v>
      </c>
      <c r="C296" s="18">
        <v>86.05</v>
      </c>
      <c r="D296" s="18">
        <v>86.05</v>
      </c>
      <c r="E296" s="18">
        <v>86.05</v>
      </c>
      <c r="F296" s="18">
        <v>86.33</v>
      </c>
      <c r="G296" s="18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  <c r="AG296" s="15"/>
      <c r="AH296" s="15"/>
      <c r="AI296" s="15"/>
      <c r="AJ296" s="15"/>
      <c r="AK296" s="15"/>
      <c r="AL296" s="15"/>
      <c r="AM296" s="15"/>
      <c r="AN296" s="15"/>
      <c r="AO296" s="15"/>
      <c r="AP296" s="15"/>
      <c r="AQ296" s="15"/>
      <c r="AR296" s="15"/>
      <c r="AS296" s="15"/>
      <c r="AT296" s="15"/>
      <c r="AU296" s="15"/>
      <c r="AV296" s="15"/>
      <c r="AW296" s="15"/>
      <c r="AX296" s="15"/>
      <c r="AY296" s="15"/>
      <c r="AZ296" s="15"/>
      <c r="BA296" s="15"/>
      <c r="BB296" s="15"/>
      <c r="BC296" s="15"/>
      <c r="BD296" s="15"/>
      <c r="BE296" s="15"/>
      <c r="BF296" s="15"/>
      <c r="BG296" s="15"/>
      <c r="BH296" s="15"/>
      <c r="BI296" s="15"/>
      <c r="BJ296" s="15"/>
      <c r="BK296" s="15"/>
      <c r="BL296" s="15"/>
      <c r="BM296" s="15"/>
      <c r="BN296" s="15"/>
      <c r="BO296" s="15"/>
      <c r="BP296" s="15"/>
      <c r="BQ296" s="15"/>
      <c r="BR296" s="15"/>
      <c r="BS296" s="15"/>
      <c r="BT296" s="15"/>
      <c r="BU296" s="15"/>
      <c r="BV296" s="15"/>
      <c r="BW296" s="15"/>
      <c r="BX296" s="15"/>
      <c r="BY296" s="15"/>
      <c r="BZ296" s="15"/>
      <c r="CA296" s="15"/>
      <c r="CB296" s="15"/>
      <c r="CC296" s="15"/>
      <c r="CD296" s="15"/>
      <c r="CE296" s="15"/>
      <c r="CF296" s="15"/>
      <c r="CG296" s="15"/>
      <c r="CH296" s="15"/>
      <c r="CI296" s="15"/>
      <c r="CJ296" s="15"/>
      <c r="CK296" s="15"/>
      <c r="CL296" s="15"/>
      <c r="CM296" s="15"/>
      <c r="CN296" s="15"/>
      <c r="CO296" s="15"/>
      <c r="CP296" s="15"/>
      <c r="CQ296" s="15"/>
      <c r="CR296" s="15"/>
      <c r="CS296" s="15"/>
      <c r="CT296" s="15"/>
      <c r="CU296" s="15"/>
      <c r="CV296" s="15"/>
      <c r="CW296" s="15"/>
      <c r="CX296" s="15"/>
      <c r="CY296" s="15"/>
      <c r="CZ296" s="15"/>
      <c r="DA296" s="15"/>
      <c r="DB296" s="15"/>
      <c r="DC296" s="15"/>
      <c r="DD296" s="15"/>
      <c r="DE296" s="15"/>
      <c r="DF296" s="15"/>
      <c r="DG296" s="15"/>
      <c r="DH296" s="15"/>
      <c r="DI296" s="15"/>
      <c r="DJ296" s="15"/>
      <c r="DK296" s="15"/>
    </row>
    <row r="297" spans="1:115" ht="30" customHeight="1" x14ac:dyDescent="0.25">
      <c r="A297" s="15" t="s">
        <v>330</v>
      </c>
      <c r="B297" s="15">
        <v>73.220001220703125</v>
      </c>
      <c r="C297" s="18">
        <v>73.17</v>
      </c>
      <c r="D297" s="18">
        <v>73.17</v>
      </c>
      <c r="E297" s="18">
        <v>73.17</v>
      </c>
      <c r="F297" s="18">
        <v>73.22</v>
      </c>
      <c r="G297" s="18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  <c r="AG297" s="15"/>
      <c r="AH297" s="15"/>
      <c r="AI297" s="15"/>
      <c r="AJ297" s="15"/>
      <c r="AK297" s="15"/>
      <c r="AL297" s="15"/>
      <c r="AM297" s="15"/>
      <c r="AN297" s="15"/>
      <c r="AO297" s="15"/>
      <c r="AP297" s="15"/>
      <c r="AQ297" s="15"/>
      <c r="AR297" s="15"/>
      <c r="AS297" s="15"/>
      <c r="AT297" s="15"/>
      <c r="AU297" s="15"/>
      <c r="AV297" s="15"/>
      <c r="AW297" s="15"/>
      <c r="AX297" s="15"/>
      <c r="AY297" s="15"/>
      <c r="AZ297" s="15"/>
      <c r="BA297" s="15"/>
      <c r="BB297" s="15"/>
      <c r="BC297" s="15"/>
      <c r="BD297" s="15"/>
      <c r="BE297" s="15"/>
      <c r="BF297" s="15"/>
      <c r="BG297" s="15"/>
      <c r="BH297" s="15"/>
      <c r="BI297" s="15"/>
      <c r="BJ297" s="15"/>
      <c r="BK297" s="15"/>
      <c r="BL297" s="15"/>
      <c r="BM297" s="15"/>
      <c r="BN297" s="15"/>
      <c r="BO297" s="15"/>
      <c r="BP297" s="15"/>
      <c r="BQ297" s="15"/>
      <c r="BR297" s="15"/>
      <c r="BS297" s="15"/>
      <c r="BT297" s="15"/>
      <c r="BU297" s="15"/>
      <c r="BV297" s="15"/>
      <c r="BW297" s="15"/>
      <c r="BX297" s="15"/>
      <c r="BY297" s="15"/>
      <c r="BZ297" s="15"/>
      <c r="CA297" s="15"/>
      <c r="CB297" s="15"/>
      <c r="CC297" s="15"/>
      <c r="CD297" s="15"/>
      <c r="CE297" s="15"/>
      <c r="CF297" s="15"/>
      <c r="CG297" s="15"/>
      <c r="CH297" s="15"/>
      <c r="CI297" s="15"/>
      <c r="CJ297" s="15"/>
      <c r="CK297" s="15"/>
      <c r="CL297" s="15"/>
      <c r="CM297" s="15"/>
      <c r="CN297" s="15"/>
      <c r="CO297" s="15"/>
      <c r="CP297" s="15"/>
      <c r="CQ297" s="15"/>
      <c r="CR297" s="15"/>
      <c r="CS297" s="15"/>
      <c r="CT297" s="15"/>
      <c r="CU297" s="15"/>
      <c r="CV297" s="15"/>
      <c r="CW297" s="15"/>
      <c r="CX297" s="15"/>
      <c r="CY297" s="15"/>
      <c r="CZ297" s="15"/>
      <c r="DA297" s="15"/>
      <c r="DB297" s="15"/>
      <c r="DC297" s="15"/>
      <c r="DD297" s="15"/>
      <c r="DE297" s="15"/>
      <c r="DF297" s="15"/>
      <c r="DG297" s="15"/>
      <c r="DH297" s="15"/>
      <c r="DI297" s="15"/>
      <c r="DJ297" s="15"/>
      <c r="DK297" s="15"/>
    </row>
    <row r="298" spans="1:115" ht="30" customHeight="1" x14ac:dyDescent="0.25">
      <c r="A298" s="15" t="s">
        <v>331</v>
      </c>
      <c r="B298" s="15">
        <v>62.139999389648438</v>
      </c>
      <c r="C298" s="18">
        <v>63.28</v>
      </c>
      <c r="D298" s="18">
        <v>63.28</v>
      </c>
      <c r="E298" s="18">
        <v>63.28</v>
      </c>
      <c r="F298" s="18">
        <v>62.14</v>
      </c>
      <c r="G298" s="18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  <c r="AG298" s="15"/>
      <c r="AH298" s="15"/>
      <c r="AI298" s="15"/>
      <c r="AJ298" s="15"/>
      <c r="AK298" s="15"/>
      <c r="AL298" s="15"/>
      <c r="AM298" s="15"/>
      <c r="AN298" s="15"/>
      <c r="AO298" s="15"/>
      <c r="AP298" s="15"/>
      <c r="AQ298" s="15"/>
      <c r="AR298" s="15"/>
      <c r="AS298" s="15"/>
      <c r="AT298" s="15"/>
      <c r="AU298" s="15"/>
      <c r="AV298" s="15"/>
      <c r="AW298" s="15"/>
      <c r="AX298" s="15"/>
      <c r="AY298" s="15"/>
      <c r="AZ298" s="15"/>
      <c r="BA298" s="15"/>
      <c r="BB298" s="15"/>
      <c r="BC298" s="15"/>
      <c r="BD298" s="15"/>
      <c r="BE298" s="15"/>
      <c r="BF298" s="15"/>
      <c r="BG298" s="15"/>
      <c r="BH298" s="15"/>
      <c r="BI298" s="15"/>
      <c r="BJ298" s="15"/>
      <c r="BK298" s="15"/>
      <c r="BL298" s="15"/>
      <c r="BM298" s="15"/>
      <c r="BN298" s="15"/>
      <c r="BO298" s="15"/>
      <c r="BP298" s="15"/>
      <c r="BQ298" s="15"/>
      <c r="BR298" s="15"/>
      <c r="BS298" s="15"/>
      <c r="BT298" s="15"/>
      <c r="BU298" s="15"/>
      <c r="BV298" s="15"/>
      <c r="BW298" s="15"/>
      <c r="BX298" s="15"/>
      <c r="BY298" s="15"/>
      <c r="BZ298" s="15"/>
      <c r="CA298" s="15"/>
      <c r="CB298" s="15"/>
      <c r="CC298" s="15"/>
      <c r="CD298" s="15"/>
      <c r="CE298" s="15"/>
      <c r="CF298" s="15"/>
      <c r="CG298" s="15"/>
      <c r="CH298" s="15"/>
      <c r="CI298" s="15"/>
      <c r="CJ298" s="15"/>
      <c r="CK298" s="15"/>
      <c r="CL298" s="15"/>
      <c r="CM298" s="15"/>
      <c r="CN298" s="15"/>
      <c r="CO298" s="15"/>
      <c r="CP298" s="15"/>
      <c r="CQ298" s="15"/>
      <c r="CR298" s="15"/>
      <c r="CS298" s="15"/>
      <c r="CT298" s="15"/>
      <c r="CU298" s="15"/>
      <c r="CV298" s="15"/>
      <c r="CW298" s="15"/>
      <c r="CX298" s="15"/>
      <c r="CY298" s="15"/>
      <c r="CZ298" s="15"/>
      <c r="DA298" s="15"/>
      <c r="DB298" s="15"/>
      <c r="DC298" s="15"/>
      <c r="DD298" s="15"/>
      <c r="DE298" s="15"/>
      <c r="DF298" s="15"/>
      <c r="DG298" s="15"/>
      <c r="DH298" s="15"/>
      <c r="DI298" s="15"/>
      <c r="DJ298" s="15"/>
      <c r="DK298" s="15"/>
    </row>
    <row r="299" spans="1:115" ht="30" customHeight="1" x14ac:dyDescent="0.25">
      <c r="A299" s="15" t="s">
        <v>332</v>
      </c>
      <c r="B299" s="15">
        <v>48.599998474121094</v>
      </c>
      <c r="C299" s="18">
        <v>48.57</v>
      </c>
      <c r="D299" s="18">
        <v>48.57</v>
      </c>
      <c r="E299" s="18">
        <v>48.57</v>
      </c>
      <c r="F299" s="18">
        <v>48.6</v>
      </c>
      <c r="G299" s="18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  <c r="AG299" s="15"/>
      <c r="AH299" s="15"/>
      <c r="AI299" s="15"/>
      <c r="AJ299" s="15"/>
      <c r="AK299" s="15"/>
      <c r="AL299" s="15"/>
      <c r="AM299" s="15"/>
      <c r="AN299" s="15"/>
      <c r="AO299" s="15"/>
      <c r="AP299" s="15"/>
      <c r="AQ299" s="15"/>
      <c r="AR299" s="15"/>
      <c r="AS299" s="15"/>
      <c r="AT299" s="15"/>
      <c r="AU299" s="15"/>
      <c r="AV299" s="15"/>
      <c r="AW299" s="15"/>
      <c r="AX299" s="15"/>
      <c r="AY299" s="15"/>
      <c r="AZ299" s="15"/>
      <c r="BA299" s="15"/>
      <c r="BB299" s="15"/>
      <c r="BC299" s="15"/>
      <c r="BD299" s="15"/>
      <c r="BE299" s="15"/>
      <c r="BF299" s="15"/>
      <c r="BG299" s="15"/>
      <c r="BH299" s="15"/>
      <c r="BI299" s="15"/>
      <c r="BJ299" s="15"/>
      <c r="BK299" s="15"/>
      <c r="BL299" s="15"/>
      <c r="BM299" s="15"/>
      <c r="BN299" s="15"/>
      <c r="BO299" s="15"/>
      <c r="BP299" s="15"/>
      <c r="BQ299" s="15"/>
      <c r="BR299" s="15"/>
      <c r="BS299" s="15"/>
      <c r="BT299" s="15"/>
      <c r="BU299" s="15"/>
      <c r="BV299" s="15"/>
      <c r="BW299" s="15"/>
      <c r="BX299" s="15"/>
      <c r="BY299" s="15"/>
      <c r="BZ299" s="15"/>
      <c r="CA299" s="15"/>
      <c r="CB299" s="15"/>
      <c r="CC299" s="15"/>
      <c r="CD299" s="15"/>
      <c r="CE299" s="15"/>
      <c r="CF299" s="15"/>
      <c r="CG299" s="15"/>
      <c r="CH299" s="15"/>
      <c r="CI299" s="15"/>
      <c r="CJ299" s="15"/>
      <c r="CK299" s="15"/>
      <c r="CL299" s="15"/>
      <c r="CM299" s="15"/>
      <c r="CN299" s="15"/>
      <c r="CO299" s="15"/>
      <c r="CP299" s="15"/>
      <c r="CQ299" s="15"/>
      <c r="CR299" s="15"/>
      <c r="CS299" s="15"/>
      <c r="CT299" s="15"/>
      <c r="CU299" s="15"/>
      <c r="CV299" s="15"/>
      <c r="CW299" s="15"/>
      <c r="CX299" s="15"/>
      <c r="CY299" s="15"/>
      <c r="CZ299" s="15"/>
      <c r="DA299" s="15"/>
      <c r="DB299" s="15"/>
      <c r="DC299" s="15"/>
      <c r="DD299" s="15"/>
      <c r="DE299" s="15"/>
      <c r="DF299" s="15"/>
      <c r="DG299" s="15"/>
      <c r="DH299" s="15"/>
      <c r="DI299" s="15"/>
      <c r="DJ299" s="15"/>
      <c r="DK299" s="15"/>
    </row>
    <row r="300" spans="1:115" ht="30" customHeight="1" x14ac:dyDescent="0.25">
      <c r="A300" s="15" t="s">
        <v>333</v>
      </c>
      <c r="B300" s="15">
        <v>15.819999694824219</v>
      </c>
      <c r="C300" s="18">
        <v>15.71</v>
      </c>
      <c r="D300" s="18">
        <v>15.71</v>
      </c>
      <c r="E300" s="18">
        <v>15.71</v>
      </c>
      <c r="F300" s="18">
        <v>15.82</v>
      </c>
      <c r="G300" s="18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  <c r="AG300" s="15"/>
      <c r="AH300" s="15"/>
      <c r="AI300" s="15"/>
      <c r="AJ300" s="15"/>
      <c r="AK300" s="15"/>
      <c r="AL300" s="15"/>
      <c r="AM300" s="15"/>
      <c r="AN300" s="15"/>
      <c r="AO300" s="15"/>
      <c r="AP300" s="15"/>
      <c r="AQ300" s="15"/>
      <c r="AR300" s="15"/>
      <c r="AS300" s="15"/>
      <c r="AT300" s="15"/>
      <c r="AU300" s="15"/>
      <c r="AV300" s="15"/>
      <c r="AW300" s="15"/>
      <c r="AX300" s="15"/>
      <c r="AY300" s="15"/>
      <c r="AZ300" s="15"/>
      <c r="BA300" s="15"/>
      <c r="BB300" s="15"/>
      <c r="BC300" s="15"/>
      <c r="BD300" s="15"/>
      <c r="BE300" s="15"/>
      <c r="BF300" s="15"/>
      <c r="BG300" s="15"/>
      <c r="BH300" s="15"/>
      <c r="BI300" s="15"/>
      <c r="BJ300" s="15"/>
      <c r="BK300" s="15"/>
      <c r="BL300" s="15"/>
      <c r="BM300" s="15"/>
      <c r="BN300" s="15"/>
      <c r="BO300" s="15"/>
      <c r="BP300" s="15"/>
      <c r="BQ300" s="15"/>
      <c r="BR300" s="15"/>
      <c r="BS300" s="15"/>
      <c r="BT300" s="15"/>
      <c r="BU300" s="15"/>
      <c r="BV300" s="15"/>
      <c r="BW300" s="15"/>
      <c r="BX300" s="15"/>
      <c r="BY300" s="15"/>
      <c r="BZ300" s="15"/>
      <c r="CA300" s="15"/>
      <c r="CB300" s="15"/>
      <c r="CC300" s="15"/>
      <c r="CD300" s="15"/>
      <c r="CE300" s="15"/>
      <c r="CF300" s="15"/>
      <c r="CG300" s="15"/>
      <c r="CH300" s="15"/>
      <c r="CI300" s="15"/>
      <c r="CJ300" s="15"/>
      <c r="CK300" s="15"/>
      <c r="CL300" s="15"/>
      <c r="CM300" s="15"/>
      <c r="CN300" s="15"/>
      <c r="CO300" s="15"/>
      <c r="CP300" s="15"/>
      <c r="CQ300" s="15"/>
      <c r="CR300" s="15"/>
      <c r="CS300" s="15"/>
      <c r="CT300" s="15"/>
      <c r="CU300" s="15"/>
      <c r="CV300" s="15"/>
      <c r="CW300" s="15"/>
      <c r="CX300" s="15"/>
      <c r="CY300" s="15"/>
      <c r="CZ300" s="15"/>
      <c r="DA300" s="15"/>
      <c r="DB300" s="15"/>
      <c r="DC300" s="15"/>
      <c r="DD300" s="15"/>
      <c r="DE300" s="15"/>
      <c r="DF300" s="15"/>
      <c r="DG300" s="15"/>
      <c r="DH300" s="15"/>
      <c r="DI300" s="15"/>
      <c r="DJ300" s="15"/>
      <c r="DK300" s="15"/>
    </row>
    <row r="301" spans="1:115" ht="30" customHeight="1" x14ac:dyDescent="0.25">
      <c r="A301" s="15" t="s">
        <v>80</v>
      </c>
      <c r="B301" s="15">
        <v>98.910003662109375</v>
      </c>
      <c r="C301" s="18">
        <v>103.98</v>
      </c>
      <c r="D301" s="18">
        <v>103.98</v>
      </c>
      <c r="E301" s="18">
        <v>103.98</v>
      </c>
      <c r="F301" s="18">
        <v>98.91</v>
      </c>
      <c r="G301" s="18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  <c r="AG301" s="15"/>
      <c r="AH301" s="15"/>
      <c r="AI301" s="15"/>
      <c r="AJ301" s="15"/>
      <c r="AK301" s="15"/>
      <c r="AL301" s="15"/>
      <c r="AM301" s="15"/>
      <c r="AN301" s="15"/>
      <c r="AO301" s="15"/>
      <c r="AP301" s="15"/>
      <c r="AQ301" s="15"/>
      <c r="AR301" s="15"/>
      <c r="AS301" s="15"/>
      <c r="AT301" s="15"/>
      <c r="AU301" s="15"/>
      <c r="AV301" s="15"/>
      <c r="AW301" s="15"/>
      <c r="AX301" s="15"/>
      <c r="AY301" s="15"/>
      <c r="AZ301" s="15"/>
      <c r="BA301" s="15"/>
      <c r="BB301" s="15"/>
      <c r="BC301" s="15"/>
      <c r="BD301" s="15"/>
      <c r="BE301" s="15"/>
      <c r="BF301" s="15"/>
      <c r="BG301" s="15"/>
      <c r="BH301" s="15"/>
      <c r="BI301" s="15"/>
      <c r="BJ301" s="15"/>
      <c r="BK301" s="15"/>
      <c r="BL301" s="15"/>
      <c r="BM301" s="15"/>
      <c r="BN301" s="15"/>
      <c r="BO301" s="15"/>
      <c r="BP301" s="15"/>
      <c r="BQ301" s="15"/>
      <c r="BR301" s="15"/>
      <c r="BS301" s="15"/>
      <c r="BT301" s="15"/>
      <c r="BU301" s="15"/>
      <c r="BV301" s="15"/>
      <c r="BW301" s="15"/>
      <c r="BX301" s="15"/>
      <c r="BY301" s="15"/>
      <c r="BZ301" s="15"/>
      <c r="CA301" s="15"/>
      <c r="CB301" s="15"/>
      <c r="CC301" s="15"/>
      <c r="CD301" s="15"/>
      <c r="CE301" s="15"/>
      <c r="CF301" s="15"/>
      <c r="CG301" s="15"/>
      <c r="CH301" s="15"/>
      <c r="CI301" s="15"/>
      <c r="CJ301" s="15"/>
      <c r="CK301" s="15"/>
      <c r="CL301" s="15"/>
      <c r="CM301" s="15"/>
      <c r="CN301" s="15"/>
      <c r="CO301" s="15"/>
      <c r="CP301" s="15"/>
      <c r="CQ301" s="15"/>
      <c r="CR301" s="15"/>
      <c r="CS301" s="15"/>
      <c r="CT301" s="15"/>
      <c r="CU301" s="15"/>
      <c r="CV301" s="15"/>
      <c r="CW301" s="15"/>
      <c r="CX301" s="15"/>
      <c r="CY301" s="15"/>
      <c r="CZ301" s="15"/>
      <c r="DA301" s="15"/>
      <c r="DB301" s="15"/>
      <c r="DC301" s="15"/>
      <c r="DD301" s="15"/>
      <c r="DE301" s="15"/>
      <c r="DF301" s="15"/>
      <c r="DG301" s="15"/>
      <c r="DH301" s="15"/>
      <c r="DI301" s="15"/>
      <c r="DJ301" s="15"/>
      <c r="DK301" s="15"/>
    </row>
    <row r="302" spans="1:115" ht="30" customHeight="1" x14ac:dyDescent="0.25">
      <c r="A302" s="15" t="s">
        <v>334</v>
      </c>
      <c r="B302" s="15">
        <v>41.200000762939453</v>
      </c>
      <c r="C302" s="18">
        <v>46.26</v>
      </c>
      <c r="D302" s="18">
        <v>46.26</v>
      </c>
      <c r="E302" s="18">
        <v>46.26</v>
      </c>
      <c r="F302" s="18">
        <v>41.2</v>
      </c>
      <c r="G302" s="18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  <c r="AG302" s="15"/>
      <c r="AH302" s="15"/>
      <c r="AI302" s="15"/>
      <c r="AJ302" s="15"/>
      <c r="AK302" s="15"/>
      <c r="AL302" s="15"/>
      <c r="AM302" s="15"/>
      <c r="AN302" s="15"/>
      <c r="AO302" s="15"/>
      <c r="AP302" s="15"/>
      <c r="AQ302" s="15"/>
      <c r="AR302" s="15"/>
      <c r="AS302" s="15"/>
      <c r="AT302" s="15"/>
      <c r="AU302" s="15"/>
      <c r="AV302" s="15"/>
      <c r="AW302" s="15"/>
      <c r="AX302" s="15"/>
      <c r="AY302" s="15"/>
      <c r="AZ302" s="15"/>
      <c r="BA302" s="15"/>
      <c r="BB302" s="15"/>
      <c r="BC302" s="15"/>
      <c r="BD302" s="15"/>
      <c r="BE302" s="15"/>
      <c r="BF302" s="15"/>
      <c r="BG302" s="15"/>
      <c r="BH302" s="15"/>
      <c r="BI302" s="15"/>
      <c r="BJ302" s="15"/>
      <c r="BK302" s="15"/>
      <c r="BL302" s="15"/>
      <c r="BM302" s="15"/>
      <c r="BN302" s="15"/>
      <c r="BO302" s="15"/>
      <c r="BP302" s="15"/>
      <c r="BQ302" s="15"/>
      <c r="BR302" s="15"/>
      <c r="BS302" s="15"/>
      <c r="BT302" s="15"/>
      <c r="BU302" s="15"/>
      <c r="BV302" s="15"/>
      <c r="BW302" s="15"/>
      <c r="BX302" s="15"/>
      <c r="BY302" s="15"/>
      <c r="BZ302" s="15"/>
      <c r="CA302" s="15"/>
      <c r="CB302" s="15"/>
      <c r="CC302" s="15"/>
      <c r="CD302" s="15"/>
      <c r="CE302" s="15"/>
      <c r="CF302" s="15"/>
      <c r="CG302" s="15"/>
      <c r="CH302" s="15"/>
      <c r="CI302" s="15"/>
      <c r="CJ302" s="15"/>
      <c r="CK302" s="15"/>
      <c r="CL302" s="15"/>
      <c r="CM302" s="15"/>
      <c r="CN302" s="15"/>
      <c r="CO302" s="15"/>
      <c r="CP302" s="15"/>
      <c r="CQ302" s="15"/>
      <c r="CR302" s="15"/>
      <c r="CS302" s="15"/>
      <c r="CT302" s="15"/>
      <c r="CU302" s="15"/>
      <c r="CV302" s="15"/>
      <c r="CW302" s="15"/>
      <c r="CX302" s="15"/>
      <c r="CY302" s="15"/>
      <c r="CZ302" s="15"/>
      <c r="DA302" s="15"/>
      <c r="DB302" s="15"/>
      <c r="DC302" s="15"/>
      <c r="DD302" s="15"/>
      <c r="DE302" s="15"/>
      <c r="DF302" s="15"/>
      <c r="DG302" s="15"/>
      <c r="DH302" s="15"/>
      <c r="DI302" s="15"/>
      <c r="DJ302" s="15"/>
      <c r="DK302" s="15"/>
    </row>
    <row r="303" spans="1:115" ht="30" customHeight="1" x14ac:dyDescent="0.25">
      <c r="A303" s="15" t="s">
        <v>335</v>
      </c>
      <c r="B303" s="15">
        <v>4</v>
      </c>
      <c r="C303" s="18">
        <v>3.92</v>
      </c>
      <c r="D303" s="18">
        <v>3.92</v>
      </c>
      <c r="E303" s="18">
        <v>3.92</v>
      </c>
      <c r="F303" s="18">
        <v>4</v>
      </c>
      <c r="G303" s="18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  <c r="AG303" s="15"/>
      <c r="AH303" s="15"/>
      <c r="AI303" s="15"/>
      <c r="AJ303" s="15"/>
      <c r="AK303" s="15"/>
      <c r="AL303" s="15"/>
      <c r="AM303" s="15"/>
      <c r="AN303" s="15"/>
      <c r="AO303" s="15"/>
      <c r="AP303" s="15"/>
      <c r="AQ303" s="15"/>
      <c r="AR303" s="15"/>
      <c r="AS303" s="15"/>
      <c r="AT303" s="15"/>
      <c r="AU303" s="15"/>
      <c r="AV303" s="15"/>
      <c r="AW303" s="15"/>
      <c r="AX303" s="15"/>
      <c r="AY303" s="15"/>
      <c r="AZ303" s="15"/>
      <c r="BA303" s="15"/>
      <c r="BB303" s="15"/>
      <c r="BC303" s="15"/>
      <c r="BD303" s="15"/>
      <c r="BE303" s="15"/>
      <c r="BF303" s="15"/>
      <c r="BG303" s="15"/>
      <c r="BH303" s="15"/>
      <c r="BI303" s="15"/>
      <c r="BJ303" s="15"/>
      <c r="BK303" s="15"/>
      <c r="BL303" s="15"/>
      <c r="BM303" s="15"/>
      <c r="BN303" s="15"/>
      <c r="BO303" s="15"/>
      <c r="BP303" s="15"/>
      <c r="BQ303" s="15"/>
      <c r="BR303" s="15"/>
      <c r="BS303" s="15"/>
      <c r="BT303" s="15"/>
      <c r="BU303" s="15"/>
      <c r="BV303" s="15"/>
      <c r="BW303" s="15"/>
      <c r="BX303" s="15"/>
      <c r="BY303" s="15"/>
      <c r="BZ303" s="15"/>
      <c r="CA303" s="15"/>
      <c r="CB303" s="15"/>
      <c r="CC303" s="15"/>
      <c r="CD303" s="15"/>
      <c r="CE303" s="15"/>
      <c r="CF303" s="15"/>
      <c r="CG303" s="15"/>
      <c r="CH303" s="15"/>
      <c r="CI303" s="15"/>
      <c r="CJ303" s="15"/>
      <c r="CK303" s="15"/>
      <c r="CL303" s="15"/>
      <c r="CM303" s="15"/>
      <c r="CN303" s="15"/>
      <c r="CO303" s="15"/>
      <c r="CP303" s="15"/>
      <c r="CQ303" s="15"/>
      <c r="CR303" s="15"/>
      <c r="CS303" s="15"/>
      <c r="CT303" s="15"/>
      <c r="CU303" s="15"/>
      <c r="CV303" s="15"/>
      <c r="CW303" s="15"/>
      <c r="CX303" s="15"/>
      <c r="CY303" s="15"/>
      <c r="CZ303" s="15"/>
      <c r="DA303" s="15"/>
      <c r="DB303" s="15"/>
      <c r="DC303" s="15"/>
      <c r="DD303" s="15"/>
      <c r="DE303" s="15"/>
      <c r="DF303" s="15"/>
      <c r="DG303" s="15"/>
      <c r="DH303" s="15"/>
      <c r="DI303" s="15"/>
      <c r="DJ303" s="15"/>
      <c r="DK303" s="15"/>
    </row>
    <row r="304" spans="1:115" ht="30" customHeight="1" x14ac:dyDescent="0.25">
      <c r="A304" s="15" t="s">
        <v>81</v>
      </c>
      <c r="B304" s="15">
        <v>13.770000457763672</v>
      </c>
      <c r="C304" s="18">
        <v>13.64</v>
      </c>
      <c r="D304" s="18">
        <v>13.64</v>
      </c>
      <c r="E304" s="18">
        <v>13.64</v>
      </c>
      <c r="F304" s="18">
        <v>13.77</v>
      </c>
      <c r="G304" s="18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  <c r="AG304" s="15"/>
      <c r="AH304" s="15"/>
      <c r="AI304" s="15"/>
      <c r="AJ304" s="15"/>
      <c r="AK304" s="15"/>
      <c r="AL304" s="15"/>
      <c r="AM304" s="15"/>
      <c r="AN304" s="15"/>
      <c r="AO304" s="15"/>
      <c r="AP304" s="15"/>
      <c r="AQ304" s="15"/>
      <c r="AR304" s="15"/>
      <c r="AS304" s="15"/>
      <c r="AT304" s="15"/>
      <c r="AU304" s="15"/>
      <c r="AV304" s="15"/>
      <c r="AW304" s="15"/>
      <c r="AX304" s="15"/>
      <c r="AY304" s="15"/>
      <c r="AZ304" s="15"/>
      <c r="BA304" s="15"/>
      <c r="BB304" s="15"/>
      <c r="BC304" s="15"/>
      <c r="BD304" s="15"/>
      <c r="BE304" s="15"/>
      <c r="BF304" s="15"/>
      <c r="BG304" s="15"/>
      <c r="BH304" s="15"/>
      <c r="BI304" s="15"/>
      <c r="BJ304" s="15"/>
      <c r="BK304" s="15"/>
      <c r="BL304" s="15"/>
      <c r="BM304" s="15"/>
      <c r="BN304" s="15"/>
      <c r="BO304" s="15"/>
      <c r="BP304" s="15"/>
      <c r="BQ304" s="15"/>
      <c r="BR304" s="15"/>
      <c r="BS304" s="15"/>
      <c r="BT304" s="15"/>
      <c r="BU304" s="15"/>
      <c r="BV304" s="15"/>
      <c r="BW304" s="15"/>
      <c r="BX304" s="15"/>
      <c r="BY304" s="15"/>
      <c r="BZ304" s="15"/>
      <c r="CA304" s="15"/>
      <c r="CB304" s="15"/>
      <c r="CC304" s="15"/>
      <c r="CD304" s="15"/>
      <c r="CE304" s="15"/>
      <c r="CF304" s="15"/>
      <c r="CG304" s="15"/>
      <c r="CH304" s="15"/>
      <c r="CI304" s="15"/>
      <c r="CJ304" s="15"/>
      <c r="CK304" s="15"/>
      <c r="CL304" s="15"/>
      <c r="CM304" s="15"/>
      <c r="CN304" s="15"/>
      <c r="CO304" s="15"/>
      <c r="CP304" s="15"/>
      <c r="CQ304" s="15"/>
      <c r="CR304" s="15"/>
      <c r="CS304" s="15"/>
      <c r="CT304" s="15"/>
      <c r="CU304" s="15"/>
      <c r="CV304" s="15"/>
      <c r="CW304" s="15"/>
      <c r="CX304" s="15"/>
      <c r="CY304" s="15"/>
      <c r="CZ304" s="15"/>
      <c r="DA304" s="15"/>
      <c r="DB304" s="15"/>
      <c r="DC304" s="15"/>
      <c r="DD304" s="15"/>
      <c r="DE304" s="15"/>
      <c r="DF304" s="15"/>
      <c r="DG304" s="15"/>
      <c r="DH304" s="15"/>
      <c r="DI304" s="15"/>
      <c r="DJ304" s="15"/>
      <c r="DK304" s="15"/>
    </row>
    <row r="305" spans="1:115" ht="30" customHeight="1" x14ac:dyDescent="0.25">
      <c r="A305" s="15" t="s">
        <v>336</v>
      </c>
      <c r="B305" s="15">
        <v>55.669998168945313</v>
      </c>
      <c r="C305" s="18">
        <v>57.7</v>
      </c>
      <c r="D305" s="18">
        <v>57.7</v>
      </c>
      <c r="E305" s="18">
        <v>57.7</v>
      </c>
      <c r="F305" s="18">
        <v>55.67</v>
      </c>
      <c r="G305" s="18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  <c r="AG305" s="15"/>
      <c r="AH305" s="15"/>
      <c r="AI305" s="15"/>
      <c r="AJ305" s="15"/>
      <c r="AK305" s="15"/>
      <c r="AL305" s="15"/>
      <c r="AM305" s="15"/>
      <c r="AN305" s="15"/>
      <c r="AO305" s="15"/>
      <c r="AP305" s="15"/>
      <c r="AQ305" s="15"/>
      <c r="AR305" s="15"/>
      <c r="AS305" s="15"/>
      <c r="AT305" s="15"/>
      <c r="AU305" s="15"/>
      <c r="AV305" s="15"/>
      <c r="AW305" s="15"/>
      <c r="AX305" s="15"/>
      <c r="AY305" s="15"/>
      <c r="AZ305" s="15"/>
      <c r="BA305" s="15"/>
      <c r="BB305" s="15"/>
      <c r="BC305" s="15"/>
      <c r="BD305" s="15"/>
      <c r="BE305" s="15"/>
      <c r="BF305" s="15"/>
      <c r="BG305" s="15"/>
      <c r="BH305" s="15"/>
      <c r="BI305" s="15"/>
      <c r="BJ305" s="15"/>
      <c r="BK305" s="15"/>
      <c r="BL305" s="15"/>
      <c r="BM305" s="15"/>
      <c r="BN305" s="15"/>
      <c r="BO305" s="15"/>
      <c r="BP305" s="15"/>
      <c r="BQ305" s="15"/>
      <c r="BR305" s="15"/>
      <c r="BS305" s="15"/>
      <c r="BT305" s="15"/>
      <c r="BU305" s="15"/>
      <c r="BV305" s="15"/>
      <c r="BW305" s="15"/>
      <c r="BX305" s="15"/>
      <c r="BY305" s="15"/>
      <c r="BZ305" s="15"/>
      <c r="CA305" s="15"/>
      <c r="CB305" s="15"/>
      <c r="CC305" s="15"/>
      <c r="CD305" s="15"/>
      <c r="CE305" s="15"/>
      <c r="CF305" s="15"/>
      <c r="CG305" s="15"/>
      <c r="CH305" s="15"/>
      <c r="CI305" s="15"/>
      <c r="CJ305" s="15"/>
      <c r="CK305" s="15"/>
      <c r="CL305" s="15"/>
      <c r="CM305" s="15"/>
      <c r="CN305" s="15"/>
      <c r="CO305" s="15"/>
      <c r="CP305" s="15"/>
      <c r="CQ305" s="15"/>
      <c r="CR305" s="15"/>
      <c r="CS305" s="15"/>
      <c r="CT305" s="15"/>
      <c r="CU305" s="15"/>
      <c r="CV305" s="15"/>
      <c r="CW305" s="15"/>
      <c r="CX305" s="15"/>
      <c r="CY305" s="15"/>
      <c r="CZ305" s="15"/>
      <c r="DA305" s="15"/>
      <c r="DB305" s="15"/>
      <c r="DC305" s="15"/>
      <c r="DD305" s="15"/>
      <c r="DE305" s="15"/>
      <c r="DF305" s="15"/>
      <c r="DG305" s="15"/>
      <c r="DH305" s="15"/>
      <c r="DI305" s="15"/>
      <c r="DJ305" s="15"/>
      <c r="DK305" s="15"/>
    </row>
    <row r="306" spans="1:115" ht="30" customHeight="1" x14ac:dyDescent="0.25">
      <c r="A306" s="15" t="s">
        <v>82</v>
      </c>
      <c r="B306" s="15">
        <v>73.779998779296875</v>
      </c>
      <c r="C306" s="18">
        <v>74.95</v>
      </c>
      <c r="D306" s="18">
        <v>74.95</v>
      </c>
      <c r="E306" s="18">
        <v>74.95</v>
      </c>
      <c r="F306" s="18">
        <v>73.78</v>
      </c>
      <c r="G306" s="18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  <c r="AG306" s="15"/>
      <c r="AH306" s="15"/>
      <c r="AI306" s="15"/>
      <c r="AJ306" s="15"/>
      <c r="AK306" s="15"/>
      <c r="AL306" s="15"/>
      <c r="AM306" s="15"/>
      <c r="AN306" s="15"/>
      <c r="AO306" s="15"/>
      <c r="AP306" s="15"/>
      <c r="AQ306" s="15"/>
      <c r="AR306" s="15"/>
      <c r="AS306" s="15"/>
      <c r="AT306" s="15"/>
      <c r="AU306" s="15"/>
      <c r="AV306" s="15"/>
      <c r="AW306" s="15"/>
      <c r="AX306" s="15"/>
      <c r="AY306" s="15"/>
      <c r="AZ306" s="15"/>
      <c r="BA306" s="15"/>
      <c r="BB306" s="15"/>
      <c r="BC306" s="15"/>
      <c r="BD306" s="15"/>
      <c r="BE306" s="15"/>
      <c r="BF306" s="15"/>
      <c r="BG306" s="15"/>
      <c r="BH306" s="15"/>
      <c r="BI306" s="15"/>
      <c r="BJ306" s="15"/>
      <c r="BK306" s="15"/>
      <c r="BL306" s="15"/>
      <c r="BM306" s="15"/>
      <c r="BN306" s="15"/>
      <c r="BO306" s="15"/>
      <c r="BP306" s="15"/>
      <c r="BQ306" s="15"/>
      <c r="BR306" s="15"/>
      <c r="BS306" s="15"/>
      <c r="BT306" s="15"/>
      <c r="BU306" s="15"/>
      <c r="BV306" s="15"/>
      <c r="BW306" s="15"/>
      <c r="BX306" s="15"/>
      <c r="BY306" s="15"/>
      <c r="BZ306" s="15"/>
      <c r="CA306" s="15"/>
      <c r="CB306" s="15"/>
      <c r="CC306" s="15"/>
      <c r="CD306" s="15"/>
      <c r="CE306" s="15"/>
      <c r="CF306" s="15"/>
      <c r="CG306" s="15"/>
      <c r="CH306" s="15"/>
      <c r="CI306" s="15"/>
      <c r="CJ306" s="15"/>
      <c r="CK306" s="15"/>
      <c r="CL306" s="15"/>
      <c r="CM306" s="15"/>
      <c r="CN306" s="15"/>
      <c r="CO306" s="15"/>
      <c r="CP306" s="15"/>
      <c r="CQ306" s="15"/>
      <c r="CR306" s="15"/>
      <c r="CS306" s="15"/>
      <c r="CT306" s="15"/>
      <c r="CU306" s="15"/>
      <c r="CV306" s="15"/>
      <c r="CW306" s="15"/>
      <c r="CX306" s="15"/>
      <c r="CY306" s="15"/>
      <c r="CZ306" s="15"/>
      <c r="DA306" s="15"/>
      <c r="DB306" s="15"/>
      <c r="DC306" s="15"/>
      <c r="DD306" s="15"/>
      <c r="DE306" s="15"/>
      <c r="DF306" s="15"/>
      <c r="DG306" s="15"/>
      <c r="DH306" s="15"/>
      <c r="DI306" s="15"/>
      <c r="DJ306" s="15"/>
      <c r="DK306" s="15"/>
    </row>
    <row r="307" spans="1:115" ht="30" customHeight="1" x14ac:dyDescent="0.25">
      <c r="A307" s="15" t="s">
        <v>337</v>
      </c>
      <c r="B307" s="15">
        <v>60.509998321533203</v>
      </c>
      <c r="C307" s="18">
        <v>60.61</v>
      </c>
      <c r="D307" s="18">
        <v>60.61</v>
      </c>
      <c r="E307" s="18">
        <v>60.61</v>
      </c>
      <c r="F307" s="18">
        <v>60.51</v>
      </c>
      <c r="G307" s="18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  <c r="AG307" s="15"/>
      <c r="AH307" s="15"/>
      <c r="AI307" s="15"/>
      <c r="AJ307" s="15"/>
      <c r="AK307" s="15"/>
      <c r="AL307" s="15"/>
      <c r="AM307" s="15"/>
      <c r="AN307" s="15"/>
      <c r="AO307" s="15"/>
      <c r="AP307" s="15"/>
      <c r="AQ307" s="15"/>
      <c r="AR307" s="15"/>
      <c r="AS307" s="15"/>
      <c r="AT307" s="15"/>
      <c r="AU307" s="15"/>
      <c r="AV307" s="15"/>
      <c r="AW307" s="15"/>
      <c r="AX307" s="15"/>
      <c r="AY307" s="15"/>
      <c r="AZ307" s="15"/>
      <c r="BA307" s="15"/>
      <c r="BB307" s="15"/>
      <c r="BC307" s="15"/>
      <c r="BD307" s="15"/>
      <c r="BE307" s="15"/>
      <c r="BF307" s="15"/>
      <c r="BG307" s="15"/>
      <c r="BH307" s="15"/>
      <c r="BI307" s="15"/>
      <c r="BJ307" s="15"/>
      <c r="BK307" s="15"/>
      <c r="BL307" s="15"/>
      <c r="BM307" s="15"/>
      <c r="BN307" s="15"/>
      <c r="BO307" s="15"/>
      <c r="BP307" s="15"/>
      <c r="BQ307" s="15"/>
      <c r="BR307" s="15"/>
      <c r="BS307" s="15"/>
      <c r="BT307" s="15"/>
      <c r="BU307" s="15"/>
      <c r="BV307" s="15"/>
      <c r="BW307" s="15"/>
      <c r="BX307" s="15"/>
      <c r="BY307" s="15"/>
      <c r="BZ307" s="15"/>
      <c r="CA307" s="15"/>
      <c r="CB307" s="15"/>
      <c r="CC307" s="15"/>
      <c r="CD307" s="15"/>
      <c r="CE307" s="15"/>
      <c r="CF307" s="15"/>
      <c r="CG307" s="15"/>
      <c r="CH307" s="15"/>
      <c r="CI307" s="15"/>
      <c r="CJ307" s="15"/>
      <c r="CK307" s="15"/>
      <c r="CL307" s="15"/>
      <c r="CM307" s="15"/>
      <c r="CN307" s="15"/>
      <c r="CO307" s="15"/>
      <c r="CP307" s="15"/>
      <c r="CQ307" s="15"/>
      <c r="CR307" s="15"/>
      <c r="CS307" s="15"/>
      <c r="CT307" s="15"/>
      <c r="CU307" s="15"/>
      <c r="CV307" s="15"/>
      <c r="CW307" s="15"/>
      <c r="CX307" s="15"/>
      <c r="CY307" s="15"/>
      <c r="CZ307" s="15"/>
      <c r="DA307" s="15"/>
      <c r="DB307" s="15"/>
      <c r="DC307" s="15"/>
      <c r="DD307" s="15"/>
      <c r="DE307" s="15"/>
      <c r="DF307" s="15"/>
      <c r="DG307" s="15"/>
      <c r="DH307" s="15"/>
      <c r="DI307" s="15"/>
      <c r="DJ307" s="15"/>
      <c r="DK307" s="15"/>
    </row>
    <row r="308" spans="1:115" ht="30" customHeight="1" x14ac:dyDescent="0.25">
      <c r="A308" s="15" t="s">
        <v>338</v>
      </c>
      <c r="B308" s="15">
        <v>25.25</v>
      </c>
      <c r="C308" s="18">
        <v>25.15</v>
      </c>
      <c r="D308" s="18">
        <v>25.15</v>
      </c>
      <c r="E308" s="18">
        <v>25.15</v>
      </c>
      <c r="F308" s="18">
        <v>25.145</v>
      </c>
      <c r="G308" s="18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  <c r="AG308" s="15"/>
      <c r="AH308" s="15"/>
      <c r="AI308" s="15"/>
      <c r="AJ308" s="15"/>
      <c r="AK308" s="15"/>
      <c r="AL308" s="15"/>
      <c r="AM308" s="15"/>
      <c r="AN308" s="15"/>
      <c r="AO308" s="15"/>
      <c r="AP308" s="15"/>
      <c r="AQ308" s="15"/>
      <c r="AR308" s="15"/>
      <c r="AS308" s="15"/>
      <c r="AT308" s="15"/>
      <c r="AU308" s="15"/>
      <c r="AV308" s="15"/>
      <c r="AW308" s="15"/>
      <c r="AX308" s="15"/>
      <c r="AY308" s="15"/>
      <c r="AZ308" s="15"/>
      <c r="BA308" s="15"/>
      <c r="BB308" s="15"/>
      <c r="BC308" s="15"/>
      <c r="BD308" s="15"/>
      <c r="BE308" s="15"/>
      <c r="BF308" s="15"/>
      <c r="BG308" s="15"/>
      <c r="BH308" s="15"/>
      <c r="BI308" s="15"/>
      <c r="BJ308" s="15"/>
      <c r="BK308" s="15"/>
      <c r="BL308" s="15"/>
      <c r="BM308" s="15"/>
      <c r="BN308" s="15"/>
      <c r="BO308" s="15"/>
      <c r="BP308" s="15"/>
      <c r="BQ308" s="15"/>
      <c r="BR308" s="15"/>
      <c r="BS308" s="15"/>
      <c r="BT308" s="15"/>
      <c r="BU308" s="15"/>
      <c r="BV308" s="15"/>
      <c r="BW308" s="15"/>
      <c r="BX308" s="15"/>
      <c r="BY308" s="15"/>
      <c r="BZ308" s="15"/>
      <c r="CA308" s="15"/>
      <c r="CB308" s="15"/>
      <c r="CC308" s="15"/>
      <c r="CD308" s="15"/>
      <c r="CE308" s="15"/>
      <c r="CF308" s="15"/>
      <c r="CG308" s="15"/>
      <c r="CH308" s="15"/>
      <c r="CI308" s="15"/>
      <c r="CJ308" s="15"/>
      <c r="CK308" s="15"/>
      <c r="CL308" s="15"/>
      <c r="CM308" s="15"/>
      <c r="CN308" s="15"/>
      <c r="CO308" s="15"/>
      <c r="CP308" s="15"/>
      <c r="CQ308" s="15"/>
      <c r="CR308" s="15"/>
      <c r="CS308" s="15"/>
      <c r="CT308" s="15"/>
      <c r="CU308" s="15"/>
      <c r="CV308" s="15"/>
      <c r="CW308" s="15"/>
      <c r="CX308" s="15"/>
      <c r="CY308" s="15"/>
      <c r="CZ308" s="15"/>
      <c r="DA308" s="15"/>
      <c r="DB308" s="15"/>
      <c r="DC308" s="15"/>
      <c r="DD308" s="15"/>
      <c r="DE308" s="15"/>
      <c r="DF308" s="15"/>
      <c r="DG308" s="15"/>
      <c r="DH308" s="15"/>
      <c r="DI308" s="15"/>
      <c r="DJ308" s="15"/>
      <c r="DK308" s="15"/>
    </row>
    <row r="309" spans="1:115" ht="30" customHeight="1" x14ac:dyDescent="0.25">
      <c r="A309" s="15" t="s">
        <v>339</v>
      </c>
      <c r="B309" s="15">
        <v>31.629999160766602</v>
      </c>
      <c r="C309" s="18">
        <v>31.43</v>
      </c>
      <c r="D309" s="18">
        <v>31.43</v>
      </c>
      <c r="E309" s="18">
        <v>31.43</v>
      </c>
      <c r="F309" s="18">
        <v>31.63</v>
      </c>
      <c r="G309" s="18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  <c r="AG309" s="15"/>
      <c r="AH309" s="15"/>
      <c r="AI309" s="15"/>
      <c r="AJ309" s="15"/>
      <c r="AK309" s="15"/>
      <c r="AL309" s="15"/>
      <c r="AM309" s="15"/>
      <c r="AN309" s="15"/>
      <c r="AO309" s="15"/>
      <c r="AP309" s="15"/>
      <c r="AQ309" s="15"/>
      <c r="AR309" s="15"/>
      <c r="AS309" s="15"/>
      <c r="AT309" s="15"/>
      <c r="AU309" s="15"/>
      <c r="AV309" s="15"/>
      <c r="AW309" s="15"/>
      <c r="AX309" s="15"/>
      <c r="AY309" s="15"/>
      <c r="AZ309" s="15"/>
      <c r="BA309" s="15"/>
      <c r="BB309" s="15"/>
      <c r="BC309" s="15"/>
      <c r="BD309" s="15"/>
      <c r="BE309" s="15"/>
      <c r="BF309" s="15"/>
      <c r="BG309" s="15"/>
      <c r="BH309" s="15"/>
      <c r="BI309" s="15"/>
      <c r="BJ309" s="15"/>
      <c r="BK309" s="15"/>
      <c r="BL309" s="15"/>
      <c r="BM309" s="15"/>
      <c r="BN309" s="15"/>
      <c r="BO309" s="15"/>
      <c r="BP309" s="15"/>
      <c r="BQ309" s="15"/>
      <c r="BR309" s="15"/>
      <c r="BS309" s="15"/>
      <c r="BT309" s="15"/>
      <c r="BU309" s="15"/>
      <c r="BV309" s="15"/>
      <c r="BW309" s="15"/>
      <c r="BX309" s="15"/>
      <c r="BY309" s="15"/>
      <c r="BZ309" s="15"/>
      <c r="CA309" s="15"/>
      <c r="CB309" s="15"/>
      <c r="CC309" s="15"/>
      <c r="CD309" s="15"/>
      <c r="CE309" s="15"/>
      <c r="CF309" s="15"/>
      <c r="CG309" s="15"/>
      <c r="CH309" s="15"/>
      <c r="CI309" s="15"/>
      <c r="CJ309" s="15"/>
      <c r="CK309" s="15"/>
      <c r="CL309" s="15"/>
      <c r="CM309" s="15"/>
      <c r="CN309" s="15"/>
      <c r="CO309" s="15"/>
      <c r="CP309" s="15"/>
      <c r="CQ309" s="15"/>
      <c r="CR309" s="15"/>
      <c r="CS309" s="15"/>
      <c r="CT309" s="15"/>
      <c r="CU309" s="15"/>
      <c r="CV309" s="15"/>
      <c r="CW309" s="15"/>
      <c r="CX309" s="15"/>
      <c r="CY309" s="15"/>
      <c r="CZ309" s="15"/>
      <c r="DA309" s="15"/>
      <c r="DB309" s="15"/>
      <c r="DC309" s="15"/>
      <c r="DD309" s="15"/>
      <c r="DE309" s="15"/>
      <c r="DF309" s="15"/>
      <c r="DG309" s="15"/>
      <c r="DH309" s="15"/>
      <c r="DI309" s="15"/>
      <c r="DJ309" s="15"/>
      <c r="DK309" s="15"/>
    </row>
    <row r="310" spans="1:115" ht="30" customHeight="1" x14ac:dyDescent="0.25">
      <c r="A310" s="15" t="s">
        <v>340</v>
      </c>
      <c r="B310" s="15">
        <v>37.139999389648438</v>
      </c>
      <c r="C310" s="18">
        <v>37.200000000000003</v>
      </c>
      <c r="D310" s="18">
        <v>37.200000000000003</v>
      </c>
      <c r="E310" s="18">
        <v>37.200000000000003</v>
      </c>
      <c r="F310" s="18">
        <v>37.14</v>
      </c>
      <c r="G310" s="18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  <c r="AG310" s="15"/>
      <c r="AH310" s="15"/>
      <c r="AI310" s="15"/>
      <c r="AJ310" s="15"/>
      <c r="AK310" s="15"/>
      <c r="AL310" s="15"/>
      <c r="AM310" s="15"/>
      <c r="AN310" s="15"/>
      <c r="AO310" s="15"/>
      <c r="AP310" s="15"/>
      <c r="AQ310" s="15"/>
      <c r="AR310" s="15"/>
      <c r="AS310" s="15"/>
      <c r="AT310" s="15"/>
      <c r="AU310" s="15"/>
      <c r="AV310" s="15"/>
      <c r="AW310" s="15"/>
      <c r="AX310" s="15"/>
      <c r="AY310" s="15"/>
      <c r="AZ310" s="15"/>
      <c r="BA310" s="15"/>
      <c r="BB310" s="15"/>
      <c r="BC310" s="15"/>
      <c r="BD310" s="15"/>
      <c r="BE310" s="15"/>
      <c r="BF310" s="15"/>
      <c r="BG310" s="15"/>
      <c r="BH310" s="15"/>
      <c r="BI310" s="15"/>
      <c r="BJ310" s="15"/>
      <c r="BK310" s="15"/>
      <c r="BL310" s="15"/>
      <c r="BM310" s="15"/>
      <c r="BN310" s="15"/>
      <c r="BO310" s="15"/>
      <c r="BP310" s="15"/>
      <c r="BQ310" s="15"/>
      <c r="BR310" s="15"/>
      <c r="BS310" s="15"/>
      <c r="BT310" s="15"/>
      <c r="BU310" s="15"/>
      <c r="BV310" s="15"/>
      <c r="BW310" s="15"/>
      <c r="BX310" s="15"/>
      <c r="BY310" s="15"/>
      <c r="BZ310" s="15"/>
      <c r="CA310" s="15"/>
      <c r="CB310" s="15"/>
      <c r="CC310" s="15"/>
      <c r="CD310" s="15"/>
      <c r="CE310" s="15"/>
      <c r="CF310" s="15"/>
      <c r="CG310" s="15"/>
      <c r="CH310" s="15"/>
      <c r="CI310" s="15"/>
      <c r="CJ310" s="15"/>
      <c r="CK310" s="15"/>
      <c r="CL310" s="15"/>
      <c r="CM310" s="15"/>
      <c r="CN310" s="15"/>
      <c r="CO310" s="15"/>
      <c r="CP310" s="15"/>
      <c r="CQ310" s="15"/>
      <c r="CR310" s="15"/>
      <c r="CS310" s="15"/>
      <c r="CT310" s="15"/>
      <c r="CU310" s="15"/>
      <c r="CV310" s="15"/>
      <c r="CW310" s="15"/>
      <c r="CX310" s="15"/>
      <c r="CY310" s="15"/>
      <c r="CZ310" s="15"/>
      <c r="DA310" s="15"/>
      <c r="DB310" s="15"/>
      <c r="DC310" s="15"/>
      <c r="DD310" s="15"/>
      <c r="DE310" s="15"/>
      <c r="DF310" s="15"/>
      <c r="DG310" s="15"/>
      <c r="DH310" s="15"/>
      <c r="DI310" s="15"/>
      <c r="DJ310" s="15"/>
      <c r="DK310" s="15"/>
    </row>
    <row r="311" spans="1:115" ht="30" customHeight="1" x14ac:dyDescent="0.25">
      <c r="A311" s="15" t="s">
        <v>388</v>
      </c>
      <c r="B311" s="15">
        <v>0.19499999284744263</v>
      </c>
      <c r="C311" s="18">
        <v>0.19</v>
      </c>
      <c r="D311" s="18">
        <v>0.19</v>
      </c>
      <c r="E311" s="18">
        <v>0.19</v>
      </c>
      <c r="F311" s="18">
        <v>0.19500000000000001</v>
      </c>
      <c r="G311" s="18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  <c r="AG311" s="15"/>
      <c r="AH311" s="15"/>
      <c r="AI311" s="15"/>
      <c r="AJ311" s="15"/>
      <c r="AK311" s="15"/>
      <c r="AL311" s="15"/>
      <c r="AM311" s="15"/>
      <c r="AN311" s="15"/>
      <c r="AO311" s="15"/>
      <c r="AP311" s="15"/>
      <c r="AQ311" s="15"/>
      <c r="AR311" s="15"/>
      <c r="AS311" s="15"/>
      <c r="AT311" s="15"/>
      <c r="AU311" s="15"/>
      <c r="AV311" s="15"/>
      <c r="AW311" s="15"/>
      <c r="AX311" s="15"/>
      <c r="AY311" s="15"/>
      <c r="AZ311" s="15"/>
      <c r="BA311" s="15"/>
      <c r="BB311" s="15"/>
      <c r="BC311" s="15"/>
      <c r="BD311" s="15"/>
      <c r="BE311" s="15"/>
      <c r="BF311" s="15"/>
      <c r="BG311" s="15"/>
      <c r="BH311" s="15"/>
      <c r="BI311" s="15"/>
      <c r="BJ311" s="15"/>
      <c r="BK311" s="15"/>
      <c r="BL311" s="15"/>
      <c r="BM311" s="15"/>
      <c r="BN311" s="15"/>
      <c r="BO311" s="15"/>
      <c r="BP311" s="15"/>
      <c r="BQ311" s="15"/>
      <c r="BR311" s="15"/>
      <c r="BS311" s="15"/>
      <c r="BT311" s="15"/>
      <c r="BU311" s="15"/>
      <c r="BV311" s="15"/>
      <c r="BW311" s="15"/>
      <c r="BX311" s="15"/>
      <c r="BY311" s="15"/>
      <c r="BZ311" s="15"/>
      <c r="CA311" s="15"/>
      <c r="CB311" s="15"/>
      <c r="CC311" s="15"/>
      <c r="CD311" s="15"/>
      <c r="CE311" s="15"/>
      <c r="CF311" s="15"/>
      <c r="CG311" s="15"/>
      <c r="CH311" s="15"/>
      <c r="CI311" s="15"/>
      <c r="CJ311" s="15"/>
      <c r="CK311" s="15"/>
      <c r="CL311" s="15"/>
      <c r="CM311" s="15"/>
      <c r="CN311" s="15"/>
      <c r="CO311" s="15"/>
      <c r="CP311" s="15"/>
      <c r="CQ311" s="15"/>
      <c r="CR311" s="15"/>
      <c r="CS311" s="15"/>
      <c r="CT311" s="15"/>
      <c r="CU311" s="15"/>
      <c r="CV311" s="15"/>
      <c r="CW311" s="15"/>
      <c r="CX311" s="15"/>
      <c r="CY311" s="15"/>
      <c r="CZ311" s="15"/>
      <c r="DA311" s="15"/>
      <c r="DB311" s="15"/>
      <c r="DC311" s="15"/>
      <c r="DD311" s="15"/>
      <c r="DE311" s="15"/>
      <c r="DF311" s="15"/>
      <c r="DG311" s="15"/>
      <c r="DH311" s="15"/>
      <c r="DI311" s="15"/>
      <c r="DJ311" s="15"/>
      <c r="DK311" s="15"/>
    </row>
    <row r="312" spans="1:115" ht="30" customHeight="1" x14ac:dyDescent="0.25">
      <c r="A312" s="15" t="s">
        <v>341</v>
      </c>
      <c r="B312" s="15">
        <v>57.520000457763672</v>
      </c>
      <c r="C312" s="18">
        <v>57.14</v>
      </c>
      <c r="D312" s="18">
        <v>57.14</v>
      </c>
      <c r="E312" s="18">
        <v>57.14</v>
      </c>
      <c r="F312" s="18">
        <v>57.52</v>
      </c>
      <c r="G312" s="18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  <c r="AG312" s="15"/>
      <c r="AH312" s="15"/>
      <c r="AI312" s="15"/>
      <c r="AJ312" s="15"/>
      <c r="AK312" s="15"/>
      <c r="AL312" s="15"/>
      <c r="AM312" s="15"/>
      <c r="AN312" s="15"/>
      <c r="AO312" s="15"/>
      <c r="AP312" s="15"/>
      <c r="AQ312" s="15"/>
      <c r="AR312" s="15"/>
      <c r="AS312" s="15"/>
      <c r="AT312" s="15"/>
      <c r="AU312" s="15"/>
      <c r="AV312" s="15"/>
      <c r="AW312" s="15"/>
      <c r="AX312" s="15"/>
      <c r="AY312" s="15"/>
      <c r="AZ312" s="15"/>
      <c r="BA312" s="15"/>
      <c r="BB312" s="15"/>
      <c r="BC312" s="15"/>
      <c r="BD312" s="15"/>
      <c r="BE312" s="15"/>
      <c r="BF312" s="15"/>
      <c r="BG312" s="15"/>
      <c r="BH312" s="15"/>
      <c r="BI312" s="15"/>
      <c r="BJ312" s="15"/>
      <c r="BK312" s="15"/>
      <c r="BL312" s="15"/>
      <c r="BM312" s="15"/>
      <c r="BN312" s="15"/>
      <c r="BO312" s="15"/>
      <c r="BP312" s="15"/>
      <c r="BQ312" s="15"/>
      <c r="BR312" s="15"/>
      <c r="BS312" s="15"/>
      <c r="BT312" s="15"/>
      <c r="BU312" s="15"/>
      <c r="BV312" s="15"/>
      <c r="BW312" s="15"/>
      <c r="BX312" s="15"/>
      <c r="BY312" s="15"/>
      <c r="BZ312" s="15"/>
      <c r="CA312" s="15"/>
      <c r="CB312" s="15"/>
      <c r="CC312" s="15"/>
      <c r="CD312" s="15"/>
      <c r="CE312" s="15"/>
      <c r="CF312" s="15"/>
      <c r="CG312" s="15"/>
      <c r="CH312" s="15"/>
      <c r="CI312" s="15"/>
      <c r="CJ312" s="15"/>
      <c r="CK312" s="15"/>
      <c r="CL312" s="15"/>
      <c r="CM312" s="15"/>
      <c r="CN312" s="15"/>
      <c r="CO312" s="15"/>
      <c r="CP312" s="15"/>
      <c r="CQ312" s="15"/>
      <c r="CR312" s="15"/>
      <c r="CS312" s="15"/>
      <c r="CT312" s="15"/>
      <c r="CU312" s="15"/>
      <c r="CV312" s="15"/>
      <c r="CW312" s="15"/>
      <c r="CX312" s="15"/>
      <c r="CY312" s="15"/>
      <c r="CZ312" s="15"/>
      <c r="DA312" s="15"/>
      <c r="DB312" s="15"/>
      <c r="DC312" s="15"/>
      <c r="DD312" s="15"/>
      <c r="DE312" s="15"/>
      <c r="DF312" s="15"/>
      <c r="DG312" s="15"/>
      <c r="DH312" s="15"/>
      <c r="DI312" s="15"/>
      <c r="DJ312" s="15"/>
      <c r="DK312" s="15"/>
    </row>
    <row r="313" spans="1:115" ht="30" customHeight="1" x14ac:dyDescent="0.25">
      <c r="A313" s="15" t="s">
        <v>58</v>
      </c>
      <c r="B313" s="15">
        <v>25.799999237060547</v>
      </c>
      <c r="C313" s="18">
        <v>25.92</v>
      </c>
      <c r="D313" s="18">
        <v>25.92</v>
      </c>
      <c r="E313" s="18">
        <v>25.92</v>
      </c>
      <c r="F313" s="18">
        <v>25.8</v>
      </c>
      <c r="G313" s="18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  <c r="AG313" s="15"/>
      <c r="AH313" s="15"/>
      <c r="AI313" s="15"/>
      <c r="AJ313" s="15"/>
      <c r="AK313" s="15"/>
      <c r="AL313" s="15"/>
      <c r="AM313" s="15"/>
      <c r="AN313" s="15"/>
      <c r="AO313" s="15"/>
      <c r="AP313" s="15"/>
      <c r="AQ313" s="15"/>
      <c r="AR313" s="15"/>
      <c r="AS313" s="15"/>
      <c r="AT313" s="15"/>
      <c r="AU313" s="15"/>
      <c r="AV313" s="15"/>
      <c r="AW313" s="15"/>
      <c r="AX313" s="15"/>
      <c r="AY313" s="15"/>
      <c r="AZ313" s="15"/>
      <c r="BA313" s="15"/>
      <c r="BB313" s="15"/>
      <c r="BC313" s="15"/>
      <c r="BD313" s="15"/>
      <c r="BE313" s="15"/>
      <c r="BF313" s="15"/>
      <c r="BG313" s="15"/>
      <c r="BH313" s="15"/>
      <c r="BI313" s="15"/>
      <c r="BJ313" s="15"/>
      <c r="BK313" s="15"/>
      <c r="BL313" s="15"/>
      <c r="BM313" s="15"/>
      <c r="BN313" s="15"/>
      <c r="BO313" s="15"/>
      <c r="BP313" s="15"/>
      <c r="BQ313" s="15"/>
      <c r="BR313" s="15"/>
      <c r="BS313" s="15"/>
      <c r="BT313" s="15"/>
      <c r="BU313" s="15"/>
      <c r="BV313" s="15"/>
      <c r="BW313" s="15"/>
      <c r="BX313" s="15"/>
      <c r="BY313" s="15"/>
      <c r="BZ313" s="15"/>
      <c r="CA313" s="15"/>
      <c r="CB313" s="15"/>
      <c r="CC313" s="15"/>
      <c r="CD313" s="15"/>
      <c r="CE313" s="15"/>
      <c r="CF313" s="15"/>
      <c r="CG313" s="15"/>
      <c r="CH313" s="15"/>
      <c r="CI313" s="15"/>
      <c r="CJ313" s="15"/>
      <c r="CK313" s="15"/>
      <c r="CL313" s="15"/>
      <c r="CM313" s="15"/>
      <c r="CN313" s="15"/>
      <c r="CO313" s="15"/>
      <c r="CP313" s="15"/>
      <c r="CQ313" s="15"/>
      <c r="CR313" s="15"/>
      <c r="CS313" s="15"/>
      <c r="CT313" s="15"/>
      <c r="CU313" s="15"/>
      <c r="CV313" s="15"/>
      <c r="CW313" s="15"/>
      <c r="CX313" s="15"/>
      <c r="CY313" s="15"/>
      <c r="CZ313" s="15"/>
      <c r="DA313" s="15"/>
      <c r="DB313" s="15"/>
      <c r="DC313" s="15"/>
      <c r="DD313" s="15"/>
      <c r="DE313" s="15"/>
      <c r="DF313" s="15"/>
      <c r="DG313" s="15"/>
      <c r="DH313" s="15"/>
      <c r="DI313" s="15"/>
      <c r="DJ313" s="15"/>
      <c r="DK313" s="15"/>
    </row>
    <row r="314" spans="1:115" ht="30" customHeight="1" x14ac:dyDescent="0.25">
      <c r="A314" s="15" t="s">
        <v>342</v>
      </c>
      <c r="B314" s="15">
        <v>167.52000427246094</v>
      </c>
      <c r="C314" s="18">
        <v>170.05</v>
      </c>
      <c r="D314" s="18">
        <v>170.05</v>
      </c>
      <c r="E314" s="18">
        <v>170.05</v>
      </c>
      <c r="F314" s="18">
        <v>167.52</v>
      </c>
      <c r="G314" s="18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  <c r="AG314" s="15"/>
      <c r="AH314" s="15"/>
      <c r="AI314" s="15"/>
      <c r="AJ314" s="15"/>
      <c r="AK314" s="15"/>
      <c r="AL314" s="15"/>
      <c r="AM314" s="15"/>
      <c r="AN314" s="15"/>
      <c r="AO314" s="15"/>
      <c r="AP314" s="15"/>
      <c r="AQ314" s="15"/>
      <c r="AR314" s="15"/>
      <c r="AS314" s="15"/>
      <c r="AT314" s="15"/>
      <c r="AU314" s="15"/>
      <c r="AV314" s="15"/>
      <c r="AW314" s="15"/>
      <c r="AX314" s="15"/>
      <c r="AY314" s="15"/>
      <c r="AZ314" s="15"/>
      <c r="BA314" s="15"/>
      <c r="BB314" s="15"/>
      <c r="BC314" s="15"/>
      <c r="BD314" s="15"/>
      <c r="BE314" s="15"/>
      <c r="BF314" s="15"/>
      <c r="BG314" s="15"/>
      <c r="BH314" s="15"/>
      <c r="BI314" s="15"/>
      <c r="BJ314" s="15"/>
      <c r="BK314" s="15"/>
      <c r="BL314" s="15"/>
      <c r="BM314" s="15"/>
      <c r="BN314" s="15"/>
      <c r="BO314" s="15"/>
      <c r="BP314" s="15"/>
      <c r="BQ314" s="15"/>
      <c r="BR314" s="15"/>
      <c r="BS314" s="15"/>
      <c r="BT314" s="15"/>
      <c r="BU314" s="15"/>
      <c r="BV314" s="15"/>
      <c r="BW314" s="15"/>
      <c r="BX314" s="15"/>
      <c r="BY314" s="15"/>
      <c r="BZ314" s="15"/>
      <c r="CA314" s="15"/>
      <c r="CB314" s="15"/>
      <c r="CC314" s="15"/>
      <c r="CD314" s="15"/>
      <c r="CE314" s="15"/>
      <c r="CF314" s="15"/>
      <c r="CG314" s="15"/>
      <c r="CH314" s="15"/>
      <c r="CI314" s="15"/>
      <c r="CJ314" s="15"/>
      <c r="CK314" s="15"/>
      <c r="CL314" s="15"/>
      <c r="CM314" s="15"/>
      <c r="CN314" s="15"/>
      <c r="CO314" s="15"/>
      <c r="CP314" s="15"/>
      <c r="CQ314" s="15"/>
      <c r="CR314" s="15"/>
      <c r="CS314" s="15"/>
      <c r="CT314" s="15"/>
      <c r="CU314" s="15"/>
      <c r="CV314" s="15"/>
      <c r="CW314" s="15"/>
      <c r="CX314" s="15"/>
      <c r="CY314" s="15"/>
      <c r="CZ314" s="15"/>
      <c r="DA314" s="15"/>
      <c r="DB314" s="15"/>
      <c r="DC314" s="15"/>
      <c r="DD314" s="15"/>
      <c r="DE314" s="15"/>
      <c r="DF314" s="15"/>
      <c r="DG314" s="15"/>
      <c r="DH314" s="15"/>
      <c r="DI314" s="15"/>
      <c r="DJ314" s="15"/>
      <c r="DK314" s="15"/>
    </row>
    <row r="315" spans="1:115" ht="30" customHeight="1" x14ac:dyDescent="0.25">
      <c r="A315" s="15" t="s">
        <v>392</v>
      </c>
      <c r="B315" s="15">
        <v>40.369998931884766</v>
      </c>
      <c r="C315" s="18">
        <v>40.56</v>
      </c>
      <c r="D315" s="18">
        <v>40.56</v>
      </c>
      <c r="E315" s="18">
        <v>40.56</v>
      </c>
      <c r="F315" s="18">
        <v>40.369999999999997</v>
      </c>
      <c r="G315" s="18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  <c r="AG315" s="15"/>
      <c r="AH315" s="15"/>
      <c r="AI315" s="15"/>
      <c r="AJ315" s="15"/>
      <c r="AK315" s="15"/>
      <c r="AL315" s="15"/>
      <c r="AM315" s="15"/>
      <c r="AN315" s="15"/>
      <c r="AO315" s="15"/>
      <c r="AP315" s="15"/>
      <c r="AQ315" s="15"/>
      <c r="AR315" s="15"/>
      <c r="AS315" s="15"/>
      <c r="AT315" s="15"/>
      <c r="AU315" s="15"/>
      <c r="AV315" s="15"/>
      <c r="AW315" s="15"/>
      <c r="AX315" s="15"/>
      <c r="AY315" s="15"/>
      <c r="AZ315" s="15"/>
      <c r="BA315" s="15"/>
      <c r="BB315" s="15"/>
      <c r="BC315" s="15"/>
      <c r="BD315" s="15"/>
      <c r="BE315" s="15"/>
      <c r="BF315" s="15"/>
      <c r="BG315" s="15"/>
      <c r="BH315" s="15"/>
      <c r="BI315" s="15"/>
      <c r="BJ315" s="15"/>
      <c r="BK315" s="15"/>
      <c r="BL315" s="15"/>
      <c r="BM315" s="15"/>
      <c r="BN315" s="15"/>
      <c r="BO315" s="15"/>
      <c r="BP315" s="15"/>
      <c r="BQ315" s="15"/>
      <c r="BR315" s="15"/>
      <c r="BS315" s="15"/>
      <c r="BT315" s="15"/>
      <c r="BU315" s="15"/>
      <c r="BV315" s="15"/>
      <c r="BW315" s="15"/>
      <c r="BX315" s="15"/>
      <c r="BY315" s="15"/>
      <c r="BZ315" s="15"/>
      <c r="CA315" s="15"/>
      <c r="CB315" s="15"/>
      <c r="CC315" s="15"/>
      <c r="CD315" s="15"/>
      <c r="CE315" s="15"/>
      <c r="CF315" s="15"/>
      <c r="CG315" s="15"/>
      <c r="CH315" s="15"/>
      <c r="CI315" s="15"/>
      <c r="CJ315" s="15"/>
      <c r="CK315" s="15"/>
      <c r="CL315" s="15"/>
      <c r="CM315" s="15"/>
      <c r="CN315" s="15"/>
      <c r="CO315" s="15"/>
      <c r="CP315" s="15"/>
      <c r="CQ315" s="15"/>
      <c r="CR315" s="15"/>
      <c r="CS315" s="15"/>
      <c r="CT315" s="15"/>
      <c r="CU315" s="15"/>
      <c r="CV315" s="15"/>
      <c r="CW315" s="15"/>
      <c r="CX315" s="15"/>
      <c r="CY315" s="15"/>
      <c r="CZ315" s="15"/>
      <c r="DA315" s="15"/>
      <c r="DB315" s="15"/>
      <c r="DC315" s="15"/>
      <c r="DD315" s="15"/>
      <c r="DE315" s="15"/>
      <c r="DF315" s="15"/>
      <c r="DG315" s="15"/>
      <c r="DH315" s="15"/>
      <c r="DI315" s="15"/>
      <c r="DJ315" s="15"/>
      <c r="DK315" s="15"/>
    </row>
    <row r="316" spans="1:115" ht="30" customHeight="1" x14ac:dyDescent="0.25">
      <c r="A316" s="15" t="s">
        <v>393</v>
      </c>
      <c r="B316" s="15">
        <v>40.299999237060547</v>
      </c>
      <c r="C316" s="18">
        <v>40.47</v>
      </c>
      <c r="D316" s="18">
        <v>40.47</v>
      </c>
      <c r="E316" s="18">
        <v>40.47</v>
      </c>
      <c r="F316" s="18">
        <v>40.299999999999997</v>
      </c>
      <c r="G316" s="18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  <c r="AG316" s="15"/>
      <c r="AH316" s="15"/>
      <c r="AI316" s="15"/>
      <c r="AJ316" s="15"/>
      <c r="AK316" s="15"/>
      <c r="AL316" s="15"/>
      <c r="AM316" s="15"/>
      <c r="AN316" s="15"/>
      <c r="AO316" s="15"/>
      <c r="AP316" s="15"/>
      <c r="AQ316" s="15"/>
      <c r="AR316" s="15"/>
      <c r="AS316" s="15"/>
      <c r="AT316" s="15"/>
      <c r="AU316" s="15"/>
      <c r="AV316" s="15"/>
      <c r="AW316" s="15"/>
      <c r="AX316" s="15"/>
      <c r="AY316" s="15"/>
      <c r="AZ316" s="15"/>
      <c r="BA316" s="15"/>
      <c r="BB316" s="15"/>
      <c r="BC316" s="15"/>
      <c r="BD316" s="15"/>
      <c r="BE316" s="15"/>
      <c r="BF316" s="15"/>
      <c r="BG316" s="15"/>
      <c r="BH316" s="15"/>
      <c r="BI316" s="15"/>
      <c r="BJ316" s="15"/>
      <c r="BK316" s="15"/>
      <c r="BL316" s="15"/>
      <c r="BM316" s="15"/>
      <c r="BN316" s="15"/>
      <c r="BO316" s="15"/>
      <c r="BP316" s="15"/>
      <c r="BQ316" s="15"/>
      <c r="BR316" s="15"/>
      <c r="BS316" s="15"/>
      <c r="BT316" s="15"/>
      <c r="BU316" s="15"/>
      <c r="BV316" s="15"/>
      <c r="BW316" s="15"/>
      <c r="BX316" s="15"/>
      <c r="BY316" s="15"/>
      <c r="BZ316" s="15"/>
      <c r="CA316" s="15"/>
      <c r="CB316" s="15"/>
      <c r="CC316" s="15"/>
      <c r="CD316" s="15"/>
      <c r="CE316" s="15"/>
      <c r="CF316" s="15"/>
      <c r="CG316" s="15"/>
      <c r="CH316" s="15"/>
      <c r="CI316" s="15"/>
      <c r="CJ316" s="15"/>
      <c r="CK316" s="15"/>
      <c r="CL316" s="15"/>
      <c r="CM316" s="15"/>
      <c r="CN316" s="15"/>
      <c r="CO316" s="15"/>
      <c r="CP316" s="15"/>
      <c r="CQ316" s="15"/>
      <c r="CR316" s="15"/>
      <c r="CS316" s="15"/>
      <c r="CT316" s="15"/>
      <c r="CU316" s="15"/>
      <c r="CV316" s="15"/>
      <c r="CW316" s="15"/>
      <c r="CX316" s="15"/>
      <c r="CY316" s="15"/>
      <c r="CZ316" s="15"/>
      <c r="DA316" s="15"/>
      <c r="DB316" s="15"/>
      <c r="DC316" s="15"/>
      <c r="DD316" s="15"/>
      <c r="DE316" s="15"/>
      <c r="DF316" s="15"/>
      <c r="DG316" s="15"/>
      <c r="DH316" s="15"/>
      <c r="DI316" s="15"/>
      <c r="DJ316" s="15"/>
      <c r="DK316" s="15"/>
    </row>
    <row r="317" spans="1:115" ht="30" customHeight="1" x14ac:dyDescent="0.25">
      <c r="A317" s="15" t="s">
        <v>343</v>
      </c>
      <c r="B317" s="15">
        <v>285.1400146484375</v>
      </c>
      <c r="C317" s="18">
        <v>288.29000000000002</v>
      </c>
      <c r="D317" s="18">
        <v>288.29000000000002</v>
      </c>
      <c r="E317" s="18">
        <v>288.29000000000002</v>
      </c>
      <c r="F317" s="18">
        <v>285.14</v>
      </c>
      <c r="G317" s="18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  <c r="AG317" s="15"/>
      <c r="AH317" s="15"/>
      <c r="AI317" s="15"/>
      <c r="AJ317" s="15"/>
      <c r="AK317" s="15"/>
      <c r="AL317" s="15"/>
      <c r="AM317" s="15"/>
      <c r="AN317" s="15"/>
      <c r="AO317" s="15"/>
      <c r="AP317" s="15"/>
      <c r="AQ317" s="15"/>
      <c r="AR317" s="15"/>
      <c r="AS317" s="15"/>
      <c r="AT317" s="15"/>
      <c r="AU317" s="15"/>
      <c r="AV317" s="15"/>
      <c r="AW317" s="15"/>
      <c r="AX317" s="15"/>
      <c r="AY317" s="15"/>
      <c r="AZ317" s="15"/>
      <c r="BA317" s="15"/>
      <c r="BB317" s="15"/>
      <c r="BC317" s="15"/>
      <c r="BD317" s="15"/>
      <c r="BE317" s="15"/>
      <c r="BF317" s="15"/>
      <c r="BG317" s="15"/>
      <c r="BH317" s="15"/>
      <c r="BI317" s="15"/>
      <c r="BJ317" s="15"/>
      <c r="BK317" s="15"/>
      <c r="BL317" s="15"/>
      <c r="BM317" s="15"/>
      <c r="BN317" s="15"/>
      <c r="BO317" s="15"/>
      <c r="BP317" s="15"/>
      <c r="BQ317" s="15"/>
      <c r="BR317" s="15"/>
      <c r="BS317" s="15"/>
      <c r="BT317" s="15"/>
      <c r="BU317" s="15"/>
      <c r="BV317" s="15"/>
      <c r="BW317" s="15"/>
      <c r="BX317" s="15"/>
      <c r="BY317" s="15"/>
      <c r="BZ317" s="15"/>
      <c r="CA317" s="15"/>
      <c r="CB317" s="15"/>
      <c r="CC317" s="15"/>
      <c r="CD317" s="15"/>
      <c r="CE317" s="15"/>
      <c r="CF317" s="15"/>
      <c r="CG317" s="15"/>
      <c r="CH317" s="15"/>
      <c r="CI317" s="15"/>
      <c r="CJ317" s="15"/>
      <c r="CK317" s="15"/>
      <c r="CL317" s="15"/>
      <c r="CM317" s="15"/>
      <c r="CN317" s="15"/>
      <c r="CO317" s="15"/>
      <c r="CP317" s="15"/>
      <c r="CQ317" s="15"/>
      <c r="CR317" s="15"/>
      <c r="CS317" s="15"/>
      <c r="CT317" s="15"/>
      <c r="CU317" s="15"/>
      <c r="CV317" s="15"/>
      <c r="CW317" s="15"/>
      <c r="CX317" s="15"/>
      <c r="CY317" s="15"/>
      <c r="CZ317" s="15"/>
      <c r="DA317" s="15"/>
      <c r="DB317" s="15"/>
      <c r="DC317" s="15"/>
      <c r="DD317" s="15"/>
      <c r="DE317" s="15"/>
      <c r="DF317" s="15"/>
      <c r="DG317" s="15"/>
      <c r="DH317" s="15"/>
      <c r="DI317" s="15"/>
      <c r="DJ317" s="15"/>
      <c r="DK317" s="15"/>
    </row>
    <row r="318" spans="1:115" ht="30" customHeight="1" x14ac:dyDescent="0.25">
      <c r="A318" s="15" t="s">
        <v>401</v>
      </c>
      <c r="B318" s="15">
        <v>33.860000610351563</v>
      </c>
      <c r="C318" s="18">
        <v>34.085000000000001</v>
      </c>
      <c r="D318" s="18">
        <v>34.085000000000001</v>
      </c>
      <c r="E318" s="18">
        <v>34.085000000000001</v>
      </c>
      <c r="F318" s="18">
        <v>33.86</v>
      </c>
      <c r="G318" s="18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  <c r="AG318" s="15"/>
      <c r="AH318" s="15"/>
      <c r="AI318" s="15"/>
      <c r="AJ318" s="15"/>
      <c r="AK318" s="15"/>
      <c r="AL318" s="15"/>
      <c r="AM318" s="15"/>
      <c r="AN318" s="15"/>
      <c r="AO318" s="15"/>
      <c r="AP318" s="15"/>
      <c r="AQ318" s="15"/>
      <c r="AR318" s="15"/>
      <c r="AS318" s="15"/>
      <c r="AT318" s="15"/>
      <c r="AU318" s="15"/>
      <c r="AV318" s="15"/>
      <c r="AW318" s="15"/>
      <c r="AX318" s="15"/>
      <c r="AY318" s="15"/>
      <c r="AZ318" s="15"/>
      <c r="BA318" s="15"/>
      <c r="BB318" s="15"/>
      <c r="BC318" s="15"/>
      <c r="BD318" s="15"/>
      <c r="BE318" s="15"/>
      <c r="BF318" s="15"/>
      <c r="BG318" s="15"/>
      <c r="BH318" s="15"/>
      <c r="BI318" s="15"/>
      <c r="BJ318" s="15"/>
      <c r="BK318" s="15"/>
      <c r="BL318" s="15"/>
      <c r="BM318" s="15"/>
      <c r="BN318" s="15"/>
      <c r="BO318" s="15"/>
      <c r="BP318" s="15"/>
      <c r="BQ318" s="15"/>
      <c r="BR318" s="15"/>
      <c r="BS318" s="15"/>
      <c r="BT318" s="15"/>
      <c r="BU318" s="15"/>
      <c r="BV318" s="15"/>
      <c r="BW318" s="15"/>
      <c r="BX318" s="15"/>
      <c r="BY318" s="15"/>
      <c r="BZ318" s="15"/>
      <c r="CA318" s="15"/>
      <c r="CB318" s="15"/>
      <c r="CC318" s="15"/>
      <c r="CD318" s="15"/>
      <c r="CE318" s="15"/>
      <c r="CF318" s="15"/>
      <c r="CG318" s="15"/>
      <c r="CH318" s="15"/>
      <c r="CI318" s="15"/>
      <c r="CJ318" s="15"/>
      <c r="CK318" s="15"/>
      <c r="CL318" s="15"/>
      <c r="CM318" s="15"/>
      <c r="CN318" s="15"/>
      <c r="CO318" s="15"/>
      <c r="CP318" s="15"/>
      <c r="CQ318" s="15"/>
      <c r="CR318" s="15"/>
      <c r="CS318" s="15"/>
      <c r="CT318" s="15"/>
      <c r="CU318" s="15"/>
      <c r="CV318" s="15"/>
      <c r="CW318" s="15"/>
      <c r="CX318" s="15"/>
      <c r="CY318" s="15"/>
      <c r="CZ318" s="15"/>
      <c r="DA318" s="15"/>
      <c r="DB318" s="15"/>
      <c r="DC318" s="15"/>
      <c r="DD318" s="15"/>
      <c r="DE318" s="15"/>
      <c r="DF318" s="15"/>
      <c r="DG318" s="15"/>
      <c r="DH318" s="15"/>
      <c r="DI318" s="15"/>
      <c r="DJ318" s="15"/>
      <c r="DK318" s="15"/>
    </row>
    <row r="319" spans="1:115" ht="30" customHeight="1" x14ac:dyDescent="0.25">
      <c r="A319" s="15" t="s">
        <v>382</v>
      </c>
      <c r="B319" s="15">
        <v>0.17162309587001801</v>
      </c>
      <c r="C319" s="18">
        <v>0.16729134000000001</v>
      </c>
      <c r="D319" s="18">
        <v>0.15203992999999999</v>
      </c>
      <c r="E319" s="18">
        <v>0.15580938999999999</v>
      </c>
      <c r="F319" s="18">
        <v>0.13914472</v>
      </c>
      <c r="G319" s="18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  <c r="AG319" s="15"/>
      <c r="AH319" s="15"/>
      <c r="AI319" s="15"/>
      <c r="AJ319" s="15"/>
      <c r="AK319" s="15"/>
      <c r="AL319" s="15"/>
      <c r="AM319" s="15"/>
      <c r="AN319" s="15"/>
      <c r="AO319" s="15"/>
      <c r="AP319" s="15"/>
      <c r="AQ319" s="15"/>
      <c r="AR319" s="15"/>
      <c r="AS319" s="15"/>
      <c r="AT319" s="15"/>
      <c r="AU319" s="15"/>
      <c r="AV319" s="15"/>
      <c r="AW319" s="15"/>
      <c r="AX319" s="15"/>
      <c r="AY319" s="15"/>
      <c r="AZ319" s="15"/>
      <c r="BA319" s="15"/>
      <c r="BB319" s="15"/>
      <c r="BC319" s="15"/>
      <c r="BD319" s="15"/>
      <c r="BE319" s="15"/>
      <c r="BF319" s="15"/>
      <c r="BG319" s="15"/>
      <c r="BH319" s="15"/>
      <c r="BI319" s="15"/>
      <c r="BJ319" s="15"/>
      <c r="BK319" s="15"/>
      <c r="BL319" s="15"/>
      <c r="BM319" s="15"/>
      <c r="BN319" s="15"/>
      <c r="BO319" s="15"/>
      <c r="BP319" s="15"/>
      <c r="BQ319" s="15"/>
      <c r="BR319" s="15"/>
      <c r="BS319" s="15"/>
      <c r="BT319" s="15"/>
      <c r="BU319" s="15"/>
      <c r="BV319" s="15"/>
      <c r="BW319" s="15"/>
      <c r="BX319" s="15"/>
      <c r="BY319" s="15"/>
      <c r="BZ319" s="15"/>
      <c r="CA319" s="15"/>
      <c r="CB319" s="15"/>
      <c r="CC319" s="15"/>
      <c r="CD319" s="15"/>
      <c r="CE319" s="15"/>
      <c r="CF319" s="15"/>
      <c r="CG319" s="15"/>
      <c r="CH319" s="15"/>
      <c r="CI319" s="15"/>
      <c r="CJ319" s="15"/>
      <c r="CK319" s="15"/>
      <c r="CL319" s="15"/>
      <c r="CM319" s="15"/>
      <c r="CN319" s="15"/>
      <c r="CO319" s="15"/>
      <c r="CP319" s="15"/>
      <c r="CQ319" s="15"/>
      <c r="CR319" s="15"/>
      <c r="CS319" s="15"/>
      <c r="CT319" s="15"/>
      <c r="CU319" s="15"/>
      <c r="CV319" s="15"/>
      <c r="CW319" s="15"/>
      <c r="CX319" s="15"/>
      <c r="CY319" s="15"/>
      <c r="CZ319" s="15"/>
      <c r="DA319" s="15"/>
      <c r="DB319" s="15"/>
      <c r="DC319" s="15"/>
      <c r="DD319" s="15"/>
      <c r="DE319" s="15"/>
      <c r="DF319" s="15"/>
      <c r="DG319" s="15"/>
      <c r="DH319" s="15"/>
      <c r="DI319" s="15"/>
      <c r="DJ319" s="15"/>
      <c r="DK319" s="15"/>
    </row>
    <row r="320" spans="1:115" ht="30" customHeight="1" x14ac:dyDescent="0.25">
      <c r="A320" s="15" t="s">
        <v>394</v>
      </c>
      <c r="B320" s="15">
        <v>90.230003356933594</v>
      </c>
      <c r="C320" s="18">
        <v>90.84</v>
      </c>
      <c r="D320" s="18">
        <v>90.84</v>
      </c>
      <c r="E320" s="18">
        <v>90.84</v>
      </c>
      <c r="F320" s="18">
        <v>90.23</v>
      </c>
      <c r="G320" s="18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  <c r="AG320" s="15"/>
      <c r="AH320" s="15"/>
      <c r="AI320" s="15"/>
      <c r="AJ320" s="15"/>
      <c r="AK320" s="15"/>
      <c r="AL320" s="15"/>
      <c r="AM320" s="15"/>
      <c r="AN320" s="15"/>
      <c r="AO320" s="15"/>
      <c r="AP320" s="15"/>
      <c r="AQ320" s="15"/>
      <c r="AR320" s="15"/>
      <c r="AS320" s="15"/>
      <c r="AT320" s="15"/>
      <c r="AU320" s="15"/>
      <c r="AV320" s="15"/>
      <c r="AW320" s="15"/>
      <c r="AX320" s="15"/>
      <c r="AY320" s="15"/>
      <c r="AZ320" s="15"/>
      <c r="BA320" s="15"/>
      <c r="BB320" s="15"/>
      <c r="BC320" s="15"/>
      <c r="BD320" s="15"/>
      <c r="BE320" s="15"/>
      <c r="BF320" s="15"/>
      <c r="BG320" s="15"/>
      <c r="BH320" s="15"/>
      <c r="BI320" s="15"/>
      <c r="BJ320" s="15"/>
      <c r="BK320" s="15"/>
      <c r="BL320" s="15"/>
      <c r="BM320" s="15"/>
      <c r="BN320" s="15"/>
      <c r="BO320" s="15"/>
      <c r="BP320" s="15"/>
      <c r="BQ320" s="15"/>
      <c r="BR320" s="15"/>
      <c r="BS320" s="15"/>
      <c r="BT320" s="15"/>
      <c r="BU320" s="15"/>
      <c r="BV320" s="15"/>
      <c r="BW320" s="15"/>
      <c r="BX320" s="15"/>
      <c r="BY320" s="15"/>
      <c r="BZ320" s="15"/>
      <c r="CA320" s="15"/>
      <c r="CB320" s="15"/>
      <c r="CC320" s="15"/>
      <c r="CD320" s="15"/>
      <c r="CE320" s="15"/>
      <c r="CF320" s="15"/>
      <c r="CG320" s="15"/>
      <c r="CH320" s="15"/>
      <c r="CI320" s="15"/>
      <c r="CJ320" s="15"/>
      <c r="CK320" s="15"/>
      <c r="CL320" s="15"/>
      <c r="CM320" s="15"/>
      <c r="CN320" s="15"/>
      <c r="CO320" s="15"/>
      <c r="CP320" s="15"/>
      <c r="CQ320" s="15"/>
      <c r="CR320" s="15"/>
      <c r="CS320" s="15"/>
      <c r="CT320" s="15"/>
      <c r="CU320" s="15"/>
      <c r="CV320" s="15"/>
      <c r="CW320" s="15"/>
      <c r="CX320" s="15"/>
      <c r="CY320" s="15"/>
      <c r="CZ320" s="15"/>
      <c r="DA320" s="15"/>
      <c r="DB320" s="15"/>
      <c r="DC320" s="15"/>
      <c r="DD320" s="15"/>
      <c r="DE320" s="15"/>
      <c r="DF320" s="15"/>
      <c r="DG320" s="15"/>
      <c r="DH320" s="15"/>
      <c r="DI320" s="15"/>
      <c r="DJ320" s="15"/>
      <c r="DK320" s="15"/>
    </row>
    <row r="321" spans="1:115" ht="30" customHeight="1" x14ac:dyDescent="0.25">
      <c r="A321" s="15" t="s">
        <v>83</v>
      </c>
      <c r="B321" s="15">
        <v>67.610000610351563</v>
      </c>
      <c r="C321" s="18">
        <v>67.83</v>
      </c>
      <c r="D321" s="18">
        <v>67.83</v>
      </c>
      <c r="E321" s="18">
        <v>67.83</v>
      </c>
      <c r="F321" s="18">
        <v>67.61</v>
      </c>
      <c r="G321" s="18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  <c r="AG321" s="15"/>
      <c r="AH321" s="15"/>
      <c r="AI321" s="15"/>
      <c r="AJ321" s="15"/>
      <c r="AK321" s="15"/>
      <c r="AL321" s="15"/>
      <c r="AM321" s="15"/>
      <c r="AN321" s="15"/>
      <c r="AO321" s="15"/>
      <c r="AP321" s="15"/>
      <c r="AQ321" s="15"/>
      <c r="AR321" s="15"/>
      <c r="AS321" s="15"/>
      <c r="AT321" s="15"/>
      <c r="AU321" s="15"/>
      <c r="AV321" s="15"/>
      <c r="AW321" s="15"/>
      <c r="AX321" s="15"/>
      <c r="AY321" s="15"/>
      <c r="AZ321" s="15"/>
      <c r="BA321" s="15"/>
      <c r="BB321" s="15"/>
      <c r="BC321" s="15"/>
      <c r="BD321" s="15"/>
      <c r="BE321" s="15"/>
      <c r="BF321" s="15"/>
      <c r="BG321" s="15"/>
      <c r="BH321" s="15"/>
      <c r="BI321" s="15"/>
      <c r="BJ321" s="15"/>
      <c r="BK321" s="15"/>
      <c r="BL321" s="15"/>
      <c r="BM321" s="15"/>
      <c r="BN321" s="15"/>
      <c r="BO321" s="15"/>
      <c r="BP321" s="15"/>
      <c r="BQ321" s="15"/>
      <c r="BR321" s="15"/>
      <c r="BS321" s="15"/>
      <c r="BT321" s="15"/>
      <c r="BU321" s="15"/>
      <c r="BV321" s="15"/>
      <c r="BW321" s="15"/>
      <c r="BX321" s="15"/>
      <c r="BY321" s="15"/>
      <c r="BZ321" s="15"/>
      <c r="CA321" s="15"/>
      <c r="CB321" s="15"/>
      <c r="CC321" s="15"/>
      <c r="CD321" s="15"/>
      <c r="CE321" s="15"/>
      <c r="CF321" s="15"/>
      <c r="CG321" s="15"/>
      <c r="CH321" s="15"/>
      <c r="CI321" s="15"/>
      <c r="CJ321" s="15"/>
      <c r="CK321" s="15"/>
      <c r="CL321" s="15"/>
      <c r="CM321" s="15"/>
      <c r="CN321" s="15"/>
      <c r="CO321" s="15"/>
      <c r="CP321" s="15"/>
      <c r="CQ321" s="15"/>
      <c r="CR321" s="15"/>
      <c r="CS321" s="15"/>
      <c r="CT321" s="15"/>
      <c r="CU321" s="15"/>
      <c r="CV321" s="15"/>
      <c r="CW321" s="15"/>
      <c r="CX321" s="15"/>
      <c r="CY321" s="15"/>
      <c r="CZ321" s="15"/>
      <c r="DA321" s="15"/>
      <c r="DB321" s="15"/>
      <c r="DC321" s="15"/>
      <c r="DD321" s="15"/>
      <c r="DE321" s="15"/>
      <c r="DF321" s="15"/>
      <c r="DG321" s="15"/>
      <c r="DH321" s="15"/>
      <c r="DI321" s="15"/>
      <c r="DJ321" s="15"/>
      <c r="DK321" s="15"/>
    </row>
    <row r="322" spans="1:115" ht="30" customHeight="1" x14ac:dyDescent="0.25">
      <c r="A322" s="15" t="s">
        <v>59</v>
      </c>
      <c r="B322" s="15">
        <v>84.05999755859375</v>
      </c>
      <c r="C322" s="18">
        <v>85.15</v>
      </c>
      <c r="D322" s="18">
        <v>85.15</v>
      </c>
      <c r="E322" s="18">
        <v>85.15</v>
      </c>
      <c r="F322" s="18">
        <v>84.06</v>
      </c>
      <c r="G322" s="18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  <c r="AG322" s="15"/>
      <c r="AH322" s="15"/>
      <c r="AI322" s="15"/>
      <c r="AJ322" s="15"/>
      <c r="AK322" s="15"/>
      <c r="AL322" s="15"/>
      <c r="AM322" s="15"/>
      <c r="AN322" s="15"/>
      <c r="AO322" s="15"/>
      <c r="AP322" s="15"/>
      <c r="AQ322" s="15"/>
      <c r="AR322" s="15"/>
      <c r="AS322" s="15"/>
      <c r="AT322" s="15"/>
      <c r="AU322" s="15"/>
      <c r="AV322" s="15"/>
      <c r="AW322" s="15"/>
      <c r="AX322" s="15"/>
      <c r="AY322" s="15"/>
      <c r="AZ322" s="15"/>
      <c r="BA322" s="15"/>
      <c r="BB322" s="15"/>
      <c r="BC322" s="15"/>
      <c r="BD322" s="15"/>
      <c r="BE322" s="15"/>
      <c r="BF322" s="15"/>
      <c r="BG322" s="15"/>
      <c r="BH322" s="15"/>
      <c r="BI322" s="15"/>
      <c r="BJ322" s="15"/>
      <c r="BK322" s="15"/>
      <c r="BL322" s="15"/>
      <c r="BM322" s="15"/>
      <c r="BN322" s="15"/>
      <c r="BO322" s="15"/>
      <c r="BP322" s="15"/>
      <c r="BQ322" s="15"/>
      <c r="BR322" s="15"/>
      <c r="BS322" s="15"/>
      <c r="BT322" s="15"/>
      <c r="BU322" s="15"/>
      <c r="BV322" s="15"/>
      <c r="BW322" s="15"/>
      <c r="BX322" s="15"/>
      <c r="BY322" s="15"/>
      <c r="BZ322" s="15"/>
      <c r="CA322" s="15"/>
      <c r="CB322" s="15"/>
      <c r="CC322" s="15"/>
      <c r="CD322" s="15"/>
      <c r="CE322" s="15"/>
      <c r="CF322" s="15"/>
      <c r="CG322" s="15"/>
      <c r="CH322" s="15"/>
      <c r="CI322" s="15"/>
      <c r="CJ322" s="15"/>
      <c r="CK322" s="15"/>
      <c r="CL322" s="15"/>
      <c r="CM322" s="15"/>
      <c r="CN322" s="15"/>
      <c r="CO322" s="15"/>
      <c r="CP322" s="15"/>
      <c r="CQ322" s="15"/>
      <c r="CR322" s="15"/>
      <c r="CS322" s="15"/>
      <c r="CT322" s="15"/>
      <c r="CU322" s="15"/>
      <c r="CV322" s="15"/>
      <c r="CW322" s="15"/>
      <c r="CX322" s="15"/>
      <c r="CY322" s="15"/>
      <c r="CZ322" s="15"/>
      <c r="DA322" s="15"/>
      <c r="DB322" s="15"/>
      <c r="DC322" s="15"/>
      <c r="DD322" s="15"/>
      <c r="DE322" s="15"/>
      <c r="DF322" s="15"/>
      <c r="DG322" s="15"/>
      <c r="DH322" s="15"/>
      <c r="DI322" s="15"/>
      <c r="DJ322" s="15"/>
      <c r="DK322" s="15"/>
    </row>
    <row r="323" spans="1:115" ht="30" customHeight="1" x14ac:dyDescent="0.25">
      <c r="A323" s="15" t="s">
        <v>402</v>
      </c>
      <c r="B323" s="15">
        <v>30.620000839233398</v>
      </c>
      <c r="C323" s="18">
        <v>30.78</v>
      </c>
      <c r="D323" s="18">
        <v>30.78</v>
      </c>
      <c r="E323" s="18">
        <v>30.78</v>
      </c>
      <c r="F323" s="18">
        <v>30.62</v>
      </c>
      <c r="G323" s="18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  <c r="AG323" s="15"/>
      <c r="AH323" s="15"/>
      <c r="AI323" s="15"/>
      <c r="AJ323" s="15"/>
      <c r="AK323" s="15"/>
      <c r="AL323" s="15"/>
      <c r="AM323" s="15"/>
      <c r="AN323" s="15"/>
      <c r="AO323" s="15"/>
      <c r="AP323" s="15"/>
      <c r="AQ323" s="15"/>
      <c r="AR323" s="15"/>
      <c r="AS323" s="15"/>
      <c r="AT323" s="15"/>
      <c r="AU323" s="15"/>
      <c r="AV323" s="15"/>
      <c r="AW323" s="15"/>
      <c r="AX323" s="15"/>
      <c r="AY323" s="15"/>
      <c r="AZ323" s="15"/>
      <c r="BA323" s="15"/>
      <c r="BB323" s="15"/>
      <c r="BC323" s="15"/>
      <c r="BD323" s="15"/>
      <c r="BE323" s="15"/>
      <c r="BF323" s="15"/>
      <c r="BG323" s="15"/>
      <c r="BH323" s="15"/>
      <c r="BI323" s="15"/>
      <c r="BJ323" s="15"/>
      <c r="BK323" s="15"/>
      <c r="BL323" s="15"/>
      <c r="BM323" s="15"/>
      <c r="BN323" s="15"/>
      <c r="BO323" s="15"/>
      <c r="BP323" s="15"/>
      <c r="BQ323" s="15"/>
      <c r="BR323" s="15"/>
      <c r="BS323" s="15"/>
      <c r="BT323" s="15"/>
      <c r="BU323" s="15"/>
      <c r="BV323" s="15"/>
      <c r="BW323" s="15"/>
      <c r="BX323" s="15"/>
      <c r="BY323" s="15"/>
      <c r="BZ323" s="15"/>
      <c r="CA323" s="15"/>
      <c r="CB323" s="15"/>
      <c r="CC323" s="15"/>
      <c r="CD323" s="15"/>
      <c r="CE323" s="15"/>
      <c r="CF323" s="15"/>
      <c r="CG323" s="15"/>
      <c r="CH323" s="15"/>
      <c r="CI323" s="15"/>
      <c r="CJ323" s="15"/>
      <c r="CK323" s="15"/>
      <c r="CL323" s="15"/>
      <c r="CM323" s="15"/>
      <c r="CN323" s="15"/>
      <c r="CO323" s="15"/>
      <c r="CP323" s="15"/>
      <c r="CQ323" s="15"/>
      <c r="CR323" s="15"/>
      <c r="CS323" s="15"/>
      <c r="CT323" s="15"/>
      <c r="CU323" s="15"/>
      <c r="CV323" s="15"/>
      <c r="CW323" s="15"/>
      <c r="CX323" s="15"/>
      <c r="CY323" s="15"/>
      <c r="CZ323" s="15"/>
      <c r="DA323" s="15"/>
      <c r="DB323" s="15"/>
      <c r="DC323" s="15"/>
      <c r="DD323" s="15"/>
      <c r="DE323" s="15"/>
      <c r="DF323" s="15"/>
      <c r="DG323" s="15"/>
      <c r="DH323" s="15"/>
      <c r="DI323" s="15"/>
      <c r="DJ323" s="15"/>
      <c r="DK323" s="15"/>
    </row>
    <row r="324" spans="1:115" ht="30" customHeight="1" x14ac:dyDescent="0.25">
      <c r="A324" s="15" t="s">
        <v>344</v>
      </c>
      <c r="B324" s="15">
        <v>27.719999313354492</v>
      </c>
      <c r="C324" s="18">
        <v>28.86</v>
      </c>
      <c r="D324" s="18">
        <v>28.86</v>
      </c>
      <c r="E324" s="18">
        <v>28.86</v>
      </c>
      <c r="F324" s="18">
        <v>27.64</v>
      </c>
      <c r="G324" s="18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  <c r="AG324" s="15"/>
      <c r="AH324" s="15"/>
      <c r="AI324" s="15"/>
      <c r="AJ324" s="15"/>
      <c r="AK324" s="15"/>
      <c r="AL324" s="15"/>
      <c r="AM324" s="15"/>
      <c r="AN324" s="15"/>
      <c r="AO324" s="15"/>
      <c r="AP324" s="15"/>
      <c r="AQ324" s="15"/>
      <c r="AR324" s="15"/>
      <c r="AS324" s="15"/>
      <c r="AT324" s="15"/>
      <c r="AU324" s="15"/>
      <c r="AV324" s="15"/>
      <c r="AW324" s="15"/>
      <c r="AX324" s="15"/>
      <c r="AY324" s="15"/>
      <c r="AZ324" s="15"/>
      <c r="BA324" s="15"/>
      <c r="BB324" s="15"/>
      <c r="BC324" s="15"/>
      <c r="BD324" s="15"/>
      <c r="BE324" s="15"/>
      <c r="BF324" s="15"/>
      <c r="BG324" s="15"/>
      <c r="BH324" s="15"/>
      <c r="BI324" s="15"/>
      <c r="BJ324" s="15"/>
      <c r="BK324" s="15"/>
      <c r="BL324" s="15"/>
      <c r="BM324" s="15"/>
      <c r="BN324" s="15"/>
      <c r="BO324" s="15"/>
      <c r="BP324" s="15"/>
      <c r="BQ324" s="15"/>
      <c r="BR324" s="15"/>
      <c r="BS324" s="15"/>
      <c r="BT324" s="15"/>
      <c r="BU324" s="15"/>
      <c r="BV324" s="15"/>
      <c r="BW324" s="15"/>
      <c r="BX324" s="15"/>
      <c r="BY324" s="15"/>
      <c r="BZ324" s="15"/>
      <c r="CA324" s="15"/>
      <c r="CB324" s="15"/>
      <c r="CC324" s="15"/>
      <c r="CD324" s="15"/>
      <c r="CE324" s="15"/>
      <c r="CF324" s="15"/>
      <c r="CG324" s="15"/>
      <c r="CH324" s="15"/>
      <c r="CI324" s="15"/>
      <c r="CJ324" s="15"/>
      <c r="CK324" s="15"/>
      <c r="CL324" s="15"/>
      <c r="CM324" s="15"/>
      <c r="CN324" s="15"/>
      <c r="CO324" s="15"/>
      <c r="CP324" s="15"/>
      <c r="CQ324" s="15"/>
      <c r="CR324" s="15"/>
      <c r="CS324" s="15"/>
      <c r="CT324" s="15"/>
      <c r="CU324" s="15"/>
      <c r="CV324" s="15"/>
      <c r="CW324" s="15"/>
      <c r="CX324" s="15"/>
      <c r="CY324" s="15"/>
      <c r="CZ324" s="15"/>
      <c r="DA324" s="15"/>
      <c r="DB324" s="15"/>
      <c r="DC324" s="15"/>
      <c r="DD324" s="15"/>
      <c r="DE324" s="15"/>
      <c r="DF324" s="15"/>
      <c r="DG324" s="15"/>
      <c r="DH324" s="15"/>
      <c r="DI324" s="15"/>
      <c r="DJ324" s="15"/>
      <c r="DK324" s="15"/>
    </row>
    <row r="325" spans="1:115" ht="30" customHeight="1" x14ac:dyDescent="0.25">
      <c r="A325" s="15" t="s">
        <v>345</v>
      </c>
      <c r="B325" s="15">
        <v>83.319999694824219</v>
      </c>
      <c r="C325" s="18">
        <v>83.24</v>
      </c>
      <c r="D325" s="18">
        <v>83.24</v>
      </c>
      <c r="E325" s="18">
        <v>83.24</v>
      </c>
      <c r="F325" s="18">
        <v>83.32</v>
      </c>
      <c r="G325" s="18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  <c r="AG325" s="15"/>
      <c r="AH325" s="15"/>
      <c r="AI325" s="15"/>
      <c r="AJ325" s="15"/>
      <c r="AK325" s="15"/>
      <c r="AL325" s="15"/>
      <c r="AM325" s="15"/>
      <c r="AN325" s="15"/>
      <c r="AO325" s="15"/>
      <c r="AP325" s="15"/>
      <c r="AQ325" s="15"/>
      <c r="AR325" s="15"/>
      <c r="AS325" s="15"/>
      <c r="AT325" s="15"/>
      <c r="AU325" s="15"/>
      <c r="AV325" s="15"/>
      <c r="AW325" s="15"/>
      <c r="AX325" s="15"/>
      <c r="AY325" s="15"/>
      <c r="AZ325" s="15"/>
      <c r="BA325" s="15"/>
      <c r="BB325" s="15"/>
      <c r="BC325" s="15"/>
      <c r="BD325" s="15"/>
      <c r="BE325" s="15"/>
      <c r="BF325" s="15"/>
      <c r="BG325" s="15"/>
      <c r="BH325" s="15"/>
      <c r="BI325" s="15"/>
      <c r="BJ325" s="15"/>
      <c r="BK325" s="15"/>
      <c r="BL325" s="15"/>
      <c r="BM325" s="15"/>
      <c r="BN325" s="15"/>
      <c r="BO325" s="15"/>
      <c r="BP325" s="15"/>
      <c r="BQ325" s="15"/>
      <c r="BR325" s="15"/>
      <c r="BS325" s="15"/>
      <c r="BT325" s="15"/>
      <c r="BU325" s="15"/>
      <c r="BV325" s="15"/>
      <c r="BW325" s="15"/>
      <c r="BX325" s="15"/>
      <c r="BY325" s="15"/>
      <c r="BZ325" s="15"/>
      <c r="CA325" s="15"/>
      <c r="CB325" s="15"/>
      <c r="CC325" s="15"/>
      <c r="CD325" s="15"/>
      <c r="CE325" s="15"/>
      <c r="CF325" s="15"/>
      <c r="CG325" s="15"/>
      <c r="CH325" s="15"/>
      <c r="CI325" s="15"/>
      <c r="CJ325" s="15"/>
      <c r="CK325" s="15"/>
      <c r="CL325" s="15"/>
      <c r="CM325" s="15"/>
      <c r="CN325" s="15"/>
      <c r="CO325" s="15"/>
      <c r="CP325" s="15"/>
      <c r="CQ325" s="15"/>
      <c r="CR325" s="15"/>
      <c r="CS325" s="15"/>
      <c r="CT325" s="15"/>
      <c r="CU325" s="15"/>
      <c r="CV325" s="15"/>
      <c r="CW325" s="15"/>
      <c r="CX325" s="15"/>
      <c r="CY325" s="15"/>
      <c r="CZ325" s="15"/>
      <c r="DA325" s="15"/>
      <c r="DB325" s="15"/>
      <c r="DC325" s="15"/>
      <c r="DD325" s="15"/>
      <c r="DE325" s="15"/>
      <c r="DF325" s="15"/>
      <c r="DG325" s="15"/>
      <c r="DH325" s="15"/>
      <c r="DI325" s="15"/>
      <c r="DJ325" s="15"/>
      <c r="DK325" s="15"/>
    </row>
    <row r="326" spans="1:115" ht="30" customHeight="1" x14ac:dyDescent="0.25">
      <c r="A326" s="15" t="s">
        <v>60</v>
      </c>
      <c r="B326" s="15">
        <v>102.48999786376953</v>
      </c>
      <c r="C326" s="18">
        <v>102.54</v>
      </c>
      <c r="D326" s="18">
        <v>102.54</v>
      </c>
      <c r="E326" s="18">
        <v>102.54</v>
      </c>
      <c r="F326" s="18">
        <v>102.49</v>
      </c>
      <c r="G326" s="18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  <c r="AG326" s="15"/>
      <c r="AH326" s="15"/>
      <c r="AI326" s="15"/>
      <c r="AJ326" s="15"/>
      <c r="AK326" s="15"/>
      <c r="AL326" s="15"/>
      <c r="AM326" s="15"/>
      <c r="AN326" s="15"/>
      <c r="AO326" s="15"/>
      <c r="AP326" s="15"/>
      <c r="AQ326" s="15"/>
      <c r="AR326" s="15"/>
      <c r="AS326" s="15"/>
      <c r="AT326" s="15"/>
      <c r="AU326" s="15"/>
      <c r="AV326" s="15"/>
      <c r="AW326" s="15"/>
      <c r="AX326" s="15"/>
      <c r="AY326" s="15"/>
      <c r="AZ326" s="15"/>
      <c r="BA326" s="15"/>
      <c r="BB326" s="15"/>
      <c r="BC326" s="15"/>
      <c r="BD326" s="15"/>
      <c r="BE326" s="15"/>
      <c r="BF326" s="15"/>
      <c r="BG326" s="15"/>
      <c r="BH326" s="15"/>
      <c r="BI326" s="15"/>
      <c r="BJ326" s="15"/>
      <c r="BK326" s="15"/>
      <c r="BL326" s="15"/>
      <c r="BM326" s="15"/>
      <c r="BN326" s="15"/>
      <c r="BO326" s="15"/>
      <c r="BP326" s="15"/>
      <c r="BQ326" s="15"/>
      <c r="BR326" s="15"/>
      <c r="BS326" s="15"/>
      <c r="BT326" s="15"/>
      <c r="BU326" s="15"/>
      <c r="BV326" s="15"/>
      <c r="BW326" s="15"/>
      <c r="BX326" s="15"/>
      <c r="BY326" s="15"/>
      <c r="BZ326" s="15"/>
      <c r="CA326" s="15"/>
      <c r="CB326" s="15"/>
      <c r="CC326" s="15"/>
      <c r="CD326" s="15"/>
      <c r="CE326" s="15"/>
      <c r="CF326" s="15"/>
      <c r="CG326" s="15"/>
      <c r="CH326" s="15"/>
      <c r="CI326" s="15"/>
      <c r="CJ326" s="15"/>
      <c r="CK326" s="15"/>
      <c r="CL326" s="15"/>
      <c r="CM326" s="15"/>
      <c r="CN326" s="15"/>
      <c r="CO326" s="15"/>
      <c r="CP326" s="15"/>
      <c r="CQ326" s="15"/>
      <c r="CR326" s="15"/>
      <c r="CS326" s="15"/>
      <c r="CT326" s="15"/>
      <c r="CU326" s="15"/>
      <c r="CV326" s="15"/>
      <c r="CW326" s="15"/>
      <c r="CX326" s="15"/>
      <c r="CY326" s="15"/>
      <c r="CZ326" s="15"/>
      <c r="DA326" s="15"/>
      <c r="DB326" s="15"/>
      <c r="DC326" s="15"/>
      <c r="DD326" s="15"/>
      <c r="DE326" s="15"/>
      <c r="DF326" s="15"/>
      <c r="DG326" s="15"/>
      <c r="DH326" s="15"/>
      <c r="DI326" s="15"/>
      <c r="DJ326" s="15"/>
      <c r="DK326" s="15"/>
    </row>
    <row r="327" spans="1:115" ht="30" customHeight="1" x14ac:dyDescent="0.25">
      <c r="A327" s="15" t="s">
        <v>45</v>
      </c>
      <c r="B327" s="15">
        <v>385.010009765625</v>
      </c>
      <c r="C327" s="18">
        <v>388.5</v>
      </c>
      <c r="D327" s="18">
        <v>388.5</v>
      </c>
      <c r="E327" s="18">
        <v>388.5</v>
      </c>
      <c r="F327" s="18">
        <v>385.01</v>
      </c>
      <c r="G327" s="18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  <c r="AG327" s="15"/>
      <c r="AH327" s="15"/>
      <c r="AI327" s="15"/>
      <c r="AJ327" s="15"/>
      <c r="AK327" s="15"/>
      <c r="AL327" s="15"/>
      <c r="AM327" s="15"/>
      <c r="AN327" s="15"/>
      <c r="AO327" s="15"/>
      <c r="AP327" s="15"/>
      <c r="AQ327" s="15"/>
      <c r="AR327" s="15"/>
      <c r="AS327" s="15"/>
      <c r="AT327" s="15"/>
      <c r="AU327" s="15"/>
      <c r="AV327" s="15"/>
      <c r="AW327" s="15"/>
      <c r="AX327" s="15"/>
      <c r="AY327" s="15"/>
      <c r="AZ327" s="15"/>
      <c r="BA327" s="15"/>
      <c r="BB327" s="15"/>
      <c r="BC327" s="15"/>
      <c r="BD327" s="15"/>
      <c r="BE327" s="15"/>
      <c r="BF327" s="15"/>
      <c r="BG327" s="15"/>
      <c r="BH327" s="15"/>
      <c r="BI327" s="15"/>
      <c r="BJ327" s="15"/>
      <c r="BK327" s="15"/>
      <c r="BL327" s="15"/>
      <c r="BM327" s="15"/>
      <c r="BN327" s="15"/>
      <c r="BO327" s="15"/>
      <c r="BP327" s="15"/>
      <c r="BQ327" s="15"/>
      <c r="BR327" s="15"/>
      <c r="BS327" s="15"/>
      <c r="BT327" s="15"/>
      <c r="BU327" s="15"/>
      <c r="BV327" s="15"/>
      <c r="BW327" s="15"/>
      <c r="BX327" s="15"/>
      <c r="BY327" s="15"/>
      <c r="BZ327" s="15"/>
      <c r="CA327" s="15"/>
      <c r="CB327" s="15"/>
      <c r="CC327" s="15"/>
      <c r="CD327" s="15"/>
      <c r="CE327" s="15"/>
      <c r="CF327" s="15"/>
      <c r="CG327" s="15"/>
      <c r="CH327" s="15"/>
      <c r="CI327" s="15"/>
      <c r="CJ327" s="15"/>
      <c r="CK327" s="15"/>
      <c r="CL327" s="15"/>
      <c r="CM327" s="15"/>
      <c r="CN327" s="15"/>
      <c r="CO327" s="15"/>
      <c r="CP327" s="15"/>
      <c r="CQ327" s="15"/>
      <c r="CR327" s="15"/>
      <c r="CS327" s="15"/>
      <c r="CT327" s="15"/>
      <c r="CU327" s="15"/>
      <c r="CV327" s="15"/>
      <c r="CW327" s="15"/>
      <c r="CX327" s="15"/>
      <c r="CY327" s="15"/>
      <c r="CZ327" s="15"/>
      <c r="DA327" s="15"/>
      <c r="DB327" s="15"/>
      <c r="DC327" s="15"/>
      <c r="DD327" s="15"/>
      <c r="DE327" s="15"/>
      <c r="DF327" s="15"/>
      <c r="DG327" s="15"/>
      <c r="DH327" s="15"/>
      <c r="DI327" s="15"/>
      <c r="DJ327" s="15"/>
      <c r="DK327" s="15"/>
    </row>
    <row r="328" spans="1:115" ht="30" customHeight="1" x14ac:dyDescent="0.25">
      <c r="A328" s="15" t="s">
        <v>346</v>
      </c>
      <c r="B328" s="15">
        <v>34.049999237060547</v>
      </c>
      <c r="C328" s="18">
        <v>34.729999999999997</v>
      </c>
      <c r="D328" s="18">
        <v>34.729999999999997</v>
      </c>
      <c r="E328" s="18">
        <v>34.729999999999997</v>
      </c>
      <c r="F328" s="18">
        <v>34.049999999999997</v>
      </c>
      <c r="G328" s="18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  <c r="AG328" s="15"/>
      <c r="AH328" s="15"/>
      <c r="AI328" s="15"/>
      <c r="AJ328" s="15"/>
      <c r="AK328" s="15"/>
      <c r="AL328" s="15"/>
      <c r="AM328" s="15"/>
      <c r="AN328" s="15"/>
      <c r="AO328" s="15"/>
      <c r="AP328" s="15"/>
      <c r="AQ328" s="15"/>
      <c r="AR328" s="15"/>
      <c r="AS328" s="15"/>
      <c r="AT328" s="15"/>
      <c r="AU328" s="15"/>
      <c r="AV328" s="15"/>
      <c r="AW328" s="15"/>
      <c r="AX328" s="15"/>
      <c r="AY328" s="15"/>
      <c r="AZ328" s="15"/>
      <c r="BA328" s="15"/>
      <c r="BB328" s="15"/>
      <c r="BC328" s="15"/>
      <c r="BD328" s="15"/>
      <c r="BE328" s="15"/>
      <c r="BF328" s="15"/>
      <c r="BG328" s="15"/>
      <c r="BH328" s="15"/>
      <c r="BI328" s="15"/>
      <c r="BJ328" s="15"/>
      <c r="BK328" s="15"/>
      <c r="BL328" s="15"/>
      <c r="BM328" s="15"/>
      <c r="BN328" s="15"/>
      <c r="BO328" s="15"/>
      <c r="BP328" s="15"/>
      <c r="BQ328" s="15"/>
      <c r="BR328" s="15"/>
      <c r="BS328" s="15"/>
      <c r="BT328" s="15"/>
      <c r="BU328" s="15"/>
      <c r="BV328" s="15"/>
      <c r="BW328" s="15"/>
      <c r="BX328" s="15"/>
      <c r="BY328" s="15"/>
      <c r="BZ328" s="15"/>
      <c r="CA328" s="15"/>
      <c r="CB328" s="15"/>
      <c r="CC328" s="15"/>
      <c r="CD328" s="15"/>
      <c r="CE328" s="15"/>
      <c r="CF328" s="15"/>
      <c r="CG328" s="15"/>
      <c r="CH328" s="15"/>
      <c r="CI328" s="15"/>
      <c r="CJ328" s="15"/>
      <c r="CK328" s="15"/>
      <c r="CL328" s="15"/>
      <c r="CM328" s="15"/>
      <c r="CN328" s="15"/>
      <c r="CO328" s="15"/>
      <c r="CP328" s="15"/>
      <c r="CQ328" s="15"/>
      <c r="CR328" s="15"/>
      <c r="CS328" s="15"/>
      <c r="CT328" s="15"/>
      <c r="CU328" s="15"/>
      <c r="CV328" s="15"/>
      <c r="CW328" s="15"/>
      <c r="CX328" s="15"/>
      <c r="CY328" s="15"/>
      <c r="CZ328" s="15"/>
      <c r="DA328" s="15"/>
      <c r="DB328" s="15"/>
      <c r="DC328" s="15"/>
      <c r="DD328" s="15"/>
      <c r="DE328" s="15"/>
      <c r="DF328" s="15"/>
      <c r="DG328" s="15"/>
      <c r="DH328" s="15"/>
      <c r="DI328" s="15"/>
      <c r="DJ328" s="15"/>
      <c r="DK328" s="15"/>
    </row>
    <row r="329" spans="1:115" ht="30" customHeight="1" x14ac:dyDescent="0.25">
      <c r="A329" s="15" t="s">
        <v>61</v>
      </c>
      <c r="B329" s="15">
        <v>34.509998321533203</v>
      </c>
      <c r="C329" s="18">
        <v>34.619999999999997</v>
      </c>
      <c r="D329" s="18">
        <v>34.619999999999997</v>
      </c>
      <c r="E329" s="18">
        <v>34.619999999999997</v>
      </c>
      <c r="F329" s="18">
        <v>34.51</v>
      </c>
      <c r="G329" s="18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  <c r="AG329" s="15"/>
      <c r="AH329" s="15"/>
      <c r="AI329" s="15"/>
      <c r="AJ329" s="15"/>
      <c r="AK329" s="15"/>
      <c r="AL329" s="15"/>
      <c r="AM329" s="15"/>
      <c r="AN329" s="15"/>
      <c r="AO329" s="15"/>
      <c r="AP329" s="15"/>
      <c r="AQ329" s="15"/>
      <c r="AR329" s="15"/>
      <c r="AS329" s="15"/>
      <c r="AT329" s="15"/>
      <c r="AU329" s="15"/>
      <c r="AV329" s="15"/>
      <c r="AW329" s="15"/>
      <c r="AX329" s="15"/>
      <c r="AY329" s="15"/>
      <c r="AZ329" s="15"/>
      <c r="BA329" s="15"/>
      <c r="BB329" s="15"/>
      <c r="BC329" s="15"/>
      <c r="BD329" s="15"/>
      <c r="BE329" s="15"/>
      <c r="BF329" s="15"/>
      <c r="BG329" s="15"/>
      <c r="BH329" s="15"/>
      <c r="BI329" s="15"/>
      <c r="BJ329" s="15"/>
      <c r="BK329" s="15"/>
      <c r="BL329" s="15"/>
      <c r="BM329" s="15"/>
      <c r="BN329" s="15"/>
      <c r="BO329" s="15"/>
      <c r="BP329" s="15"/>
      <c r="BQ329" s="15"/>
      <c r="BR329" s="15"/>
      <c r="BS329" s="15"/>
      <c r="BT329" s="15"/>
      <c r="BU329" s="15"/>
      <c r="BV329" s="15"/>
      <c r="BW329" s="15"/>
      <c r="BX329" s="15"/>
      <c r="BY329" s="15"/>
      <c r="BZ329" s="15"/>
      <c r="CA329" s="15"/>
      <c r="CB329" s="15"/>
      <c r="CC329" s="15"/>
      <c r="CD329" s="15"/>
      <c r="CE329" s="15"/>
      <c r="CF329" s="15"/>
      <c r="CG329" s="15"/>
      <c r="CH329" s="15"/>
      <c r="CI329" s="15"/>
      <c r="CJ329" s="15"/>
      <c r="CK329" s="15"/>
      <c r="CL329" s="15"/>
      <c r="CM329" s="15"/>
      <c r="CN329" s="15"/>
      <c r="CO329" s="15"/>
      <c r="CP329" s="15"/>
      <c r="CQ329" s="15"/>
      <c r="CR329" s="15"/>
      <c r="CS329" s="15"/>
      <c r="CT329" s="15"/>
      <c r="CU329" s="15"/>
      <c r="CV329" s="15"/>
      <c r="CW329" s="15"/>
      <c r="CX329" s="15"/>
      <c r="CY329" s="15"/>
      <c r="CZ329" s="15"/>
      <c r="DA329" s="15"/>
      <c r="DB329" s="15"/>
      <c r="DC329" s="15"/>
      <c r="DD329" s="15"/>
      <c r="DE329" s="15"/>
      <c r="DF329" s="15"/>
      <c r="DG329" s="15"/>
      <c r="DH329" s="15"/>
      <c r="DI329" s="15"/>
      <c r="DJ329" s="15"/>
      <c r="DK329" s="15"/>
    </row>
    <row r="330" spans="1:115" ht="30" customHeight="1" x14ac:dyDescent="0.25">
      <c r="A330" s="15" t="s">
        <v>347</v>
      </c>
      <c r="B330" s="15">
        <v>17.209999084472656</v>
      </c>
      <c r="C330" s="18">
        <v>17.55</v>
      </c>
      <c r="D330" s="18">
        <v>17.55</v>
      </c>
      <c r="E330" s="18">
        <v>17.55</v>
      </c>
      <c r="F330" s="18">
        <v>17.21</v>
      </c>
      <c r="G330" s="18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  <c r="AG330" s="15"/>
      <c r="AH330" s="15"/>
      <c r="AI330" s="15"/>
      <c r="AJ330" s="15"/>
      <c r="AK330" s="15"/>
      <c r="AL330" s="15"/>
      <c r="AM330" s="15"/>
      <c r="AN330" s="15"/>
      <c r="AO330" s="15"/>
      <c r="AP330" s="15"/>
      <c r="AQ330" s="15"/>
      <c r="AR330" s="15"/>
      <c r="AS330" s="15"/>
      <c r="AT330" s="15"/>
      <c r="AU330" s="15"/>
      <c r="AV330" s="15"/>
      <c r="AW330" s="15"/>
      <c r="AX330" s="15"/>
      <c r="AY330" s="15"/>
      <c r="AZ330" s="15"/>
      <c r="BA330" s="15"/>
      <c r="BB330" s="15"/>
      <c r="BC330" s="15"/>
      <c r="BD330" s="15"/>
      <c r="BE330" s="15"/>
      <c r="BF330" s="15"/>
      <c r="BG330" s="15"/>
      <c r="BH330" s="15"/>
      <c r="BI330" s="15"/>
      <c r="BJ330" s="15"/>
      <c r="BK330" s="15"/>
      <c r="BL330" s="15"/>
      <c r="BM330" s="15"/>
      <c r="BN330" s="15"/>
      <c r="BO330" s="15"/>
      <c r="BP330" s="15"/>
      <c r="BQ330" s="15"/>
      <c r="BR330" s="15"/>
      <c r="BS330" s="15"/>
      <c r="BT330" s="15"/>
      <c r="BU330" s="15"/>
      <c r="BV330" s="15"/>
      <c r="BW330" s="15"/>
      <c r="BX330" s="15"/>
      <c r="BY330" s="15"/>
      <c r="BZ330" s="15"/>
      <c r="CA330" s="15"/>
      <c r="CB330" s="15"/>
      <c r="CC330" s="15"/>
      <c r="CD330" s="15"/>
      <c r="CE330" s="15"/>
      <c r="CF330" s="15"/>
      <c r="CG330" s="15"/>
      <c r="CH330" s="15"/>
      <c r="CI330" s="15"/>
      <c r="CJ330" s="15"/>
      <c r="CK330" s="15"/>
      <c r="CL330" s="15"/>
      <c r="CM330" s="15"/>
      <c r="CN330" s="15"/>
      <c r="CO330" s="15"/>
      <c r="CP330" s="15"/>
      <c r="CQ330" s="15"/>
      <c r="CR330" s="15"/>
      <c r="CS330" s="15"/>
      <c r="CT330" s="15"/>
      <c r="CU330" s="15"/>
      <c r="CV330" s="15"/>
      <c r="CW330" s="15"/>
      <c r="CX330" s="15"/>
      <c r="CY330" s="15"/>
      <c r="CZ330" s="15"/>
      <c r="DA330" s="15"/>
      <c r="DB330" s="15"/>
      <c r="DC330" s="15"/>
      <c r="DD330" s="15"/>
      <c r="DE330" s="15"/>
      <c r="DF330" s="15"/>
      <c r="DG330" s="15"/>
      <c r="DH330" s="15"/>
      <c r="DI330" s="15"/>
      <c r="DJ330" s="15"/>
      <c r="DK330" s="15"/>
    </row>
    <row r="331" spans="1:115" ht="30" customHeight="1" x14ac:dyDescent="0.25">
      <c r="A331" s="15" t="s">
        <v>348</v>
      </c>
      <c r="B331" s="15">
        <v>49.299999237060547</v>
      </c>
      <c r="C331" s="18">
        <v>50</v>
      </c>
      <c r="D331" s="18">
        <v>50</v>
      </c>
      <c r="E331" s="18">
        <v>50</v>
      </c>
      <c r="F331" s="18">
        <v>49.3</v>
      </c>
      <c r="G331" s="18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  <c r="AG331" s="15"/>
      <c r="AH331" s="15"/>
      <c r="AI331" s="15"/>
      <c r="AJ331" s="15"/>
      <c r="AK331" s="15"/>
      <c r="AL331" s="15"/>
      <c r="AM331" s="15"/>
      <c r="AN331" s="15"/>
      <c r="AO331" s="15"/>
      <c r="AP331" s="15"/>
      <c r="AQ331" s="15"/>
      <c r="AR331" s="15"/>
      <c r="AS331" s="15"/>
      <c r="AT331" s="15"/>
      <c r="AU331" s="15"/>
      <c r="AV331" s="15"/>
      <c r="AW331" s="15"/>
      <c r="AX331" s="15"/>
      <c r="AY331" s="15"/>
      <c r="AZ331" s="15"/>
      <c r="BA331" s="15"/>
      <c r="BB331" s="15"/>
      <c r="BC331" s="15"/>
      <c r="BD331" s="15"/>
      <c r="BE331" s="15"/>
      <c r="BF331" s="15"/>
      <c r="BG331" s="15"/>
      <c r="BH331" s="15"/>
      <c r="BI331" s="15"/>
      <c r="BJ331" s="15"/>
      <c r="BK331" s="15"/>
      <c r="BL331" s="15"/>
      <c r="BM331" s="15"/>
      <c r="BN331" s="15"/>
      <c r="BO331" s="15"/>
      <c r="BP331" s="15"/>
      <c r="BQ331" s="15"/>
      <c r="BR331" s="15"/>
      <c r="BS331" s="15"/>
      <c r="BT331" s="15"/>
      <c r="BU331" s="15"/>
      <c r="BV331" s="15"/>
      <c r="BW331" s="15"/>
      <c r="BX331" s="15"/>
      <c r="BY331" s="15"/>
      <c r="BZ331" s="15"/>
      <c r="CA331" s="15"/>
      <c r="CB331" s="15"/>
      <c r="CC331" s="15"/>
      <c r="CD331" s="15"/>
      <c r="CE331" s="15"/>
      <c r="CF331" s="15"/>
      <c r="CG331" s="15"/>
      <c r="CH331" s="15"/>
      <c r="CI331" s="15"/>
      <c r="CJ331" s="15"/>
      <c r="CK331" s="15"/>
      <c r="CL331" s="15"/>
      <c r="CM331" s="15"/>
      <c r="CN331" s="15"/>
      <c r="CO331" s="15"/>
      <c r="CP331" s="15"/>
      <c r="CQ331" s="15"/>
      <c r="CR331" s="15"/>
      <c r="CS331" s="15"/>
      <c r="CT331" s="15"/>
      <c r="CU331" s="15"/>
      <c r="CV331" s="15"/>
      <c r="CW331" s="15"/>
      <c r="CX331" s="15"/>
      <c r="CY331" s="15"/>
      <c r="CZ331" s="15"/>
      <c r="DA331" s="15"/>
      <c r="DB331" s="15"/>
      <c r="DC331" s="15"/>
      <c r="DD331" s="15"/>
      <c r="DE331" s="15"/>
      <c r="DF331" s="15"/>
      <c r="DG331" s="15"/>
      <c r="DH331" s="15"/>
      <c r="DI331" s="15"/>
      <c r="DJ331" s="15"/>
      <c r="DK331" s="15"/>
    </row>
    <row r="332" spans="1:115" ht="30" customHeight="1" x14ac:dyDescent="0.25">
      <c r="A332" s="15" t="s">
        <v>395</v>
      </c>
      <c r="B332" s="15">
        <v>70.220001220703125</v>
      </c>
      <c r="C332" s="18">
        <v>70.94</v>
      </c>
      <c r="D332" s="18">
        <v>70.94</v>
      </c>
      <c r="E332" s="18">
        <v>70.94</v>
      </c>
      <c r="F332" s="18">
        <v>70.22</v>
      </c>
      <c r="G332" s="18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  <c r="AG332" s="15"/>
      <c r="AH332" s="15"/>
      <c r="AI332" s="15"/>
      <c r="AJ332" s="15"/>
      <c r="AK332" s="15"/>
      <c r="AL332" s="15"/>
      <c r="AM332" s="15"/>
      <c r="AN332" s="15"/>
      <c r="AO332" s="15"/>
      <c r="AP332" s="15"/>
      <c r="AQ332" s="15"/>
      <c r="AR332" s="15"/>
      <c r="AS332" s="15"/>
      <c r="AT332" s="15"/>
      <c r="AU332" s="15"/>
      <c r="AV332" s="15"/>
      <c r="AW332" s="15"/>
      <c r="AX332" s="15"/>
      <c r="AY332" s="15"/>
      <c r="AZ332" s="15"/>
      <c r="BA332" s="15"/>
      <c r="BB332" s="15"/>
      <c r="BC332" s="15"/>
      <c r="BD332" s="15"/>
      <c r="BE332" s="15"/>
      <c r="BF332" s="15"/>
      <c r="BG332" s="15"/>
      <c r="BH332" s="15"/>
      <c r="BI332" s="15"/>
      <c r="BJ332" s="15"/>
      <c r="BK332" s="15"/>
      <c r="BL332" s="15"/>
      <c r="BM332" s="15"/>
      <c r="BN332" s="15"/>
      <c r="BO332" s="15"/>
      <c r="BP332" s="15"/>
      <c r="BQ332" s="15"/>
      <c r="BR332" s="15"/>
      <c r="BS332" s="15"/>
      <c r="BT332" s="15"/>
      <c r="BU332" s="15"/>
      <c r="BV332" s="15"/>
      <c r="BW332" s="15"/>
      <c r="BX332" s="15"/>
      <c r="BY332" s="15"/>
      <c r="BZ332" s="15"/>
      <c r="CA332" s="15"/>
      <c r="CB332" s="15"/>
      <c r="CC332" s="15"/>
      <c r="CD332" s="15"/>
      <c r="CE332" s="15"/>
      <c r="CF332" s="15"/>
      <c r="CG332" s="15"/>
      <c r="CH332" s="15"/>
      <c r="CI332" s="15"/>
      <c r="CJ332" s="15"/>
      <c r="CK332" s="15"/>
      <c r="CL332" s="15"/>
      <c r="CM332" s="15"/>
      <c r="CN332" s="15"/>
      <c r="CO332" s="15"/>
      <c r="CP332" s="15"/>
      <c r="CQ332" s="15"/>
      <c r="CR332" s="15"/>
      <c r="CS332" s="15"/>
      <c r="CT332" s="15"/>
      <c r="CU332" s="15"/>
      <c r="CV332" s="15"/>
      <c r="CW332" s="15"/>
      <c r="CX332" s="15"/>
      <c r="CY332" s="15"/>
      <c r="CZ332" s="15"/>
      <c r="DA332" s="15"/>
      <c r="DB332" s="15"/>
      <c r="DC332" s="15"/>
      <c r="DD332" s="15"/>
      <c r="DE332" s="15"/>
      <c r="DF332" s="15"/>
      <c r="DG332" s="15"/>
      <c r="DH332" s="15"/>
      <c r="DI332" s="15"/>
      <c r="DJ332" s="15"/>
      <c r="DK332" s="15"/>
    </row>
    <row r="333" spans="1:115" ht="30" customHeight="1" x14ac:dyDescent="0.25">
      <c r="A333" s="15" t="s">
        <v>62</v>
      </c>
      <c r="B333" s="15">
        <v>217.5</v>
      </c>
      <c r="C333" s="18">
        <v>219.39</v>
      </c>
      <c r="D333" s="18">
        <v>219.39</v>
      </c>
      <c r="E333" s="18">
        <v>219.39</v>
      </c>
      <c r="F333" s="18">
        <v>217.5</v>
      </c>
      <c r="G333" s="18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  <c r="AG333" s="15"/>
      <c r="AH333" s="15"/>
      <c r="AI333" s="15"/>
      <c r="AJ333" s="15"/>
      <c r="AK333" s="15"/>
      <c r="AL333" s="15"/>
      <c r="AM333" s="15"/>
      <c r="AN333" s="15"/>
      <c r="AO333" s="15"/>
      <c r="AP333" s="15"/>
      <c r="AQ333" s="15"/>
      <c r="AR333" s="15"/>
      <c r="AS333" s="15"/>
      <c r="AT333" s="15"/>
      <c r="AU333" s="15"/>
      <c r="AV333" s="15"/>
      <c r="AW333" s="15"/>
      <c r="AX333" s="15"/>
      <c r="AY333" s="15"/>
      <c r="AZ333" s="15"/>
      <c r="BA333" s="15"/>
      <c r="BB333" s="15"/>
      <c r="BC333" s="15"/>
      <c r="BD333" s="15"/>
      <c r="BE333" s="15"/>
      <c r="BF333" s="15"/>
      <c r="BG333" s="15"/>
      <c r="BH333" s="15"/>
      <c r="BI333" s="15"/>
      <c r="BJ333" s="15"/>
      <c r="BK333" s="15"/>
      <c r="BL333" s="15"/>
      <c r="BM333" s="15"/>
      <c r="BN333" s="15"/>
      <c r="BO333" s="15"/>
      <c r="BP333" s="15"/>
      <c r="BQ333" s="15"/>
      <c r="BR333" s="15"/>
      <c r="BS333" s="15"/>
      <c r="BT333" s="15"/>
      <c r="BU333" s="15"/>
      <c r="BV333" s="15"/>
      <c r="BW333" s="15"/>
      <c r="BX333" s="15"/>
      <c r="BY333" s="15"/>
      <c r="BZ333" s="15"/>
      <c r="CA333" s="15"/>
      <c r="CB333" s="15"/>
      <c r="CC333" s="15"/>
      <c r="CD333" s="15"/>
      <c r="CE333" s="15"/>
      <c r="CF333" s="15"/>
      <c r="CG333" s="15"/>
      <c r="CH333" s="15"/>
      <c r="CI333" s="15"/>
      <c r="CJ333" s="15"/>
      <c r="CK333" s="15"/>
      <c r="CL333" s="15"/>
      <c r="CM333" s="15"/>
      <c r="CN333" s="15"/>
      <c r="CO333" s="15"/>
      <c r="CP333" s="15"/>
      <c r="CQ333" s="15"/>
      <c r="CR333" s="15"/>
      <c r="CS333" s="15"/>
      <c r="CT333" s="15"/>
      <c r="CU333" s="15"/>
      <c r="CV333" s="15"/>
      <c r="CW333" s="15"/>
      <c r="CX333" s="15"/>
      <c r="CY333" s="15"/>
      <c r="CZ333" s="15"/>
      <c r="DA333" s="15"/>
      <c r="DB333" s="15"/>
      <c r="DC333" s="15"/>
      <c r="DD333" s="15"/>
      <c r="DE333" s="15"/>
      <c r="DF333" s="15"/>
      <c r="DG333" s="15"/>
      <c r="DH333" s="15"/>
      <c r="DI333" s="15"/>
      <c r="DJ333" s="15"/>
      <c r="DK333" s="15"/>
    </row>
    <row r="334" spans="1:115" ht="30" customHeight="1" x14ac:dyDescent="0.25">
      <c r="A334" s="15" t="s">
        <v>349</v>
      </c>
      <c r="B334" s="15">
        <v>46.25</v>
      </c>
      <c r="C334" s="18">
        <v>47.61</v>
      </c>
      <c r="D334" s="18">
        <v>47.61</v>
      </c>
      <c r="E334" s="18">
        <v>47.61</v>
      </c>
      <c r="F334" s="18">
        <v>46.25</v>
      </c>
      <c r="G334" s="18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  <c r="AG334" s="15"/>
      <c r="AH334" s="15"/>
      <c r="AI334" s="15"/>
      <c r="AJ334" s="15"/>
      <c r="AK334" s="15"/>
      <c r="AL334" s="15"/>
      <c r="AM334" s="15"/>
      <c r="AN334" s="15"/>
      <c r="AO334" s="15"/>
      <c r="AP334" s="15"/>
      <c r="AQ334" s="15"/>
      <c r="AR334" s="15"/>
      <c r="AS334" s="15"/>
      <c r="AT334" s="15"/>
      <c r="AU334" s="15"/>
      <c r="AV334" s="15"/>
      <c r="AW334" s="15"/>
      <c r="AX334" s="15"/>
      <c r="AY334" s="15"/>
      <c r="AZ334" s="15"/>
      <c r="BA334" s="15"/>
      <c r="BB334" s="15"/>
      <c r="BC334" s="15"/>
      <c r="BD334" s="15"/>
      <c r="BE334" s="15"/>
      <c r="BF334" s="15"/>
      <c r="BG334" s="15"/>
      <c r="BH334" s="15"/>
      <c r="BI334" s="15"/>
      <c r="BJ334" s="15"/>
      <c r="BK334" s="15"/>
      <c r="BL334" s="15"/>
      <c r="BM334" s="15"/>
      <c r="BN334" s="15"/>
      <c r="BO334" s="15"/>
      <c r="BP334" s="15"/>
      <c r="BQ334" s="15"/>
      <c r="BR334" s="15"/>
      <c r="BS334" s="15"/>
      <c r="BT334" s="15"/>
      <c r="BU334" s="15"/>
      <c r="BV334" s="15"/>
      <c r="BW334" s="15"/>
      <c r="BX334" s="15"/>
      <c r="BY334" s="15"/>
      <c r="BZ334" s="15"/>
      <c r="CA334" s="15"/>
      <c r="CB334" s="15"/>
      <c r="CC334" s="15"/>
      <c r="CD334" s="15"/>
      <c r="CE334" s="15"/>
      <c r="CF334" s="15"/>
      <c r="CG334" s="15"/>
      <c r="CH334" s="15"/>
      <c r="CI334" s="15"/>
      <c r="CJ334" s="15"/>
      <c r="CK334" s="15"/>
      <c r="CL334" s="15"/>
      <c r="CM334" s="15"/>
      <c r="CN334" s="15"/>
      <c r="CO334" s="15"/>
      <c r="CP334" s="15"/>
      <c r="CQ334" s="15"/>
      <c r="CR334" s="15"/>
      <c r="CS334" s="15"/>
      <c r="CT334" s="15"/>
      <c r="CU334" s="15"/>
      <c r="CV334" s="15"/>
      <c r="CW334" s="15"/>
      <c r="CX334" s="15"/>
      <c r="CY334" s="15"/>
      <c r="CZ334" s="15"/>
      <c r="DA334" s="15"/>
      <c r="DB334" s="15"/>
      <c r="DC334" s="15"/>
      <c r="DD334" s="15"/>
      <c r="DE334" s="15"/>
      <c r="DF334" s="15"/>
      <c r="DG334" s="15"/>
      <c r="DH334" s="15"/>
      <c r="DI334" s="15"/>
      <c r="DJ334" s="15"/>
      <c r="DK334" s="15"/>
    </row>
    <row r="335" spans="1:115" ht="30" customHeight="1" x14ac:dyDescent="0.25">
      <c r="A335" s="15" t="s">
        <v>84</v>
      </c>
      <c r="B335" s="15">
        <v>54.520000457763672</v>
      </c>
      <c r="C335" s="18">
        <v>55.01</v>
      </c>
      <c r="D335" s="18">
        <v>55.01</v>
      </c>
      <c r="E335" s="18">
        <v>55.01</v>
      </c>
      <c r="F335" s="18">
        <v>54.52</v>
      </c>
      <c r="G335" s="18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  <c r="AG335" s="15"/>
      <c r="AH335" s="15"/>
      <c r="AI335" s="15"/>
      <c r="AJ335" s="15"/>
      <c r="AK335" s="15"/>
      <c r="AL335" s="15"/>
      <c r="AM335" s="15"/>
      <c r="AN335" s="15"/>
      <c r="AO335" s="15"/>
      <c r="AP335" s="15"/>
      <c r="AQ335" s="15"/>
      <c r="AR335" s="15"/>
      <c r="AS335" s="15"/>
      <c r="AT335" s="15"/>
      <c r="AU335" s="15"/>
      <c r="AV335" s="15"/>
      <c r="AW335" s="15"/>
      <c r="AX335" s="15"/>
      <c r="AY335" s="15"/>
      <c r="AZ335" s="15"/>
      <c r="BA335" s="15"/>
      <c r="BB335" s="15"/>
      <c r="BC335" s="15"/>
      <c r="BD335" s="15"/>
      <c r="BE335" s="15"/>
      <c r="BF335" s="15"/>
      <c r="BG335" s="15"/>
      <c r="BH335" s="15"/>
      <c r="BI335" s="15"/>
      <c r="BJ335" s="15"/>
      <c r="BK335" s="15"/>
      <c r="BL335" s="15"/>
      <c r="BM335" s="15"/>
      <c r="BN335" s="15"/>
      <c r="BO335" s="15"/>
      <c r="BP335" s="15"/>
      <c r="BQ335" s="15"/>
      <c r="BR335" s="15"/>
      <c r="BS335" s="15"/>
      <c r="BT335" s="15"/>
      <c r="BU335" s="15"/>
      <c r="BV335" s="15"/>
      <c r="BW335" s="15"/>
      <c r="BX335" s="15"/>
      <c r="BY335" s="15"/>
      <c r="BZ335" s="15"/>
      <c r="CA335" s="15"/>
      <c r="CB335" s="15"/>
      <c r="CC335" s="15"/>
      <c r="CD335" s="15"/>
      <c r="CE335" s="15"/>
      <c r="CF335" s="15"/>
      <c r="CG335" s="15"/>
      <c r="CH335" s="15"/>
      <c r="CI335" s="15"/>
      <c r="CJ335" s="15"/>
      <c r="CK335" s="15"/>
      <c r="CL335" s="15"/>
      <c r="CM335" s="15"/>
      <c r="CN335" s="15"/>
      <c r="CO335" s="15"/>
      <c r="CP335" s="15"/>
      <c r="CQ335" s="15"/>
      <c r="CR335" s="15"/>
      <c r="CS335" s="15"/>
      <c r="CT335" s="15"/>
      <c r="CU335" s="15"/>
      <c r="CV335" s="15"/>
      <c r="CW335" s="15"/>
      <c r="CX335" s="15"/>
      <c r="CY335" s="15"/>
      <c r="CZ335" s="15"/>
      <c r="DA335" s="15"/>
      <c r="DB335" s="15"/>
      <c r="DC335" s="15"/>
      <c r="DD335" s="15"/>
      <c r="DE335" s="15"/>
      <c r="DF335" s="15"/>
      <c r="DG335" s="15"/>
      <c r="DH335" s="15"/>
      <c r="DI335" s="15"/>
      <c r="DJ335" s="15"/>
      <c r="DK335" s="15"/>
    </row>
    <row r="336" spans="1:115" ht="30" customHeight="1" x14ac:dyDescent="0.25">
      <c r="A336" s="15" t="s">
        <v>350</v>
      </c>
      <c r="B336" s="15">
        <v>20.479999542236328</v>
      </c>
      <c r="C336" s="18">
        <v>20.78</v>
      </c>
      <c r="D336" s="18">
        <v>20.78</v>
      </c>
      <c r="E336" s="18">
        <v>20.78</v>
      </c>
      <c r="F336" s="18">
        <v>20.48</v>
      </c>
      <c r="G336" s="18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  <c r="AG336" s="15"/>
      <c r="AH336" s="15"/>
      <c r="AI336" s="15"/>
      <c r="AJ336" s="15"/>
      <c r="AK336" s="15"/>
      <c r="AL336" s="15"/>
      <c r="AM336" s="15"/>
      <c r="AN336" s="15"/>
      <c r="AO336" s="15"/>
      <c r="AP336" s="15"/>
      <c r="AQ336" s="15"/>
      <c r="AR336" s="15"/>
      <c r="AS336" s="15"/>
      <c r="AT336" s="15"/>
      <c r="AU336" s="15"/>
      <c r="AV336" s="15"/>
      <c r="AW336" s="15"/>
      <c r="AX336" s="15"/>
      <c r="AY336" s="15"/>
      <c r="AZ336" s="15"/>
      <c r="BA336" s="15"/>
      <c r="BB336" s="15"/>
      <c r="BC336" s="15"/>
      <c r="BD336" s="15"/>
      <c r="BE336" s="15"/>
      <c r="BF336" s="15"/>
      <c r="BG336" s="15"/>
      <c r="BH336" s="15"/>
      <c r="BI336" s="15"/>
      <c r="BJ336" s="15"/>
      <c r="BK336" s="15"/>
      <c r="BL336" s="15"/>
      <c r="BM336" s="15"/>
      <c r="BN336" s="15"/>
      <c r="BO336" s="15"/>
      <c r="BP336" s="15"/>
      <c r="BQ336" s="15"/>
      <c r="BR336" s="15"/>
      <c r="BS336" s="15"/>
      <c r="BT336" s="15"/>
      <c r="BU336" s="15"/>
      <c r="BV336" s="15"/>
      <c r="BW336" s="15"/>
      <c r="BX336" s="15"/>
      <c r="BY336" s="15"/>
      <c r="BZ336" s="15"/>
      <c r="CA336" s="15"/>
      <c r="CB336" s="15"/>
      <c r="CC336" s="15"/>
      <c r="CD336" s="15"/>
      <c r="CE336" s="15"/>
      <c r="CF336" s="15"/>
      <c r="CG336" s="15"/>
      <c r="CH336" s="15"/>
      <c r="CI336" s="15"/>
      <c r="CJ336" s="15"/>
      <c r="CK336" s="15"/>
      <c r="CL336" s="15"/>
      <c r="CM336" s="15"/>
      <c r="CN336" s="15"/>
      <c r="CO336" s="15"/>
      <c r="CP336" s="15"/>
      <c r="CQ336" s="15"/>
      <c r="CR336" s="15"/>
      <c r="CS336" s="15"/>
      <c r="CT336" s="15"/>
      <c r="CU336" s="15"/>
      <c r="CV336" s="15"/>
      <c r="CW336" s="15"/>
      <c r="CX336" s="15"/>
      <c r="CY336" s="15"/>
      <c r="CZ336" s="15"/>
      <c r="DA336" s="15"/>
      <c r="DB336" s="15"/>
      <c r="DC336" s="15"/>
      <c r="DD336" s="15"/>
      <c r="DE336" s="15"/>
      <c r="DF336" s="15"/>
      <c r="DG336" s="15"/>
      <c r="DH336" s="15"/>
      <c r="DI336" s="15"/>
      <c r="DJ336" s="15"/>
      <c r="DK336" s="15"/>
    </row>
    <row r="337" spans="1:115" ht="30" customHeight="1" x14ac:dyDescent="0.25">
      <c r="A337" s="15" t="s">
        <v>351</v>
      </c>
      <c r="B337" s="15">
        <v>76.709999084472656</v>
      </c>
      <c r="C337" s="18">
        <v>76.45</v>
      </c>
      <c r="D337" s="18">
        <v>76.45</v>
      </c>
      <c r="E337" s="18">
        <v>76.45</v>
      </c>
      <c r="F337" s="18">
        <v>76.709999999999994</v>
      </c>
      <c r="G337" s="18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  <c r="AG337" s="15"/>
      <c r="AH337" s="15"/>
      <c r="AI337" s="15"/>
      <c r="AJ337" s="15"/>
      <c r="AK337" s="15"/>
      <c r="AL337" s="15"/>
      <c r="AM337" s="15"/>
      <c r="AN337" s="15"/>
      <c r="AO337" s="15"/>
      <c r="AP337" s="15"/>
      <c r="AQ337" s="15"/>
      <c r="AR337" s="15"/>
      <c r="AS337" s="15"/>
      <c r="AT337" s="15"/>
      <c r="AU337" s="15"/>
      <c r="AV337" s="15"/>
      <c r="AW337" s="15"/>
      <c r="AX337" s="15"/>
      <c r="AY337" s="15"/>
      <c r="AZ337" s="15"/>
      <c r="BA337" s="15"/>
      <c r="BB337" s="15"/>
      <c r="BC337" s="15"/>
      <c r="BD337" s="15"/>
      <c r="BE337" s="15"/>
      <c r="BF337" s="15"/>
      <c r="BG337" s="15"/>
      <c r="BH337" s="15"/>
      <c r="BI337" s="15"/>
      <c r="BJ337" s="15"/>
      <c r="BK337" s="15"/>
      <c r="BL337" s="15"/>
      <c r="BM337" s="15"/>
      <c r="BN337" s="15"/>
      <c r="BO337" s="15"/>
      <c r="BP337" s="15"/>
      <c r="BQ337" s="15"/>
      <c r="BR337" s="15"/>
      <c r="BS337" s="15"/>
      <c r="BT337" s="15"/>
      <c r="BU337" s="15"/>
      <c r="BV337" s="15"/>
      <c r="BW337" s="15"/>
      <c r="BX337" s="15"/>
      <c r="BY337" s="15"/>
      <c r="BZ337" s="15"/>
      <c r="CA337" s="15"/>
      <c r="CB337" s="15"/>
      <c r="CC337" s="15"/>
      <c r="CD337" s="15"/>
      <c r="CE337" s="15"/>
      <c r="CF337" s="15"/>
      <c r="CG337" s="15"/>
      <c r="CH337" s="15"/>
      <c r="CI337" s="15"/>
      <c r="CJ337" s="15"/>
      <c r="CK337" s="15"/>
      <c r="CL337" s="15"/>
      <c r="CM337" s="15"/>
      <c r="CN337" s="15"/>
      <c r="CO337" s="15"/>
      <c r="CP337" s="15"/>
      <c r="CQ337" s="15"/>
      <c r="CR337" s="15"/>
      <c r="CS337" s="15"/>
      <c r="CT337" s="15"/>
      <c r="CU337" s="15"/>
      <c r="CV337" s="15"/>
      <c r="CW337" s="15"/>
      <c r="CX337" s="15"/>
      <c r="CY337" s="15"/>
      <c r="CZ337" s="15"/>
      <c r="DA337" s="15"/>
      <c r="DB337" s="15"/>
      <c r="DC337" s="15"/>
      <c r="DD337" s="15"/>
      <c r="DE337" s="15"/>
      <c r="DF337" s="15"/>
      <c r="DG337" s="15"/>
      <c r="DH337" s="15"/>
      <c r="DI337" s="15"/>
      <c r="DJ337" s="15"/>
      <c r="DK337" s="15"/>
    </row>
    <row r="338" spans="1:115" ht="30" customHeight="1" x14ac:dyDescent="0.25">
      <c r="A338" s="15" t="s">
        <v>352</v>
      </c>
      <c r="B338" s="15">
        <v>46.459999084472656</v>
      </c>
      <c r="C338" s="18">
        <v>46.96</v>
      </c>
      <c r="D338" s="18">
        <v>46.96</v>
      </c>
      <c r="E338" s="18">
        <v>46.96</v>
      </c>
      <c r="F338" s="18">
        <v>46.46</v>
      </c>
      <c r="G338" s="18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  <c r="AG338" s="15"/>
      <c r="AH338" s="15"/>
      <c r="AI338" s="15"/>
      <c r="AJ338" s="15"/>
      <c r="AK338" s="15"/>
      <c r="AL338" s="15"/>
      <c r="AM338" s="15"/>
      <c r="AN338" s="15"/>
      <c r="AO338" s="15"/>
      <c r="AP338" s="15"/>
      <c r="AQ338" s="15"/>
      <c r="AR338" s="15"/>
      <c r="AS338" s="15"/>
      <c r="AT338" s="15"/>
      <c r="AU338" s="15"/>
      <c r="AV338" s="15"/>
      <c r="AW338" s="15"/>
      <c r="AX338" s="15"/>
      <c r="AY338" s="15"/>
      <c r="AZ338" s="15"/>
      <c r="BA338" s="15"/>
      <c r="BB338" s="15"/>
      <c r="BC338" s="15"/>
      <c r="BD338" s="15"/>
      <c r="BE338" s="15"/>
      <c r="BF338" s="15"/>
      <c r="BG338" s="15"/>
      <c r="BH338" s="15"/>
      <c r="BI338" s="15"/>
      <c r="BJ338" s="15"/>
      <c r="BK338" s="15"/>
      <c r="BL338" s="15"/>
      <c r="BM338" s="15"/>
      <c r="BN338" s="15"/>
      <c r="BO338" s="15"/>
      <c r="BP338" s="15"/>
      <c r="BQ338" s="15"/>
      <c r="BR338" s="15"/>
      <c r="BS338" s="15"/>
      <c r="BT338" s="15"/>
      <c r="BU338" s="15"/>
      <c r="BV338" s="15"/>
      <c r="BW338" s="15"/>
      <c r="BX338" s="15"/>
      <c r="BY338" s="15"/>
      <c r="BZ338" s="15"/>
      <c r="CA338" s="15"/>
      <c r="CB338" s="15"/>
      <c r="CC338" s="15"/>
      <c r="CD338" s="15"/>
      <c r="CE338" s="15"/>
      <c r="CF338" s="15"/>
      <c r="CG338" s="15"/>
      <c r="CH338" s="15"/>
      <c r="CI338" s="15"/>
      <c r="CJ338" s="15"/>
      <c r="CK338" s="15"/>
      <c r="CL338" s="15"/>
      <c r="CM338" s="15"/>
      <c r="CN338" s="15"/>
      <c r="CO338" s="15"/>
      <c r="CP338" s="15"/>
      <c r="CQ338" s="15"/>
      <c r="CR338" s="15"/>
      <c r="CS338" s="15"/>
      <c r="CT338" s="15"/>
      <c r="CU338" s="15"/>
      <c r="CV338" s="15"/>
      <c r="CW338" s="15"/>
      <c r="CX338" s="15"/>
      <c r="CY338" s="15"/>
      <c r="CZ338" s="15"/>
      <c r="DA338" s="15"/>
      <c r="DB338" s="15"/>
      <c r="DC338" s="15"/>
      <c r="DD338" s="15"/>
      <c r="DE338" s="15"/>
      <c r="DF338" s="15"/>
      <c r="DG338" s="15"/>
      <c r="DH338" s="15"/>
      <c r="DI338" s="15"/>
      <c r="DJ338" s="15"/>
      <c r="DK338" s="15"/>
    </row>
    <row r="339" spans="1:115" ht="30" customHeight="1" x14ac:dyDescent="0.25">
      <c r="A339" s="15" t="s">
        <v>353</v>
      </c>
      <c r="B339" s="15">
        <v>70.819999694824219</v>
      </c>
      <c r="C339" s="18">
        <v>71.34</v>
      </c>
      <c r="D339" s="18">
        <v>71.34</v>
      </c>
      <c r="E339" s="18">
        <v>71.34</v>
      </c>
      <c r="F339" s="18">
        <v>70.819999999999993</v>
      </c>
      <c r="G339" s="18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  <c r="AG339" s="15"/>
      <c r="AH339" s="15"/>
      <c r="AI339" s="15"/>
      <c r="AJ339" s="15"/>
      <c r="AK339" s="15"/>
      <c r="AL339" s="15"/>
      <c r="AM339" s="15"/>
      <c r="AN339" s="15"/>
      <c r="AO339" s="15"/>
      <c r="AP339" s="15"/>
      <c r="AQ339" s="15"/>
      <c r="AR339" s="15"/>
      <c r="AS339" s="15"/>
      <c r="AT339" s="15"/>
      <c r="AU339" s="15"/>
      <c r="AV339" s="15"/>
      <c r="AW339" s="15"/>
      <c r="AX339" s="15"/>
      <c r="AY339" s="15"/>
      <c r="AZ339" s="15"/>
      <c r="BA339" s="15"/>
      <c r="BB339" s="15"/>
      <c r="BC339" s="15"/>
      <c r="BD339" s="15"/>
      <c r="BE339" s="15"/>
      <c r="BF339" s="15"/>
      <c r="BG339" s="15"/>
      <c r="BH339" s="15"/>
      <c r="BI339" s="15"/>
      <c r="BJ339" s="15"/>
      <c r="BK339" s="15"/>
      <c r="BL339" s="15"/>
      <c r="BM339" s="15"/>
      <c r="BN339" s="15"/>
      <c r="BO339" s="15"/>
      <c r="BP339" s="15"/>
      <c r="BQ339" s="15"/>
      <c r="BR339" s="15"/>
      <c r="BS339" s="15"/>
      <c r="BT339" s="15"/>
      <c r="BU339" s="15"/>
      <c r="BV339" s="15"/>
      <c r="BW339" s="15"/>
      <c r="BX339" s="15"/>
      <c r="BY339" s="15"/>
      <c r="BZ339" s="15"/>
      <c r="CA339" s="15"/>
      <c r="CB339" s="15"/>
      <c r="CC339" s="15"/>
      <c r="CD339" s="15"/>
      <c r="CE339" s="15"/>
      <c r="CF339" s="15"/>
      <c r="CG339" s="15"/>
      <c r="CH339" s="15"/>
      <c r="CI339" s="15"/>
      <c r="CJ339" s="15"/>
      <c r="CK339" s="15"/>
      <c r="CL339" s="15"/>
      <c r="CM339" s="15"/>
      <c r="CN339" s="15"/>
      <c r="CO339" s="15"/>
      <c r="CP339" s="15"/>
      <c r="CQ339" s="15"/>
      <c r="CR339" s="15"/>
      <c r="CS339" s="15"/>
      <c r="CT339" s="15"/>
      <c r="CU339" s="15"/>
      <c r="CV339" s="15"/>
      <c r="CW339" s="15"/>
      <c r="CX339" s="15"/>
      <c r="CY339" s="15"/>
      <c r="CZ339" s="15"/>
      <c r="DA339" s="15"/>
      <c r="DB339" s="15"/>
      <c r="DC339" s="15"/>
      <c r="DD339" s="15"/>
      <c r="DE339" s="15"/>
      <c r="DF339" s="15"/>
      <c r="DG339" s="15"/>
      <c r="DH339" s="15"/>
      <c r="DI339" s="15"/>
      <c r="DJ339" s="15"/>
      <c r="DK339" s="15"/>
    </row>
    <row r="340" spans="1:115" ht="30" customHeight="1" x14ac:dyDescent="0.25">
      <c r="A340" s="15" t="s">
        <v>354</v>
      </c>
      <c r="B340" s="15">
        <v>105.13999938964844</v>
      </c>
      <c r="C340" s="18">
        <v>105.12</v>
      </c>
      <c r="D340" s="18">
        <v>105.12</v>
      </c>
      <c r="E340" s="18">
        <v>105.12</v>
      </c>
      <c r="F340" s="18">
        <v>105.14</v>
      </c>
      <c r="G340" s="18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  <c r="AG340" s="15"/>
      <c r="AH340" s="15"/>
      <c r="AI340" s="15"/>
      <c r="AJ340" s="15"/>
      <c r="AK340" s="15"/>
      <c r="AL340" s="15"/>
      <c r="AM340" s="15"/>
      <c r="AN340" s="15"/>
      <c r="AO340" s="15"/>
      <c r="AP340" s="15"/>
      <c r="AQ340" s="15"/>
      <c r="AR340" s="15"/>
      <c r="AS340" s="15"/>
      <c r="AT340" s="15"/>
      <c r="AU340" s="15"/>
      <c r="AV340" s="15"/>
      <c r="AW340" s="15"/>
      <c r="AX340" s="15"/>
      <c r="AY340" s="15"/>
      <c r="AZ340" s="15"/>
      <c r="BA340" s="15"/>
      <c r="BB340" s="15"/>
      <c r="BC340" s="15"/>
      <c r="BD340" s="15"/>
      <c r="BE340" s="15"/>
      <c r="BF340" s="15"/>
      <c r="BG340" s="15"/>
      <c r="BH340" s="15"/>
      <c r="BI340" s="15"/>
      <c r="BJ340" s="15"/>
      <c r="BK340" s="15"/>
      <c r="BL340" s="15"/>
      <c r="BM340" s="15"/>
      <c r="BN340" s="15"/>
      <c r="BO340" s="15"/>
      <c r="BP340" s="15"/>
      <c r="BQ340" s="15"/>
      <c r="BR340" s="15"/>
      <c r="BS340" s="15"/>
      <c r="BT340" s="15"/>
      <c r="BU340" s="15"/>
      <c r="BV340" s="15"/>
      <c r="BW340" s="15"/>
      <c r="BX340" s="15"/>
      <c r="BY340" s="15"/>
      <c r="BZ340" s="15"/>
      <c r="CA340" s="15"/>
      <c r="CB340" s="15"/>
      <c r="CC340" s="15"/>
      <c r="CD340" s="15"/>
      <c r="CE340" s="15"/>
      <c r="CF340" s="15"/>
      <c r="CG340" s="15"/>
      <c r="CH340" s="15"/>
      <c r="CI340" s="15"/>
      <c r="CJ340" s="15"/>
      <c r="CK340" s="15"/>
      <c r="CL340" s="15"/>
      <c r="CM340" s="15"/>
      <c r="CN340" s="15"/>
      <c r="CO340" s="15"/>
      <c r="CP340" s="15"/>
      <c r="CQ340" s="15"/>
      <c r="CR340" s="15"/>
      <c r="CS340" s="15"/>
      <c r="CT340" s="15"/>
      <c r="CU340" s="15"/>
      <c r="CV340" s="15"/>
      <c r="CW340" s="15"/>
      <c r="CX340" s="15"/>
      <c r="CY340" s="15"/>
      <c r="CZ340" s="15"/>
      <c r="DA340" s="15"/>
      <c r="DB340" s="15"/>
      <c r="DC340" s="15"/>
      <c r="DD340" s="15"/>
      <c r="DE340" s="15"/>
      <c r="DF340" s="15"/>
      <c r="DG340" s="15"/>
      <c r="DH340" s="15"/>
      <c r="DI340" s="15"/>
      <c r="DJ340" s="15"/>
      <c r="DK340" s="15"/>
    </row>
    <row r="341" spans="1:115" ht="30" customHeight="1" x14ac:dyDescent="0.25">
      <c r="A341" s="15" t="s">
        <v>355</v>
      </c>
      <c r="B341" s="15">
        <v>16.389999389648438</v>
      </c>
      <c r="C341" s="18">
        <v>16.420000000000002</v>
      </c>
      <c r="D341" s="18">
        <v>16.420000000000002</v>
      </c>
      <c r="E341" s="18">
        <v>16.420000000000002</v>
      </c>
      <c r="F341" s="18">
        <v>16.39</v>
      </c>
      <c r="G341" s="18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  <c r="AG341" s="15"/>
      <c r="AH341" s="15"/>
      <c r="AI341" s="15"/>
      <c r="AJ341" s="15"/>
      <c r="AK341" s="15"/>
      <c r="AL341" s="15"/>
      <c r="AM341" s="15"/>
      <c r="AN341" s="15"/>
      <c r="AO341" s="15"/>
      <c r="AP341" s="15"/>
      <c r="AQ341" s="15"/>
      <c r="AR341" s="15"/>
      <c r="AS341" s="15"/>
      <c r="AT341" s="15"/>
      <c r="AU341" s="15"/>
      <c r="AV341" s="15"/>
      <c r="AW341" s="15"/>
      <c r="AX341" s="15"/>
      <c r="AY341" s="15"/>
      <c r="AZ341" s="15"/>
      <c r="BA341" s="15"/>
      <c r="BB341" s="15"/>
      <c r="BC341" s="15"/>
      <c r="BD341" s="15"/>
      <c r="BE341" s="15"/>
      <c r="BF341" s="15"/>
      <c r="BG341" s="15"/>
      <c r="BH341" s="15"/>
      <c r="BI341" s="15"/>
      <c r="BJ341" s="15"/>
      <c r="BK341" s="15"/>
      <c r="BL341" s="15"/>
      <c r="BM341" s="15"/>
      <c r="BN341" s="15"/>
      <c r="BO341" s="15"/>
      <c r="BP341" s="15"/>
      <c r="BQ341" s="15"/>
      <c r="BR341" s="15"/>
      <c r="BS341" s="15"/>
      <c r="BT341" s="15"/>
      <c r="BU341" s="15"/>
      <c r="BV341" s="15"/>
      <c r="BW341" s="15"/>
      <c r="BX341" s="15"/>
      <c r="BY341" s="15"/>
      <c r="BZ341" s="15"/>
      <c r="CA341" s="15"/>
      <c r="CB341" s="15"/>
      <c r="CC341" s="15"/>
      <c r="CD341" s="15"/>
      <c r="CE341" s="15"/>
      <c r="CF341" s="15"/>
      <c r="CG341" s="15"/>
      <c r="CH341" s="15"/>
      <c r="CI341" s="15"/>
      <c r="CJ341" s="15"/>
      <c r="CK341" s="15"/>
      <c r="CL341" s="15"/>
      <c r="CM341" s="15"/>
      <c r="CN341" s="15"/>
      <c r="CO341" s="15"/>
      <c r="CP341" s="15"/>
      <c r="CQ341" s="15"/>
      <c r="CR341" s="15"/>
      <c r="CS341" s="15"/>
      <c r="CT341" s="15"/>
      <c r="CU341" s="15"/>
      <c r="CV341" s="15"/>
      <c r="CW341" s="15"/>
      <c r="CX341" s="15"/>
      <c r="CY341" s="15"/>
      <c r="CZ341" s="15"/>
      <c r="DA341" s="15"/>
      <c r="DB341" s="15"/>
      <c r="DC341" s="15"/>
      <c r="DD341" s="15"/>
      <c r="DE341" s="15"/>
      <c r="DF341" s="15"/>
      <c r="DG341" s="15"/>
      <c r="DH341" s="15"/>
      <c r="DI341" s="15"/>
      <c r="DJ341" s="15"/>
      <c r="DK341" s="15"/>
    </row>
    <row r="342" spans="1:115" ht="30" customHeight="1" x14ac:dyDescent="0.25">
      <c r="A342" s="15" t="s">
        <v>356</v>
      </c>
      <c r="B342" s="15">
        <v>17.540000915527344</v>
      </c>
      <c r="C342" s="18">
        <v>17.53</v>
      </c>
      <c r="D342" s="18">
        <v>17.53</v>
      </c>
      <c r="E342" s="18">
        <v>17.53</v>
      </c>
      <c r="F342" s="18">
        <v>17.54</v>
      </c>
      <c r="G342" s="18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  <c r="AG342" s="15"/>
      <c r="AH342" s="15"/>
      <c r="AI342" s="15"/>
      <c r="AJ342" s="15"/>
      <c r="AK342" s="15"/>
      <c r="AL342" s="15"/>
      <c r="AM342" s="15"/>
      <c r="AN342" s="15"/>
      <c r="AO342" s="15"/>
      <c r="AP342" s="15"/>
      <c r="AQ342" s="15"/>
      <c r="AR342" s="15"/>
      <c r="AS342" s="15"/>
      <c r="AT342" s="15"/>
      <c r="AU342" s="15"/>
      <c r="AV342" s="15"/>
      <c r="AW342" s="15"/>
      <c r="AX342" s="15"/>
      <c r="AY342" s="15"/>
      <c r="AZ342" s="15"/>
      <c r="BA342" s="15"/>
      <c r="BB342" s="15"/>
      <c r="BC342" s="15"/>
      <c r="BD342" s="15"/>
      <c r="BE342" s="15"/>
      <c r="BF342" s="15"/>
      <c r="BG342" s="15"/>
      <c r="BH342" s="15"/>
      <c r="BI342" s="15"/>
      <c r="BJ342" s="15"/>
      <c r="BK342" s="15"/>
      <c r="BL342" s="15"/>
      <c r="BM342" s="15"/>
      <c r="BN342" s="15"/>
      <c r="BO342" s="15"/>
      <c r="BP342" s="15"/>
      <c r="BQ342" s="15"/>
      <c r="BR342" s="15"/>
      <c r="BS342" s="15"/>
      <c r="BT342" s="15"/>
      <c r="BU342" s="15"/>
      <c r="BV342" s="15"/>
      <c r="BW342" s="15"/>
      <c r="BX342" s="15"/>
      <c r="BY342" s="15"/>
      <c r="BZ342" s="15"/>
      <c r="CA342" s="15"/>
      <c r="CB342" s="15"/>
      <c r="CC342" s="15"/>
      <c r="CD342" s="15"/>
      <c r="CE342" s="15"/>
      <c r="CF342" s="15"/>
      <c r="CG342" s="15"/>
      <c r="CH342" s="15"/>
      <c r="CI342" s="15"/>
      <c r="CJ342" s="15"/>
      <c r="CK342" s="15"/>
      <c r="CL342" s="15"/>
      <c r="CM342" s="15"/>
      <c r="CN342" s="15"/>
      <c r="CO342" s="15"/>
      <c r="CP342" s="15"/>
      <c r="CQ342" s="15"/>
      <c r="CR342" s="15"/>
      <c r="CS342" s="15"/>
      <c r="CT342" s="15"/>
      <c r="CU342" s="15"/>
      <c r="CV342" s="15"/>
      <c r="CW342" s="15"/>
      <c r="CX342" s="15"/>
      <c r="CY342" s="15"/>
      <c r="CZ342" s="15"/>
      <c r="DA342" s="15"/>
      <c r="DB342" s="15"/>
      <c r="DC342" s="15"/>
      <c r="DD342" s="15"/>
      <c r="DE342" s="15"/>
      <c r="DF342" s="15"/>
      <c r="DG342" s="15"/>
      <c r="DH342" s="15"/>
      <c r="DI342" s="15"/>
      <c r="DJ342" s="15"/>
      <c r="DK342" s="15"/>
    </row>
    <row r="343" spans="1:115" ht="30" customHeight="1" x14ac:dyDescent="0.25">
      <c r="A343" s="15" t="s">
        <v>357</v>
      </c>
      <c r="B343" s="15">
        <v>4.4499998092651367</v>
      </c>
      <c r="C343" s="18">
        <v>4.55</v>
      </c>
      <c r="D343" s="18">
        <v>4.55</v>
      </c>
      <c r="E343" s="18">
        <v>4.55</v>
      </c>
      <c r="F343" s="18">
        <v>4.45</v>
      </c>
      <c r="G343" s="18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  <c r="AG343" s="15"/>
      <c r="AH343" s="15"/>
      <c r="AI343" s="15"/>
      <c r="AJ343" s="15"/>
      <c r="AK343" s="15"/>
      <c r="AL343" s="15"/>
      <c r="AM343" s="15"/>
      <c r="AN343" s="15"/>
      <c r="AO343" s="15"/>
      <c r="AP343" s="15"/>
      <c r="AQ343" s="15"/>
      <c r="AR343" s="15"/>
      <c r="AS343" s="15"/>
      <c r="AT343" s="15"/>
      <c r="AU343" s="15"/>
      <c r="AV343" s="15"/>
      <c r="AW343" s="15"/>
      <c r="AX343" s="15"/>
      <c r="AY343" s="15"/>
      <c r="AZ343" s="15"/>
      <c r="BA343" s="15"/>
      <c r="BB343" s="15"/>
      <c r="BC343" s="15"/>
      <c r="BD343" s="15"/>
      <c r="BE343" s="15"/>
      <c r="BF343" s="15"/>
      <c r="BG343" s="15"/>
      <c r="BH343" s="15"/>
      <c r="BI343" s="15"/>
      <c r="BJ343" s="15"/>
      <c r="BK343" s="15"/>
      <c r="BL343" s="15"/>
      <c r="BM343" s="15"/>
      <c r="BN343" s="15"/>
      <c r="BO343" s="15"/>
      <c r="BP343" s="15"/>
      <c r="BQ343" s="15"/>
      <c r="BR343" s="15"/>
      <c r="BS343" s="15"/>
      <c r="BT343" s="15"/>
      <c r="BU343" s="15"/>
      <c r="BV343" s="15"/>
      <c r="BW343" s="15"/>
      <c r="BX343" s="15"/>
      <c r="BY343" s="15"/>
      <c r="BZ343" s="15"/>
      <c r="CA343" s="15"/>
      <c r="CB343" s="15"/>
      <c r="CC343" s="15"/>
      <c r="CD343" s="15"/>
      <c r="CE343" s="15"/>
      <c r="CF343" s="15"/>
      <c r="CG343" s="15"/>
      <c r="CH343" s="15"/>
      <c r="CI343" s="15"/>
      <c r="CJ343" s="15"/>
      <c r="CK343" s="15"/>
      <c r="CL343" s="15"/>
      <c r="CM343" s="15"/>
      <c r="CN343" s="15"/>
      <c r="CO343" s="15"/>
      <c r="CP343" s="15"/>
      <c r="CQ343" s="15"/>
      <c r="CR343" s="15"/>
      <c r="CS343" s="15"/>
      <c r="CT343" s="15"/>
      <c r="CU343" s="15"/>
      <c r="CV343" s="15"/>
      <c r="CW343" s="15"/>
      <c r="CX343" s="15"/>
      <c r="CY343" s="15"/>
      <c r="CZ343" s="15"/>
      <c r="DA343" s="15"/>
      <c r="DB343" s="15"/>
      <c r="DC343" s="15"/>
      <c r="DD343" s="15"/>
      <c r="DE343" s="15"/>
      <c r="DF343" s="15"/>
      <c r="DG343" s="15"/>
      <c r="DH343" s="15"/>
      <c r="DI343" s="15"/>
      <c r="DJ343" s="15"/>
      <c r="DK343" s="15"/>
    </row>
    <row r="344" spans="1:115" ht="30" customHeight="1" x14ac:dyDescent="0.25">
      <c r="A344" s="15" t="s">
        <v>358</v>
      </c>
      <c r="B344" s="15">
        <v>25.889999389648438</v>
      </c>
      <c r="C344" s="18">
        <v>26.26</v>
      </c>
      <c r="D344" s="18">
        <v>26.26</v>
      </c>
      <c r="E344" s="18">
        <v>26.26</v>
      </c>
      <c r="F344" s="18">
        <v>25.89</v>
      </c>
      <c r="G344" s="18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  <c r="AG344" s="15"/>
      <c r="AH344" s="15"/>
      <c r="AI344" s="15"/>
      <c r="AJ344" s="15"/>
      <c r="AK344" s="15"/>
      <c r="AL344" s="15"/>
      <c r="AM344" s="15"/>
      <c r="AN344" s="15"/>
      <c r="AO344" s="15"/>
      <c r="AP344" s="15"/>
      <c r="AQ344" s="15"/>
      <c r="AR344" s="15"/>
      <c r="AS344" s="15"/>
      <c r="AT344" s="15"/>
      <c r="AU344" s="15"/>
      <c r="AV344" s="15"/>
      <c r="AW344" s="15"/>
      <c r="AX344" s="15"/>
      <c r="AY344" s="15"/>
      <c r="AZ344" s="15"/>
      <c r="BA344" s="15"/>
      <c r="BB344" s="15"/>
      <c r="BC344" s="15"/>
      <c r="BD344" s="15"/>
      <c r="BE344" s="15"/>
      <c r="BF344" s="15"/>
      <c r="BG344" s="15"/>
      <c r="BH344" s="15"/>
      <c r="BI344" s="15"/>
      <c r="BJ344" s="15"/>
      <c r="BK344" s="15"/>
      <c r="BL344" s="15"/>
      <c r="BM344" s="15"/>
      <c r="BN344" s="15"/>
      <c r="BO344" s="15"/>
      <c r="BP344" s="15"/>
      <c r="BQ344" s="15"/>
      <c r="BR344" s="15"/>
      <c r="BS344" s="15"/>
      <c r="BT344" s="15"/>
      <c r="BU344" s="15"/>
      <c r="BV344" s="15"/>
      <c r="BW344" s="15"/>
      <c r="BX344" s="15"/>
      <c r="BY344" s="15"/>
      <c r="BZ344" s="15"/>
      <c r="CA344" s="15"/>
      <c r="CB344" s="15"/>
      <c r="CC344" s="15"/>
      <c r="CD344" s="15"/>
      <c r="CE344" s="15"/>
      <c r="CF344" s="15"/>
      <c r="CG344" s="15"/>
      <c r="CH344" s="15"/>
      <c r="CI344" s="15"/>
      <c r="CJ344" s="15"/>
      <c r="CK344" s="15"/>
      <c r="CL344" s="15"/>
      <c r="CM344" s="15"/>
      <c r="CN344" s="15"/>
      <c r="CO344" s="15"/>
      <c r="CP344" s="15"/>
      <c r="CQ344" s="15"/>
      <c r="CR344" s="15"/>
      <c r="CS344" s="15"/>
      <c r="CT344" s="15"/>
      <c r="CU344" s="15"/>
      <c r="CV344" s="15"/>
      <c r="CW344" s="15"/>
      <c r="CX344" s="15"/>
      <c r="CY344" s="15"/>
      <c r="CZ344" s="15"/>
      <c r="DA344" s="15"/>
      <c r="DB344" s="15"/>
      <c r="DC344" s="15"/>
      <c r="DD344" s="15"/>
      <c r="DE344" s="15"/>
      <c r="DF344" s="15"/>
      <c r="DG344" s="15"/>
      <c r="DH344" s="15"/>
      <c r="DI344" s="15"/>
      <c r="DJ344" s="15"/>
      <c r="DK344" s="15"/>
    </row>
    <row r="345" spans="1:115" ht="30" customHeight="1" x14ac:dyDescent="0.25">
      <c r="A345" s="15" t="s">
        <v>396</v>
      </c>
      <c r="B345" s="15">
        <v>32.720001220703125</v>
      </c>
      <c r="C345" s="18">
        <v>32.93</v>
      </c>
      <c r="D345" s="18">
        <v>32.93</v>
      </c>
      <c r="E345" s="18">
        <v>32.93</v>
      </c>
      <c r="F345" s="18">
        <v>32.72</v>
      </c>
      <c r="G345" s="18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  <c r="AG345" s="15"/>
      <c r="AH345" s="15"/>
      <c r="AI345" s="15"/>
      <c r="AJ345" s="15"/>
      <c r="AK345" s="15"/>
      <c r="AL345" s="15"/>
      <c r="AM345" s="15"/>
      <c r="AN345" s="15"/>
      <c r="AO345" s="15"/>
      <c r="AP345" s="15"/>
      <c r="AQ345" s="15"/>
      <c r="AR345" s="15"/>
      <c r="AS345" s="15"/>
      <c r="AT345" s="15"/>
      <c r="AU345" s="15"/>
      <c r="AV345" s="15"/>
      <c r="AW345" s="15"/>
      <c r="AX345" s="15"/>
      <c r="AY345" s="15"/>
      <c r="AZ345" s="15"/>
      <c r="BA345" s="15"/>
      <c r="BB345" s="15"/>
      <c r="BC345" s="15"/>
      <c r="BD345" s="15"/>
      <c r="BE345" s="15"/>
      <c r="BF345" s="15"/>
      <c r="BG345" s="15"/>
      <c r="BH345" s="15"/>
      <c r="BI345" s="15"/>
      <c r="BJ345" s="15"/>
      <c r="BK345" s="15"/>
      <c r="BL345" s="15"/>
      <c r="BM345" s="15"/>
      <c r="BN345" s="15"/>
      <c r="BO345" s="15"/>
      <c r="BP345" s="15"/>
      <c r="BQ345" s="15"/>
      <c r="BR345" s="15"/>
      <c r="BS345" s="15"/>
      <c r="BT345" s="15"/>
      <c r="BU345" s="15"/>
      <c r="BV345" s="15"/>
      <c r="BW345" s="15"/>
      <c r="BX345" s="15"/>
      <c r="BY345" s="15"/>
      <c r="BZ345" s="15"/>
      <c r="CA345" s="15"/>
      <c r="CB345" s="15"/>
      <c r="CC345" s="15"/>
      <c r="CD345" s="15"/>
      <c r="CE345" s="15"/>
      <c r="CF345" s="15"/>
      <c r="CG345" s="15"/>
      <c r="CH345" s="15"/>
      <c r="CI345" s="15"/>
      <c r="CJ345" s="15"/>
      <c r="CK345" s="15"/>
      <c r="CL345" s="15"/>
      <c r="CM345" s="15"/>
      <c r="CN345" s="15"/>
      <c r="CO345" s="15"/>
      <c r="CP345" s="15"/>
      <c r="CQ345" s="15"/>
      <c r="CR345" s="15"/>
      <c r="CS345" s="15"/>
      <c r="CT345" s="15"/>
      <c r="CU345" s="15"/>
      <c r="CV345" s="15"/>
      <c r="CW345" s="15"/>
      <c r="CX345" s="15"/>
      <c r="CY345" s="15"/>
      <c r="CZ345" s="15"/>
      <c r="DA345" s="15"/>
      <c r="DB345" s="15"/>
      <c r="DC345" s="15"/>
      <c r="DD345" s="15"/>
      <c r="DE345" s="15"/>
      <c r="DF345" s="15"/>
      <c r="DG345" s="15"/>
      <c r="DH345" s="15"/>
      <c r="DI345" s="15"/>
      <c r="DJ345" s="15"/>
      <c r="DK345" s="15"/>
    </row>
    <row r="346" spans="1:115" ht="30" customHeight="1" x14ac:dyDescent="0.25">
      <c r="A346" s="15" t="s">
        <v>397</v>
      </c>
      <c r="B346" s="15">
        <v>34.580001831054688</v>
      </c>
      <c r="C346" s="18">
        <v>34.840000000000003</v>
      </c>
      <c r="D346" s="18">
        <v>34.840000000000003</v>
      </c>
      <c r="E346" s="18">
        <v>34.840000000000003</v>
      </c>
      <c r="F346" s="18">
        <v>34.58</v>
      </c>
      <c r="G346" s="18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  <c r="AG346" s="15"/>
      <c r="AH346" s="15"/>
      <c r="AI346" s="15"/>
      <c r="AJ346" s="15"/>
      <c r="AK346" s="15"/>
      <c r="AL346" s="15"/>
      <c r="AM346" s="15"/>
      <c r="AN346" s="15"/>
      <c r="AO346" s="15"/>
      <c r="AP346" s="15"/>
      <c r="AQ346" s="15"/>
      <c r="AR346" s="15"/>
      <c r="AS346" s="15"/>
      <c r="AT346" s="15"/>
      <c r="AU346" s="15"/>
      <c r="AV346" s="15"/>
      <c r="AW346" s="15"/>
      <c r="AX346" s="15"/>
      <c r="AY346" s="15"/>
      <c r="AZ346" s="15"/>
      <c r="BA346" s="15"/>
      <c r="BB346" s="15"/>
      <c r="BC346" s="15"/>
      <c r="BD346" s="15"/>
      <c r="BE346" s="15"/>
      <c r="BF346" s="15"/>
      <c r="BG346" s="15"/>
      <c r="BH346" s="15"/>
      <c r="BI346" s="15"/>
      <c r="BJ346" s="15"/>
      <c r="BK346" s="15"/>
      <c r="BL346" s="15"/>
      <c r="BM346" s="15"/>
      <c r="BN346" s="15"/>
      <c r="BO346" s="15"/>
      <c r="BP346" s="15"/>
      <c r="BQ346" s="15"/>
      <c r="BR346" s="15"/>
      <c r="BS346" s="15"/>
      <c r="BT346" s="15"/>
      <c r="BU346" s="15"/>
      <c r="BV346" s="15"/>
      <c r="BW346" s="15"/>
      <c r="BX346" s="15"/>
      <c r="BY346" s="15"/>
      <c r="BZ346" s="15"/>
      <c r="CA346" s="15"/>
      <c r="CB346" s="15"/>
      <c r="CC346" s="15"/>
      <c r="CD346" s="15"/>
      <c r="CE346" s="15"/>
      <c r="CF346" s="15"/>
      <c r="CG346" s="15"/>
      <c r="CH346" s="15"/>
      <c r="CI346" s="15"/>
      <c r="CJ346" s="15"/>
      <c r="CK346" s="15"/>
      <c r="CL346" s="15"/>
      <c r="CM346" s="15"/>
      <c r="CN346" s="15"/>
      <c r="CO346" s="15"/>
      <c r="CP346" s="15"/>
      <c r="CQ346" s="15"/>
      <c r="CR346" s="15"/>
      <c r="CS346" s="15"/>
      <c r="CT346" s="15"/>
      <c r="CU346" s="15"/>
      <c r="CV346" s="15"/>
      <c r="CW346" s="15"/>
      <c r="CX346" s="15"/>
      <c r="CY346" s="15"/>
      <c r="CZ346" s="15"/>
      <c r="DA346" s="15"/>
      <c r="DB346" s="15"/>
      <c r="DC346" s="15"/>
      <c r="DD346" s="15"/>
      <c r="DE346" s="15"/>
      <c r="DF346" s="15"/>
      <c r="DG346" s="15"/>
      <c r="DH346" s="15"/>
      <c r="DI346" s="15"/>
      <c r="DJ346" s="15"/>
      <c r="DK346" s="15"/>
    </row>
    <row r="347" spans="1:115" ht="30" customHeight="1" x14ac:dyDescent="0.25">
      <c r="A347" s="15" t="s">
        <v>398</v>
      </c>
      <c r="B347" s="15">
        <v>30.079999923706055</v>
      </c>
      <c r="C347" s="18">
        <v>30.215</v>
      </c>
      <c r="D347" s="18">
        <v>30.215</v>
      </c>
      <c r="E347" s="18">
        <v>30.215</v>
      </c>
      <c r="F347" s="18">
        <v>30.08</v>
      </c>
      <c r="G347" s="18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  <c r="AG347" s="15"/>
      <c r="AH347" s="15"/>
      <c r="AI347" s="15"/>
      <c r="AJ347" s="15"/>
      <c r="AK347" s="15"/>
      <c r="AL347" s="15"/>
      <c r="AM347" s="15"/>
      <c r="AN347" s="15"/>
      <c r="AO347" s="15"/>
      <c r="AP347" s="15"/>
      <c r="AQ347" s="15"/>
      <c r="AR347" s="15"/>
      <c r="AS347" s="15"/>
      <c r="AT347" s="15"/>
      <c r="AU347" s="15"/>
      <c r="AV347" s="15"/>
      <c r="AW347" s="15"/>
      <c r="AX347" s="15"/>
      <c r="AY347" s="15"/>
      <c r="AZ347" s="15"/>
      <c r="BA347" s="15"/>
      <c r="BB347" s="15"/>
      <c r="BC347" s="15"/>
      <c r="BD347" s="15"/>
      <c r="BE347" s="15"/>
      <c r="BF347" s="15"/>
      <c r="BG347" s="15"/>
      <c r="BH347" s="15"/>
      <c r="BI347" s="15"/>
      <c r="BJ347" s="15"/>
      <c r="BK347" s="15"/>
      <c r="BL347" s="15"/>
      <c r="BM347" s="15"/>
      <c r="BN347" s="15"/>
      <c r="BO347" s="15"/>
      <c r="BP347" s="15"/>
      <c r="BQ347" s="15"/>
      <c r="BR347" s="15"/>
      <c r="BS347" s="15"/>
      <c r="BT347" s="15"/>
      <c r="BU347" s="15"/>
      <c r="BV347" s="15"/>
      <c r="BW347" s="15"/>
      <c r="BX347" s="15"/>
      <c r="BY347" s="15"/>
      <c r="BZ347" s="15"/>
      <c r="CA347" s="15"/>
      <c r="CB347" s="15"/>
      <c r="CC347" s="15"/>
      <c r="CD347" s="15"/>
      <c r="CE347" s="15"/>
      <c r="CF347" s="15"/>
      <c r="CG347" s="15"/>
      <c r="CH347" s="15"/>
      <c r="CI347" s="15"/>
      <c r="CJ347" s="15"/>
      <c r="CK347" s="15"/>
      <c r="CL347" s="15"/>
      <c r="CM347" s="15"/>
      <c r="CN347" s="15"/>
      <c r="CO347" s="15"/>
      <c r="CP347" s="15"/>
      <c r="CQ347" s="15"/>
      <c r="CR347" s="15"/>
      <c r="CS347" s="15"/>
      <c r="CT347" s="15"/>
      <c r="CU347" s="15"/>
      <c r="CV347" s="15"/>
      <c r="CW347" s="15"/>
      <c r="CX347" s="15"/>
      <c r="CY347" s="15"/>
      <c r="CZ347" s="15"/>
      <c r="DA347" s="15"/>
      <c r="DB347" s="15"/>
      <c r="DC347" s="15"/>
      <c r="DD347" s="15"/>
      <c r="DE347" s="15"/>
      <c r="DF347" s="15"/>
      <c r="DG347" s="15"/>
      <c r="DH347" s="15"/>
      <c r="DI347" s="15"/>
      <c r="DJ347" s="15"/>
      <c r="DK347" s="15"/>
    </row>
    <row r="348" spans="1:115" ht="30" customHeight="1" x14ac:dyDescent="0.25">
      <c r="A348" s="15" t="s">
        <v>383</v>
      </c>
      <c r="B348" s="15">
        <v>0.48669338226318359</v>
      </c>
      <c r="C348" s="18">
        <v>0.47600353000000001</v>
      </c>
      <c r="D348" s="18">
        <v>0.45237339999999998</v>
      </c>
      <c r="E348" s="18">
        <v>0.46545399999999998</v>
      </c>
      <c r="F348" s="18">
        <v>0.41997205999999998</v>
      </c>
      <c r="G348" s="18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  <c r="AG348" s="15"/>
      <c r="AH348" s="15"/>
      <c r="AI348" s="15"/>
      <c r="AJ348" s="15"/>
      <c r="AK348" s="15"/>
      <c r="AL348" s="15"/>
      <c r="AM348" s="15"/>
      <c r="AN348" s="15"/>
      <c r="AO348" s="15"/>
      <c r="AP348" s="15"/>
      <c r="AQ348" s="15"/>
      <c r="AR348" s="15"/>
      <c r="AS348" s="15"/>
      <c r="AT348" s="15"/>
      <c r="AU348" s="15"/>
      <c r="AV348" s="15"/>
      <c r="AW348" s="15"/>
      <c r="AX348" s="15"/>
      <c r="AY348" s="15"/>
      <c r="AZ348" s="15"/>
      <c r="BA348" s="15"/>
      <c r="BB348" s="15"/>
      <c r="BC348" s="15"/>
      <c r="BD348" s="15"/>
      <c r="BE348" s="15"/>
      <c r="BF348" s="15"/>
      <c r="BG348" s="15"/>
      <c r="BH348" s="15"/>
      <c r="BI348" s="15"/>
      <c r="BJ348" s="15"/>
      <c r="BK348" s="15"/>
      <c r="BL348" s="15"/>
      <c r="BM348" s="15"/>
      <c r="BN348" s="15"/>
      <c r="BO348" s="15"/>
      <c r="BP348" s="15"/>
      <c r="BQ348" s="15"/>
      <c r="BR348" s="15"/>
      <c r="BS348" s="15"/>
      <c r="BT348" s="15"/>
      <c r="BU348" s="15"/>
      <c r="BV348" s="15"/>
      <c r="BW348" s="15"/>
      <c r="BX348" s="15"/>
      <c r="BY348" s="15"/>
      <c r="BZ348" s="15"/>
      <c r="CA348" s="15"/>
      <c r="CB348" s="15"/>
      <c r="CC348" s="15"/>
      <c r="CD348" s="15"/>
      <c r="CE348" s="15"/>
      <c r="CF348" s="15"/>
      <c r="CG348" s="15"/>
      <c r="CH348" s="15"/>
      <c r="CI348" s="15"/>
      <c r="CJ348" s="15"/>
      <c r="CK348" s="15"/>
      <c r="CL348" s="15"/>
      <c r="CM348" s="15"/>
      <c r="CN348" s="15"/>
      <c r="CO348" s="15"/>
      <c r="CP348" s="15"/>
      <c r="CQ348" s="15"/>
      <c r="CR348" s="15"/>
      <c r="CS348" s="15"/>
      <c r="CT348" s="15"/>
      <c r="CU348" s="15"/>
      <c r="CV348" s="15"/>
      <c r="CW348" s="15"/>
      <c r="CX348" s="15"/>
      <c r="CY348" s="15"/>
      <c r="CZ348" s="15"/>
      <c r="DA348" s="15"/>
      <c r="DB348" s="15"/>
      <c r="DC348" s="15"/>
      <c r="DD348" s="15"/>
      <c r="DE348" s="15"/>
      <c r="DF348" s="15"/>
      <c r="DG348" s="15"/>
      <c r="DH348" s="15"/>
      <c r="DI348" s="15"/>
      <c r="DJ348" s="15"/>
      <c r="DK348" s="15"/>
    </row>
    <row r="349" spans="1:115" ht="30" customHeight="1" x14ac:dyDescent="0.25">
      <c r="A349" s="15" t="s">
        <v>384</v>
      </c>
      <c r="B349" s="15">
        <v>362.82794189453125</v>
      </c>
      <c r="C349" s="18">
        <v>354.43790000000001</v>
      </c>
      <c r="D349" s="18">
        <v>319.08330000000001</v>
      </c>
      <c r="E349" s="18">
        <v>328.1481</v>
      </c>
      <c r="F349" s="18">
        <v>301.27141999999998</v>
      </c>
      <c r="G349" s="18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  <c r="AG349" s="15"/>
      <c r="AH349" s="15"/>
      <c r="AI349" s="15"/>
      <c r="AJ349" s="15"/>
      <c r="AK349" s="15"/>
      <c r="AL349" s="15"/>
      <c r="AM349" s="15"/>
      <c r="AN349" s="15"/>
      <c r="AO349" s="15"/>
      <c r="AP349" s="15"/>
      <c r="AQ349" s="15"/>
      <c r="AR349" s="15"/>
      <c r="AS349" s="15"/>
      <c r="AT349" s="15"/>
      <c r="AU349" s="15"/>
      <c r="AV349" s="15"/>
      <c r="AW349" s="15"/>
      <c r="AX349" s="15"/>
      <c r="AY349" s="15"/>
      <c r="AZ349" s="15"/>
      <c r="BA349" s="15"/>
      <c r="BB349" s="15"/>
      <c r="BC349" s="15"/>
      <c r="BD349" s="15"/>
      <c r="BE349" s="15"/>
      <c r="BF349" s="15"/>
      <c r="BG349" s="15"/>
      <c r="BH349" s="15"/>
      <c r="BI349" s="15"/>
      <c r="BJ349" s="15"/>
      <c r="BK349" s="15"/>
      <c r="BL349" s="15"/>
      <c r="BM349" s="15"/>
      <c r="BN349" s="15"/>
      <c r="BO349" s="15"/>
      <c r="BP349" s="15"/>
      <c r="BQ349" s="15"/>
      <c r="BR349" s="15"/>
      <c r="BS349" s="15"/>
      <c r="BT349" s="15"/>
      <c r="BU349" s="15"/>
      <c r="BV349" s="15"/>
      <c r="BW349" s="15"/>
      <c r="BX349" s="15"/>
      <c r="BY349" s="15"/>
      <c r="BZ349" s="15"/>
      <c r="CA349" s="15"/>
      <c r="CB349" s="15"/>
      <c r="CC349" s="15"/>
      <c r="CD349" s="15"/>
      <c r="CE349" s="15"/>
      <c r="CF349" s="15"/>
      <c r="CG349" s="15"/>
      <c r="CH349" s="15"/>
      <c r="CI349" s="15"/>
      <c r="CJ349" s="15"/>
      <c r="CK349" s="15"/>
      <c r="CL349" s="15"/>
      <c r="CM349" s="15"/>
      <c r="CN349" s="15"/>
      <c r="CO349" s="15"/>
      <c r="CP349" s="15"/>
      <c r="CQ349" s="15"/>
      <c r="CR349" s="15"/>
      <c r="CS349" s="15"/>
      <c r="CT349" s="15"/>
      <c r="CU349" s="15"/>
      <c r="CV349" s="15"/>
      <c r="CW349" s="15"/>
      <c r="CX349" s="15"/>
      <c r="CY349" s="15"/>
      <c r="CZ349" s="15"/>
      <c r="DA349" s="15"/>
      <c r="DB349" s="15"/>
      <c r="DC349" s="15"/>
      <c r="DD349" s="15"/>
      <c r="DE349" s="15"/>
      <c r="DF349" s="15"/>
      <c r="DG349" s="15"/>
      <c r="DH349" s="15"/>
      <c r="DI349" s="15"/>
      <c r="DJ349" s="15"/>
      <c r="DK349" s="15"/>
    </row>
    <row r="350" spans="1:115" ht="30" customHeight="1" x14ac:dyDescent="0.25">
      <c r="A350" s="15" t="s">
        <v>359</v>
      </c>
      <c r="B350" s="15">
        <v>4.820000171661377</v>
      </c>
      <c r="C350" s="18">
        <v>4.82</v>
      </c>
      <c r="D350" s="18">
        <v>4.82</v>
      </c>
      <c r="E350" s="18">
        <v>4.82</v>
      </c>
      <c r="F350" s="18">
        <v>4.82</v>
      </c>
      <c r="G350" s="18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  <c r="AG350" s="15"/>
      <c r="AH350" s="15"/>
      <c r="AI350" s="15"/>
      <c r="AJ350" s="15"/>
      <c r="AK350" s="15"/>
      <c r="AL350" s="15"/>
      <c r="AM350" s="15"/>
      <c r="AN350" s="15"/>
      <c r="AO350" s="15"/>
      <c r="AP350" s="15"/>
      <c r="AQ350" s="15"/>
      <c r="AR350" s="15"/>
      <c r="AS350" s="15"/>
      <c r="AT350" s="15"/>
      <c r="AU350" s="15"/>
      <c r="AV350" s="15"/>
      <c r="AW350" s="15"/>
      <c r="AX350" s="15"/>
      <c r="AY350" s="15"/>
      <c r="AZ350" s="15"/>
      <c r="BA350" s="15"/>
      <c r="BB350" s="15"/>
      <c r="BC350" s="15"/>
      <c r="BD350" s="15"/>
      <c r="BE350" s="15"/>
      <c r="BF350" s="15"/>
      <c r="BG350" s="15"/>
      <c r="BH350" s="15"/>
      <c r="BI350" s="15"/>
      <c r="BJ350" s="15"/>
      <c r="BK350" s="15"/>
      <c r="BL350" s="15"/>
      <c r="BM350" s="15"/>
      <c r="BN350" s="15"/>
      <c r="BO350" s="15"/>
      <c r="BP350" s="15"/>
      <c r="BQ350" s="15"/>
      <c r="BR350" s="15"/>
      <c r="BS350" s="15"/>
      <c r="BT350" s="15"/>
      <c r="BU350" s="15"/>
      <c r="BV350" s="15"/>
      <c r="BW350" s="15"/>
      <c r="BX350" s="15"/>
      <c r="BY350" s="15"/>
      <c r="BZ350" s="15"/>
      <c r="CA350" s="15"/>
      <c r="CB350" s="15"/>
      <c r="CC350" s="15"/>
      <c r="CD350" s="15"/>
      <c r="CE350" s="15"/>
      <c r="CF350" s="15"/>
      <c r="CG350" s="15"/>
      <c r="CH350" s="15"/>
      <c r="CI350" s="15"/>
      <c r="CJ350" s="15"/>
      <c r="CK350" s="15"/>
      <c r="CL350" s="15"/>
      <c r="CM350" s="15"/>
      <c r="CN350" s="15"/>
      <c r="CO350" s="15"/>
      <c r="CP350" s="15"/>
      <c r="CQ350" s="15"/>
      <c r="CR350" s="15"/>
      <c r="CS350" s="15"/>
      <c r="CT350" s="15"/>
      <c r="CU350" s="15"/>
      <c r="CV350" s="15"/>
      <c r="CW350" s="15"/>
      <c r="CX350" s="15"/>
      <c r="CY350" s="15"/>
      <c r="CZ350" s="15"/>
      <c r="DA350" s="15"/>
      <c r="DB350" s="15"/>
      <c r="DC350" s="15"/>
      <c r="DD350" s="15"/>
      <c r="DE350" s="15"/>
      <c r="DF350" s="15"/>
      <c r="DG350" s="15"/>
      <c r="DH350" s="15"/>
      <c r="DI350" s="15"/>
      <c r="DJ350" s="15"/>
      <c r="DK350" s="15"/>
    </row>
    <row r="351" spans="1:115" ht="30" customHeight="1" x14ac:dyDescent="0.25">
      <c r="A351" s="15" t="s">
        <v>360</v>
      </c>
      <c r="B351" s="15">
        <v>61.180000305175781</v>
      </c>
      <c r="C351" s="18">
        <v>61.45</v>
      </c>
      <c r="D351" s="18">
        <v>61.45</v>
      </c>
      <c r="E351" s="18">
        <v>61.45</v>
      </c>
      <c r="F351" s="18">
        <v>61.18</v>
      </c>
      <c r="G351" s="18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  <c r="AG351" s="15"/>
      <c r="AH351" s="15"/>
      <c r="AI351" s="15"/>
      <c r="AJ351" s="15"/>
      <c r="AK351" s="15"/>
      <c r="AL351" s="15"/>
      <c r="AM351" s="15"/>
      <c r="AN351" s="15"/>
      <c r="AO351" s="15"/>
      <c r="AP351" s="15"/>
      <c r="AQ351" s="15"/>
      <c r="AR351" s="15"/>
      <c r="AS351" s="15"/>
      <c r="AT351" s="15"/>
      <c r="AU351" s="15"/>
      <c r="AV351" s="15"/>
      <c r="AW351" s="15"/>
      <c r="AX351" s="15"/>
      <c r="AY351" s="15"/>
      <c r="AZ351" s="15"/>
      <c r="BA351" s="15"/>
      <c r="BB351" s="15"/>
      <c r="BC351" s="15"/>
      <c r="BD351" s="15"/>
      <c r="BE351" s="15"/>
      <c r="BF351" s="15"/>
      <c r="BG351" s="15"/>
      <c r="BH351" s="15"/>
      <c r="BI351" s="15"/>
      <c r="BJ351" s="15"/>
      <c r="BK351" s="15"/>
      <c r="BL351" s="15"/>
      <c r="BM351" s="15"/>
      <c r="BN351" s="15"/>
      <c r="BO351" s="15"/>
      <c r="BP351" s="15"/>
      <c r="BQ351" s="15"/>
      <c r="BR351" s="15"/>
      <c r="BS351" s="15"/>
      <c r="BT351" s="15"/>
      <c r="BU351" s="15"/>
      <c r="BV351" s="15"/>
      <c r="BW351" s="15"/>
      <c r="BX351" s="15"/>
      <c r="BY351" s="15"/>
      <c r="BZ351" s="15"/>
      <c r="CA351" s="15"/>
      <c r="CB351" s="15"/>
      <c r="CC351" s="15"/>
      <c r="CD351" s="15"/>
      <c r="CE351" s="15"/>
      <c r="CF351" s="15"/>
      <c r="CG351" s="15"/>
      <c r="CH351" s="15"/>
      <c r="CI351" s="15"/>
      <c r="CJ351" s="15"/>
      <c r="CK351" s="15"/>
      <c r="CL351" s="15"/>
      <c r="CM351" s="15"/>
      <c r="CN351" s="15"/>
      <c r="CO351" s="15"/>
      <c r="CP351" s="15"/>
      <c r="CQ351" s="15"/>
      <c r="CR351" s="15"/>
      <c r="CS351" s="15"/>
      <c r="CT351" s="15"/>
      <c r="CU351" s="15"/>
      <c r="CV351" s="15"/>
      <c r="CW351" s="15"/>
      <c r="CX351" s="15"/>
      <c r="CY351" s="15"/>
      <c r="CZ351" s="15"/>
      <c r="DA351" s="15"/>
      <c r="DB351" s="15"/>
      <c r="DC351" s="15"/>
      <c r="DD351" s="15"/>
      <c r="DE351" s="15"/>
      <c r="DF351" s="15"/>
      <c r="DG351" s="15"/>
      <c r="DH351" s="15"/>
      <c r="DI351" s="15"/>
      <c r="DJ351" s="15"/>
      <c r="DK351" s="15"/>
    </row>
    <row r="352" spans="1:115" ht="30" customHeight="1" x14ac:dyDescent="0.25">
      <c r="A352" s="15" t="s">
        <v>361</v>
      </c>
      <c r="B352" s="15">
        <v>146.11000061035156</v>
      </c>
      <c r="C352" s="18">
        <v>141.87</v>
      </c>
      <c r="D352" s="18">
        <v>141.87</v>
      </c>
      <c r="E352" s="18">
        <v>141.87</v>
      </c>
      <c r="F352" s="18">
        <v>146.11000000000001</v>
      </c>
      <c r="G352" s="18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  <c r="AG352" s="15"/>
      <c r="AH352" s="15"/>
      <c r="AI352" s="15"/>
      <c r="AJ352" s="15"/>
      <c r="AK352" s="15"/>
      <c r="AL352" s="15"/>
      <c r="AM352" s="15"/>
      <c r="AN352" s="15"/>
      <c r="AO352" s="15"/>
      <c r="AP352" s="15"/>
      <c r="AQ352" s="15"/>
      <c r="AR352" s="15"/>
      <c r="AS352" s="15"/>
      <c r="AT352" s="15"/>
      <c r="AU352" s="15"/>
      <c r="AV352" s="15"/>
      <c r="AW352" s="15"/>
      <c r="AX352" s="15"/>
      <c r="AY352" s="15"/>
      <c r="AZ352" s="15"/>
      <c r="BA352" s="15"/>
      <c r="BB352" s="15"/>
      <c r="BC352" s="15"/>
      <c r="BD352" s="15"/>
      <c r="BE352" s="15"/>
      <c r="BF352" s="15"/>
      <c r="BG352" s="15"/>
      <c r="BH352" s="15"/>
      <c r="BI352" s="15"/>
      <c r="BJ352" s="15"/>
      <c r="BK352" s="15"/>
      <c r="BL352" s="15"/>
      <c r="BM352" s="15"/>
      <c r="BN352" s="15"/>
      <c r="BO352" s="15"/>
      <c r="BP352" s="15"/>
      <c r="BQ352" s="15"/>
      <c r="BR352" s="15"/>
      <c r="BS352" s="15"/>
      <c r="BT352" s="15"/>
      <c r="BU352" s="15"/>
      <c r="BV352" s="15"/>
      <c r="BW352" s="15"/>
      <c r="BX352" s="15"/>
      <c r="BY352" s="15"/>
      <c r="BZ352" s="15"/>
      <c r="CA352" s="15"/>
      <c r="CB352" s="15"/>
      <c r="CC352" s="15"/>
      <c r="CD352" s="15"/>
      <c r="CE352" s="15"/>
      <c r="CF352" s="15"/>
      <c r="CG352" s="15"/>
      <c r="CH352" s="15"/>
      <c r="CI352" s="15"/>
      <c r="CJ352" s="15"/>
      <c r="CK352" s="15"/>
      <c r="CL352" s="15"/>
      <c r="CM352" s="15"/>
      <c r="CN352" s="15"/>
      <c r="CO352" s="15"/>
      <c r="CP352" s="15"/>
      <c r="CQ352" s="15"/>
      <c r="CR352" s="15"/>
      <c r="CS352" s="15"/>
      <c r="CT352" s="15"/>
      <c r="CU352" s="15"/>
      <c r="CV352" s="15"/>
      <c r="CW352" s="15"/>
      <c r="CX352" s="15"/>
      <c r="CY352" s="15"/>
      <c r="CZ352" s="15"/>
      <c r="DA352" s="15"/>
      <c r="DB352" s="15"/>
      <c r="DC352" s="15"/>
      <c r="DD352" s="15"/>
      <c r="DE352" s="15"/>
      <c r="DF352" s="15"/>
      <c r="DG352" s="15"/>
      <c r="DH352" s="15"/>
      <c r="DI352" s="15"/>
      <c r="DJ352" s="15"/>
      <c r="DK352" s="15"/>
    </row>
    <row r="353" spans="1:115" ht="30" customHeight="1" x14ac:dyDescent="0.25">
      <c r="A353" s="15" t="s">
        <v>385</v>
      </c>
      <c r="B353" s="15">
        <v>1.1911023855209351</v>
      </c>
      <c r="C353" s="18">
        <v>1.1924999999999999</v>
      </c>
      <c r="D353" s="18">
        <v>1.1172667999999999</v>
      </c>
      <c r="E353" s="18">
        <v>1.1645004000000001</v>
      </c>
      <c r="F353" s="18">
        <v>1.041218</v>
      </c>
      <c r="G353" s="18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  <c r="AG353" s="15"/>
      <c r="AH353" s="15"/>
      <c r="AI353" s="15"/>
      <c r="AJ353" s="15"/>
      <c r="AK353" s="15"/>
      <c r="AL353" s="15"/>
      <c r="AM353" s="15"/>
      <c r="AN353" s="15"/>
      <c r="AO353" s="15"/>
      <c r="AP353" s="15"/>
      <c r="AQ353" s="15"/>
      <c r="AR353" s="15"/>
      <c r="AS353" s="15"/>
      <c r="AT353" s="15"/>
      <c r="AU353" s="15"/>
      <c r="AV353" s="15"/>
      <c r="AW353" s="15"/>
      <c r="AX353" s="15"/>
      <c r="AY353" s="15"/>
      <c r="AZ353" s="15"/>
      <c r="BA353" s="15"/>
      <c r="BB353" s="15"/>
      <c r="BC353" s="15"/>
      <c r="BD353" s="15"/>
      <c r="BE353" s="15"/>
      <c r="BF353" s="15"/>
      <c r="BG353" s="15"/>
      <c r="BH353" s="15"/>
      <c r="BI353" s="15"/>
      <c r="BJ353" s="15"/>
      <c r="BK353" s="15"/>
      <c r="BL353" s="15"/>
      <c r="BM353" s="15"/>
      <c r="BN353" s="15"/>
      <c r="BO353" s="15"/>
      <c r="BP353" s="15"/>
      <c r="BQ353" s="15"/>
      <c r="BR353" s="15"/>
      <c r="BS353" s="15"/>
      <c r="BT353" s="15"/>
      <c r="BU353" s="15"/>
      <c r="BV353" s="15"/>
      <c r="BW353" s="15"/>
      <c r="BX353" s="15"/>
      <c r="BY353" s="15"/>
      <c r="BZ353" s="15"/>
      <c r="CA353" s="15"/>
      <c r="CB353" s="15"/>
      <c r="CC353" s="15"/>
      <c r="CD353" s="15"/>
      <c r="CE353" s="15"/>
      <c r="CF353" s="15"/>
      <c r="CG353" s="15"/>
      <c r="CH353" s="15"/>
      <c r="CI353" s="15"/>
      <c r="CJ353" s="15"/>
      <c r="CK353" s="15"/>
      <c r="CL353" s="15"/>
      <c r="CM353" s="15"/>
      <c r="CN353" s="15"/>
      <c r="CO353" s="15"/>
      <c r="CP353" s="15"/>
      <c r="CQ353" s="15"/>
      <c r="CR353" s="15"/>
      <c r="CS353" s="15"/>
      <c r="CT353" s="15"/>
      <c r="CU353" s="15"/>
      <c r="CV353" s="15"/>
      <c r="CW353" s="15"/>
      <c r="CX353" s="15"/>
      <c r="CY353" s="15"/>
      <c r="CZ353" s="15"/>
      <c r="DA353" s="15"/>
      <c r="DB353" s="15"/>
      <c r="DC353" s="15"/>
      <c r="DD353" s="15"/>
      <c r="DE353" s="15"/>
      <c r="DF353" s="15"/>
      <c r="DG353" s="15"/>
      <c r="DH353" s="15"/>
      <c r="DI353" s="15"/>
      <c r="DJ353" s="15"/>
      <c r="DK353" s="15"/>
    </row>
    <row r="354" spans="1:115" ht="30" customHeight="1" x14ac:dyDescent="0.25">
      <c r="A354" s="15" t="s">
        <v>63</v>
      </c>
      <c r="B354" s="15">
        <v>45.240001678466797</v>
      </c>
      <c r="C354" s="18">
        <v>45.63</v>
      </c>
      <c r="D354" s="18">
        <v>45.63</v>
      </c>
      <c r="E354" s="18">
        <v>45.63</v>
      </c>
      <c r="F354" s="18">
        <v>45.24</v>
      </c>
      <c r="G354" s="18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  <c r="AG354" s="15"/>
      <c r="AH354" s="15"/>
      <c r="AI354" s="15"/>
      <c r="AJ354" s="15"/>
      <c r="AK354" s="15"/>
      <c r="AL354" s="15"/>
      <c r="AM354" s="15"/>
      <c r="AN354" s="15"/>
      <c r="AO354" s="15"/>
      <c r="AP354" s="15"/>
      <c r="AQ354" s="15"/>
      <c r="AR354" s="15"/>
      <c r="AS354" s="15"/>
      <c r="AT354" s="15"/>
      <c r="AU354" s="15"/>
      <c r="AV354" s="15"/>
      <c r="AW354" s="15"/>
      <c r="AX354" s="15"/>
      <c r="AY354" s="15"/>
      <c r="AZ354" s="15"/>
      <c r="BA354" s="15"/>
      <c r="BB354" s="15"/>
      <c r="BC354" s="15"/>
      <c r="BD354" s="15"/>
      <c r="BE354" s="15"/>
      <c r="BF354" s="15"/>
      <c r="BG354" s="15"/>
      <c r="BH354" s="15"/>
      <c r="BI354" s="15"/>
      <c r="BJ354" s="15"/>
      <c r="BK354" s="15"/>
      <c r="BL354" s="15"/>
      <c r="BM354" s="15"/>
      <c r="BN354" s="15"/>
      <c r="BO354" s="15"/>
      <c r="BP354" s="15"/>
      <c r="BQ354" s="15"/>
      <c r="BR354" s="15"/>
      <c r="BS354" s="15"/>
      <c r="BT354" s="15"/>
      <c r="BU354" s="15"/>
      <c r="BV354" s="15"/>
      <c r="BW354" s="15"/>
      <c r="BX354" s="15"/>
      <c r="BY354" s="15"/>
      <c r="BZ354" s="15"/>
      <c r="CA354" s="15"/>
      <c r="CB354" s="15"/>
      <c r="CC354" s="15"/>
      <c r="CD354" s="15"/>
      <c r="CE354" s="15"/>
      <c r="CF354" s="15"/>
      <c r="CG354" s="15"/>
      <c r="CH354" s="15"/>
      <c r="CI354" s="15"/>
      <c r="CJ354" s="15"/>
      <c r="CK354" s="15"/>
      <c r="CL354" s="15"/>
      <c r="CM354" s="15"/>
      <c r="CN354" s="15"/>
      <c r="CO354" s="15"/>
      <c r="CP354" s="15"/>
      <c r="CQ354" s="15"/>
      <c r="CR354" s="15"/>
      <c r="CS354" s="15"/>
      <c r="CT354" s="15"/>
      <c r="CU354" s="15"/>
      <c r="CV354" s="15"/>
      <c r="CW354" s="15"/>
      <c r="CX354" s="15"/>
      <c r="CY354" s="15"/>
      <c r="CZ354" s="15"/>
      <c r="DA354" s="15"/>
      <c r="DB354" s="15"/>
      <c r="DC354" s="15"/>
      <c r="DD354" s="15"/>
      <c r="DE354" s="15"/>
      <c r="DF354" s="15"/>
      <c r="DG354" s="15"/>
      <c r="DH354" s="15"/>
      <c r="DI354" s="15"/>
      <c r="DJ354" s="15"/>
      <c r="DK354" s="15"/>
    </row>
    <row r="355" spans="1:115" ht="30" customHeight="1" x14ac:dyDescent="0.25">
      <c r="A355" s="15" t="s">
        <v>399</v>
      </c>
      <c r="B355" s="15">
        <v>63.139999389648438</v>
      </c>
      <c r="C355" s="18">
        <v>63.55</v>
      </c>
      <c r="D355" s="18">
        <v>63.55</v>
      </c>
      <c r="E355" s="18">
        <v>63.55</v>
      </c>
      <c r="F355" s="18">
        <v>63.14</v>
      </c>
      <c r="G355" s="18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  <c r="AG355" s="15"/>
      <c r="AH355" s="15"/>
      <c r="AI355" s="15"/>
      <c r="AJ355" s="15"/>
      <c r="AK355" s="15"/>
      <c r="AL355" s="15"/>
      <c r="AM355" s="15"/>
      <c r="AN355" s="15"/>
      <c r="AO355" s="15"/>
      <c r="AP355" s="15"/>
      <c r="AQ355" s="15"/>
      <c r="AR355" s="15"/>
      <c r="AS355" s="15"/>
      <c r="AT355" s="15"/>
      <c r="AU355" s="15"/>
      <c r="AV355" s="15"/>
      <c r="AW355" s="15"/>
      <c r="AX355" s="15"/>
      <c r="AY355" s="15"/>
      <c r="AZ355" s="15"/>
      <c r="BA355" s="15"/>
      <c r="BB355" s="15"/>
      <c r="BC355" s="15"/>
      <c r="BD355" s="15"/>
      <c r="BE355" s="15"/>
      <c r="BF355" s="15"/>
      <c r="BG355" s="15"/>
      <c r="BH355" s="15"/>
      <c r="BI355" s="15"/>
      <c r="BJ355" s="15"/>
      <c r="BK355" s="15"/>
      <c r="BL355" s="15"/>
      <c r="BM355" s="15"/>
      <c r="BN355" s="15"/>
      <c r="BO355" s="15"/>
      <c r="BP355" s="15"/>
      <c r="BQ355" s="15"/>
      <c r="BR355" s="15"/>
      <c r="BS355" s="15"/>
      <c r="BT355" s="15"/>
      <c r="BU355" s="15"/>
      <c r="BV355" s="15"/>
      <c r="BW355" s="15"/>
      <c r="BX355" s="15"/>
      <c r="BY355" s="15"/>
      <c r="BZ355" s="15"/>
      <c r="CA355" s="15"/>
      <c r="CB355" s="15"/>
      <c r="CC355" s="15"/>
      <c r="CD355" s="15"/>
      <c r="CE355" s="15"/>
      <c r="CF355" s="15"/>
      <c r="CG355" s="15"/>
      <c r="CH355" s="15"/>
      <c r="CI355" s="15"/>
      <c r="CJ355" s="15"/>
      <c r="CK355" s="15"/>
      <c r="CL355" s="15"/>
      <c r="CM355" s="15"/>
      <c r="CN355" s="15"/>
      <c r="CO355" s="15"/>
      <c r="CP355" s="15"/>
      <c r="CQ355" s="15"/>
      <c r="CR355" s="15"/>
      <c r="CS355" s="15"/>
      <c r="CT355" s="15"/>
      <c r="CU355" s="15"/>
      <c r="CV355" s="15"/>
      <c r="CW355" s="15"/>
      <c r="CX355" s="15"/>
      <c r="CY355" s="15"/>
      <c r="CZ355" s="15"/>
      <c r="DA355" s="15"/>
      <c r="DB355" s="15"/>
      <c r="DC355" s="15"/>
      <c r="DD355" s="15"/>
      <c r="DE355" s="15"/>
      <c r="DF355" s="15"/>
      <c r="DG355" s="15"/>
      <c r="DH355" s="15"/>
      <c r="DI355" s="15"/>
      <c r="DJ355" s="15"/>
      <c r="DK355" s="15"/>
    </row>
    <row r="356" spans="1:115" ht="30" customHeight="1" x14ac:dyDescent="0.25">
      <c r="A356" s="15" t="s">
        <v>362</v>
      </c>
      <c r="B356" s="15">
        <v>67.790000915527344</v>
      </c>
      <c r="C356" s="18">
        <v>68.150000000000006</v>
      </c>
      <c r="D356" s="18">
        <v>68.150000000000006</v>
      </c>
      <c r="E356" s="18">
        <v>68.150000000000006</v>
      </c>
      <c r="F356" s="18">
        <v>67.790000000000006</v>
      </c>
      <c r="G356" s="18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  <c r="AG356" s="15"/>
      <c r="AH356" s="15"/>
      <c r="AI356" s="15"/>
      <c r="AJ356" s="15"/>
      <c r="AK356" s="15"/>
      <c r="AL356" s="15"/>
      <c r="AM356" s="15"/>
      <c r="AN356" s="15"/>
      <c r="AO356" s="15"/>
      <c r="AP356" s="15"/>
      <c r="AQ356" s="15"/>
      <c r="AR356" s="15"/>
      <c r="AS356" s="15"/>
      <c r="AT356" s="15"/>
      <c r="AU356" s="15"/>
      <c r="AV356" s="15"/>
      <c r="AW356" s="15"/>
      <c r="AX356" s="15"/>
      <c r="AY356" s="15"/>
      <c r="AZ356" s="15"/>
      <c r="BA356" s="15"/>
      <c r="BB356" s="15"/>
      <c r="BC356" s="15"/>
      <c r="BD356" s="15"/>
      <c r="BE356" s="15"/>
      <c r="BF356" s="15"/>
      <c r="BG356" s="15"/>
      <c r="BH356" s="15"/>
      <c r="BI356" s="15"/>
      <c r="BJ356" s="15"/>
      <c r="BK356" s="15"/>
      <c r="BL356" s="15"/>
      <c r="BM356" s="15"/>
      <c r="BN356" s="15"/>
      <c r="BO356" s="15"/>
      <c r="BP356" s="15"/>
      <c r="BQ356" s="15"/>
      <c r="BR356" s="15"/>
      <c r="BS356" s="15"/>
      <c r="BT356" s="15"/>
      <c r="BU356" s="15"/>
      <c r="BV356" s="15"/>
      <c r="BW356" s="15"/>
      <c r="BX356" s="15"/>
      <c r="BY356" s="15"/>
      <c r="BZ356" s="15"/>
      <c r="CA356" s="15"/>
      <c r="CB356" s="15"/>
      <c r="CC356" s="15"/>
      <c r="CD356" s="15"/>
      <c r="CE356" s="15"/>
      <c r="CF356" s="15"/>
      <c r="CG356" s="15"/>
      <c r="CH356" s="15"/>
      <c r="CI356" s="15"/>
      <c r="CJ356" s="15"/>
      <c r="CK356" s="15"/>
      <c r="CL356" s="15"/>
      <c r="CM356" s="15"/>
      <c r="CN356" s="15"/>
      <c r="CO356" s="15"/>
      <c r="CP356" s="15"/>
      <c r="CQ356" s="15"/>
      <c r="CR356" s="15"/>
      <c r="CS356" s="15"/>
      <c r="CT356" s="15"/>
      <c r="CU356" s="15"/>
      <c r="CV356" s="15"/>
      <c r="CW356" s="15"/>
      <c r="CX356" s="15"/>
      <c r="CY356" s="15"/>
      <c r="CZ356" s="15"/>
      <c r="DA356" s="15"/>
      <c r="DB356" s="15"/>
      <c r="DC356" s="15"/>
      <c r="DD356" s="15"/>
      <c r="DE356" s="15"/>
      <c r="DF356" s="15"/>
      <c r="DG356" s="15"/>
      <c r="DH356" s="15"/>
      <c r="DI356" s="15"/>
      <c r="DJ356" s="15"/>
      <c r="DK356" s="15"/>
    </row>
    <row r="357" spans="1:115" ht="30" customHeight="1" x14ac:dyDescent="0.25">
      <c r="A357" s="15" t="s">
        <v>386</v>
      </c>
      <c r="B357" s="15">
        <v>0.159378781914711</v>
      </c>
      <c r="C357" s="18">
        <v>0.15765319999999999</v>
      </c>
      <c r="D357" s="18">
        <v>0.14575599</v>
      </c>
      <c r="E357" s="18">
        <v>0.15088667</v>
      </c>
      <c r="F357" s="18">
        <v>0.13412416999999999</v>
      </c>
      <c r="G357" s="18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  <c r="AG357" s="15"/>
      <c r="AH357" s="15"/>
      <c r="AI357" s="15"/>
      <c r="AJ357" s="15"/>
      <c r="AK357" s="15"/>
      <c r="AL357" s="15"/>
      <c r="AM357" s="15"/>
      <c r="AN357" s="15"/>
      <c r="AO357" s="15"/>
      <c r="AP357" s="15"/>
      <c r="AQ357" s="15"/>
      <c r="AR357" s="15"/>
      <c r="AS357" s="15"/>
      <c r="AT357" s="15"/>
      <c r="AU357" s="15"/>
      <c r="AV357" s="15"/>
      <c r="AW357" s="15"/>
      <c r="AX357" s="15"/>
      <c r="AY357" s="15"/>
      <c r="AZ357" s="15"/>
      <c r="BA357" s="15"/>
      <c r="BB357" s="15"/>
      <c r="BC357" s="15"/>
      <c r="BD357" s="15"/>
      <c r="BE357" s="15"/>
      <c r="BF357" s="15"/>
      <c r="BG357" s="15"/>
      <c r="BH357" s="15"/>
      <c r="BI357" s="15"/>
      <c r="BJ357" s="15"/>
      <c r="BK357" s="15"/>
      <c r="BL357" s="15"/>
      <c r="BM357" s="15"/>
      <c r="BN357" s="15"/>
      <c r="BO357" s="15"/>
      <c r="BP357" s="15"/>
      <c r="BQ357" s="15"/>
      <c r="BR357" s="15"/>
      <c r="BS357" s="15"/>
      <c r="BT357" s="15"/>
      <c r="BU357" s="15"/>
      <c r="BV357" s="15"/>
      <c r="BW357" s="15"/>
      <c r="BX357" s="15"/>
      <c r="BY357" s="15"/>
      <c r="BZ357" s="15"/>
      <c r="CA357" s="15"/>
      <c r="CB357" s="15"/>
      <c r="CC357" s="15"/>
      <c r="CD357" s="15"/>
      <c r="CE357" s="15"/>
      <c r="CF357" s="15"/>
      <c r="CG357" s="15"/>
      <c r="CH357" s="15"/>
      <c r="CI357" s="15"/>
      <c r="CJ357" s="15"/>
      <c r="CK357" s="15"/>
      <c r="CL357" s="15"/>
      <c r="CM357" s="15"/>
      <c r="CN357" s="15"/>
      <c r="CO357" s="15"/>
      <c r="CP357" s="15"/>
      <c r="CQ357" s="15"/>
      <c r="CR357" s="15"/>
      <c r="CS357" s="15"/>
      <c r="CT357" s="15"/>
      <c r="CU357" s="15"/>
      <c r="CV357" s="15"/>
      <c r="CW357" s="15"/>
      <c r="CX357" s="15"/>
      <c r="CY357" s="15"/>
      <c r="CZ357" s="15"/>
      <c r="DA357" s="15"/>
      <c r="DB357" s="15"/>
      <c r="DC357" s="15"/>
      <c r="DD357" s="15"/>
      <c r="DE357" s="15"/>
      <c r="DF357" s="15"/>
      <c r="DG357" s="15"/>
      <c r="DH357" s="15"/>
      <c r="DI357" s="15"/>
      <c r="DJ357" s="15"/>
      <c r="DK357" s="15"/>
    </row>
    <row r="358" spans="1:115" ht="30" customHeight="1" x14ac:dyDescent="0.25">
      <c r="A358" s="15" t="s">
        <v>389</v>
      </c>
      <c r="B358" s="15">
        <v>38.680000305175781</v>
      </c>
      <c r="C358" s="18">
        <v>38.83</v>
      </c>
      <c r="D358" s="18">
        <v>38.83</v>
      </c>
      <c r="E358" s="18">
        <v>38.83</v>
      </c>
      <c r="F358" s="18">
        <v>38.68</v>
      </c>
      <c r="G358" s="18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  <c r="AG358" s="15"/>
      <c r="AH358" s="15"/>
      <c r="AI358" s="15"/>
      <c r="AJ358" s="15"/>
      <c r="AK358" s="15"/>
      <c r="AL358" s="15"/>
      <c r="AM358" s="15"/>
      <c r="AN358" s="15"/>
      <c r="AO358" s="15"/>
      <c r="AP358" s="15"/>
      <c r="AQ358" s="15"/>
      <c r="AR358" s="15"/>
      <c r="AS358" s="15"/>
      <c r="AT358" s="15"/>
      <c r="AU358" s="15"/>
      <c r="AV358" s="15"/>
      <c r="AW358" s="15"/>
      <c r="AX358" s="15"/>
      <c r="AY358" s="15"/>
      <c r="AZ358" s="15"/>
      <c r="BA358" s="15"/>
      <c r="BB358" s="15"/>
      <c r="BC358" s="15"/>
      <c r="BD358" s="15"/>
      <c r="BE358" s="15"/>
      <c r="BF358" s="15"/>
      <c r="BG358" s="15"/>
      <c r="BH358" s="15"/>
      <c r="BI358" s="15"/>
      <c r="BJ358" s="15"/>
      <c r="BK358" s="15"/>
      <c r="BL358" s="15"/>
      <c r="BM358" s="15"/>
      <c r="BN358" s="15"/>
      <c r="BO358" s="15"/>
      <c r="BP358" s="15"/>
      <c r="BQ358" s="15"/>
      <c r="BR358" s="15"/>
      <c r="BS358" s="15"/>
      <c r="BT358" s="15"/>
      <c r="BU358" s="15"/>
      <c r="BV358" s="15"/>
      <c r="BW358" s="15"/>
      <c r="BX358" s="15"/>
      <c r="BY358" s="15"/>
      <c r="BZ358" s="15"/>
      <c r="CA358" s="15"/>
      <c r="CB358" s="15"/>
      <c r="CC358" s="15"/>
      <c r="CD358" s="15"/>
      <c r="CE358" s="15"/>
      <c r="CF358" s="15"/>
      <c r="CG358" s="15"/>
      <c r="CH358" s="15"/>
      <c r="CI358" s="15"/>
      <c r="CJ358" s="15"/>
      <c r="CK358" s="15"/>
      <c r="CL358" s="15"/>
      <c r="CM358" s="15"/>
      <c r="CN358" s="15"/>
      <c r="CO358" s="15"/>
      <c r="CP358" s="15"/>
      <c r="CQ358" s="15"/>
      <c r="CR358" s="15"/>
      <c r="CS358" s="15"/>
      <c r="CT358" s="15"/>
      <c r="CU358" s="15"/>
      <c r="CV358" s="15"/>
      <c r="CW358" s="15"/>
      <c r="CX358" s="15"/>
      <c r="CY358" s="15"/>
      <c r="CZ358" s="15"/>
      <c r="DA358" s="15"/>
      <c r="DB358" s="15"/>
      <c r="DC358" s="15"/>
      <c r="DD358" s="15"/>
      <c r="DE358" s="15"/>
      <c r="DF358" s="15"/>
      <c r="DG358" s="15"/>
      <c r="DH358" s="15"/>
      <c r="DI358" s="15"/>
      <c r="DJ358" s="15"/>
      <c r="DK358" s="15"/>
    </row>
    <row r="359" spans="1:115" ht="30" customHeight="1" x14ac:dyDescent="0.25">
      <c r="A359" s="15" t="s">
        <v>363</v>
      </c>
      <c r="B359" s="15">
        <v>44.540000915527344</v>
      </c>
      <c r="C359" s="18">
        <v>47.3</v>
      </c>
      <c r="D359" s="18">
        <v>47.3</v>
      </c>
      <c r="E359" s="18">
        <v>47.3</v>
      </c>
      <c r="F359" s="18">
        <v>44.54</v>
      </c>
      <c r="G359" s="18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  <c r="AG359" s="15"/>
      <c r="AH359" s="15"/>
      <c r="AI359" s="15"/>
      <c r="AJ359" s="15"/>
      <c r="AK359" s="15"/>
      <c r="AL359" s="15"/>
      <c r="AM359" s="15"/>
      <c r="AN359" s="15"/>
      <c r="AO359" s="15"/>
      <c r="AP359" s="15"/>
      <c r="AQ359" s="15"/>
      <c r="AR359" s="15"/>
      <c r="AS359" s="15"/>
      <c r="AT359" s="15"/>
      <c r="AU359" s="15"/>
      <c r="AV359" s="15"/>
      <c r="AW359" s="15"/>
      <c r="AX359" s="15"/>
      <c r="AY359" s="15"/>
      <c r="AZ359" s="15"/>
      <c r="BA359" s="15"/>
      <c r="BB359" s="15"/>
      <c r="BC359" s="15"/>
      <c r="BD359" s="15"/>
      <c r="BE359" s="15"/>
      <c r="BF359" s="15"/>
      <c r="BG359" s="15"/>
      <c r="BH359" s="15"/>
      <c r="BI359" s="15"/>
      <c r="BJ359" s="15"/>
      <c r="BK359" s="15"/>
      <c r="BL359" s="15"/>
      <c r="BM359" s="15"/>
      <c r="BN359" s="15"/>
      <c r="BO359" s="15"/>
      <c r="BP359" s="15"/>
      <c r="BQ359" s="15"/>
      <c r="BR359" s="15"/>
      <c r="BS359" s="15"/>
      <c r="BT359" s="15"/>
      <c r="BU359" s="15"/>
      <c r="BV359" s="15"/>
      <c r="BW359" s="15"/>
      <c r="BX359" s="15"/>
      <c r="BY359" s="15"/>
      <c r="BZ359" s="15"/>
      <c r="CA359" s="15"/>
      <c r="CB359" s="15"/>
      <c r="CC359" s="15"/>
      <c r="CD359" s="15"/>
      <c r="CE359" s="15"/>
      <c r="CF359" s="15"/>
      <c r="CG359" s="15"/>
      <c r="CH359" s="15"/>
      <c r="CI359" s="15"/>
      <c r="CJ359" s="15"/>
      <c r="CK359" s="15"/>
      <c r="CL359" s="15"/>
      <c r="CM359" s="15"/>
      <c r="CN359" s="15"/>
      <c r="CO359" s="15"/>
      <c r="CP359" s="15"/>
      <c r="CQ359" s="15"/>
      <c r="CR359" s="15"/>
      <c r="CS359" s="15"/>
      <c r="CT359" s="15"/>
      <c r="CU359" s="15"/>
      <c r="CV359" s="15"/>
      <c r="CW359" s="15"/>
      <c r="CX359" s="15"/>
      <c r="CY359" s="15"/>
      <c r="CZ359" s="15"/>
      <c r="DA359" s="15"/>
      <c r="DB359" s="15"/>
      <c r="DC359" s="15"/>
      <c r="DD359" s="15"/>
      <c r="DE359" s="15"/>
      <c r="DF359" s="15"/>
      <c r="DG359" s="15"/>
      <c r="DH359" s="15"/>
      <c r="DI359" s="15"/>
      <c r="DJ359" s="15"/>
      <c r="DK359" s="15"/>
    </row>
  </sheetData>
  <phoneticPr fontId="36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926BA-B9BA-4422-8427-128F4A668330}">
  <sheetPr codeName="Sheet8"/>
  <dimension ref="A1:K360"/>
  <sheetViews>
    <sheetView showGridLines="0" topLeftCell="A334" workbookViewId="0">
      <selection activeCell="E2" sqref="E2:E359"/>
    </sheetView>
  </sheetViews>
  <sheetFormatPr defaultColWidth="9.140625" defaultRowHeight="30" customHeight="1" x14ac:dyDescent="0.25"/>
  <cols>
    <col min="1" max="1" width="11.140625" style="17" bestFit="1" customWidth="1"/>
    <col min="2" max="2" width="18" style="17" bestFit="1" customWidth="1"/>
    <col min="3" max="8" width="11.7109375" style="17" customWidth="1"/>
    <col min="9" max="16384" width="9.140625" style="17"/>
  </cols>
  <sheetData>
    <row r="1" spans="1:11" ht="30" customHeight="1" x14ac:dyDescent="0.25">
      <c r="A1" s="17" t="s">
        <v>44</v>
      </c>
      <c r="B1" s="17" t="s">
        <v>404</v>
      </c>
      <c r="C1" s="17" t="s">
        <v>0</v>
      </c>
      <c r="D1" s="17" t="s">
        <v>405</v>
      </c>
      <c r="E1" s="17" t="s">
        <v>406</v>
      </c>
      <c r="F1" s="17" t="s">
        <v>407</v>
      </c>
      <c r="G1" s="17" t="s">
        <v>560</v>
      </c>
      <c r="H1" s="17" t="s">
        <v>654</v>
      </c>
      <c r="I1" s="17" t="s">
        <v>655</v>
      </c>
      <c r="J1" s="17" t="s">
        <v>656</v>
      </c>
    </row>
    <row r="2" spans="1:11" ht="30" customHeight="1" x14ac:dyDescent="0.25">
      <c r="A2" s="17" t="s">
        <v>46</v>
      </c>
      <c r="B2" s="17" t="s">
        <v>475</v>
      </c>
      <c r="C2" s="17" t="s">
        <v>408</v>
      </c>
      <c r="D2" s="17">
        <v>17.940000000000001</v>
      </c>
      <c r="E2" s="17">
        <v>17.28</v>
      </c>
      <c r="F2" s="17">
        <v>3.8194444444444448E-2</v>
      </c>
      <c r="G2" s="51">
        <f>E2*(1-iDelta*2)</f>
        <v>13.824000000000002</v>
      </c>
      <c r="H2" s="17">
        <f>E2*(1-iDelta*1)</f>
        <v>15.552000000000001</v>
      </c>
      <c r="I2" s="17">
        <f>E2*(1+iDelta*1)</f>
        <v>19.008000000000003</v>
      </c>
      <c r="J2" s="17">
        <f>E2*(1+iDelta*2)</f>
        <v>20.736000000000001</v>
      </c>
    </row>
    <row r="3" spans="1:11" ht="30" customHeight="1" x14ac:dyDescent="0.25">
      <c r="A3" s="17" t="s">
        <v>85</v>
      </c>
      <c r="B3" s="17" t="s">
        <v>409</v>
      </c>
      <c r="C3" s="17" t="s">
        <v>408</v>
      </c>
      <c r="D3" s="17">
        <v>205.72</v>
      </c>
      <c r="E3" s="17">
        <v>206.34</v>
      </c>
      <c r="F3" s="17">
        <v>-3.0047494426674419E-3</v>
      </c>
      <c r="G3" s="51">
        <f>E3*(1-iDelta*2)</f>
        <v>165.072</v>
      </c>
      <c r="H3" s="17">
        <f>E3*(1-iDelta*1)</f>
        <v>185.70600000000002</v>
      </c>
      <c r="I3" s="17">
        <f>E3*(1+iDelta*1)</f>
        <v>226.97400000000002</v>
      </c>
      <c r="J3" s="17">
        <f>E3*(1+iDelta*2)</f>
        <v>247.608</v>
      </c>
    </row>
    <row r="4" spans="1:11" ht="30" customHeight="1" x14ac:dyDescent="0.25">
      <c r="A4" s="17" t="s">
        <v>86</v>
      </c>
      <c r="B4" s="17" t="s">
        <v>409</v>
      </c>
      <c r="C4" s="17" t="s">
        <v>408</v>
      </c>
      <c r="D4" s="17">
        <v>3.22</v>
      </c>
      <c r="E4" s="17">
        <v>3.17</v>
      </c>
      <c r="F4" s="17">
        <v>1.5772870662460567E-2</v>
      </c>
      <c r="G4" s="51">
        <f>E4*(1-iDelta*2)</f>
        <v>2.536</v>
      </c>
      <c r="H4" s="17">
        <f>E4*(1-iDelta*1)</f>
        <v>2.8530000000000002</v>
      </c>
      <c r="I4" s="17">
        <f>E4*(1+iDelta*1)</f>
        <v>3.4870000000000001</v>
      </c>
      <c r="J4" s="17">
        <f>E4*(1+iDelta*2)</f>
        <v>3.8039999999999998</v>
      </c>
    </row>
    <row r="5" spans="1:11" ht="30" customHeight="1" x14ac:dyDescent="0.25">
      <c r="A5" s="17" t="s">
        <v>87</v>
      </c>
      <c r="B5" s="17" t="s">
        <v>409</v>
      </c>
      <c r="C5" s="17" t="s">
        <v>408</v>
      </c>
      <c r="D5" s="17">
        <v>47</v>
      </c>
      <c r="E5" s="17">
        <v>46.7</v>
      </c>
      <c r="F5" s="17">
        <v>6.4239828693790149E-3</v>
      </c>
      <c r="G5" s="51">
        <f>E5*(1-iDelta*2)</f>
        <v>37.360000000000007</v>
      </c>
      <c r="H5" s="17">
        <f>E5*(1-iDelta*1)</f>
        <v>42.03</v>
      </c>
      <c r="I5" s="17">
        <f>E5*(1+iDelta*1)</f>
        <v>51.370000000000005</v>
      </c>
      <c r="J5" s="17">
        <f>E5*(1+iDelta*2)</f>
        <v>56.04</v>
      </c>
    </row>
    <row r="6" spans="1:11" ht="30" customHeight="1" x14ac:dyDescent="0.25">
      <c r="A6" s="17" t="s">
        <v>88</v>
      </c>
      <c r="B6" s="17" t="s">
        <v>409</v>
      </c>
      <c r="C6" s="17" t="s">
        <v>408</v>
      </c>
      <c r="D6" s="17">
        <v>14.92</v>
      </c>
      <c r="E6" s="17">
        <v>14.4</v>
      </c>
      <c r="F6" s="17">
        <v>3.6111111111111108E-2</v>
      </c>
      <c r="G6" s="51">
        <f>E6*(1-iDelta*2)</f>
        <v>11.520000000000001</v>
      </c>
      <c r="H6" s="17">
        <f>E6*(1-iDelta*1)</f>
        <v>12.96</v>
      </c>
      <c r="I6" s="17">
        <f>E6*(1+iDelta*1)</f>
        <v>15.840000000000002</v>
      </c>
      <c r="J6" s="17">
        <f>E6*(1+iDelta*2)</f>
        <v>17.28</v>
      </c>
    </row>
    <row r="7" spans="1:11" ht="30" customHeight="1" x14ac:dyDescent="0.25">
      <c r="A7" s="17" t="s">
        <v>371</v>
      </c>
      <c r="B7" s="17" t="s">
        <v>410</v>
      </c>
      <c r="C7" s="17" t="s">
        <v>411</v>
      </c>
      <c r="D7" s="17">
        <v>1.7914699999999999</v>
      </c>
      <c r="E7" s="17">
        <v>1.7596596</v>
      </c>
      <c r="F7" s="17">
        <v>1.8077587278812333E-2</v>
      </c>
      <c r="G7" s="51">
        <f>E7*(1-iDelta*2)</f>
        <v>1.40772768</v>
      </c>
      <c r="H7" s="17">
        <f>E7*(1-iDelta*1)</f>
        <v>1.5836936400000001</v>
      </c>
      <c r="I7" s="17">
        <f>E7*(1+iDelta*1)</f>
        <v>1.9356255600000001</v>
      </c>
      <c r="J7" s="17">
        <f>E7*(1+iDelta*2)</f>
        <v>2.1115915199999997</v>
      </c>
    </row>
    <row r="8" spans="1:11" ht="30" customHeight="1" x14ac:dyDescent="0.25">
      <c r="A8" s="17" t="s">
        <v>89</v>
      </c>
      <c r="B8" s="17" t="s">
        <v>409</v>
      </c>
      <c r="C8" s="17" t="s">
        <v>408</v>
      </c>
      <c r="D8" s="17">
        <v>38.6</v>
      </c>
      <c r="E8" s="17">
        <v>37.07</v>
      </c>
      <c r="F8" s="17">
        <v>4.1273266792554629E-2</v>
      </c>
      <c r="G8" s="50">
        <f>E8*(1-iDelta*2)</f>
        <v>29.656000000000002</v>
      </c>
      <c r="H8" s="17">
        <f>E8*(1-iDelta*1)</f>
        <v>33.363</v>
      </c>
      <c r="I8" s="17">
        <f>E8*(1+iDelta*1)</f>
        <v>40.777000000000001</v>
      </c>
      <c r="J8" s="17">
        <f>E8*(1+iDelta*2)</f>
        <v>44.484000000000002</v>
      </c>
      <c r="K8" s="17">
        <f>E8*(1+iDelta*3)</f>
        <v>48.191000000000003</v>
      </c>
    </row>
    <row r="9" spans="1:11" ht="30" customHeight="1" x14ac:dyDescent="0.25">
      <c r="A9" s="17" t="s">
        <v>90</v>
      </c>
      <c r="B9" s="17" t="s">
        <v>409</v>
      </c>
      <c r="C9" s="17" t="s">
        <v>408</v>
      </c>
      <c r="D9" s="17">
        <v>32.79</v>
      </c>
      <c r="E9" s="17">
        <v>31.49</v>
      </c>
      <c r="F9" s="17">
        <v>4.1282946967291206E-2</v>
      </c>
      <c r="G9" s="51">
        <f>E9*(1-iDelta*2)</f>
        <v>25.192</v>
      </c>
      <c r="H9" s="17">
        <f>E9*(1-iDelta*1)</f>
        <v>28.340999999999998</v>
      </c>
      <c r="I9" s="17">
        <f>E9*(1+iDelta*1)</f>
        <v>34.639000000000003</v>
      </c>
      <c r="J9" s="17">
        <f>E9*(1+iDelta*2)</f>
        <v>37.787999999999997</v>
      </c>
    </row>
    <row r="10" spans="1:11" ht="30" customHeight="1" x14ac:dyDescent="0.25">
      <c r="A10" s="17" t="s">
        <v>91</v>
      </c>
      <c r="B10" s="17" t="s">
        <v>409</v>
      </c>
      <c r="C10" s="17" t="s">
        <v>408</v>
      </c>
      <c r="D10" s="17">
        <v>44.77</v>
      </c>
      <c r="E10" s="17">
        <v>44.76</v>
      </c>
      <c r="F10" s="17">
        <v>2.2341376228775692E-4</v>
      </c>
      <c r="G10" s="51">
        <f>E10*(1-iDelta*2)</f>
        <v>35.808</v>
      </c>
      <c r="H10" s="17">
        <f>E10*(1-iDelta*1)</f>
        <v>40.283999999999999</v>
      </c>
      <c r="I10" s="17">
        <f>E10*(1+iDelta*1)</f>
        <v>49.236000000000004</v>
      </c>
      <c r="J10" s="17">
        <f>E10*(1+iDelta*2)</f>
        <v>53.711999999999996</v>
      </c>
    </row>
    <row r="11" spans="1:11" ht="30" customHeight="1" x14ac:dyDescent="0.25">
      <c r="A11" s="17" t="s">
        <v>92</v>
      </c>
      <c r="B11" s="17" t="s">
        <v>409</v>
      </c>
      <c r="C11" s="17" t="s">
        <v>408</v>
      </c>
      <c r="D11" s="17">
        <v>50.95</v>
      </c>
      <c r="E11" s="17">
        <v>48.66</v>
      </c>
      <c r="F11" s="17">
        <v>4.706124126592684E-2</v>
      </c>
      <c r="G11" s="51">
        <f>E11*(1-iDelta*2)</f>
        <v>38.927999999999997</v>
      </c>
      <c r="H11" s="17">
        <f>E11*(1-iDelta*1)</f>
        <v>43.793999999999997</v>
      </c>
      <c r="I11" s="17">
        <f>E11*(1+iDelta*1)</f>
        <v>53.526000000000003</v>
      </c>
      <c r="J11" s="17">
        <f>E11*(1+iDelta*2)</f>
        <v>58.391999999999996</v>
      </c>
    </row>
    <row r="12" spans="1:11" ht="30" customHeight="1" x14ac:dyDescent="0.25">
      <c r="A12" s="17" t="s">
        <v>372</v>
      </c>
      <c r="B12" s="17" t="s">
        <v>410</v>
      </c>
      <c r="C12" s="17" t="s">
        <v>411</v>
      </c>
      <c r="D12" s="17">
        <v>1.0676914</v>
      </c>
      <c r="E12" s="17">
        <v>1.0714595</v>
      </c>
      <c r="F12" s="17">
        <v>-3.5167918152762658E-3</v>
      </c>
      <c r="G12" s="51">
        <f>E12*(1-iDelta*2)</f>
        <v>0.85716760000000003</v>
      </c>
      <c r="H12" s="17">
        <f>E12*(1-iDelta*1)</f>
        <v>0.96431355000000007</v>
      </c>
      <c r="I12" s="17">
        <f>E12*(1+iDelta*1)</f>
        <v>1.1786054500000001</v>
      </c>
      <c r="J12" s="17">
        <f>E12*(1+iDelta*2)</f>
        <v>1.2857513999999999</v>
      </c>
    </row>
    <row r="13" spans="1:11" ht="30" customHeight="1" x14ac:dyDescent="0.25">
      <c r="A13" s="17" t="s">
        <v>93</v>
      </c>
      <c r="B13" s="17" t="s">
        <v>461</v>
      </c>
      <c r="C13" s="17" t="s">
        <v>461</v>
      </c>
      <c r="D13" s="17">
        <v>-1</v>
      </c>
      <c r="E13" s="17">
        <v>-1</v>
      </c>
      <c r="F13" s="17">
        <v>-1</v>
      </c>
      <c r="G13" s="51">
        <f>E13*(1-iDelta*2)</f>
        <v>-0.8</v>
      </c>
      <c r="H13" s="17">
        <f>E13*(1-iDelta*1)</f>
        <v>-0.9</v>
      </c>
      <c r="I13" s="17">
        <f>E13*(1+iDelta*1)</f>
        <v>-1.1000000000000001</v>
      </c>
      <c r="J13" s="17">
        <f>E13*(1+iDelta*2)</f>
        <v>-1.2</v>
      </c>
    </row>
    <row r="14" spans="1:11" ht="30" customHeight="1" x14ac:dyDescent="0.25">
      <c r="A14" s="17" t="s">
        <v>48</v>
      </c>
      <c r="B14" s="17" t="s">
        <v>409</v>
      </c>
      <c r="C14" s="17" t="s">
        <v>408</v>
      </c>
      <c r="D14" s="17">
        <v>32.700000000000003</v>
      </c>
      <c r="E14" s="17">
        <v>33.51</v>
      </c>
      <c r="F14" s="17">
        <v>-2.4171888988361683E-2</v>
      </c>
      <c r="G14" s="51">
        <f>E14*(1-iDelta*2)</f>
        <v>26.808</v>
      </c>
      <c r="H14" s="17">
        <f>E14*(1-iDelta*1)</f>
        <v>30.158999999999999</v>
      </c>
      <c r="I14" s="17">
        <f>E14*(1+iDelta*1)</f>
        <v>36.861000000000004</v>
      </c>
      <c r="J14" s="17">
        <f>E14*(1+iDelta*2)</f>
        <v>40.211999999999996</v>
      </c>
    </row>
    <row r="15" spans="1:11" ht="30" customHeight="1" x14ac:dyDescent="0.25">
      <c r="A15" s="17" t="s">
        <v>94</v>
      </c>
      <c r="B15" s="17" t="s">
        <v>409</v>
      </c>
      <c r="C15" s="17" t="s">
        <v>408</v>
      </c>
      <c r="D15" s="17">
        <v>80.959999999999994</v>
      </c>
      <c r="E15" s="17">
        <v>93.85</v>
      </c>
      <c r="F15" s="17">
        <v>-0.13734683004794884</v>
      </c>
      <c r="G15" s="51">
        <f>E15*(1-iDelta*2)</f>
        <v>75.08</v>
      </c>
      <c r="H15" s="17">
        <f>E15*(1-iDelta*1)</f>
        <v>84.465000000000003</v>
      </c>
      <c r="I15" s="17">
        <f>E15*(1+iDelta*1)</f>
        <v>103.235</v>
      </c>
      <c r="J15" s="17">
        <f>E15*(1+iDelta*2)</f>
        <v>112.61999999999999</v>
      </c>
    </row>
    <row r="16" spans="1:11" ht="30" customHeight="1" x14ac:dyDescent="0.25">
      <c r="A16" s="17" t="s">
        <v>95</v>
      </c>
      <c r="B16" s="17" t="s">
        <v>409</v>
      </c>
      <c r="C16" s="17" t="s">
        <v>408</v>
      </c>
      <c r="D16" s="17">
        <v>64.59</v>
      </c>
      <c r="E16" s="17">
        <v>65.239999999999995</v>
      </c>
      <c r="F16" s="17">
        <v>-9.9632127529123236E-3</v>
      </c>
      <c r="G16" s="51">
        <f>E16*(1-iDelta*2)</f>
        <v>52.192</v>
      </c>
      <c r="H16" s="17">
        <f>E16*(1-iDelta*1)</f>
        <v>58.715999999999994</v>
      </c>
      <c r="I16" s="17">
        <f>E16*(1+iDelta*1)</f>
        <v>71.763999999999996</v>
      </c>
      <c r="J16" s="17">
        <f>E16*(1+iDelta*2)</f>
        <v>78.287999999999997</v>
      </c>
    </row>
    <row r="17" spans="1:10" ht="30" customHeight="1" x14ac:dyDescent="0.25">
      <c r="A17" s="17" t="s">
        <v>96</v>
      </c>
      <c r="B17" s="17" t="s">
        <v>409</v>
      </c>
      <c r="C17" s="17" t="s">
        <v>408</v>
      </c>
      <c r="D17" s="17">
        <v>36.43</v>
      </c>
      <c r="E17" s="17">
        <v>35.979999999999997</v>
      </c>
      <c r="F17" s="17">
        <v>1.2506948304613675E-2</v>
      </c>
      <c r="G17" s="51">
        <f>E17*(1-iDelta*2)</f>
        <v>28.783999999999999</v>
      </c>
      <c r="H17" s="17">
        <f>E17*(1-iDelta*1)</f>
        <v>32.381999999999998</v>
      </c>
      <c r="I17" s="17">
        <f>E17*(1+iDelta*1)</f>
        <v>39.578000000000003</v>
      </c>
      <c r="J17" s="17">
        <f>E17*(1+iDelta*2)</f>
        <v>43.175999999999995</v>
      </c>
    </row>
    <row r="18" spans="1:10" ht="30" customHeight="1" x14ac:dyDescent="0.25">
      <c r="A18" s="17" t="s">
        <v>97</v>
      </c>
      <c r="B18" s="17" t="s">
        <v>409</v>
      </c>
      <c r="C18" s="17" t="s">
        <v>408</v>
      </c>
      <c r="D18" s="17">
        <v>379.45</v>
      </c>
      <c r="E18" s="17">
        <v>376.68</v>
      </c>
      <c r="F18" s="17">
        <v>7.353721992141871E-3</v>
      </c>
      <c r="G18" s="51">
        <f>E18*(1-iDelta*2)</f>
        <v>301.34399999999999</v>
      </c>
      <c r="H18" s="17">
        <f>E18*(1-iDelta*1)</f>
        <v>339.012</v>
      </c>
      <c r="I18" s="17">
        <f>E18*(1+iDelta*1)</f>
        <v>414.34800000000001</v>
      </c>
      <c r="J18" s="17">
        <f>E18*(1+iDelta*2)</f>
        <v>452.01600000000002</v>
      </c>
    </row>
    <row r="19" spans="1:10" ht="30" customHeight="1" x14ac:dyDescent="0.25">
      <c r="A19" s="17" t="s">
        <v>98</v>
      </c>
      <c r="B19" s="17" t="s">
        <v>409</v>
      </c>
      <c r="C19" s="17" t="s">
        <v>408</v>
      </c>
      <c r="D19" s="17">
        <v>4.32</v>
      </c>
      <c r="E19" s="17">
        <v>4.0599999999999996</v>
      </c>
      <c r="F19" s="17">
        <v>6.4039408866995079E-2</v>
      </c>
      <c r="G19" s="51">
        <f>E19*(1-iDelta*2)</f>
        <v>3.2479999999999998</v>
      </c>
      <c r="H19" s="17">
        <f>E19*(1-iDelta*1)</f>
        <v>3.6539999999999999</v>
      </c>
      <c r="I19" s="17">
        <f>E19*(1+iDelta*1)</f>
        <v>4.4660000000000002</v>
      </c>
      <c r="J19" s="17">
        <f>E19*(1+iDelta*2)</f>
        <v>4.871999999999999</v>
      </c>
    </row>
    <row r="20" spans="1:10" ht="30" customHeight="1" x14ac:dyDescent="0.25">
      <c r="A20" s="17" t="s">
        <v>99</v>
      </c>
      <c r="B20" s="17" t="s">
        <v>409</v>
      </c>
      <c r="C20" s="17" t="s">
        <v>408</v>
      </c>
      <c r="D20" s="17">
        <v>67.69</v>
      </c>
      <c r="E20" s="17">
        <v>65.11</v>
      </c>
      <c r="F20" s="17">
        <v>3.9625249577637842E-2</v>
      </c>
      <c r="G20" s="51">
        <f>E20*(1-iDelta*2)</f>
        <v>52.088000000000001</v>
      </c>
      <c r="H20" s="17">
        <f>E20*(1-iDelta*1)</f>
        <v>58.599000000000004</v>
      </c>
      <c r="I20" s="17">
        <f>E20*(1+iDelta*1)</f>
        <v>71.621000000000009</v>
      </c>
      <c r="J20" s="17">
        <f>E20*(1+iDelta*2)</f>
        <v>78.131999999999991</v>
      </c>
    </row>
    <row r="21" spans="1:10" ht="30" customHeight="1" x14ac:dyDescent="0.25">
      <c r="A21" s="17" t="s">
        <v>100</v>
      </c>
      <c r="B21" s="17" t="s">
        <v>409</v>
      </c>
      <c r="C21" s="17" t="s">
        <v>408</v>
      </c>
      <c r="D21" s="17">
        <v>33.93</v>
      </c>
      <c r="E21" s="17">
        <v>32.99</v>
      </c>
      <c r="F21" s="17">
        <v>2.8493482873598059E-2</v>
      </c>
      <c r="G21" s="51">
        <f>E21*(1-iDelta*2)</f>
        <v>26.392000000000003</v>
      </c>
      <c r="H21" s="17">
        <f>E21*(1-iDelta*1)</f>
        <v>29.691000000000003</v>
      </c>
      <c r="I21" s="17">
        <f>E21*(1+iDelta*1)</f>
        <v>36.289000000000009</v>
      </c>
      <c r="J21" s="17">
        <f>E21*(1+iDelta*2)</f>
        <v>39.588000000000001</v>
      </c>
    </row>
    <row r="22" spans="1:10" ht="30" customHeight="1" x14ac:dyDescent="0.25">
      <c r="A22" s="17" t="s">
        <v>101</v>
      </c>
      <c r="B22" s="17" t="s">
        <v>409</v>
      </c>
      <c r="C22" s="17" t="s">
        <v>408</v>
      </c>
      <c r="D22" s="17">
        <v>35.58</v>
      </c>
      <c r="E22" s="17">
        <v>35.369999999999997</v>
      </c>
      <c r="F22" s="17">
        <v>5.9372349448685328E-3</v>
      </c>
      <c r="G22" s="51">
        <f>E22*(1-iDelta*2)</f>
        <v>28.295999999999999</v>
      </c>
      <c r="H22" s="17">
        <f>E22*(1-iDelta*1)</f>
        <v>31.832999999999998</v>
      </c>
      <c r="I22" s="17">
        <f>E22*(1+iDelta*1)</f>
        <v>38.907000000000004</v>
      </c>
      <c r="J22" s="17">
        <f>E22*(1+iDelta*2)</f>
        <v>42.443999999999996</v>
      </c>
    </row>
    <row r="23" spans="1:10" ht="30" customHeight="1" x14ac:dyDescent="0.25">
      <c r="A23" s="17" t="s">
        <v>49</v>
      </c>
      <c r="B23" s="17" t="s">
        <v>409</v>
      </c>
      <c r="C23" s="17" t="s">
        <v>411</v>
      </c>
      <c r="D23" s="17">
        <v>0.76</v>
      </c>
      <c r="E23" s="17">
        <v>0.78</v>
      </c>
      <c r="F23" s="17">
        <v>-2.564102564102564E-2</v>
      </c>
      <c r="G23" s="51">
        <f>E23*(1-iDelta*2)</f>
        <v>0.62400000000000011</v>
      </c>
      <c r="H23" s="17">
        <f>E23*(1-iDelta*1)</f>
        <v>0.70200000000000007</v>
      </c>
      <c r="I23" s="17">
        <f>E23*(1+iDelta*1)</f>
        <v>0.8580000000000001</v>
      </c>
      <c r="J23" s="17">
        <f>E23*(1+iDelta*2)</f>
        <v>0.93599999999999994</v>
      </c>
    </row>
    <row r="24" spans="1:10" ht="30" customHeight="1" x14ac:dyDescent="0.25">
      <c r="A24" s="17" t="s">
        <v>102</v>
      </c>
      <c r="B24" s="17" t="s">
        <v>409</v>
      </c>
      <c r="C24" s="17" t="s">
        <v>408</v>
      </c>
      <c r="D24" s="17">
        <v>9.86</v>
      </c>
      <c r="E24" s="17">
        <v>9.86</v>
      </c>
      <c r="F24" s="17">
        <v>0</v>
      </c>
      <c r="G24" s="51">
        <f>E24*(1-iDelta*2)</f>
        <v>7.8879999999999999</v>
      </c>
      <c r="H24" s="17">
        <f>E24*(1-iDelta*1)</f>
        <v>8.8740000000000006</v>
      </c>
      <c r="I24" s="17">
        <f>E24*(1+iDelta*1)</f>
        <v>10.846</v>
      </c>
      <c r="J24" s="17">
        <f>E24*(1+iDelta*2)</f>
        <v>11.831999999999999</v>
      </c>
    </row>
    <row r="25" spans="1:10" ht="30" customHeight="1" x14ac:dyDescent="0.25">
      <c r="A25" s="17" t="s">
        <v>103</v>
      </c>
      <c r="B25" s="17" t="s">
        <v>409</v>
      </c>
      <c r="C25" s="17" t="s">
        <v>408</v>
      </c>
      <c r="D25" s="17">
        <v>19.489999999999998</v>
      </c>
      <c r="E25" s="17">
        <v>19.25</v>
      </c>
      <c r="F25" s="17">
        <v>1.2467532467532468E-2</v>
      </c>
      <c r="G25" s="51">
        <f>E25*(1-iDelta*2)</f>
        <v>15.4</v>
      </c>
      <c r="H25" s="17">
        <f>E25*(1-iDelta*1)</f>
        <v>17.324999999999999</v>
      </c>
      <c r="I25" s="17">
        <f>E25*(1+iDelta*1)</f>
        <v>21.175000000000001</v>
      </c>
      <c r="J25" s="17">
        <f>E25*(1+iDelta*2)</f>
        <v>23.099999999999998</v>
      </c>
    </row>
    <row r="26" spans="1:10" ht="30" customHeight="1" x14ac:dyDescent="0.25">
      <c r="A26" s="17" t="s">
        <v>104</v>
      </c>
      <c r="B26" s="17" t="s">
        <v>409</v>
      </c>
      <c r="C26" s="17" t="s">
        <v>408</v>
      </c>
      <c r="D26" s="17">
        <v>29.82</v>
      </c>
      <c r="E26" s="17">
        <v>29.33</v>
      </c>
      <c r="F26" s="17">
        <v>1.6706443914081145E-2</v>
      </c>
      <c r="G26" s="51">
        <f>E26*(1-iDelta*2)</f>
        <v>23.463999999999999</v>
      </c>
      <c r="H26" s="17">
        <f>E26*(1-iDelta*1)</f>
        <v>26.396999999999998</v>
      </c>
      <c r="I26" s="17">
        <f>E26*(1+iDelta*1)</f>
        <v>32.262999999999998</v>
      </c>
      <c r="J26" s="17">
        <f>E26*(1+iDelta*2)</f>
        <v>35.195999999999998</v>
      </c>
    </row>
    <row r="27" spans="1:10" ht="30" customHeight="1" x14ac:dyDescent="0.25">
      <c r="A27" s="17" t="s">
        <v>105</v>
      </c>
      <c r="B27" s="17" t="s">
        <v>409</v>
      </c>
      <c r="C27" s="17" t="s">
        <v>408</v>
      </c>
      <c r="D27" s="17">
        <v>485.43</v>
      </c>
      <c r="E27" s="17">
        <v>487.67</v>
      </c>
      <c r="F27" s="17">
        <v>-4.5932700391658294E-3</v>
      </c>
      <c r="G27" s="51">
        <f>E27*(1-iDelta*2)</f>
        <v>390.13600000000002</v>
      </c>
      <c r="H27" s="17">
        <f>E27*(1-iDelta*1)</f>
        <v>438.90300000000002</v>
      </c>
      <c r="I27" s="17">
        <f>E27*(1+iDelta*1)</f>
        <v>536.43700000000001</v>
      </c>
      <c r="J27" s="17">
        <f>E27*(1+iDelta*2)</f>
        <v>585.20399999999995</v>
      </c>
    </row>
    <row r="28" spans="1:10" ht="30" customHeight="1" x14ac:dyDescent="0.25">
      <c r="A28" s="17" t="s">
        <v>7</v>
      </c>
      <c r="B28" s="17" t="s">
        <v>409</v>
      </c>
      <c r="C28" s="17" t="s">
        <v>408</v>
      </c>
      <c r="D28" s="17">
        <v>231.33</v>
      </c>
      <c r="E28" s="17">
        <v>229.94</v>
      </c>
      <c r="F28" s="17">
        <v>6.0450552317996E-3</v>
      </c>
      <c r="G28" s="51">
        <f>E28*(1-iDelta*2)</f>
        <v>183.952</v>
      </c>
      <c r="H28" s="17">
        <f>E28*(1-iDelta*1)</f>
        <v>206.946</v>
      </c>
      <c r="I28" s="17">
        <f>E28*(1+iDelta*1)</f>
        <v>252.93400000000003</v>
      </c>
      <c r="J28" s="17">
        <f>E28*(1+iDelta*2)</f>
        <v>275.928</v>
      </c>
    </row>
    <row r="29" spans="1:10" ht="30" customHeight="1" x14ac:dyDescent="0.25">
      <c r="A29" s="17" t="s">
        <v>106</v>
      </c>
      <c r="B29" s="17" t="s">
        <v>409</v>
      </c>
      <c r="C29" s="17" t="s">
        <v>408</v>
      </c>
      <c r="D29" s="17">
        <v>21.6</v>
      </c>
      <c r="E29" s="17">
        <v>21.17</v>
      </c>
      <c r="F29" s="17">
        <v>2.0311761927255551E-2</v>
      </c>
      <c r="G29" s="51">
        <f>E29*(1-iDelta*2)</f>
        <v>16.936000000000003</v>
      </c>
      <c r="H29" s="17">
        <f>E29*(1-iDelta*1)</f>
        <v>19.053000000000001</v>
      </c>
      <c r="I29" s="17">
        <f>E29*(1+iDelta*1)</f>
        <v>23.287000000000003</v>
      </c>
      <c r="J29" s="17">
        <f>E29*(1+iDelta*2)</f>
        <v>25.404</v>
      </c>
    </row>
    <row r="30" spans="1:10" ht="30" customHeight="1" x14ac:dyDescent="0.25">
      <c r="A30" s="17" t="s">
        <v>365</v>
      </c>
      <c r="B30" s="17" t="s">
        <v>409</v>
      </c>
      <c r="C30" s="17" t="s">
        <v>408</v>
      </c>
      <c r="D30" s="17">
        <v>10.29</v>
      </c>
      <c r="E30" s="17">
        <v>10.43</v>
      </c>
      <c r="F30" s="17">
        <v>-1.3422818791946308E-2</v>
      </c>
      <c r="G30" s="51">
        <f>E30*(1-iDelta*2)</f>
        <v>8.3439999999999994</v>
      </c>
      <c r="H30" s="17">
        <f>E30*(1-iDelta*1)</f>
        <v>9.3870000000000005</v>
      </c>
      <c r="I30" s="17">
        <f>E30*(1+iDelta*1)</f>
        <v>11.473000000000001</v>
      </c>
      <c r="J30" s="17">
        <f>E30*(1+iDelta*2)</f>
        <v>12.516</v>
      </c>
    </row>
    <row r="31" spans="1:10" ht="30" customHeight="1" x14ac:dyDescent="0.25">
      <c r="A31" s="17" t="s">
        <v>370</v>
      </c>
      <c r="B31" s="17" t="s">
        <v>409</v>
      </c>
      <c r="C31" s="17" t="s">
        <v>408</v>
      </c>
      <c r="D31" s="17">
        <v>27.24</v>
      </c>
      <c r="E31" s="17">
        <v>27.62</v>
      </c>
      <c r="F31" s="17">
        <v>-1.3758146270818247E-2</v>
      </c>
      <c r="G31" s="51">
        <f>E31*(1-iDelta*2)</f>
        <v>22.096000000000004</v>
      </c>
      <c r="H31" s="17">
        <f>E31*(1-iDelta*1)</f>
        <v>24.858000000000001</v>
      </c>
      <c r="I31" s="17">
        <f>E31*(1+iDelta*1)</f>
        <v>30.382000000000005</v>
      </c>
      <c r="J31" s="17">
        <f>E31*(1+iDelta*2)</f>
        <v>33.143999999999998</v>
      </c>
    </row>
    <row r="32" spans="1:10" ht="30" customHeight="1" x14ac:dyDescent="0.25">
      <c r="A32" s="17" t="s">
        <v>107</v>
      </c>
      <c r="B32" s="17" t="s">
        <v>409</v>
      </c>
      <c r="C32" s="17" t="s">
        <v>408</v>
      </c>
      <c r="D32" s="17">
        <v>75.98</v>
      </c>
      <c r="E32" s="17">
        <v>76.739999999999995</v>
      </c>
      <c r="F32" s="17">
        <v>-9.9035704977847271E-3</v>
      </c>
      <c r="G32" s="51">
        <f>E32*(1-iDelta*2)</f>
        <v>61.391999999999996</v>
      </c>
      <c r="H32" s="17">
        <f>E32*(1-iDelta*1)</f>
        <v>69.066000000000003</v>
      </c>
      <c r="I32" s="17">
        <f>E32*(1+iDelta*1)</f>
        <v>84.414000000000001</v>
      </c>
      <c r="J32" s="17">
        <f>E32*(1+iDelta*2)</f>
        <v>92.087999999999994</v>
      </c>
    </row>
    <row r="33" spans="1:10" ht="30" customHeight="1" x14ac:dyDescent="0.25">
      <c r="A33" s="17" t="s">
        <v>108</v>
      </c>
      <c r="B33" s="17" t="s">
        <v>409</v>
      </c>
      <c r="C33" s="17" t="s">
        <v>408</v>
      </c>
      <c r="D33" s="17">
        <v>114.84</v>
      </c>
      <c r="E33" s="17">
        <v>115.37</v>
      </c>
      <c r="F33" s="17">
        <v>-4.5939152292623735E-3</v>
      </c>
      <c r="G33" s="51">
        <f>E33*(1-iDelta*2)</f>
        <v>92.296000000000006</v>
      </c>
      <c r="H33" s="17">
        <f>E33*(1-iDelta*1)</f>
        <v>103.83300000000001</v>
      </c>
      <c r="I33" s="17">
        <f>E33*(1+iDelta*1)</f>
        <v>126.90700000000001</v>
      </c>
      <c r="J33" s="17">
        <f>E33*(1+iDelta*2)</f>
        <v>138.44399999999999</v>
      </c>
    </row>
    <row r="34" spans="1:10" ht="30" customHeight="1" x14ac:dyDescent="0.25">
      <c r="A34" s="17" t="s">
        <v>109</v>
      </c>
      <c r="B34" s="17" t="s">
        <v>409</v>
      </c>
      <c r="C34" s="17" t="s">
        <v>408</v>
      </c>
      <c r="D34" s="17">
        <v>53.39</v>
      </c>
      <c r="E34" s="17">
        <v>52.78</v>
      </c>
      <c r="F34" s="17">
        <v>1.1557408109132247E-2</v>
      </c>
      <c r="G34" s="51">
        <f>E34*(1-iDelta*2)</f>
        <v>42.224000000000004</v>
      </c>
      <c r="H34" s="17">
        <f>E34*(1-iDelta*1)</f>
        <v>47.502000000000002</v>
      </c>
      <c r="I34" s="17">
        <f>E34*(1+iDelta*1)</f>
        <v>58.058000000000007</v>
      </c>
      <c r="J34" s="17">
        <f>E34*(1+iDelta*2)</f>
        <v>63.335999999999999</v>
      </c>
    </row>
    <row r="35" spans="1:10" ht="30" customHeight="1" x14ac:dyDescent="0.25">
      <c r="A35" s="17" t="s">
        <v>373</v>
      </c>
      <c r="B35" s="17" t="s">
        <v>410</v>
      </c>
      <c r="C35" s="17" t="s">
        <v>411</v>
      </c>
      <c r="D35" s="17">
        <v>718.6472</v>
      </c>
      <c r="E35" s="17">
        <v>697.75729999999999</v>
      </c>
      <c r="F35" s="17">
        <v>2.9938633390148694E-2</v>
      </c>
      <c r="G35" s="51">
        <f>E35*(1-iDelta*2)</f>
        <v>558.20583999999997</v>
      </c>
      <c r="H35" s="17">
        <f>E35*(1-iDelta*1)</f>
        <v>627.98157000000003</v>
      </c>
      <c r="I35" s="17">
        <f>E35*(1+iDelta*1)</f>
        <v>767.53303000000005</v>
      </c>
      <c r="J35" s="17">
        <f>E35*(1+iDelta*2)</f>
        <v>837.30876000000001</v>
      </c>
    </row>
    <row r="36" spans="1:10" ht="30" customHeight="1" x14ac:dyDescent="0.25">
      <c r="A36" s="17" t="s">
        <v>110</v>
      </c>
      <c r="B36" s="17" t="s">
        <v>409</v>
      </c>
      <c r="C36" s="17" t="s">
        <v>408</v>
      </c>
      <c r="D36" s="17">
        <v>340</v>
      </c>
      <c r="E36" s="17">
        <v>336.59</v>
      </c>
      <c r="F36" s="17">
        <v>1.0131019935232776E-2</v>
      </c>
      <c r="G36" s="51">
        <f>E36*(1-iDelta*2)</f>
        <v>269.27199999999999</v>
      </c>
      <c r="H36" s="17">
        <f>E36*(1-iDelta*1)</f>
        <v>302.93099999999998</v>
      </c>
      <c r="I36" s="17">
        <f>E36*(1+iDelta*1)</f>
        <v>370.24900000000002</v>
      </c>
      <c r="J36" s="17">
        <f>E36*(1+iDelta*2)</f>
        <v>403.90799999999996</v>
      </c>
    </row>
    <row r="37" spans="1:10" ht="30" customHeight="1" x14ac:dyDescent="0.25">
      <c r="A37" s="17" t="s">
        <v>111</v>
      </c>
      <c r="B37" s="17" t="s">
        <v>409</v>
      </c>
      <c r="C37" s="17" t="s">
        <v>408</v>
      </c>
      <c r="D37" s="17">
        <v>7</v>
      </c>
      <c r="E37" s="17">
        <v>7.3</v>
      </c>
      <c r="F37" s="17">
        <v>-4.1095890410958902E-2</v>
      </c>
      <c r="G37" s="51">
        <f>E37*(1-iDelta*2)</f>
        <v>5.84</v>
      </c>
      <c r="H37" s="17">
        <f>E37*(1-iDelta*1)</f>
        <v>6.57</v>
      </c>
      <c r="I37" s="17">
        <f>E37*(1+iDelta*1)</f>
        <v>8.0300000000000011</v>
      </c>
      <c r="J37" s="17">
        <f>E37*(1+iDelta*2)</f>
        <v>8.76</v>
      </c>
    </row>
    <row r="38" spans="1:10" ht="30" customHeight="1" x14ac:dyDescent="0.25">
      <c r="A38" s="17" t="s">
        <v>112</v>
      </c>
      <c r="B38" s="17" t="s">
        <v>409</v>
      </c>
      <c r="C38" s="17" t="s">
        <v>408</v>
      </c>
      <c r="D38" s="17">
        <v>218.84</v>
      </c>
      <c r="E38" s="17">
        <v>217.42</v>
      </c>
      <c r="F38" s="17">
        <v>6.5311378897985467E-3</v>
      </c>
      <c r="G38" s="51">
        <f>E38*(1-iDelta*2)</f>
        <v>173.93600000000001</v>
      </c>
      <c r="H38" s="17">
        <f>E38*(1-iDelta*1)</f>
        <v>195.678</v>
      </c>
      <c r="I38" s="17">
        <f>E38*(1+iDelta*1)</f>
        <v>239.16200000000001</v>
      </c>
      <c r="J38" s="17">
        <f>E38*(1+iDelta*2)</f>
        <v>260.904</v>
      </c>
    </row>
    <row r="39" spans="1:10" ht="30" customHeight="1" x14ac:dyDescent="0.25">
      <c r="A39" s="17" t="s">
        <v>113</v>
      </c>
      <c r="B39" s="17" t="s">
        <v>409</v>
      </c>
      <c r="C39" s="17" t="s">
        <v>408</v>
      </c>
      <c r="D39" s="17">
        <v>47.29</v>
      </c>
      <c r="E39" s="17">
        <v>47.33</v>
      </c>
      <c r="F39" s="17">
        <v>-8.4512993872807945E-4</v>
      </c>
      <c r="G39" s="51">
        <f>E39*(1-iDelta*2)</f>
        <v>37.863999999999997</v>
      </c>
      <c r="H39" s="17">
        <f>E39*(1-iDelta*1)</f>
        <v>42.597000000000001</v>
      </c>
      <c r="I39" s="17">
        <f>E39*(1+iDelta*1)</f>
        <v>52.063000000000002</v>
      </c>
      <c r="J39" s="17">
        <f>E39*(1+iDelta*2)</f>
        <v>56.795999999999999</v>
      </c>
    </row>
    <row r="40" spans="1:10" ht="30" customHeight="1" x14ac:dyDescent="0.25">
      <c r="A40" s="17" t="s">
        <v>114</v>
      </c>
      <c r="B40" s="17" t="s">
        <v>409</v>
      </c>
      <c r="C40" s="17" t="s">
        <v>408</v>
      </c>
      <c r="D40" s="17">
        <v>896.09</v>
      </c>
      <c r="E40" s="17">
        <v>889.28</v>
      </c>
      <c r="F40" s="17">
        <v>7.657880532565671E-3</v>
      </c>
      <c r="G40" s="51">
        <f>E40*(1-iDelta*2)</f>
        <v>711.42399999999998</v>
      </c>
      <c r="H40" s="17">
        <f>E40*(1-iDelta*1)</f>
        <v>800.35199999999998</v>
      </c>
      <c r="I40" s="17">
        <f>E40*(1+iDelta*1)</f>
        <v>978.20800000000008</v>
      </c>
      <c r="J40" s="17">
        <f>E40*(1+iDelta*2)</f>
        <v>1067.136</v>
      </c>
    </row>
    <row r="41" spans="1:10" ht="30" customHeight="1" x14ac:dyDescent="0.25">
      <c r="A41" s="17" t="s">
        <v>115</v>
      </c>
      <c r="B41" s="17" t="s">
        <v>409</v>
      </c>
      <c r="C41" s="17" t="s">
        <v>408</v>
      </c>
      <c r="D41" s="17">
        <v>32.21</v>
      </c>
      <c r="E41" s="17">
        <v>32.015000000000001</v>
      </c>
      <c r="F41" s="17">
        <v>6.090894893018897E-3</v>
      </c>
      <c r="G41" s="51">
        <f>E41*(1-iDelta*2)</f>
        <v>25.612000000000002</v>
      </c>
      <c r="H41" s="17">
        <f>E41*(1-iDelta*1)</f>
        <v>28.813500000000001</v>
      </c>
      <c r="I41" s="17">
        <f>E41*(1+iDelta*1)</f>
        <v>35.216500000000003</v>
      </c>
      <c r="J41" s="17">
        <f>E41*(1+iDelta*2)</f>
        <v>38.417999999999999</v>
      </c>
    </row>
    <row r="42" spans="1:10" ht="30" customHeight="1" x14ac:dyDescent="0.25">
      <c r="A42" s="17" t="s">
        <v>374</v>
      </c>
      <c r="B42" s="17" t="s">
        <v>410</v>
      </c>
      <c r="C42" s="17" t="s">
        <v>411</v>
      </c>
      <c r="D42" s="17">
        <v>435.44635</v>
      </c>
      <c r="E42" s="17">
        <v>429.04793999999998</v>
      </c>
      <c r="F42" s="17">
        <v>1.4913042118323654E-2</v>
      </c>
      <c r="G42" s="51">
        <f>E42*(1-iDelta*2)</f>
        <v>343.23835200000002</v>
      </c>
      <c r="H42" s="17">
        <f>E42*(1-iDelta*1)</f>
        <v>386.143146</v>
      </c>
      <c r="I42" s="17">
        <f>E42*(1+iDelta*1)</f>
        <v>471.95273400000002</v>
      </c>
      <c r="J42" s="17">
        <f>E42*(1+iDelta*2)</f>
        <v>514.857528</v>
      </c>
    </row>
    <row r="43" spans="1:10" ht="30" customHeight="1" x14ac:dyDescent="0.25">
      <c r="A43" s="17" t="s">
        <v>50</v>
      </c>
      <c r="B43" s="17" t="s">
        <v>412</v>
      </c>
      <c r="C43" s="17" t="s">
        <v>408</v>
      </c>
      <c r="D43" s="17">
        <v>86.24</v>
      </c>
      <c r="E43" s="17">
        <v>86.65</v>
      </c>
      <c r="F43" s="17">
        <v>-4.731679169070975E-3</v>
      </c>
      <c r="G43" s="51">
        <f>E43*(1-iDelta*2)</f>
        <v>69.320000000000007</v>
      </c>
      <c r="H43" s="17">
        <f>E43*(1-iDelta*1)</f>
        <v>77.985000000000014</v>
      </c>
      <c r="I43" s="17">
        <f>E43*(1+iDelta*1)</f>
        <v>95.315000000000012</v>
      </c>
      <c r="J43" s="17">
        <f>E43*(1+iDelta*2)</f>
        <v>103.98</v>
      </c>
    </row>
    <row r="44" spans="1:10" ht="30" customHeight="1" x14ac:dyDescent="0.25">
      <c r="A44" s="17" t="s">
        <v>116</v>
      </c>
      <c r="B44" s="17" t="s">
        <v>409</v>
      </c>
      <c r="C44" s="17" t="s">
        <v>408</v>
      </c>
      <c r="D44" s="17">
        <v>89.87</v>
      </c>
      <c r="E44" s="17">
        <v>88.83</v>
      </c>
      <c r="F44" s="17">
        <v>1.1707756388607453E-2</v>
      </c>
      <c r="G44" s="51">
        <f>E44*(1-iDelta*2)</f>
        <v>71.064000000000007</v>
      </c>
      <c r="H44" s="17">
        <f>E44*(1-iDelta*1)</f>
        <v>79.947000000000003</v>
      </c>
      <c r="I44" s="17">
        <f>E44*(1+iDelta*1)</f>
        <v>97.713000000000008</v>
      </c>
      <c r="J44" s="17">
        <f>E44*(1+iDelta*2)</f>
        <v>106.59599999999999</v>
      </c>
    </row>
    <row r="45" spans="1:10" ht="30" customHeight="1" x14ac:dyDescent="0.25">
      <c r="A45" s="17" t="s">
        <v>375</v>
      </c>
      <c r="B45" s="17" t="s">
        <v>410</v>
      </c>
      <c r="C45" s="17" t="s">
        <v>411</v>
      </c>
      <c r="D45" s="17">
        <v>53759.266000000003</v>
      </c>
      <c r="E45" s="17">
        <v>53697.491999999998</v>
      </c>
      <c r="F45" s="17">
        <v>1.1504075460358558E-3</v>
      </c>
      <c r="G45" s="51">
        <f>E45*(1-iDelta*2)</f>
        <v>42957.993600000002</v>
      </c>
      <c r="H45" s="17">
        <f>E45*(1-iDelta*1)</f>
        <v>48327.7428</v>
      </c>
      <c r="I45" s="17">
        <f>E45*(1+iDelta*1)</f>
        <v>59067.241200000004</v>
      </c>
      <c r="J45" s="17">
        <f>E45*(1+iDelta*2)</f>
        <v>64436.990399999995</v>
      </c>
    </row>
    <row r="46" spans="1:10" ht="30" customHeight="1" x14ac:dyDescent="0.25">
      <c r="A46" s="17" t="s">
        <v>117</v>
      </c>
      <c r="B46" s="17" t="s">
        <v>409</v>
      </c>
      <c r="C46" s="17" t="s">
        <v>408</v>
      </c>
      <c r="D46" s="17">
        <v>37.21</v>
      </c>
      <c r="E46" s="17">
        <v>37.31</v>
      </c>
      <c r="F46" s="17">
        <v>-2.6802465826856071E-3</v>
      </c>
      <c r="G46" s="51">
        <f>E46*(1-iDelta*2)</f>
        <v>29.848000000000003</v>
      </c>
      <c r="H46" s="17">
        <f>E46*(1-iDelta*1)</f>
        <v>33.579000000000001</v>
      </c>
      <c r="I46" s="17">
        <f>E46*(1+iDelta*1)</f>
        <v>41.041000000000004</v>
      </c>
      <c r="J46" s="17">
        <f>E46*(1+iDelta*2)</f>
        <v>44.771999999999998</v>
      </c>
    </row>
    <row r="47" spans="1:10" ht="30" customHeight="1" x14ac:dyDescent="0.25">
      <c r="A47" s="17" t="s">
        <v>118</v>
      </c>
      <c r="B47" s="17" t="s">
        <v>409</v>
      </c>
      <c r="C47" s="17" t="s">
        <v>408</v>
      </c>
      <c r="D47" s="17">
        <v>12.35</v>
      </c>
      <c r="E47" s="17">
        <v>11.66</v>
      </c>
      <c r="F47" s="17">
        <v>5.9176672384219552E-2</v>
      </c>
      <c r="G47" s="51">
        <f>E47*(1-iDelta*2)</f>
        <v>9.3280000000000012</v>
      </c>
      <c r="H47" s="17">
        <f>E47*(1-iDelta*1)</f>
        <v>10.494</v>
      </c>
      <c r="I47" s="17">
        <f>E47*(1+iDelta*1)</f>
        <v>12.826000000000001</v>
      </c>
      <c r="J47" s="17">
        <f>E47*(1+iDelta*2)</f>
        <v>13.991999999999999</v>
      </c>
    </row>
    <row r="48" spans="1:10" ht="30" customHeight="1" x14ac:dyDescent="0.25">
      <c r="A48" s="17" t="s">
        <v>119</v>
      </c>
      <c r="B48" s="17" t="s">
        <v>409</v>
      </c>
      <c r="C48" s="17" t="s">
        <v>408</v>
      </c>
      <c r="D48" s="17">
        <v>61.69</v>
      </c>
      <c r="E48" s="17">
        <v>61.84</v>
      </c>
      <c r="F48" s="17">
        <v>-2.4256144890038808E-3</v>
      </c>
      <c r="G48" s="51">
        <f>E48*(1-iDelta*2)</f>
        <v>49.472000000000008</v>
      </c>
      <c r="H48" s="17">
        <f>E48*(1-iDelta*1)</f>
        <v>55.656000000000006</v>
      </c>
      <c r="I48" s="17">
        <f>E48*(1+iDelta*1)</f>
        <v>68.024000000000015</v>
      </c>
      <c r="J48" s="17">
        <f>E48*(1+iDelta*2)</f>
        <v>74.207999999999998</v>
      </c>
    </row>
    <row r="49" spans="1:10" ht="30" customHeight="1" x14ac:dyDescent="0.25">
      <c r="A49" s="17" t="s">
        <v>120</v>
      </c>
      <c r="B49" s="17" t="s">
        <v>409</v>
      </c>
      <c r="C49" s="17" t="s">
        <v>408</v>
      </c>
      <c r="D49" s="17">
        <v>117.9</v>
      </c>
      <c r="E49" s="17">
        <v>116.87</v>
      </c>
      <c r="F49" s="17">
        <v>8.8132112603747752E-3</v>
      </c>
      <c r="G49" s="51">
        <f>E49*(1-iDelta*2)</f>
        <v>93.496000000000009</v>
      </c>
      <c r="H49" s="17">
        <f>E49*(1-iDelta*1)</f>
        <v>105.18300000000001</v>
      </c>
      <c r="I49" s="17">
        <f>E49*(1+iDelta*1)</f>
        <v>128.55700000000002</v>
      </c>
      <c r="J49" s="17">
        <f>E49*(1+iDelta*2)</f>
        <v>140.244</v>
      </c>
    </row>
    <row r="50" spans="1:10" ht="30" customHeight="1" x14ac:dyDescent="0.25">
      <c r="A50" s="17" t="s">
        <v>121</v>
      </c>
      <c r="B50" s="17" t="s">
        <v>409</v>
      </c>
      <c r="C50" s="17" t="s">
        <v>408</v>
      </c>
      <c r="D50" s="17">
        <v>17.64</v>
      </c>
      <c r="E50" s="17">
        <v>17.47</v>
      </c>
      <c r="F50" s="17">
        <v>9.7309673726388088E-3</v>
      </c>
      <c r="G50" s="51">
        <f>E50*(1-iDelta*2)</f>
        <v>13.975999999999999</v>
      </c>
      <c r="H50" s="17">
        <f>E50*(1-iDelta*1)</f>
        <v>15.722999999999999</v>
      </c>
      <c r="I50" s="17">
        <f>E50*(1+iDelta*1)</f>
        <v>19.216999999999999</v>
      </c>
      <c r="J50" s="17">
        <f>E50*(1+iDelta*2)</f>
        <v>20.963999999999999</v>
      </c>
    </row>
    <row r="51" spans="1:10" ht="30" customHeight="1" x14ac:dyDescent="0.25">
      <c r="A51" s="17" t="s">
        <v>122</v>
      </c>
      <c r="B51" s="17" t="s">
        <v>409</v>
      </c>
      <c r="C51" s="17" t="s">
        <v>408</v>
      </c>
      <c r="D51" s="17">
        <v>50.99</v>
      </c>
      <c r="E51" s="17">
        <v>50.57</v>
      </c>
      <c r="F51" s="17">
        <v>8.3053193593039358E-3</v>
      </c>
      <c r="G51" s="51">
        <f>E51*(1-iDelta*2)</f>
        <v>40.456000000000003</v>
      </c>
      <c r="H51" s="17">
        <f>E51*(1-iDelta*1)</f>
        <v>45.512999999999998</v>
      </c>
      <c r="I51" s="17">
        <f>E51*(1+iDelta*1)</f>
        <v>55.627000000000002</v>
      </c>
      <c r="J51" s="17">
        <f>E51*(1+iDelta*2)</f>
        <v>60.683999999999997</v>
      </c>
    </row>
    <row r="52" spans="1:10" ht="30" customHeight="1" x14ac:dyDescent="0.25">
      <c r="A52" s="17" t="s">
        <v>123</v>
      </c>
      <c r="B52" s="17" t="s">
        <v>409</v>
      </c>
      <c r="C52" s="17" t="s">
        <v>408</v>
      </c>
      <c r="D52" s="17">
        <v>18.52</v>
      </c>
      <c r="E52" s="17">
        <v>18.579999999999998</v>
      </c>
      <c r="F52" s="17">
        <v>-3.2292787944025836E-3</v>
      </c>
      <c r="G52" s="51">
        <f>E52*(1-iDelta*2)</f>
        <v>14.863999999999999</v>
      </c>
      <c r="H52" s="17">
        <f>E52*(1-iDelta*1)</f>
        <v>16.721999999999998</v>
      </c>
      <c r="I52" s="17">
        <f>E52*(1+iDelta*1)</f>
        <v>20.437999999999999</v>
      </c>
      <c r="J52" s="17">
        <f>E52*(1+iDelta*2)</f>
        <v>22.295999999999996</v>
      </c>
    </row>
    <row r="53" spans="1:10" ht="30" customHeight="1" x14ac:dyDescent="0.25">
      <c r="A53" s="17" t="s">
        <v>124</v>
      </c>
      <c r="B53" s="17" t="s">
        <v>409</v>
      </c>
      <c r="C53" s="17" t="s">
        <v>408</v>
      </c>
      <c r="D53" s="17">
        <v>17.25</v>
      </c>
      <c r="E53" s="17">
        <v>16.989999999999998</v>
      </c>
      <c r="F53" s="17">
        <v>1.5303119482048263E-2</v>
      </c>
      <c r="G53" s="51">
        <f>E53*(1-iDelta*2)</f>
        <v>13.591999999999999</v>
      </c>
      <c r="H53" s="17">
        <f>E53*(1-iDelta*1)</f>
        <v>15.290999999999999</v>
      </c>
      <c r="I53" s="17">
        <f>E53*(1+iDelta*1)</f>
        <v>18.689</v>
      </c>
      <c r="J53" s="17">
        <f>E53*(1+iDelta*2)</f>
        <v>20.387999999999998</v>
      </c>
    </row>
    <row r="54" spans="1:10" ht="30" customHeight="1" x14ac:dyDescent="0.25">
      <c r="A54" s="17" t="s">
        <v>125</v>
      </c>
      <c r="B54" s="17" t="s">
        <v>409</v>
      </c>
      <c r="C54" s="17" t="s">
        <v>408</v>
      </c>
      <c r="D54" s="17">
        <v>101.23</v>
      </c>
      <c r="E54" s="17">
        <v>100.14</v>
      </c>
      <c r="F54" s="17">
        <v>1.0884761334132215E-2</v>
      </c>
      <c r="G54" s="51">
        <f>E54*(1-iDelta*2)</f>
        <v>80.112000000000009</v>
      </c>
      <c r="H54" s="17">
        <f>E54*(1-iDelta*1)</f>
        <v>90.126000000000005</v>
      </c>
      <c r="I54" s="17">
        <f>E54*(1+iDelta*1)</f>
        <v>110.15400000000001</v>
      </c>
      <c r="J54" s="17">
        <f>E54*(1+iDelta*2)</f>
        <v>120.16799999999999</v>
      </c>
    </row>
    <row r="55" spans="1:10" ht="30" customHeight="1" x14ac:dyDescent="0.25">
      <c r="A55" s="17" t="s">
        <v>126</v>
      </c>
      <c r="B55" s="17" t="s">
        <v>409</v>
      </c>
      <c r="C55" s="17" t="s">
        <v>408</v>
      </c>
      <c r="D55" s="17">
        <v>11.47</v>
      </c>
      <c r="E55" s="17">
        <v>10.92</v>
      </c>
      <c r="F55" s="17">
        <v>5.0366300366300368E-2</v>
      </c>
      <c r="G55" s="51">
        <f>E55*(1-iDelta*2)</f>
        <v>8.7360000000000007</v>
      </c>
      <c r="H55" s="17">
        <f>E55*(1-iDelta*1)</f>
        <v>9.8279999999999994</v>
      </c>
      <c r="I55" s="17">
        <f>E55*(1+iDelta*1)</f>
        <v>12.012</v>
      </c>
      <c r="J55" s="17">
        <f>E55*(1+iDelta*2)</f>
        <v>13.103999999999999</v>
      </c>
    </row>
    <row r="56" spans="1:10" ht="30" customHeight="1" x14ac:dyDescent="0.25">
      <c r="A56" s="17" t="s">
        <v>64</v>
      </c>
      <c r="B56" s="17" t="s">
        <v>412</v>
      </c>
      <c r="C56" s="17" t="s">
        <v>408</v>
      </c>
      <c r="D56" s="17">
        <v>17.829999999999998</v>
      </c>
      <c r="E56" s="17">
        <v>17.9681</v>
      </c>
      <c r="F56" s="17">
        <v>-7.6858432444164935E-3</v>
      </c>
      <c r="G56" s="51">
        <f>E56*(1-iDelta*2)</f>
        <v>14.37448</v>
      </c>
      <c r="H56" s="17">
        <f>E56*(1-iDelta*1)</f>
        <v>16.171289999999999</v>
      </c>
      <c r="I56" s="17">
        <f>E56*(1+iDelta*1)</f>
        <v>19.76491</v>
      </c>
      <c r="J56" s="17">
        <f>E56*(1+iDelta*2)</f>
        <v>21.561719999999998</v>
      </c>
    </row>
    <row r="57" spans="1:10" ht="30" customHeight="1" x14ac:dyDescent="0.25">
      <c r="A57" s="17" t="s">
        <v>127</v>
      </c>
      <c r="B57" s="17" t="s">
        <v>409</v>
      </c>
      <c r="C57" s="17" t="s">
        <v>408</v>
      </c>
      <c r="D57" s="17">
        <v>47.8</v>
      </c>
      <c r="E57" s="17">
        <v>48.5</v>
      </c>
      <c r="F57" s="17">
        <v>-1.443298969072165E-2</v>
      </c>
      <c r="G57" s="51">
        <f>E57*(1-iDelta*2)</f>
        <v>38.800000000000004</v>
      </c>
      <c r="H57" s="17">
        <f>E57*(1-iDelta*1)</f>
        <v>43.65</v>
      </c>
      <c r="I57" s="17">
        <f>E57*(1+iDelta*1)</f>
        <v>53.35</v>
      </c>
      <c r="J57" s="17">
        <f>E57*(1+iDelta*2)</f>
        <v>58.199999999999996</v>
      </c>
    </row>
    <row r="58" spans="1:10" ht="30" customHeight="1" x14ac:dyDescent="0.25">
      <c r="A58" s="17" t="s">
        <v>390</v>
      </c>
      <c r="B58" s="17" t="s">
        <v>412</v>
      </c>
      <c r="C58" s="17" t="s">
        <v>411</v>
      </c>
      <c r="D58" s="17">
        <v>14.48</v>
      </c>
      <c r="E58" s="17">
        <v>14.83</v>
      </c>
      <c r="F58" s="17">
        <v>-2.3600809170600135E-2</v>
      </c>
      <c r="G58" s="51">
        <f>E58*(1-iDelta*2)</f>
        <v>11.864000000000001</v>
      </c>
      <c r="H58" s="17">
        <f>E58*(1-iDelta*1)</f>
        <v>13.347</v>
      </c>
      <c r="I58" s="17">
        <f>E58*(1+iDelta*1)</f>
        <v>16.313000000000002</v>
      </c>
      <c r="J58" s="17">
        <f>E58*(1+iDelta*2)</f>
        <v>17.795999999999999</v>
      </c>
    </row>
    <row r="59" spans="1:10" ht="30" customHeight="1" x14ac:dyDescent="0.25">
      <c r="A59" s="17" t="s">
        <v>128</v>
      </c>
      <c r="B59" s="17" t="s">
        <v>409</v>
      </c>
      <c r="C59" s="17" t="s">
        <v>408</v>
      </c>
      <c r="D59" s="17">
        <v>29.62</v>
      </c>
      <c r="E59" s="17">
        <v>29.19</v>
      </c>
      <c r="F59" s="17">
        <v>1.473107228502912E-2</v>
      </c>
      <c r="G59" s="51">
        <f>E59*(1-iDelta*2)</f>
        <v>23.352000000000004</v>
      </c>
      <c r="H59" s="17">
        <f>E59*(1-iDelta*1)</f>
        <v>26.271000000000001</v>
      </c>
      <c r="I59" s="17">
        <f>E59*(1+iDelta*1)</f>
        <v>32.109000000000002</v>
      </c>
      <c r="J59" s="17">
        <f>E59*(1+iDelta*2)</f>
        <v>35.027999999999999</v>
      </c>
    </row>
    <row r="60" spans="1:10" ht="30" customHeight="1" x14ac:dyDescent="0.25">
      <c r="A60" s="17" t="s">
        <v>129</v>
      </c>
      <c r="B60" s="17" t="s">
        <v>409</v>
      </c>
      <c r="C60" s="17" t="s">
        <v>408</v>
      </c>
      <c r="D60" s="17">
        <v>78.63</v>
      </c>
      <c r="E60" s="17">
        <v>78.900000000000006</v>
      </c>
      <c r="F60" s="17">
        <v>-3.4220532319391636E-3</v>
      </c>
      <c r="G60" s="51">
        <f>E60*(1-iDelta*2)</f>
        <v>63.120000000000005</v>
      </c>
      <c r="H60" s="17">
        <f>E60*(1-iDelta*1)</f>
        <v>71.010000000000005</v>
      </c>
      <c r="I60" s="17">
        <f>E60*(1+iDelta*1)</f>
        <v>86.79</v>
      </c>
      <c r="J60" s="17">
        <f>E60*(1+iDelta*2)</f>
        <v>94.68</v>
      </c>
    </row>
    <row r="61" spans="1:10" ht="30" customHeight="1" x14ac:dyDescent="0.25">
      <c r="A61" s="17" t="s">
        <v>130</v>
      </c>
      <c r="B61" s="17" t="s">
        <v>409</v>
      </c>
      <c r="C61" s="17" t="s">
        <v>408</v>
      </c>
      <c r="D61" s="17">
        <v>30.34</v>
      </c>
      <c r="E61" s="17">
        <v>30.45</v>
      </c>
      <c r="F61" s="17">
        <v>-3.6124794745484401E-3</v>
      </c>
      <c r="G61" s="51">
        <f>E61*(1-iDelta*2)</f>
        <v>24.36</v>
      </c>
      <c r="H61" s="17">
        <f>E61*(1-iDelta*1)</f>
        <v>27.405000000000001</v>
      </c>
      <c r="I61" s="17">
        <f>E61*(1+iDelta*1)</f>
        <v>33.495000000000005</v>
      </c>
      <c r="J61" s="17">
        <f>E61*(1+iDelta*2)</f>
        <v>36.54</v>
      </c>
    </row>
    <row r="62" spans="1:10" ht="30" customHeight="1" x14ac:dyDescent="0.25">
      <c r="A62" s="17" t="s">
        <v>131</v>
      </c>
      <c r="B62" s="17" t="s">
        <v>409</v>
      </c>
      <c r="C62" s="17" t="s">
        <v>408</v>
      </c>
      <c r="D62" s="17">
        <v>6.39</v>
      </c>
      <c r="E62" s="17">
        <v>6.38</v>
      </c>
      <c r="F62" s="17">
        <v>1.567398119122257E-3</v>
      </c>
      <c r="G62" s="51">
        <f>E62*(1-iDelta*2)</f>
        <v>5.1040000000000001</v>
      </c>
      <c r="H62" s="17">
        <f>E62*(1-iDelta*1)</f>
        <v>5.742</v>
      </c>
      <c r="I62" s="17">
        <f>E62*(1+iDelta*1)</f>
        <v>7.0180000000000007</v>
      </c>
      <c r="J62" s="17">
        <f>E62*(1+iDelta*2)</f>
        <v>7.6559999999999997</v>
      </c>
    </row>
    <row r="63" spans="1:10" ht="30" customHeight="1" x14ac:dyDescent="0.25">
      <c r="A63" s="17" t="s">
        <v>132</v>
      </c>
      <c r="B63" s="17" t="s">
        <v>409</v>
      </c>
      <c r="C63" s="17" t="s">
        <v>408</v>
      </c>
      <c r="D63" s="17">
        <v>7.48</v>
      </c>
      <c r="E63" s="17">
        <v>7.07</v>
      </c>
      <c r="F63" s="17">
        <v>5.7991513437057989E-2</v>
      </c>
      <c r="G63" s="51">
        <f>E63*(1-iDelta*2)</f>
        <v>5.6560000000000006</v>
      </c>
      <c r="H63" s="17">
        <f>E63*(1-iDelta*1)</f>
        <v>6.3630000000000004</v>
      </c>
      <c r="I63" s="17">
        <f>E63*(1+iDelta*1)</f>
        <v>7.777000000000001</v>
      </c>
      <c r="J63" s="17">
        <f>E63*(1+iDelta*2)</f>
        <v>8.484</v>
      </c>
    </row>
    <row r="64" spans="1:10" ht="30" customHeight="1" x14ac:dyDescent="0.25">
      <c r="A64" s="17" t="s">
        <v>133</v>
      </c>
      <c r="B64" s="17" t="s">
        <v>409</v>
      </c>
      <c r="C64" s="17" t="s">
        <v>408</v>
      </c>
      <c r="D64" s="17">
        <v>8.5</v>
      </c>
      <c r="E64" s="17">
        <v>7.98</v>
      </c>
      <c r="F64" s="17">
        <v>6.5162907268170422E-2</v>
      </c>
      <c r="G64" s="51">
        <f>E64*(1-iDelta*2)</f>
        <v>6.3840000000000003</v>
      </c>
      <c r="H64" s="17">
        <f>E64*(1-iDelta*1)</f>
        <v>7.1820000000000004</v>
      </c>
      <c r="I64" s="17">
        <f>E64*(1+iDelta*1)</f>
        <v>8.7780000000000005</v>
      </c>
      <c r="J64" s="17">
        <f>E64*(1+iDelta*2)</f>
        <v>9.5760000000000005</v>
      </c>
    </row>
    <row r="65" spans="1:10" ht="30" customHeight="1" x14ac:dyDescent="0.25">
      <c r="A65" s="17" t="s">
        <v>134</v>
      </c>
      <c r="B65" s="17" t="s">
        <v>409</v>
      </c>
      <c r="C65" s="17" t="s">
        <v>408</v>
      </c>
      <c r="D65" s="17">
        <v>1.0900000000000001</v>
      </c>
      <c r="E65" s="17">
        <v>1.07</v>
      </c>
      <c r="F65" s="17">
        <v>1.8691588785046728E-2</v>
      </c>
      <c r="G65" s="51">
        <f>E65*(1-iDelta*2)</f>
        <v>0.85600000000000009</v>
      </c>
      <c r="H65" s="17">
        <f>E65*(1-iDelta*1)</f>
        <v>0.96300000000000008</v>
      </c>
      <c r="I65" s="17">
        <f>E65*(1+iDelta*1)</f>
        <v>1.1770000000000003</v>
      </c>
      <c r="J65" s="17">
        <f>E65*(1+iDelta*2)</f>
        <v>1.284</v>
      </c>
    </row>
    <row r="66" spans="1:10" ht="30" customHeight="1" x14ac:dyDescent="0.25">
      <c r="A66" s="17" t="s">
        <v>135</v>
      </c>
      <c r="B66" s="17" t="s">
        <v>409</v>
      </c>
      <c r="C66" s="17" t="s">
        <v>408</v>
      </c>
      <c r="D66" s="17">
        <v>162.58000000000001</v>
      </c>
      <c r="E66" s="17">
        <v>163.56</v>
      </c>
      <c r="F66" s="17">
        <v>-5.9916850085595498E-3</v>
      </c>
      <c r="G66" s="51">
        <f>E66*(1-iDelta*2)</f>
        <v>130.84800000000001</v>
      </c>
      <c r="H66" s="17">
        <f>E66*(1-iDelta*1)</f>
        <v>147.20400000000001</v>
      </c>
      <c r="I66" s="17">
        <f>E66*(1+iDelta*1)</f>
        <v>179.91600000000003</v>
      </c>
      <c r="J66" s="17">
        <f>E66*(1+iDelta*2)</f>
        <v>196.27199999999999</v>
      </c>
    </row>
    <row r="67" spans="1:10" ht="30" customHeight="1" x14ac:dyDescent="0.25">
      <c r="A67" s="17" t="s">
        <v>136</v>
      </c>
      <c r="B67" s="17" t="s">
        <v>409</v>
      </c>
      <c r="C67" s="17" t="s">
        <v>408</v>
      </c>
      <c r="D67" s="17">
        <v>58.69</v>
      </c>
      <c r="E67" s="17">
        <v>58.34</v>
      </c>
      <c r="F67" s="17">
        <v>5.9993143640726778E-3</v>
      </c>
      <c r="G67" s="51">
        <f>E67*(1-iDelta*2)</f>
        <v>46.672000000000004</v>
      </c>
      <c r="H67" s="17">
        <f>E67*(1-iDelta*1)</f>
        <v>52.506000000000007</v>
      </c>
      <c r="I67" s="17">
        <f>E67*(1+iDelta*1)</f>
        <v>64.174000000000007</v>
      </c>
      <c r="J67" s="17">
        <f>E67*(1+iDelta*2)</f>
        <v>70.007999999999996</v>
      </c>
    </row>
    <row r="68" spans="1:10" ht="30" customHeight="1" x14ac:dyDescent="0.25">
      <c r="A68" s="17" t="s">
        <v>137</v>
      </c>
      <c r="B68" s="17" t="s">
        <v>409</v>
      </c>
      <c r="C68" s="17" t="s">
        <v>408</v>
      </c>
      <c r="D68" s="17">
        <v>67.98</v>
      </c>
      <c r="E68" s="17">
        <v>67.569999999999993</v>
      </c>
      <c r="F68" s="17">
        <v>6.0677815598638449E-3</v>
      </c>
      <c r="G68" s="51">
        <f>E68*(1-iDelta*2)</f>
        <v>54.055999999999997</v>
      </c>
      <c r="H68" s="17">
        <f>E68*(1-iDelta*1)</f>
        <v>60.812999999999995</v>
      </c>
      <c r="I68" s="17">
        <f>E68*(1+iDelta*1)</f>
        <v>74.326999999999998</v>
      </c>
      <c r="J68" s="17">
        <f>E68*(1+iDelta*2)</f>
        <v>81.083999999999989</v>
      </c>
    </row>
    <row r="69" spans="1:10" ht="30" customHeight="1" x14ac:dyDescent="0.25">
      <c r="A69" s="17" t="s">
        <v>138</v>
      </c>
      <c r="B69" s="17" t="s">
        <v>409</v>
      </c>
      <c r="C69" s="17" t="s">
        <v>408</v>
      </c>
      <c r="D69" s="17">
        <v>26.27</v>
      </c>
      <c r="E69" s="17">
        <v>25.57</v>
      </c>
      <c r="F69" s="17">
        <v>2.737583105201408E-2</v>
      </c>
      <c r="G69" s="51">
        <f>E69*(1-iDelta*2)</f>
        <v>20.456000000000003</v>
      </c>
      <c r="H69" s="17">
        <f>E69*(1-iDelta*1)</f>
        <v>23.013000000000002</v>
      </c>
      <c r="I69" s="17">
        <f>E69*(1+iDelta*1)</f>
        <v>28.127000000000002</v>
      </c>
      <c r="J69" s="17">
        <f>E69*(1+iDelta*2)</f>
        <v>30.683999999999997</v>
      </c>
    </row>
    <row r="70" spans="1:10" ht="30" customHeight="1" x14ac:dyDescent="0.25">
      <c r="A70" s="17" t="s">
        <v>139</v>
      </c>
      <c r="B70" s="17" t="s">
        <v>409</v>
      </c>
      <c r="C70" s="17" t="s">
        <v>408</v>
      </c>
      <c r="D70" s="17">
        <v>66.8</v>
      </c>
      <c r="E70" s="17">
        <v>67.23</v>
      </c>
      <c r="F70" s="17">
        <v>-6.3959541871188462E-3</v>
      </c>
      <c r="G70" s="51">
        <f>E70*(1-iDelta*2)</f>
        <v>53.784000000000006</v>
      </c>
      <c r="H70" s="17">
        <f>E70*(1-iDelta*1)</f>
        <v>60.507000000000005</v>
      </c>
      <c r="I70" s="17">
        <f>E70*(1+iDelta*1)</f>
        <v>73.953000000000017</v>
      </c>
      <c r="J70" s="17">
        <f>E70*(1+iDelta*2)</f>
        <v>80.676000000000002</v>
      </c>
    </row>
    <row r="71" spans="1:10" ht="30" customHeight="1" x14ac:dyDescent="0.25">
      <c r="A71" s="17" t="s">
        <v>140</v>
      </c>
      <c r="B71" s="17" t="s">
        <v>409</v>
      </c>
      <c r="C71" s="17" t="s">
        <v>408</v>
      </c>
      <c r="D71" s="17">
        <v>17.059999999999999</v>
      </c>
      <c r="E71" s="17">
        <v>16.760000000000002</v>
      </c>
      <c r="F71" s="17">
        <v>1.7899761336515514E-2</v>
      </c>
      <c r="G71" s="51">
        <f>E71*(1-iDelta*2)</f>
        <v>13.408000000000001</v>
      </c>
      <c r="H71" s="17">
        <f>E71*(1-iDelta*1)</f>
        <v>15.084000000000001</v>
      </c>
      <c r="I71" s="17">
        <f>E71*(1+iDelta*1)</f>
        <v>18.436000000000003</v>
      </c>
      <c r="J71" s="17">
        <f>E71*(1+iDelta*2)</f>
        <v>20.112000000000002</v>
      </c>
    </row>
    <row r="72" spans="1:10" ht="30" customHeight="1" x14ac:dyDescent="0.25">
      <c r="A72" s="17" t="s">
        <v>141</v>
      </c>
      <c r="B72" s="17" t="s">
        <v>409</v>
      </c>
      <c r="C72" s="17" t="s">
        <v>408</v>
      </c>
      <c r="D72" s="17">
        <v>8.61</v>
      </c>
      <c r="E72" s="17">
        <v>8.3800000000000008</v>
      </c>
      <c r="F72" s="17">
        <v>2.7446300715990454E-2</v>
      </c>
      <c r="G72" s="51">
        <f>E72*(1-iDelta*2)</f>
        <v>6.7040000000000006</v>
      </c>
      <c r="H72" s="17">
        <f>E72*(1-iDelta*1)</f>
        <v>7.5420000000000007</v>
      </c>
      <c r="I72" s="17">
        <f>E72*(1+iDelta*1)</f>
        <v>9.2180000000000017</v>
      </c>
      <c r="J72" s="17">
        <f>E72*(1+iDelta*2)</f>
        <v>10.056000000000001</v>
      </c>
    </row>
    <row r="73" spans="1:10" ht="30" customHeight="1" x14ac:dyDescent="0.25">
      <c r="A73" s="17" t="s">
        <v>142</v>
      </c>
      <c r="B73" s="17" t="s">
        <v>409</v>
      </c>
      <c r="C73" s="17" t="s">
        <v>408</v>
      </c>
      <c r="D73" s="17">
        <v>165.95</v>
      </c>
      <c r="E73" s="17">
        <v>161.99</v>
      </c>
      <c r="F73" s="17">
        <v>2.4445953453916907E-2</v>
      </c>
      <c r="G73" s="51">
        <f>E73*(1-iDelta*2)</f>
        <v>129.59200000000001</v>
      </c>
      <c r="H73" s="17">
        <f>E73*(1-iDelta*1)</f>
        <v>145.79100000000003</v>
      </c>
      <c r="I73" s="17">
        <f>E73*(1+iDelta*1)</f>
        <v>178.18900000000002</v>
      </c>
      <c r="J73" s="17">
        <f>E73*(1+iDelta*2)</f>
        <v>194.38800000000001</v>
      </c>
    </row>
    <row r="74" spans="1:10" ht="30" customHeight="1" x14ac:dyDescent="0.25">
      <c r="A74" s="17" t="s">
        <v>143</v>
      </c>
      <c r="B74" s="17" t="s">
        <v>409</v>
      </c>
      <c r="C74" s="17" t="s">
        <v>408</v>
      </c>
      <c r="D74" s="17">
        <v>393.31</v>
      </c>
      <c r="E74" s="17">
        <v>391.26</v>
      </c>
      <c r="F74" s="17">
        <v>5.2394826969278741E-3</v>
      </c>
      <c r="G74" s="51">
        <f>E74*(1-iDelta*2)</f>
        <v>313.00800000000004</v>
      </c>
      <c r="H74" s="17">
        <f>E74*(1-iDelta*1)</f>
        <v>352.13400000000001</v>
      </c>
      <c r="I74" s="17">
        <f>E74*(1+iDelta*1)</f>
        <v>430.38600000000002</v>
      </c>
      <c r="J74" s="17">
        <f>E74*(1+iDelta*2)</f>
        <v>469.51199999999994</v>
      </c>
    </row>
    <row r="75" spans="1:10" ht="30" customHeight="1" x14ac:dyDescent="0.25">
      <c r="A75" s="17" t="s">
        <v>144</v>
      </c>
      <c r="B75" s="17" t="s">
        <v>409</v>
      </c>
      <c r="C75" s="17" t="s">
        <v>408</v>
      </c>
      <c r="D75" s="17">
        <v>23.22</v>
      </c>
      <c r="E75" s="17">
        <v>22.82</v>
      </c>
      <c r="F75" s="17">
        <v>1.7528483786152498E-2</v>
      </c>
      <c r="G75" s="51">
        <f>E75*(1-iDelta*2)</f>
        <v>18.256</v>
      </c>
      <c r="H75" s="17">
        <f>E75*(1-iDelta*1)</f>
        <v>20.538</v>
      </c>
      <c r="I75" s="17">
        <f>E75*(1+iDelta*1)</f>
        <v>25.102000000000004</v>
      </c>
      <c r="J75" s="17">
        <f>E75*(1+iDelta*2)</f>
        <v>27.384</v>
      </c>
    </row>
    <row r="76" spans="1:10" ht="30" customHeight="1" x14ac:dyDescent="0.25">
      <c r="A76" s="17" t="s">
        <v>145</v>
      </c>
      <c r="B76" s="17" t="s">
        <v>409</v>
      </c>
      <c r="C76" s="17" t="s">
        <v>408</v>
      </c>
      <c r="D76" s="17">
        <v>41.52</v>
      </c>
      <c r="E76" s="17">
        <v>41.67</v>
      </c>
      <c r="F76" s="17">
        <v>-3.599712023038157E-3</v>
      </c>
      <c r="G76" s="51">
        <f>E76*(1-iDelta*2)</f>
        <v>33.336000000000006</v>
      </c>
      <c r="H76" s="17">
        <f>E76*(1-iDelta*1)</f>
        <v>37.503</v>
      </c>
      <c r="I76" s="17">
        <f>E76*(1+iDelta*1)</f>
        <v>45.837000000000003</v>
      </c>
      <c r="J76" s="17">
        <f>E76*(1+iDelta*2)</f>
        <v>50.003999999999998</v>
      </c>
    </row>
    <row r="77" spans="1:10" ht="30" customHeight="1" x14ac:dyDescent="0.25">
      <c r="A77" s="17" t="s">
        <v>146</v>
      </c>
      <c r="B77" s="17" t="s">
        <v>409</v>
      </c>
      <c r="C77" s="17" t="s">
        <v>408</v>
      </c>
      <c r="D77" s="17">
        <v>8.6</v>
      </c>
      <c r="E77" s="17">
        <v>8.5</v>
      </c>
      <c r="F77" s="17">
        <v>1.1764705882352941E-2</v>
      </c>
      <c r="G77" s="51">
        <f>E77*(1-iDelta*2)</f>
        <v>6.8000000000000007</v>
      </c>
      <c r="H77" s="17">
        <f>E77*(1-iDelta*1)</f>
        <v>7.65</v>
      </c>
      <c r="I77" s="17">
        <f>E77*(1+iDelta*1)</f>
        <v>9.3500000000000014</v>
      </c>
      <c r="J77" s="17">
        <f>E77*(1+iDelta*2)</f>
        <v>10.199999999999999</v>
      </c>
    </row>
    <row r="78" spans="1:10" ht="30" customHeight="1" x14ac:dyDescent="0.25">
      <c r="A78" s="17" t="s">
        <v>147</v>
      </c>
      <c r="B78" s="17" t="s">
        <v>409</v>
      </c>
      <c r="C78" s="17" t="s">
        <v>408</v>
      </c>
      <c r="D78" s="17">
        <v>30.25</v>
      </c>
      <c r="E78" s="17">
        <v>27.42</v>
      </c>
      <c r="F78" s="17">
        <v>0.10320933625091175</v>
      </c>
      <c r="G78" s="51">
        <f>E78*(1-iDelta*2)</f>
        <v>21.936000000000003</v>
      </c>
      <c r="H78" s="17">
        <f>E78*(1-iDelta*1)</f>
        <v>24.678000000000001</v>
      </c>
      <c r="I78" s="17">
        <f>E78*(1+iDelta*1)</f>
        <v>30.162000000000003</v>
      </c>
      <c r="J78" s="17">
        <f>E78*(1+iDelta*2)</f>
        <v>32.904000000000003</v>
      </c>
    </row>
    <row r="79" spans="1:10" ht="30" customHeight="1" x14ac:dyDescent="0.25">
      <c r="A79" s="17" t="s">
        <v>148</v>
      </c>
      <c r="B79" s="17" t="s">
        <v>409</v>
      </c>
      <c r="C79" s="17" t="s">
        <v>408</v>
      </c>
      <c r="D79" s="17">
        <v>250.59</v>
      </c>
      <c r="E79" s="17">
        <v>250.56</v>
      </c>
      <c r="F79" s="17">
        <v>1.1973180076628352E-4</v>
      </c>
      <c r="G79" s="51">
        <f>E79*(1-iDelta*2)</f>
        <v>200.44800000000001</v>
      </c>
      <c r="H79" s="17">
        <f>E79*(1-iDelta*1)</f>
        <v>225.50400000000002</v>
      </c>
      <c r="I79" s="17">
        <f>E79*(1+iDelta*1)</f>
        <v>275.61600000000004</v>
      </c>
      <c r="J79" s="17">
        <f>E79*(1+iDelta*2)</f>
        <v>300.67199999999997</v>
      </c>
    </row>
    <row r="80" spans="1:10" ht="30" customHeight="1" x14ac:dyDescent="0.25">
      <c r="A80" s="17" t="s">
        <v>149</v>
      </c>
      <c r="B80" s="17" t="s">
        <v>409</v>
      </c>
      <c r="C80" s="17" t="s">
        <v>408</v>
      </c>
      <c r="D80" s="17">
        <v>140.81</v>
      </c>
      <c r="E80" s="17">
        <v>141.91</v>
      </c>
      <c r="F80" s="17">
        <v>-7.7513917271510111E-3</v>
      </c>
      <c r="G80" s="51">
        <f>E80*(1-iDelta*2)</f>
        <v>113.52800000000001</v>
      </c>
      <c r="H80" s="17">
        <f>E80*(1-iDelta*1)</f>
        <v>127.71899999999999</v>
      </c>
      <c r="I80" s="17">
        <f>E80*(1+iDelta*1)</f>
        <v>156.101</v>
      </c>
      <c r="J80" s="17">
        <f>E80*(1+iDelta*2)</f>
        <v>170.292</v>
      </c>
    </row>
    <row r="81" spans="1:10" ht="30" customHeight="1" x14ac:dyDescent="0.25">
      <c r="A81" s="17" t="s">
        <v>150</v>
      </c>
      <c r="B81" s="17" t="s">
        <v>409</v>
      </c>
      <c r="C81" s="17" t="s">
        <v>408</v>
      </c>
      <c r="D81" s="17">
        <v>38.72</v>
      </c>
      <c r="E81" s="17">
        <v>39.090000000000003</v>
      </c>
      <c r="F81" s="17">
        <v>-9.4653364031721671E-3</v>
      </c>
      <c r="G81" s="51">
        <f>E81*(1-iDelta*2)</f>
        <v>31.272000000000006</v>
      </c>
      <c r="H81" s="17">
        <f>E81*(1-iDelta*1)</f>
        <v>35.181000000000004</v>
      </c>
      <c r="I81" s="17">
        <f>E81*(1+iDelta*1)</f>
        <v>42.999000000000009</v>
      </c>
      <c r="J81" s="17">
        <f>E81*(1+iDelta*2)</f>
        <v>46.908000000000001</v>
      </c>
    </row>
    <row r="82" spans="1:10" ht="30" customHeight="1" x14ac:dyDescent="0.25">
      <c r="A82" s="17" t="s">
        <v>151</v>
      </c>
      <c r="B82" s="17" t="s">
        <v>409</v>
      </c>
      <c r="C82" s="17" t="s">
        <v>408</v>
      </c>
      <c r="D82" s="17">
        <v>19</v>
      </c>
      <c r="E82" s="17">
        <v>18.95</v>
      </c>
      <c r="F82" s="17">
        <v>2.6385224274406332E-3</v>
      </c>
      <c r="G82" s="51">
        <f>E82*(1-iDelta*2)</f>
        <v>15.16</v>
      </c>
      <c r="H82" s="17">
        <f>E82*(1-iDelta*1)</f>
        <v>17.055</v>
      </c>
      <c r="I82" s="17">
        <f>E82*(1+iDelta*1)</f>
        <v>20.845000000000002</v>
      </c>
      <c r="J82" s="17">
        <f>E82*(1+iDelta*2)</f>
        <v>22.74</v>
      </c>
    </row>
    <row r="83" spans="1:10" ht="30" customHeight="1" x14ac:dyDescent="0.25">
      <c r="A83" s="17" t="s">
        <v>152</v>
      </c>
      <c r="B83" s="17" t="s">
        <v>409</v>
      </c>
      <c r="C83" s="17" t="s">
        <v>408</v>
      </c>
      <c r="D83" s="17">
        <v>17.11</v>
      </c>
      <c r="E83" s="17">
        <v>16.82</v>
      </c>
      <c r="F83" s="17">
        <v>1.7241379310344827E-2</v>
      </c>
      <c r="G83" s="51">
        <f>E83*(1-iDelta*2)</f>
        <v>13.456000000000001</v>
      </c>
      <c r="H83" s="17">
        <f>E83*(1-iDelta*1)</f>
        <v>15.138</v>
      </c>
      <c r="I83" s="17">
        <f>E83*(1+iDelta*1)</f>
        <v>18.502000000000002</v>
      </c>
      <c r="J83" s="17">
        <f>E83*(1+iDelta*2)</f>
        <v>20.184000000000001</v>
      </c>
    </row>
    <row r="84" spans="1:10" ht="30" customHeight="1" x14ac:dyDescent="0.25">
      <c r="A84" s="17" t="s">
        <v>153</v>
      </c>
      <c r="B84" s="17" t="s">
        <v>409</v>
      </c>
      <c r="C84" s="17" t="s">
        <v>408</v>
      </c>
      <c r="D84" s="17">
        <v>8.11</v>
      </c>
      <c r="E84" s="17">
        <v>8.0500000000000007</v>
      </c>
      <c r="F84" s="17">
        <v>7.4534161490683228E-3</v>
      </c>
      <c r="G84" s="51">
        <f>E84*(1-iDelta*2)</f>
        <v>6.4400000000000013</v>
      </c>
      <c r="H84" s="17">
        <f>E84*(1-iDelta*1)</f>
        <v>7.245000000000001</v>
      </c>
      <c r="I84" s="17">
        <f>E84*(1+iDelta*1)</f>
        <v>8.8550000000000022</v>
      </c>
      <c r="J84" s="17">
        <f>E84*(1+iDelta*2)</f>
        <v>9.66</v>
      </c>
    </row>
    <row r="85" spans="1:10" ht="30" customHeight="1" x14ac:dyDescent="0.25">
      <c r="A85" s="17" t="s">
        <v>154</v>
      </c>
      <c r="B85" s="17" t="s">
        <v>409</v>
      </c>
      <c r="C85" s="17" t="s">
        <v>408</v>
      </c>
      <c r="D85" s="17">
        <v>12.88</v>
      </c>
      <c r="E85" s="17">
        <v>12.9</v>
      </c>
      <c r="F85" s="17">
        <v>-1.5503875968992248E-3</v>
      </c>
      <c r="G85" s="51">
        <f>E85*(1-iDelta*2)</f>
        <v>10.32</v>
      </c>
      <c r="H85" s="17">
        <f>E85*(1-iDelta*1)</f>
        <v>11.610000000000001</v>
      </c>
      <c r="I85" s="17">
        <f>E85*(1+iDelta*1)</f>
        <v>14.190000000000001</v>
      </c>
      <c r="J85" s="17">
        <f>E85*(1+iDelta*2)</f>
        <v>15.48</v>
      </c>
    </row>
    <row r="86" spans="1:10" ht="30" customHeight="1" x14ac:dyDescent="0.25">
      <c r="A86" s="17" t="s">
        <v>155</v>
      </c>
      <c r="B86" s="17" t="s">
        <v>409</v>
      </c>
      <c r="C86" s="17" t="s">
        <v>408</v>
      </c>
      <c r="D86" s="17">
        <v>81.25</v>
      </c>
      <c r="E86" s="17">
        <v>80.05</v>
      </c>
      <c r="F86" s="17">
        <v>1.4990630855715179E-2</v>
      </c>
      <c r="G86" s="51">
        <f>E86*(1-iDelta*2)</f>
        <v>64.040000000000006</v>
      </c>
      <c r="H86" s="17">
        <f>E86*(1-iDelta*1)</f>
        <v>72.045000000000002</v>
      </c>
      <c r="I86" s="17">
        <f>E86*(1+iDelta*1)</f>
        <v>88.055000000000007</v>
      </c>
      <c r="J86" s="17">
        <f>E86*(1+iDelta*2)</f>
        <v>96.059999999999988</v>
      </c>
    </row>
    <row r="87" spans="1:10" ht="30" customHeight="1" x14ac:dyDescent="0.25">
      <c r="A87" s="17" t="s">
        <v>156</v>
      </c>
      <c r="B87" s="17" t="s">
        <v>409</v>
      </c>
      <c r="C87" s="17" t="s">
        <v>408</v>
      </c>
      <c r="D87" s="17">
        <v>15.05</v>
      </c>
      <c r="E87" s="17">
        <v>14.93</v>
      </c>
      <c r="F87" s="17">
        <v>8.0375083724045539E-3</v>
      </c>
      <c r="G87" s="51">
        <f>E87*(1-iDelta*2)</f>
        <v>11.944000000000001</v>
      </c>
      <c r="H87" s="17">
        <f>E87*(1-iDelta*1)</f>
        <v>13.436999999999999</v>
      </c>
      <c r="I87" s="17">
        <f>E87*(1+iDelta*1)</f>
        <v>16.423000000000002</v>
      </c>
      <c r="J87" s="17">
        <f>E87*(1+iDelta*2)</f>
        <v>17.916</v>
      </c>
    </row>
    <row r="88" spans="1:10" ht="30" customHeight="1" x14ac:dyDescent="0.25">
      <c r="A88" s="17" t="s">
        <v>157</v>
      </c>
      <c r="B88" s="17" t="s">
        <v>409</v>
      </c>
      <c r="C88" s="17" t="s">
        <v>408</v>
      </c>
      <c r="D88" s="17">
        <v>90.5</v>
      </c>
      <c r="E88" s="17">
        <v>90.5</v>
      </c>
      <c r="F88" s="17">
        <v>0</v>
      </c>
      <c r="G88" s="51">
        <f>E88*(1-iDelta*2)</f>
        <v>72.400000000000006</v>
      </c>
      <c r="H88" s="17">
        <f>E88*(1-iDelta*1)</f>
        <v>81.45</v>
      </c>
      <c r="I88" s="17">
        <f>E88*(1+iDelta*1)</f>
        <v>99.550000000000011</v>
      </c>
      <c r="J88" s="17">
        <f>E88*(1+iDelta*2)</f>
        <v>108.6</v>
      </c>
    </row>
    <row r="89" spans="1:10" ht="30" customHeight="1" x14ac:dyDescent="0.25">
      <c r="A89" s="17" t="s">
        <v>158</v>
      </c>
      <c r="B89" s="17" t="s">
        <v>409</v>
      </c>
      <c r="C89" s="17" t="s">
        <v>408</v>
      </c>
      <c r="D89" s="17">
        <v>76</v>
      </c>
      <c r="E89" s="17">
        <v>76.08</v>
      </c>
      <c r="F89" s="17">
        <v>-1.0515247108307045E-3</v>
      </c>
      <c r="G89" s="51">
        <f>E89*(1-iDelta*2)</f>
        <v>60.864000000000004</v>
      </c>
      <c r="H89" s="17">
        <f>E89*(1-iDelta*1)</f>
        <v>68.471999999999994</v>
      </c>
      <c r="I89" s="17">
        <f>E89*(1+iDelta*1)</f>
        <v>83.688000000000002</v>
      </c>
      <c r="J89" s="17">
        <f>E89*(1+iDelta*2)</f>
        <v>91.295999999999992</v>
      </c>
    </row>
    <row r="90" spans="1:10" ht="30" customHeight="1" x14ac:dyDescent="0.25">
      <c r="A90" s="17" t="s">
        <v>159</v>
      </c>
      <c r="B90" s="17" t="s">
        <v>409</v>
      </c>
      <c r="C90" s="17" t="s">
        <v>408</v>
      </c>
      <c r="D90" s="17">
        <v>23.78</v>
      </c>
      <c r="E90" s="17">
        <v>23.25</v>
      </c>
      <c r="F90" s="17">
        <v>2.2795698924731184E-2</v>
      </c>
      <c r="G90" s="51">
        <f>E90*(1-iDelta*2)</f>
        <v>18.600000000000001</v>
      </c>
      <c r="H90" s="17">
        <f>E90*(1-iDelta*1)</f>
        <v>20.925000000000001</v>
      </c>
      <c r="I90" s="17">
        <f>E90*(1+iDelta*1)</f>
        <v>25.575000000000003</v>
      </c>
      <c r="J90" s="17">
        <f>E90*(1+iDelta*2)</f>
        <v>27.9</v>
      </c>
    </row>
    <row r="91" spans="1:10" ht="30" customHeight="1" x14ac:dyDescent="0.25">
      <c r="A91" s="17" t="s">
        <v>160</v>
      </c>
      <c r="B91" s="17" t="s">
        <v>409</v>
      </c>
      <c r="C91" s="17" t="s">
        <v>408</v>
      </c>
      <c r="D91" s="17">
        <v>89.262</v>
      </c>
      <c r="E91" s="17">
        <v>89.215999999999994</v>
      </c>
      <c r="F91" s="17">
        <v>5.1560258249641318E-4</v>
      </c>
      <c r="G91" s="51">
        <f>E91*(1-iDelta*2)</f>
        <v>71.372799999999998</v>
      </c>
      <c r="H91" s="17">
        <f>E91*(1-iDelta*1)</f>
        <v>80.294399999999996</v>
      </c>
      <c r="I91" s="17">
        <f>E91*(1+iDelta*1)</f>
        <v>98.137600000000006</v>
      </c>
      <c r="J91" s="17">
        <f>E91*(1+iDelta*2)</f>
        <v>107.05919999999999</v>
      </c>
    </row>
    <row r="92" spans="1:10" ht="30" customHeight="1" x14ac:dyDescent="0.25">
      <c r="A92" s="17" t="s">
        <v>161</v>
      </c>
      <c r="B92" s="17" t="s">
        <v>409</v>
      </c>
      <c r="C92" s="17" t="s">
        <v>408</v>
      </c>
      <c r="D92" s="17">
        <v>174.93</v>
      </c>
      <c r="E92" s="17">
        <v>171.94</v>
      </c>
      <c r="F92" s="17">
        <v>1.7389787135047109E-2</v>
      </c>
      <c r="G92" s="51">
        <f>E92*(1-iDelta*2)</f>
        <v>137.55199999999999</v>
      </c>
      <c r="H92" s="17">
        <f>E92*(1-iDelta*1)</f>
        <v>154.74600000000001</v>
      </c>
      <c r="I92" s="17">
        <f>E92*(1+iDelta*1)</f>
        <v>189.13400000000001</v>
      </c>
      <c r="J92" s="17">
        <f>E92*(1+iDelta*2)</f>
        <v>206.328</v>
      </c>
    </row>
    <row r="93" spans="1:10" ht="30" customHeight="1" x14ac:dyDescent="0.25">
      <c r="A93" s="17" t="s">
        <v>162</v>
      </c>
      <c r="B93" s="17" t="s">
        <v>409</v>
      </c>
      <c r="C93" s="17" t="s">
        <v>408</v>
      </c>
      <c r="D93" s="17">
        <v>94.7</v>
      </c>
      <c r="E93" s="17">
        <v>96.34</v>
      </c>
      <c r="F93" s="17">
        <v>-1.7023043388000831E-2</v>
      </c>
      <c r="G93" s="51">
        <f>E93*(1-iDelta*2)</f>
        <v>77.072000000000003</v>
      </c>
      <c r="H93" s="17">
        <f>E93*(1-iDelta*1)</f>
        <v>86.706000000000003</v>
      </c>
      <c r="I93" s="17">
        <f>E93*(1+iDelta*1)</f>
        <v>105.97400000000002</v>
      </c>
      <c r="J93" s="17">
        <f>E93*(1+iDelta*2)</f>
        <v>115.608</v>
      </c>
    </row>
    <row r="94" spans="1:10" ht="30" customHeight="1" x14ac:dyDescent="0.25">
      <c r="A94" s="17" t="s">
        <v>65</v>
      </c>
      <c r="B94" s="17" t="s">
        <v>412</v>
      </c>
      <c r="C94" s="17" t="s">
        <v>408</v>
      </c>
      <c r="D94" s="17">
        <v>352.09</v>
      </c>
      <c r="E94" s="17">
        <v>350.61</v>
      </c>
      <c r="F94" s="17">
        <v>4.2212144548073359E-3</v>
      </c>
      <c r="G94" s="51">
        <f>E94*(1-iDelta*2)</f>
        <v>280.488</v>
      </c>
      <c r="H94" s="17">
        <f>E94*(1-iDelta*1)</f>
        <v>315.54900000000004</v>
      </c>
      <c r="I94" s="17">
        <f>E94*(1+iDelta*1)</f>
        <v>385.67100000000005</v>
      </c>
      <c r="J94" s="17">
        <f>E94*(1+iDelta*2)</f>
        <v>420.73200000000003</v>
      </c>
    </row>
    <row r="95" spans="1:10" ht="30" customHeight="1" x14ac:dyDescent="0.25">
      <c r="A95" s="17" t="s">
        <v>163</v>
      </c>
      <c r="B95" s="17" t="s">
        <v>409</v>
      </c>
      <c r="C95" s="17" t="s">
        <v>408</v>
      </c>
      <c r="D95" s="17">
        <v>29.04</v>
      </c>
      <c r="E95" s="17">
        <v>29.2</v>
      </c>
      <c r="F95" s="17">
        <v>-5.4794520547945206E-3</v>
      </c>
      <c r="G95" s="51">
        <f>E95*(1-iDelta*2)</f>
        <v>23.36</v>
      </c>
      <c r="H95" s="17">
        <f>E95*(1-iDelta*1)</f>
        <v>26.28</v>
      </c>
      <c r="I95" s="17">
        <f>E95*(1+iDelta*1)</f>
        <v>32.120000000000005</v>
      </c>
      <c r="J95" s="17">
        <f>E95*(1+iDelta*2)</f>
        <v>35.04</v>
      </c>
    </row>
    <row r="96" spans="1:10" ht="30" customHeight="1" x14ac:dyDescent="0.25">
      <c r="A96" s="17" t="s">
        <v>164</v>
      </c>
      <c r="B96" s="17" t="s">
        <v>409</v>
      </c>
      <c r="C96" s="17" t="s">
        <v>408</v>
      </c>
      <c r="D96" s="17">
        <v>16.86</v>
      </c>
      <c r="E96" s="17">
        <v>17.27</v>
      </c>
      <c r="F96" s="17">
        <v>-2.3740590619571511E-2</v>
      </c>
      <c r="G96" s="51">
        <f>E96*(1-iDelta*2)</f>
        <v>13.816000000000001</v>
      </c>
      <c r="H96" s="17">
        <f>E96*(1-iDelta*1)</f>
        <v>15.542999999999999</v>
      </c>
      <c r="I96" s="17">
        <f>E96*(1+iDelta*1)</f>
        <v>18.997</v>
      </c>
      <c r="J96" s="17">
        <f>E96*(1+iDelta*2)</f>
        <v>20.724</v>
      </c>
    </row>
    <row r="97" spans="1:10" ht="30" customHeight="1" x14ac:dyDescent="0.25">
      <c r="A97" s="17" t="s">
        <v>376</v>
      </c>
      <c r="B97" s="17" t="s">
        <v>410</v>
      </c>
      <c r="C97" s="17" t="s">
        <v>411</v>
      </c>
      <c r="D97" s="17">
        <v>0.29410517000000003</v>
      </c>
      <c r="E97" s="17">
        <v>0.25713286000000002</v>
      </c>
      <c r="F97" s="17">
        <v>0.14378679566664487</v>
      </c>
      <c r="G97" s="51">
        <f>E97*(1-iDelta*2)</f>
        <v>0.20570628800000001</v>
      </c>
      <c r="H97" s="17">
        <f>E97*(1-iDelta*1)</f>
        <v>0.23141957400000002</v>
      </c>
      <c r="I97" s="17">
        <f>E97*(1+iDelta*1)</f>
        <v>0.28284614600000002</v>
      </c>
      <c r="J97" s="17">
        <f>E97*(1+iDelta*2)</f>
        <v>0.30855943200000002</v>
      </c>
    </row>
    <row r="98" spans="1:10" ht="30" customHeight="1" x14ac:dyDescent="0.25">
      <c r="A98" s="17" t="s">
        <v>165</v>
      </c>
      <c r="B98" s="17" t="s">
        <v>409</v>
      </c>
      <c r="C98" s="17" t="s">
        <v>408</v>
      </c>
      <c r="D98" s="17">
        <v>2.65</v>
      </c>
      <c r="E98" s="17">
        <v>2.5099999999999998</v>
      </c>
      <c r="F98" s="17">
        <v>5.5776892430278883E-2</v>
      </c>
      <c r="G98" s="51">
        <f>E98*(1-iDelta*2)</f>
        <v>2.008</v>
      </c>
      <c r="H98" s="17">
        <f>E98*(1-iDelta*1)</f>
        <v>2.2589999999999999</v>
      </c>
      <c r="I98" s="17">
        <f>E98*(1+iDelta*1)</f>
        <v>2.7610000000000001</v>
      </c>
      <c r="J98" s="17">
        <f>E98*(1+iDelta*2)</f>
        <v>3.0119999999999996</v>
      </c>
    </row>
    <row r="99" spans="1:10" ht="30" customHeight="1" x14ac:dyDescent="0.25">
      <c r="A99" s="17" t="s">
        <v>166</v>
      </c>
      <c r="B99" s="17" t="s">
        <v>409</v>
      </c>
      <c r="C99" s="17" t="s">
        <v>408</v>
      </c>
      <c r="D99" s="17">
        <v>9.09</v>
      </c>
      <c r="E99" s="17">
        <v>9.02</v>
      </c>
      <c r="F99" s="17">
        <v>7.7605321507760536E-3</v>
      </c>
      <c r="G99" s="51">
        <f>E99*(1-iDelta*2)</f>
        <v>7.2160000000000002</v>
      </c>
      <c r="H99" s="17">
        <f>E99*(1-iDelta*1)</f>
        <v>8.1180000000000003</v>
      </c>
      <c r="I99" s="17">
        <f>E99*(1+iDelta*1)</f>
        <v>9.9220000000000006</v>
      </c>
      <c r="J99" s="17">
        <f>E99*(1+iDelta*2)</f>
        <v>10.824</v>
      </c>
    </row>
    <row r="100" spans="1:10" ht="30" customHeight="1" x14ac:dyDescent="0.25">
      <c r="A100" s="17" t="s">
        <v>167</v>
      </c>
      <c r="B100" s="17" t="s">
        <v>409</v>
      </c>
      <c r="C100" s="17" t="s">
        <v>408</v>
      </c>
      <c r="D100" s="17">
        <v>18.989999999999998</v>
      </c>
      <c r="E100" s="17">
        <v>18.88</v>
      </c>
      <c r="F100" s="17">
        <v>5.8262711864406781E-3</v>
      </c>
      <c r="G100" s="51">
        <f>E100*(1-iDelta*2)</f>
        <v>15.103999999999999</v>
      </c>
      <c r="H100" s="17">
        <f>E100*(1-iDelta*1)</f>
        <v>16.992000000000001</v>
      </c>
      <c r="I100" s="17">
        <f>E100*(1+iDelta*1)</f>
        <v>20.768000000000001</v>
      </c>
      <c r="J100" s="17">
        <f>E100*(1+iDelta*2)</f>
        <v>22.655999999999999</v>
      </c>
    </row>
    <row r="101" spans="1:10" ht="30" customHeight="1" x14ac:dyDescent="0.25">
      <c r="A101" s="17" t="s">
        <v>66</v>
      </c>
      <c r="B101" s="17" t="s">
        <v>412</v>
      </c>
      <c r="C101" s="17" t="s">
        <v>408</v>
      </c>
      <c r="D101" s="17">
        <v>51.94</v>
      </c>
      <c r="E101" s="17">
        <v>52.38</v>
      </c>
      <c r="F101" s="17">
        <v>-8.4001527300496381E-3</v>
      </c>
      <c r="G101" s="51">
        <f>E101*(1-iDelta*2)</f>
        <v>41.904000000000003</v>
      </c>
      <c r="H101" s="17">
        <f>E101*(1-iDelta*1)</f>
        <v>47.142000000000003</v>
      </c>
      <c r="I101" s="17">
        <f>E101*(1+iDelta*1)</f>
        <v>57.618000000000009</v>
      </c>
      <c r="J101" s="17">
        <f>E101*(1+iDelta*2)</f>
        <v>62.856000000000002</v>
      </c>
    </row>
    <row r="102" spans="1:10" ht="30" customHeight="1" x14ac:dyDescent="0.25">
      <c r="A102" s="17" t="s">
        <v>168</v>
      </c>
      <c r="B102" s="17" t="s">
        <v>409</v>
      </c>
      <c r="C102" s="17" t="s">
        <v>408</v>
      </c>
      <c r="D102" s="17">
        <v>101.44</v>
      </c>
      <c r="E102" s="17">
        <v>101.06</v>
      </c>
      <c r="F102" s="17">
        <v>3.7601424896101326E-3</v>
      </c>
      <c r="G102" s="51">
        <f>E102*(1-iDelta*2)</f>
        <v>80.848000000000013</v>
      </c>
      <c r="H102" s="17">
        <f>E102*(1-iDelta*1)</f>
        <v>90.954000000000008</v>
      </c>
      <c r="I102" s="17">
        <f>E102*(1+iDelta*1)</f>
        <v>111.16600000000001</v>
      </c>
      <c r="J102" s="17">
        <f>E102*(1+iDelta*2)</f>
        <v>121.27199999999999</v>
      </c>
    </row>
    <row r="103" spans="1:10" ht="30" customHeight="1" x14ac:dyDescent="0.25">
      <c r="A103" s="17" t="s">
        <v>169</v>
      </c>
      <c r="B103" s="17" t="s">
        <v>409</v>
      </c>
      <c r="C103" s="17" t="s">
        <v>408</v>
      </c>
      <c r="D103" s="17">
        <v>39.54</v>
      </c>
      <c r="E103" s="17">
        <v>39.51</v>
      </c>
      <c r="F103" s="17">
        <v>7.5930144267274111E-4</v>
      </c>
      <c r="G103" s="51">
        <f>E103*(1-iDelta*2)</f>
        <v>31.608000000000001</v>
      </c>
      <c r="H103" s="17">
        <f>E103*(1-iDelta*1)</f>
        <v>35.558999999999997</v>
      </c>
      <c r="I103" s="17">
        <f>E103*(1+iDelta*1)</f>
        <v>43.460999999999999</v>
      </c>
      <c r="J103" s="17">
        <f>E103*(1+iDelta*2)</f>
        <v>47.411999999999999</v>
      </c>
    </row>
    <row r="104" spans="1:10" ht="30" customHeight="1" x14ac:dyDescent="0.25">
      <c r="A104" s="17" t="s">
        <v>170</v>
      </c>
      <c r="B104" s="17" t="s">
        <v>409</v>
      </c>
      <c r="C104" s="17" t="s">
        <v>408</v>
      </c>
      <c r="D104" s="17">
        <v>179.74</v>
      </c>
      <c r="E104" s="17">
        <v>183.45</v>
      </c>
      <c r="F104" s="17">
        <v>-2.0223494140092668E-2</v>
      </c>
      <c r="G104" s="51">
        <f>E104*(1-iDelta*2)</f>
        <v>146.76</v>
      </c>
      <c r="H104" s="17">
        <f>E104*(1-iDelta*1)</f>
        <v>165.10499999999999</v>
      </c>
      <c r="I104" s="17">
        <f>E104*(1+iDelta*1)</f>
        <v>201.79500000000002</v>
      </c>
      <c r="J104" s="17">
        <f>E104*(1+iDelta*2)</f>
        <v>220.14</v>
      </c>
    </row>
    <row r="105" spans="1:10" ht="30" customHeight="1" x14ac:dyDescent="0.25">
      <c r="A105" s="17" t="s">
        <v>171</v>
      </c>
      <c r="B105" s="17" t="s">
        <v>409</v>
      </c>
      <c r="C105" s="17" t="s">
        <v>408</v>
      </c>
      <c r="D105" s="17">
        <v>84.91</v>
      </c>
      <c r="E105" s="17">
        <v>84.27</v>
      </c>
      <c r="F105" s="17">
        <v>7.5946362881215146E-3</v>
      </c>
      <c r="G105" s="51">
        <f>E105*(1-iDelta*2)</f>
        <v>67.415999999999997</v>
      </c>
      <c r="H105" s="17">
        <f>E105*(1-iDelta*1)</f>
        <v>75.843000000000004</v>
      </c>
      <c r="I105" s="17">
        <f>E105*(1+iDelta*1)</f>
        <v>92.697000000000003</v>
      </c>
      <c r="J105" s="17">
        <f>E105*(1+iDelta*2)</f>
        <v>101.124</v>
      </c>
    </row>
    <row r="106" spans="1:10" ht="30" customHeight="1" x14ac:dyDescent="0.25">
      <c r="A106" s="17" t="s">
        <v>172</v>
      </c>
      <c r="B106" s="17" t="s">
        <v>409</v>
      </c>
      <c r="C106" s="17" t="s">
        <v>408</v>
      </c>
      <c r="D106" s="17">
        <v>33.299999999999997</v>
      </c>
      <c r="E106" s="17">
        <v>32.74</v>
      </c>
      <c r="F106" s="17">
        <v>1.7104459376908979E-2</v>
      </c>
      <c r="G106" s="51">
        <f>E106*(1-iDelta*2)</f>
        <v>26.192000000000004</v>
      </c>
      <c r="H106" s="17">
        <f>E106*(1-iDelta*1)</f>
        <v>29.466000000000001</v>
      </c>
      <c r="I106" s="17">
        <f>E106*(1+iDelta*1)</f>
        <v>36.014000000000003</v>
      </c>
      <c r="J106" s="17">
        <f>E106*(1+iDelta*2)</f>
        <v>39.288000000000004</v>
      </c>
    </row>
    <row r="107" spans="1:10" ht="30" customHeight="1" x14ac:dyDescent="0.25">
      <c r="A107" s="17" t="s">
        <v>377</v>
      </c>
      <c r="B107" s="17" t="s">
        <v>410</v>
      </c>
      <c r="C107" s="17" t="s">
        <v>411</v>
      </c>
      <c r="D107" s="17">
        <v>5.6128429999999998</v>
      </c>
      <c r="E107" s="17">
        <v>5.407699</v>
      </c>
      <c r="F107" s="17">
        <v>3.7935543379910751E-2</v>
      </c>
      <c r="G107" s="51">
        <f>E107*(1-iDelta*2)</f>
        <v>4.3261592000000002</v>
      </c>
      <c r="H107" s="17">
        <f>E107*(1-iDelta*1)</f>
        <v>4.8669291000000001</v>
      </c>
      <c r="I107" s="17">
        <f>E107*(1+iDelta*1)</f>
        <v>5.9484689000000008</v>
      </c>
      <c r="J107" s="17">
        <f>E107*(1+iDelta*2)</f>
        <v>6.4892387999999999</v>
      </c>
    </row>
    <row r="108" spans="1:10" ht="30" customHeight="1" x14ac:dyDescent="0.25">
      <c r="A108" s="17" t="s">
        <v>173</v>
      </c>
      <c r="B108" s="17" t="s">
        <v>409</v>
      </c>
      <c r="C108" s="17" t="s">
        <v>408</v>
      </c>
      <c r="D108" s="17">
        <v>22.45</v>
      </c>
      <c r="E108" s="17">
        <v>22.05</v>
      </c>
      <c r="F108" s="17">
        <v>1.8140589569160998E-2</v>
      </c>
      <c r="G108" s="51">
        <f>E108*(1-iDelta*2)</f>
        <v>17.64</v>
      </c>
      <c r="H108" s="17">
        <f>E108*(1-iDelta*1)</f>
        <v>19.845000000000002</v>
      </c>
      <c r="I108" s="17">
        <f>E108*(1+iDelta*1)</f>
        <v>24.255000000000003</v>
      </c>
      <c r="J108" s="17">
        <f>E108*(1+iDelta*2)</f>
        <v>26.46</v>
      </c>
    </row>
    <row r="109" spans="1:10" ht="30" customHeight="1" x14ac:dyDescent="0.25">
      <c r="A109" s="17" t="s">
        <v>174</v>
      </c>
      <c r="B109" s="17" t="s">
        <v>409</v>
      </c>
      <c r="C109" s="17" t="s">
        <v>408</v>
      </c>
      <c r="D109" s="17">
        <v>9.27</v>
      </c>
      <c r="E109" s="17">
        <v>9.1199999999999992</v>
      </c>
      <c r="F109" s="17">
        <v>1.6447368421052631E-2</v>
      </c>
      <c r="G109" s="51">
        <f>E109*(1-iDelta*2)</f>
        <v>7.2959999999999994</v>
      </c>
      <c r="H109" s="17">
        <f>E109*(1-iDelta*1)</f>
        <v>8.2080000000000002</v>
      </c>
      <c r="I109" s="17">
        <f>E109*(1+iDelta*1)</f>
        <v>10.032</v>
      </c>
      <c r="J109" s="17">
        <f>E109*(1+iDelta*2)</f>
        <v>10.943999999999999</v>
      </c>
    </row>
    <row r="110" spans="1:10" ht="30" customHeight="1" x14ac:dyDescent="0.25">
      <c r="A110" s="17" t="s">
        <v>378</v>
      </c>
      <c r="B110" s="17" t="s">
        <v>410</v>
      </c>
      <c r="C110" s="17" t="s">
        <v>411</v>
      </c>
      <c r="D110" s="17">
        <v>3794.4395</v>
      </c>
      <c r="E110" s="17">
        <v>3612.6801999999998</v>
      </c>
      <c r="F110" s="17">
        <v>5.0311483424411607E-2</v>
      </c>
      <c r="G110" s="51">
        <f>E110*(1-iDelta*2)</f>
        <v>2890.1441599999998</v>
      </c>
      <c r="H110" s="17">
        <f>E110*(1-iDelta*1)</f>
        <v>3251.4121799999998</v>
      </c>
      <c r="I110" s="17">
        <f>E110*(1+iDelta*1)</f>
        <v>3973.9482200000002</v>
      </c>
      <c r="J110" s="17">
        <f>E110*(1+iDelta*2)</f>
        <v>4335.2162399999997</v>
      </c>
    </row>
    <row r="111" spans="1:10" ht="30" customHeight="1" x14ac:dyDescent="0.25">
      <c r="A111" s="17" t="s">
        <v>175</v>
      </c>
      <c r="B111" s="17" t="s">
        <v>409</v>
      </c>
      <c r="C111" s="17" t="s">
        <v>408</v>
      </c>
      <c r="D111" s="17">
        <v>21.95</v>
      </c>
      <c r="E111" s="17">
        <v>22.02</v>
      </c>
      <c r="F111" s="17">
        <v>-3.1789282470481382E-3</v>
      </c>
      <c r="G111" s="51">
        <f>E111*(1-iDelta*2)</f>
        <v>17.616</v>
      </c>
      <c r="H111" s="17">
        <f>E111*(1-iDelta*1)</f>
        <v>19.818000000000001</v>
      </c>
      <c r="I111" s="17">
        <f>E111*(1+iDelta*1)</f>
        <v>24.222000000000001</v>
      </c>
      <c r="J111" s="17">
        <f>E111*(1+iDelta*2)</f>
        <v>26.423999999999999</v>
      </c>
    </row>
    <row r="112" spans="1:10" ht="30" customHeight="1" x14ac:dyDescent="0.25">
      <c r="A112" s="17" t="s">
        <v>176</v>
      </c>
      <c r="B112" s="17" t="s">
        <v>409</v>
      </c>
      <c r="C112" s="17" t="s">
        <v>408</v>
      </c>
      <c r="D112" s="17">
        <v>148.88999999999999</v>
      </c>
      <c r="E112" s="17">
        <v>161.69</v>
      </c>
      <c r="F112" s="17">
        <v>-7.916383202424393E-2</v>
      </c>
      <c r="G112" s="51">
        <f>E112*(1-iDelta*2)</f>
        <v>129.352</v>
      </c>
      <c r="H112" s="17">
        <f>E112*(1-iDelta*1)</f>
        <v>145.52100000000002</v>
      </c>
      <c r="I112" s="17">
        <f>E112*(1+iDelta*1)</f>
        <v>177.85900000000001</v>
      </c>
      <c r="J112" s="17">
        <f>E112*(1+iDelta*2)</f>
        <v>194.02799999999999</v>
      </c>
    </row>
    <row r="113" spans="1:10" ht="30" customHeight="1" x14ac:dyDescent="0.25">
      <c r="A113" s="17" t="s">
        <v>177</v>
      </c>
      <c r="B113" s="17" t="s">
        <v>409</v>
      </c>
      <c r="C113" s="17" t="s">
        <v>408</v>
      </c>
      <c r="D113" s="17">
        <v>4.3899999999999997</v>
      </c>
      <c r="E113" s="17">
        <v>4.34</v>
      </c>
      <c r="F113" s="17">
        <v>1.1520737327188941E-2</v>
      </c>
      <c r="G113" s="51">
        <f>E113*(1-iDelta*2)</f>
        <v>3.472</v>
      </c>
      <c r="H113" s="17">
        <f>E113*(1-iDelta*1)</f>
        <v>3.9060000000000001</v>
      </c>
      <c r="I113" s="17">
        <f>E113*(1+iDelta*1)</f>
        <v>4.774</v>
      </c>
      <c r="J113" s="17">
        <f>E113*(1+iDelta*2)</f>
        <v>5.2079999999999993</v>
      </c>
    </row>
    <row r="114" spans="1:10" ht="30" customHeight="1" x14ac:dyDescent="0.25">
      <c r="A114" s="17" t="s">
        <v>178</v>
      </c>
      <c r="B114" s="17" t="s">
        <v>409</v>
      </c>
      <c r="C114" s="17" t="s">
        <v>408</v>
      </c>
      <c r="D114" s="17">
        <v>6</v>
      </c>
      <c r="E114" s="17">
        <v>5.94</v>
      </c>
      <c r="F114" s="17">
        <v>1.01010101010101E-2</v>
      </c>
      <c r="G114" s="51">
        <f>E114*(1-iDelta*2)</f>
        <v>4.7520000000000007</v>
      </c>
      <c r="H114" s="17">
        <f>E114*(1-iDelta*1)</f>
        <v>5.3460000000000001</v>
      </c>
      <c r="I114" s="17">
        <f>E114*(1+iDelta*1)</f>
        <v>6.5340000000000007</v>
      </c>
      <c r="J114" s="17">
        <f>E114*(1+iDelta*2)</f>
        <v>7.1280000000000001</v>
      </c>
    </row>
    <row r="115" spans="1:10" ht="30" customHeight="1" x14ac:dyDescent="0.25">
      <c r="A115" s="17" t="s">
        <v>179</v>
      </c>
      <c r="B115" s="17" t="s">
        <v>409</v>
      </c>
      <c r="C115" s="17" t="s">
        <v>408</v>
      </c>
      <c r="D115" s="17">
        <v>13.8</v>
      </c>
      <c r="E115" s="17">
        <v>13.71</v>
      </c>
      <c r="F115" s="17">
        <v>6.5645514223194746E-3</v>
      </c>
      <c r="G115" s="51">
        <f>E115*(1-iDelta*2)</f>
        <v>10.968000000000002</v>
      </c>
      <c r="H115" s="17">
        <f>E115*(1-iDelta*1)</f>
        <v>12.339</v>
      </c>
      <c r="I115" s="17">
        <f>E115*(1+iDelta*1)</f>
        <v>15.081000000000001</v>
      </c>
      <c r="J115" s="17">
        <f>E115*(1+iDelta*2)</f>
        <v>16.452000000000002</v>
      </c>
    </row>
    <row r="116" spans="1:10" ht="30" customHeight="1" x14ac:dyDescent="0.25">
      <c r="A116" s="17" t="s">
        <v>180</v>
      </c>
      <c r="B116" s="17" t="s">
        <v>409</v>
      </c>
      <c r="C116" s="17" t="s">
        <v>408</v>
      </c>
      <c r="D116" s="17">
        <v>22.7</v>
      </c>
      <c r="E116" s="17">
        <v>22.900099999999998</v>
      </c>
      <c r="F116" s="17">
        <v>-8.7379531093750677E-3</v>
      </c>
      <c r="G116" s="51">
        <f>E116*(1-iDelta*2)</f>
        <v>18.320080000000001</v>
      </c>
      <c r="H116" s="17">
        <f>E116*(1-iDelta*1)</f>
        <v>20.61009</v>
      </c>
      <c r="I116" s="17">
        <f>E116*(1+iDelta*1)</f>
        <v>25.190110000000001</v>
      </c>
      <c r="J116" s="17">
        <f>E116*(1+iDelta*2)</f>
        <v>27.480119999999996</v>
      </c>
    </row>
    <row r="117" spans="1:10" ht="30" customHeight="1" x14ac:dyDescent="0.25">
      <c r="A117" s="17" t="s">
        <v>181</v>
      </c>
      <c r="B117" s="17" t="s">
        <v>409</v>
      </c>
      <c r="C117" s="17" t="s">
        <v>408</v>
      </c>
      <c r="D117" s="17">
        <v>54.73</v>
      </c>
      <c r="E117" s="17">
        <v>54.44</v>
      </c>
      <c r="F117" s="17">
        <v>5.3269654665686998E-3</v>
      </c>
      <c r="G117" s="51">
        <f>E117*(1-iDelta*2)</f>
        <v>43.552</v>
      </c>
      <c r="H117" s="17">
        <f>E117*(1-iDelta*1)</f>
        <v>48.996000000000002</v>
      </c>
      <c r="I117" s="17">
        <f>E117*(1+iDelta*1)</f>
        <v>59.884</v>
      </c>
      <c r="J117" s="17">
        <f>E117*(1+iDelta*2)</f>
        <v>65.327999999999989</v>
      </c>
    </row>
    <row r="118" spans="1:10" ht="30" customHeight="1" x14ac:dyDescent="0.25">
      <c r="A118" s="17" t="s">
        <v>182</v>
      </c>
      <c r="B118" s="17" t="s">
        <v>409</v>
      </c>
      <c r="C118" s="17" t="s">
        <v>408</v>
      </c>
      <c r="D118" s="17">
        <v>79.78</v>
      </c>
      <c r="E118" s="17">
        <v>80.05</v>
      </c>
      <c r="F118" s="17">
        <v>-3.372891942535915E-3</v>
      </c>
      <c r="G118" s="51">
        <f>E118*(1-iDelta*2)</f>
        <v>64.040000000000006</v>
      </c>
      <c r="H118" s="17">
        <f>E118*(1-iDelta*1)</f>
        <v>72.045000000000002</v>
      </c>
      <c r="I118" s="17">
        <f>E118*(1+iDelta*1)</f>
        <v>88.055000000000007</v>
      </c>
      <c r="J118" s="17">
        <f>E118*(1+iDelta*2)</f>
        <v>96.059999999999988</v>
      </c>
    </row>
    <row r="119" spans="1:10" ht="30" customHeight="1" x14ac:dyDescent="0.25">
      <c r="A119" s="17" t="s">
        <v>183</v>
      </c>
      <c r="B119" s="17" t="s">
        <v>409</v>
      </c>
      <c r="C119" s="17" t="s">
        <v>408</v>
      </c>
      <c r="D119" s="17">
        <v>12.63</v>
      </c>
      <c r="E119" s="17">
        <v>12.16</v>
      </c>
      <c r="F119" s="17">
        <v>3.8651315789473686E-2</v>
      </c>
      <c r="G119" s="51">
        <f>E119*(1-iDelta*2)</f>
        <v>9.7280000000000015</v>
      </c>
      <c r="H119" s="17">
        <f>E119*(1-iDelta*1)</f>
        <v>10.944000000000001</v>
      </c>
      <c r="I119" s="17">
        <f>E119*(1+iDelta*1)</f>
        <v>13.376000000000001</v>
      </c>
      <c r="J119" s="17">
        <f>E119*(1+iDelta*2)</f>
        <v>14.591999999999999</v>
      </c>
    </row>
    <row r="120" spans="1:10" ht="30" customHeight="1" x14ac:dyDescent="0.25">
      <c r="A120" s="17" t="s">
        <v>184</v>
      </c>
      <c r="B120" s="17" t="s">
        <v>409</v>
      </c>
      <c r="C120" s="17" t="s">
        <v>408</v>
      </c>
      <c r="D120" s="17">
        <v>13.11</v>
      </c>
      <c r="E120" s="17">
        <v>13.16</v>
      </c>
      <c r="F120" s="17">
        <v>-3.7993920972644378E-3</v>
      </c>
      <c r="G120" s="51">
        <f>E120*(1-iDelta*2)</f>
        <v>10.528</v>
      </c>
      <c r="H120" s="17">
        <f>E120*(1-iDelta*1)</f>
        <v>11.844000000000001</v>
      </c>
      <c r="I120" s="17">
        <f>E120*(1+iDelta*1)</f>
        <v>14.476000000000001</v>
      </c>
      <c r="J120" s="17">
        <f>E120*(1+iDelta*2)</f>
        <v>15.792</v>
      </c>
    </row>
    <row r="121" spans="1:10" ht="30" customHeight="1" x14ac:dyDescent="0.25">
      <c r="A121" s="17" t="s">
        <v>185</v>
      </c>
      <c r="B121" s="17" t="s">
        <v>409</v>
      </c>
      <c r="C121" s="17" t="s">
        <v>408</v>
      </c>
      <c r="D121" s="17">
        <v>20.63</v>
      </c>
      <c r="E121" s="17">
        <v>18.7</v>
      </c>
      <c r="F121" s="17">
        <v>0.10320855614973262</v>
      </c>
      <c r="G121" s="51">
        <f>E121*(1-iDelta*2)</f>
        <v>14.96</v>
      </c>
      <c r="H121" s="17">
        <f>E121*(1-iDelta*1)</f>
        <v>16.829999999999998</v>
      </c>
      <c r="I121" s="17">
        <f>E121*(1+iDelta*1)</f>
        <v>20.57</v>
      </c>
      <c r="J121" s="17">
        <f>E121*(1+iDelta*2)</f>
        <v>22.439999999999998</v>
      </c>
    </row>
    <row r="122" spans="1:10" ht="30" customHeight="1" x14ac:dyDescent="0.25">
      <c r="A122" s="17" t="s">
        <v>51</v>
      </c>
      <c r="B122" s="17" t="s">
        <v>412</v>
      </c>
      <c r="C122" s="17" t="s">
        <v>408</v>
      </c>
      <c r="D122" s="17">
        <v>33.24</v>
      </c>
      <c r="E122" s="17">
        <v>34.26</v>
      </c>
      <c r="F122" s="17">
        <v>-2.9772329246935202E-2</v>
      </c>
      <c r="G122" s="51">
        <f>E122*(1-iDelta*2)</f>
        <v>27.408000000000001</v>
      </c>
      <c r="H122" s="17">
        <f>E122*(1-iDelta*1)</f>
        <v>30.834</v>
      </c>
      <c r="I122" s="17">
        <f>E122*(1+iDelta*1)</f>
        <v>37.686</v>
      </c>
      <c r="J122" s="17">
        <f>E122*(1+iDelta*2)</f>
        <v>41.111999999999995</v>
      </c>
    </row>
    <row r="123" spans="1:10" ht="30" customHeight="1" x14ac:dyDescent="0.25">
      <c r="A123" s="17" t="s">
        <v>186</v>
      </c>
      <c r="B123" s="17" t="s">
        <v>409</v>
      </c>
      <c r="C123" s="17" t="s">
        <v>408</v>
      </c>
      <c r="D123" s="17">
        <v>21.85</v>
      </c>
      <c r="E123" s="17">
        <v>21.66</v>
      </c>
      <c r="F123" s="17">
        <v>8.771929824561403E-3</v>
      </c>
      <c r="G123" s="51">
        <f>E123*(1-iDelta*2)</f>
        <v>17.327999999999999</v>
      </c>
      <c r="H123" s="17">
        <f>E123*(1-iDelta*1)</f>
        <v>19.494</v>
      </c>
      <c r="I123" s="17">
        <f>E123*(1+iDelta*1)</f>
        <v>23.826000000000001</v>
      </c>
      <c r="J123" s="17">
        <f>E123*(1+iDelta*2)</f>
        <v>25.992000000000001</v>
      </c>
    </row>
    <row r="124" spans="1:10" ht="30" customHeight="1" x14ac:dyDescent="0.25">
      <c r="A124" s="17" t="s">
        <v>187</v>
      </c>
      <c r="B124" s="17" t="s">
        <v>409</v>
      </c>
      <c r="C124" s="17" t="s">
        <v>408</v>
      </c>
      <c r="D124" s="17">
        <v>29.72</v>
      </c>
      <c r="E124" s="17">
        <v>29.46</v>
      </c>
      <c r="F124" s="17">
        <v>8.8255261371350986E-3</v>
      </c>
      <c r="G124" s="51">
        <f>E124*(1-iDelta*2)</f>
        <v>23.568000000000001</v>
      </c>
      <c r="H124" s="17">
        <f>E124*(1-iDelta*1)</f>
        <v>26.514000000000003</v>
      </c>
      <c r="I124" s="17">
        <f>E124*(1+iDelta*1)</f>
        <v>32.406000000000006</v>
      </c>
      <c r="J124" s="17">
        <f>E124*(1+iDelta*2)</f>
        <v>35.351999999999997</v>
      </c>
    </row>
    <row r="125" spans="1:10" ht="30" customHeight="1" x14ac:dyDescent="0.25">
      <c r="A125" s="17" t="s">
        <v>188</v>
      </c>
      <c r="B125" s="17" t="s">
        <v>409</v>
      </c>
      <c r="C125" s="17" t="s">
        <v>408</v>
      </c>
      <c r="D125" s="17">
        <v>68.78</v>
      </c>
      <c r="E125" s="17">
        <v>69.3</v>
      </c>
      <c r="F125" s="17">
        <v>-7.5036075036075036E-3</v>
      </c>
      <c r="G125" s="51">
        <f>E125*(1-iDelta*2)</f>
        <v>55.44</v>
      </c>
      <c r="H125" s="17">
        <f>E125*(1-iDelta*1)</f>
        <v>62.37</v>
      </c>
      <c r="I125" s="17">
        <f>E125*(1+iDelta*1)</f>
        <v>76.23</v>
      </c>
      <c r="J125" s="17">
        <f>E125*(1+iDelta*2)</f>
        <v>83.16</v>
      </c>
    </row>
    <row r="126" spans="1:10" ht="30" customHeight="1" x14ac:dyDescent="0.25">
      <c r="A126" s="17" t="s">
        <v>189</v>
      </c>
      <c r="B126" s="17" t="s">
        <v>409</v>
      </c>
      <c r="C126" s="17" t="s">
        <v>408</v>
      </c>
      <c r="D126" s="17">
        <v>57.87</v>
      </c>
      <c r="E126" s="17">
        <v>57.58</v>
      </c>
      <c r="F126" s="17">
        <v>5.0364709968739145E-3</v>
      </c>
      <c r="G126" s="51">
        <f>E126*(1-iDelta*2)</f>
        <v>46.064</v>
      </c>
      <c r="H126" s="17">
        <f>E126*(1-iDelta*1)</f>
        <v>51.822000000000003</v>
      </c>
      <c r="I126" s="17">
        <f>E126*(1+iDelta*1)</f>
        <v>63.338000000000001</v>
      </c>
      <c r="J126" s="17">
        <f>E126*(1+iDelta*2)</f>
        <v>69.095999999999989</v>
      </c>
    </row>
    <row r="127" spans="1:10" ht="30" customHeight="1" x14ac:dyDescent="0.25">
      <c r="A127" s="17" t="s">
        <v>67</v>
      </c>
      <c r="B127" s="17" t="s">
        <v>412</v>
      </c>
      <c r="C127" s="17" t="s">
        <v>408</v>
      </c>
      <c r="D127" s="17">
        <v>164.64</v>
      </c>
      <c r="E127" s="17">
        <v>168.86</v>
      </c>
      <c r="F127" s="17">
        <v>-2.499111690157527E-2</v>
      </c>
      <c r="G127" s="51">
        <f>E127*(1-iDelta*2)</f>
        <v>135.08800000000002</v>
      </c>
      <c r="H127" s="17">
        <f>E127*(1-iDelta*1)</f>
        <v>151.97400000000002</v>
      </c>
      <c r="I127" s="17">
        <f>E127*(1+iDelta*1)</f>
        <v>185.74600000000004</v>
      </c>
      <c r="J127" s="17">
        <f>E127*(1+iDelta*2)</f>
        <v>202.63200000000001</v>
      </c>
    </row>
    <row r="128" spans="1:10" ht="30" customHeight="1" x14ac:dyDescent="0.25">
      <c r="A128" s="17" t="s">
        <v>190</v>
      </c>
      <c r="B128" s="17" t="s">
        <v>409</v>
      </c>
      <c r="C128" s="17" t="s">
        <v>408</v>
      </c>
      <c r="D128" s="17">
        <v>55.05</v>
      </c>
      <c r="E128" s="17">
        <v>54.44</v>
      </c>
      <c r="F128" s="17">
        <v>1.1204996326230713E-2</v>
      </c>
      <c r="G128" s="51">
        <f>E128*(1-iDelta*2)</f>
        <v>43.552</v>
      </c>
      <c r="H128" s="17">
        <f>E128*(1-iDelta*1)</f>
        <v>48.996000000000002</v>
      </c>
      <c r="I128" s="17">
        <f>E128*(1+iDelta*1)</f>
        <v>59.884</v>
      </c>
      <c r="J128" s="17">
        <f>E128*(1+iDelta*2)</f>
        <v>65.327999999999989</v>
      </c>
    </row>
    <row r="129" spans="1:10" ht="30" customHeight="1" x14ac:dyDescent="0.25">
      <c r="A129" s="17" t="s">
        <v>41</v>
      </c>
      <c r="B129" s="17" t="s">
        <v>409</v>
      </c>
      <c r="C129" s="17" t="s">
        <v>408</v>
      </c>
      <c r="D129" s="17">
        <v>151.77000000000001</v>
      </c>
      <c r="E129" s="17">
        <v>153.44</v>
      </c>
      <c r="F129" s="17">
        <v>-1.0883733055265903E-2</v>
      </c>
      <c r="G129" s="51">
        <f>E129*(1-iDelta*2)</f>
        <v>122.75200000000001</v>
      </c>
      <c r="H129" s="17">
        <f>E129*(1-iDelta*1)</f>
        <v>138.096</v>
      </c>
      <c r="I129" s="17">
        <f>E129*(1+iDelta*1)</f>
        <v>168.78400000000002</v>
      </c>
      <c r="J129" s="17">
        <f>E129*(1+iDelta*2)</f>
        <v>184.12799999999999</v>
      </c>
    </row>
    <row r="130" spans="1:10" ht="30" customHeight="1" x14ac:dyDescent="0.25">
      <c r="A130" s="17" t="s">
        <v>191</v>
      </c>
      <c r="B130" s="17" t="s">
        <v>409</v>
      </c>
      <c r="C130" s="17" t="s">
        <v>408</v>
      </c>
      <c r="D130" s="17">
        <v>11.4</v>
      </c>
      <c r="E130" s="17">
        <v>11.5</v>
      </c>
      <c r="F130" s="17">
        <v>-8.6956521739130436E-3</v>
      </c>
      <c r="G130" s="51">
        <f>E130*(1-iDelta*2)</f>
        <v>9.2000000000000011</v>
      </c>
      <c r="H130" s="17">
        <f>E130*(1-iDelta*1)</f>
        <v>10.35</v>
      </c>
      <c r="I130" s="17">
        <f>E130*(1+iDelta*1)</f>
        <v>12.65</v>
      </c>
      <c r="J130" s="17">
        <f>E130*(1+iDelta*2)</f>
        <v>13.799999999999999</v>
      </c>
    </row>
    <row r="131" spans="1:10" ht="30" customHeight="1" x14ac:dyDescent="0.25">
      <c r="A131" s="17" t="s">
        <v>192</v>
      </c>
      <c r="B131" s="17" t="s">
        <v>409</v>
      </c>
      <c r="C131" s="17" t="s">
        <v>408</v>
      </c>
      <c r="D131" s="17">
        <v>10.09</v>
      </c>
      <c r="E131" s="17">
        <v>10.07</v>
      </c>
      <c r="F131" s="17">
        <v>1.9860973187686196E-3</v>
      </c>
      <c r="G131" s="51">
        <f>E131*(1-iDelta*2)</f>
        <v>8.0560000000000009</v>
      </c>
      <c r="H131" s="17">
        <f>E131*(1-iDelta*1)</f>
        <v>9.0630000000000006</v>
      </c>
      <c r="I131" s="17">
        <f>E131*(1+iDelta*1)</f>
        <v>11.077000000000002</v>
      </c>
      <c r="J131" s="17">
        <f>E131*(1+iDelta*2)</f>
        <v>12.084</v>
      </c>
    </row>
    <row r="132" spans="1:10" ht="30" customHeight="1" x14ac:dyDescent="0.25">
      <c r="A132" s="17" t="s">
        <v>193</v>
      </c>
      <c r="B132" s="17" t="s">
        <v>409</v>
      </c>
      <c r="C132" s="17" t="s">
        <v>408</v>
      </c>
      <c r="D132" s="17">
        <v>14.9</v>
      </c>
      <c r="E132" s="17">
        <v>15.14</v>
      </c>
      <c r="F132" s="17">
        <v>-1.5852047556142668E-2</v>
      </c>
      <c r="G132" s="51">
        <f>E132*(1-iDelta*2)</f>
        <v>12.112000000000002</v>
      </c>
      <c r="H132" s="17">
        <f>E132*(1-iDelta*1)</f>
        <v>13.626000000000001</v>
      </c>
      <c r="I132" s="17">
        <f>E132*(1+iDelta*1)</f>
        <v>16.654000000000003</v>
      </c>
      <c r="J132" s="17">
        <f>E132*(1+iDelta*2)</f>
        <v>18.167999999999999</v>
      </c>
    </row>
    <row r="133" spans="1:10" ht="30" customHeight="1" x14ac:dyDescent="0.25">
      <c r="A133" s="17" t="s">
        <v>194</v>
      </c>
      <c r="B133" s="17" t="s">
        <v>409</v>
      </c>
      <c r="C133" s="17" t="s">
        <v>408</v>
      </c>
      <c r="D133" s="17">
        <v>18.149999999999999</v>
      </c>
      <c r="E133" s="17">
        <v>17.940000000000001</v>
      </c>
      <c r="F133" s="17">
        <v>1.1705685618729096E-2</v>
      </c>
      <c r="G133" s="51">
        <f>E133*(1-iDelta*2)</f>
        <v>14.352000000000002</v>
      </c>
      <c r="H133" s="17">
        <f>E133*(1-iDelta*1)</f>
        <v>16.146000000000001</v>
      </c>
      <c r="I133" s="17">
        <f>E133*(1+iDelta*1)</f>
        <v>19.734000000000002</v>
      </c>
      <c r="J133" s="17">
        <f>E133*(1+iDelta*2)</f>
        <v>21.528000000000002</v>
      </c>
    </row>
    <row r="134" spans="1:10" ht="30" customHeight="1" x14ac:dyDescent="0.25">
      <c r="A134" s="17" t="s">
        <v>195</v>
      </c>
      <c r="B134" s="17" t="s">
        <v>409</v>
      </c>
      <c r="C134" s="17" t="s">
        <v>408</v>
      </c>
      <c r="D134" s="17">
        <v>40.409999999999997</v>
      </c>
      <c r="E134" s="17">
        <v>40.92</v>
      </c>
      <c r="F134" s="17">
        <v>-1.2463343108504398E-2</v>
      </c>
      <c r="G134" s="51">
        <f>E134*(1-iDelta*2)</f>
        <v>32.736000000000004</v>
      </c>
      <c r="H134" s="17">
        <f>E134*(1-iDelta*1)</f>
        <v>36.828000000000003</v>
      </c>
      <c r="I134" s="17">
        <f>E134*(1+iDelta*1)</f>
        <v>45.012000000000008</v>
      </c>
      <c r="J134" s="17">
        <f>E134*(1+iDelta*2)</f>
        <v>49.103999999999999</v>
      </c>
    </row>
    <row r="135" spans="1:10" ht="30" customHeight="1" x14ac:dyDescent="0.25">
      <c r="A135" s="17" t="s">
        <v>196</v>
      </c>
      <c r="B135" s="17" t="s">
        <v>409</v>
      </c>
      <c r="C135" s="17" t="s">
        <v>408</v>
      </c>
      <c r="D135" s="17">
        <v>22.5</v>
      </c>
      <c r="E135" s="17">
        <v>22.51</v>
      </c>
      <c r="F135" s="17">
        <v>-4.4424700133274098E-4</v>
      </c>
      <c r="G135" s="51">
        <f>E135*(1-iDelta*2)</f>
        <v>18.008000000000003</v>
      </c>
      <c r="H135" s="17">
        <f>E135*(1-iDelta*1)</f>
        <v>20.259</v>
      </c>
      <c r="I135" s="17">
        <f>E135*(1+iDelta*1)</f>
        <v>24.761000000000003</v>
      </c>
      <c r="J135" s="17">
        <f>E135*(1+iDelta*2)</f>
        <v>27.012</v>
      </c>
    </row>
    <row r="136" spans="1:10" ht="30" customHeight="1" x14ac:dyDescent="0.25">
      <c r="A136" s="17" t="s">
        <v>197</v>
      </c>
      <c r="B136" s="17" t="s">
        <v>409</v>
      </c>
      <c r="C136" s="17" t="s">
        <v>408</v>
      </c>
      <c r="D136" s="17">
        <v>115.69</v>
      </c>
      <c r="E136" s="17">
        <v>116.41</v>
      </c>
      <c r="F136" s="17">
        <v>-6.1850356498582594E-3</v>
      </c>
      <c r="G136" s="51">
        <f>E136*(1-iDelta*2)</f>
        <v>93.128</v>
      </c>
      <c r="H136" s="17">
        <f>E136*(1-iDelta*1)</f>
        <v>104.76900000000001</v>
      </c>
      <c r="I136" s="17">
        <f>E136*(1+iDelta*1)</f>
        <v>128.05100000000002</v>
      </c>
      <c r="J136" s="17">
        <f>E136*(1+iDelta*2)</f>
        <v>139.69199999999998</v>
      </c>
    </row>
    <row r="137" spans="1:10" ht="30" customHeight="1" x14ac:dyDescent="0.25">
      <c r="A137" s="17" t="s">
        <v>52</v>
      </c>
      <c r="B137" s="17" t="s">
        <v>409</v>
      </c>
      <c r="C137" s="17" t="s">
        <v>411</v>
      </c>
      <c r="D137" s="17">
        <v>0.68</v>
      </c>
      <c r="E137" s="17">
        <v>0.69</v>
      </c>
      <c r="F137" s="17">
        <v>-1.4492753623188406E-2</v>
      </c>
      <c r="G137" s="51">
        <f>E137*(1-iDelta*2)</f>
        <v>0.55199999999999994</v>
      </c>
      <c r="H137" s="17">
        <f>E137*(1-iDelta*1)</f>
        <v>0.621</v>
      </c>
      <c r="I137" s="17">
        <f>E137*(1+iDelta*1)</f>
        <v>0.75900000000000001</v>
      </c>
      <c r="J137" s="17">
        <f>E137*(1+iDelta*2)</f>
        <v>0.82799999999999996</v>
      </c>
    </row>
    <row r="138" spans="1:10" ht="30" customHeight="1" x14ac:dyDescent="0.25">
      <c r="A138" s="17" t="s">
        <v>198</v>
      </c>
      <c r="B138" s="17" t="s">
        <v>409</v>
      </c>
      <c r="C138" s="17" t="s">
        <v>408</v>
      </c>
      <c r="D138" s="17">
        <v>19.84</v>
      </c>
      <c r="E138" s="17">
        <v>19.510000000000002</v>
      </c>
      <c r="F138" s="17">
        <v>1.6914402870322913E-2</v>
      </c>
      <c r="G138" s="51">
        <f>E138*(1-iDelta*2)</f>
        <v>15.608000000000002</v>
      </c>
      <c r="H138" s="17">
        <f>E138*(1-iDelta*1)</f>
        <v>17.559000000000001</v>
      </c>
      <c r="I138" s="17">
        <f>E138*(1+iDelta*1)</f>
        <v>21.461000000000002</v>
      </c>
      <c r="J138" s="17">
        <f>E138*(1+iDelta*2)</f>
        <v>23.412000000000003</v>
      </c>
    </row>
    <row r="139" spans="1:10" ht="30" customHeight="1" x14ac:dyDescent="0.25">
      <c r="A139" s="17" t="s">
        <v>199</v>
      </c>
      <c r="B139" s="17" t="s">
        <v>409</v>
      </c>
      <c r="C139" s="17" t="s">
        <v>408</v>
      </c>
      <c r="D139" s="17">
        <v>18.920000000000002</v>
      </c>
      <c r="E139" s="17">
        <v>19</v>
      </c>
      <c r="F139" s="17">
        <v>-4.2105263157894736E-3</v>
      </c>
      <c r="G139" s="51">
        <f>E139*(1-iDelta*2)</f>
        <v>15.200000000000001</v>
      </c>
      <c r="H139" s="17">
        <f>E139*(1-iDelta*1)</f>
        <v>17.100000000000001</v>
      </c>
      <c r="I139" s="17">
        <f>E139*(1+iDelta*1)</f>
        <v>20.900000000000002</v>
      </c>
      <c r="J139" s="17">
        <f>E139*(1+iDelta*2)</f>
        <v>22.8</v>
      </c>
    </row>
    <row r="140" spans="1:10" ht="30" customHeight="1" x14ac:dyDescent="0.25">
      <c r="A140" s="17" t="s">
        <v>200</v>
      </c>
      <c r="B140" s="17" t="s">
        <v>409</v>
      </c>
      <c r="C140" s="17" t="s">
        <v>408</v>
      </c>
      <c r="D140" s="17">
        <v>33.590000000000003</v>
      </c>
      <c r="E140" s="17">
        <v>32.56</v>
      </c>
      <c r="F140" s="17">
        <v>3.1633906633906632E-2</v>
      </c>
      <c r="G140" s="51">
        <f>E140*(1-iDelta*2)</f>
        <v>26.048000000000002</v>
      </c>
      <c r="H140" s="17">
        <f>E140*(1-iDelta*1)</f>
        <v>29.304000000000002</v>
      </c>
      <c r="I140" s="17">
        <f>E140*(1+iDelta*1)</f>
        <v>35.816000000000003</v>
      </c>
      <c r="J140" s="17">
        <f>E140*(1+iDelta*2)</f>
        <v>39.072000000000003</v>
      </c>
    </row>
    <row r="141" spans="1:10" ht="30" customHeight="1" x14ac:dyDescent="0.25">
      <c r="A141" s="17" t="s">
        <v>53</v>
      </c>
      <c r="B141" s="17" t="s">
        <v>412</v>
      </c>
      <c r="C141" s="17" t="s">
        <v>411</v>
      </c>
      <c r="D141" s="17">
        <v>29.39</v>
      </c>
      <c r="E141" s="17">
        <v>30.22</v>
      </c>
      <c r="F141" s="17">
        <v>-2.7465254798146922E-2</v>
      </c>
      <c r="G141" s="51">
        <f>E141*(1-iDelta*2)</f>
        <v>24.176000000000002</v>
      </c>
      <c r="H141" s="17">
        <f>E141*(1-iDelta*1)</f>
        <v>27.198</v>
      </c>
      <c r="I141" s="17">
        <f>E141*(1+iDelta*1)</f>
        <v>33.242000000000004</v>
      </c>
      <c r="J141" s="17">
        <f>E141*(1+iDelta*2)</f>
        <v>36.263999999999996</v>
      </c>
    </row>
    <row r="142" spans="1:10" ht="30" customHeight="1" x14ac:dyDescent="0.25">
      <c r="A142" s="17" t="s">
        <v>201</v>
      </c>
      <c r="B142" s="17" t="s">
        <v>409</v>
      </c>
      <c r="C142" s="17" t="s">
        <v>408</v>
      </c>
      <c r="D142" s="17">
        <v>29.02</v>
      </c>
      <c r="E142" s="17">
        <v>29.4</v>
      </c>
      <c r="F142" s="17">
        <v>-1.292517006802721E-2</v>
      </c>
      <c r="G142" s="51">
        <f>E142*(1-iDelta*2)</f>
        <v>23.52</v>
      </c>
      <c r="H142" s="17">
        <f>E142*(1-iDelta*1)</f>
        <v>26.46</v>
      </c>
      <c r="I142" s="17">
        <f>E142*(1+iDelta*1)</f>
        <v>32.340000000000003</v>
      </c>
      <c r="J142" s="17">
        <f>E142*(1+iDelta*2)</f>
        <v>35.279999999999994</v>
      </c>
    </row>
    <row r="143" spans="1:10" ht="30" customHeight="1" x14ac:dyDescent="0.25">
      <c r="A143" s="17" t="s">
        <v>202</v>
      </c>
      <c r="B143" s="17" t="s">
        <v>409</v>
      </c>
      <c r="C143" s="17" t="s">
        <v>408</v>
      </c>
      <c r="D143" s="17">
        <v>33.69</v>
      </c>
      <c r="E143" s="17">
        <v>33.229999999999997</v>
      </c>
      <c r="F143" s="17">
        <v>1.3842913030394222E-2</v>
      </c>
      <c r="G143" s="51">
        <f>E143*(1-iDelta*2)</f>
        <v>26.584</v>
      </c>
      <c r="H143" s="17">
        <f>E143*(1-iDelta*1)</f>
        <v>29.906999999999996</v>
      </c>
      <c r="I143" s="17">
        <f>E143*(1+iDelta*1)</f>
        <v>36.552999999999997</v>
      </c>
      <c r="J143" s="17">
        <f>E143*(1+iDelta*2)</f>
        <v>39.875999999999998</v>
      </c>
    </row>
    <row r="144" spans="1:10" ht="30" customHeight="1" x14ac:dyDescent="0.25">
      <c r="A144" s="17" t="s">
        <v>203</v>
      </c>
      <c r="B144" s="17" t="s">
        <v>461</v>
      </c>
      <c r="C144" s="17" t="s">
        <v>461</v>
      </c>
      <c r="D144" s="17">
        <v>-1</v>
      </c>
      <c r="E144" s="17">
        <v>-1</v>
      </c>
      <c r="F144" s="17">
        <v>-1</v>
      </c>
      <c r="G144" s="51">
        <f>E144*(1-iDelta*2)</f>
        <v>-0.8</v>
      </c>
      <c r="H144" s="17">
        <f>E144*(1-iDelta*1)</f>
        <v>-0.9</v>
      </c>
      <c r="I144" s="17">
        <f>E144*(1+iDelta*1)</f>
        <v>-1.1000000000000001</v>
      </c>
      <c r="J144" s="17">
        <f>E144*(1+iDelta*2)</f>
        <v>-1.2</v>
      </c>
    </row>
    <row r="145" spans="1:10" ht="30" customHeight="1" x14ac:dyDescent="0.25">
      <c r="A145" s="17" t="s">
        <v>204</v>
      </c>
      <c r="B145" s="17" t="s">
        <v>409</v>
      </c>
      <c r="C145" s="17" t="s">
        <v>408</v>
      </c>
      <c r="D145" s="17">
        <v>29.32</v>
      </c>
      <c r="E145" s="17">
        <v>29.23</v>
      </c>
      <c r="F145" s="17">
        <v>3.0790283954840918E-3</v>
      </c>
      <c r="G145" s="51">
        <f>E145*(1-iDelta*2)</f>
        <v>23.384</v>
      </c>
      <c r="H145" s="17">
        <f>E145*(1-iDelta*1)</f>
        <v>26.307000000000002</v>
      </c>
      <c r="I145" s="17">
        <f>E145*(1+iDelta*1)</f>
        <v>32.153000000000006</v>
      </c>
      <c r="J145" s="17">
        <f>E145*(1+iDelta*2)</f>
        <v>35.076000000000001</v>
      </c>
    </row>
    <row r="146" spans="1:10" ht="30" customHeight="1" x14ac:dyDescent="0.25">
      <c r="A146" s="17" t="s">
        <v>47</v>
      </c>
      <c r="B146" s="17" t="s">
        <v>412</v>
      </c>
      <c r="C146" s="17" t="s">
        <v>411</v>
      </c>
      <c r="D146" s="17">
        <v>7.49</v>
      </c>
      <c r="E146" s="17">
        <v>7.51</v>
      </c>
      <c r="F146" s="17">
        <v>-2.6631158455392811E-3</v>
      </c>
      <c r="G146" s="51">
        <f>E146*(1-iDelta*2)</f>
        <v>6.008</v>
      </c>
      <c r="H146" s="17">
        <f>E146*(1-iDelta*1)</f>
        <v>6.7590000000000003</v>
      </c>
      <c r="I146" s="17">
        <f>E146*(1+iDelta*1)</f>
        <v>8.261000000000001</v>
      </c>
      <c r="J146" s="17">
        <f>E146*(1+iDelta*2)</f>
        <v>9.0119999999999987</v>
      </c>
    </row>
    <row r="147" spans="1:10" ht="30" customHeight="1" x14ac:dyDescent="0.25">
      <c r="A147" s="17" t="s">
        <v>391</v>
      </c>
      <c r="B147" s="17" t="s">
        <v>412</v>
      </c>
      <c r="C147" s="17" t="s">
        <v>411</v>
      </c>
      <c r="D147" s="17">
        <v>18.664999999999999</v>
      </c>
      <c r="E147" s="17">
        <v>18.62</v>
      </c>
      <c r="F147" s="17">
        <v>2.4167561761546724E-3</v>
      </c>
      <c r="G147" s="51">
        <f>E147*(1-iDelta*2)</f>
        <v>14.896000000000001</v>
      </c>
      <c r="H147" s="17">
        <f>E147*(1-iDelta*1)</f>
        <v>16.758000000000003</v>
      </c>
      <c r="I147" s="17">
        <f>E147*(1+iDelta*1)</f>
        <v>20.482000000000003</v>
      </c>
      <c r="J147" s="17">
        <f>E147*(1+iDelta*2)</f>
        <v>22.344000000000001</v>
      </c>
    </row>
    <row r="148" spans="1:10" ht="30" customHeight="1" x14ac:dyDescent="0.25">
      <c r="A148" s="17" t="s">
        <v>400</v>
      </c>
      <c r="B148" s="17" t="s">
        <v>461</v>
      </c>
      <c r="C148" s="17" t="s">
        <v>461</v>
      </c>
      <c r="D148" s="17">
        <v>-1</v>
      </c>
      <c r="E148" s="17">
        <v>-1</v>
      </c>
      <c r="F148" s="17">
        <v>-1</v>
      </c>
      <c r="G148" s="51">
        <f>E148*(1-iDelta*2)</f>
        <v>-0.8</v>
      </c>
      <c r="H148" s="17">
        <f>E148*(1-iDelta*1)</f>
        <v>-0.9</v>
      </c>
      <c r="I148" s="17">
        <f>E148*(1+iDelta*1)</f>
        <v>-1.1000000000000001</v>
      </c>
      <c r="J148" s="17">
        <f>E148*(1+iDelta*2)</f>
        <v>-1.2</v>
      </c>
    </row>
    <row r="149" spans="1:10" ht="30" customHeight="1" x14ac:dyDescent="0.25">
      <c r="A149" s="17" t="s">
        <v>206</v>
      </c>
      <c r="B149" s="17" t="s">
        <v>409</v>
      </c>
      <c r="C149" s="17" t="s">
        <v>408</v>
      </c>
      <c r="D149" s="17">
        <v>25.72</v>
      </c>
      <c r="E149" s="17">
        <v>25.29</v>
      </c>
      <c r="F149" s="17">
        <v>1.7002767892447607E-2</v>
      </c>
      <c r="G149" s="51">
        <f>E149*(1-iDelta*2)</f>
        <v>20.231999999999999</v>
      </c>
      <c r="H149" s="17">
        <f>E149*(1-iDelta*1)</f>
        <v>22.760999999999999</v>
      </c>
      <c r="I149" s="17">
        <f>E149*(1+iDelta*1)</f>
        <v>27.819000000000003</v>
      </c>
      <c r="J149" s="17">
        <f>E149*(1+iDelta*2)</f>
        <v>30.347999999999999</v>
      </c>
    </row>
    <row r="150" spans="1:10" ht="30" customHeight="1" x14ac:dyDescent="0.25">
      <c r="A150" s="17" t="s">
        <v>68</v>
      </c>
      <c r="B150" s="17" t="s">
        <v>412</v>
      </c>
      <c r="C150" s="17" t="s">
        <v>408</v>
      </c>
      <c r="D150" s="17">
        <v>33.520000000000003</v>
      </c>
      <c r="E150" s="17">
        <v>34.35</v>
      </c>
      <c r="F150" s="17">
        <v>-2.4163027656477438E-2</v>
      </c>
      <c r="G150" s="51">
        <f>E150*(1-iDelta*2)</f>
        <v>27.480000000000004</v>
      </c>
      <c r="H150" s="17">
        <f>E150*(1-iDelta*1)</f>
        <v>30.915000000000003</v>
      </c>
      <c r="I150" s="17">
        <f>E150*(1+iDelta*1)</f>
        <v>37.785000000000004</v>
      </c>
      <c r="J150" s="17">
        <f>E150*(1+iDelta*2)</f>
        <v>41.22</v>
      </c>
    </row>
    <row r="151" spans="1:10" ht="30" customHeight="1" x14ac:dyDescent="0.25">
      <c r="A151" s="17" t="s">
        <v>207</v>
      </c>
      <c r="B151" s="17" t="s">
        <v>409</v>
      </c>
      <c r="C151" s="17" t="s">
        <v>408</v>
      </c>
      <c r="D151" s="17">
        <v>16.62</v>
      </c>
      <c r="E151" s="17">
        <v>16.87</v>
      </c>
      <c r="F151" s="17">
        <v>-1.4819205690574985E-2</v>
      </c>
      <c r="G151" s="51">
        <f>E151*(1-iDelta*2)</f>
        <v>13.496000000000002</v>
      </c>
      <c r="H151" s="17">
        <f>E151*(1-iDelta*1)</f>
        <v>15.183000000000002</v>
      </c>
      <c r="I151" s="17">
        <f>E151*(1+iDelta*1)</f>
        <v>18.557000000000002</v>
      </c>
      <c r="J151" s="17">
        <f>E151*(1+iDelta*2)</f>
        <v>20.244</v>
      </c>
    </row>
    <row r="152" spans="1:10" ht="30" customHeight="1" x14ac:dyDescent="0.25">
      <c r="A152" s="17" t="s">
        <v>208</v>
      </c>
      <c r="B152" s="17" t="s">
        <v>409</v>
      </c>
      <c r="C152" s="17" t="s">
        <v>408</v>
      </c>
      <c r="D152" s="17">
        <v>151.06</v>
      </c>
      <c r="E152" s="17">
        <v>148.08000000000001</v>
      </c>
      <c r="F152" s="17">
        <v>2.0124257158292816E-2</v>
      </c>
      <c r="G152" s="51">
        <f>E152*(1-iDelta*2)</f>
        <v>118.46400000000001</v>
      </c>
      <c r="H152" s="17">
        <f>E152*(1-iDelta*1)</f>
        <v>133.27200000000002</v>
      </c>
      <c r="I152" s="17">
        <f>E152*(1+iDelta*1)</f>
        <v>162.88800000000003</v>
      </c>
      <c r="J152" s="17">
        <f>E152*(1+iDelta*2)</f>
        <v>177.696</v>
      </c>
    </row>
    <row r="153" spans="1:10" ht="30" customHeight="1" x14ac:dyDescent="0.25">
      <c r="A153" s="17" t="s">
        <v>54</v>
      </c>
      <c r="B153" s="17" t="s">
        <v>412</v>
      </c>
      <c r="C153" s="17" t="s">
        <v>408</v>
      </c>
      <c r="D153" s="17">
        <v>111.49</v>
      </c>
      <c r="E153" s="17">
        <v>110.14</v>
      </c>
      <c r="F153" s="17">
        <v>1.225712729253677E-2</v>
      </c>
      <c r="G153" s="51">
        <f>E153*(1-iDelta*2)</f>
        <v>88.112000000000009</v>
      </c>
      <c r="H153" s="17">
        <f>E153*(1-iDelta*1)</f>
        <v>99.126000000000005</v>
      </c>
      <c r="I153" s="17">
        <f>E153*(1+iDelta*1)</f>
        <v>121.15400000000001</v>
      </c>
      <c r="J153" s="17">
        <f>E153*(1+iDelta*2)</f>
        <v>132.16800000000001</v>
      </c>
    </row>
    <row r="154" spans="1:10" ht="30" customHeight="1" x14ac:dyDescent="0.25">
      <c r="A154" s="17" t="s">
        <v>209</v>
      </c>
      <c r="B154" s="17" t="s">
        <v>409</v>
      </c>
      <c r="C154" s="17" t="s">
        <v>408</v>
      </c>
      <c r="D154" s="17">
        <v>497.24</v>
      </c>
      <c r="E154" s="17">
        <v>515.67999999999995</v>
      </c>
      <c r="F154" s="17">
        <v>-3.57586099906919E-2</v>
      </c>
      <c r="G154" s="51">
        <f>E154*(1-iDelta*2)</f>
        <v>412.54399999999998</v>
      </c>
      <c r="H154" s="17">
        <f>E154*(1-iDelta*1)</f>
        <v>464.11199999999997</v>
      </c>
      <c r="I154" s="17">
        <f>E154*(1+iDelta*1)</f>
        <v>567.24800000000005</v>
      </c>
      <c r="J154" s="17">
        <f>E154*(1+iDelta*2)</f>
        <v>618.81599999999992</v>
      </c>
    </row>
    <row r="155" spans="1:10" ht="30" customHeight="1" x14ac:dyDescent="0.25">
      <c r="A155" s="17" t="s">
        <v>210</v>
      </c>
      <c r="B155" s="17" t="s">
        <v>409</v>
      </c>
      <c r="C155" s="17" t="s">
        <v>408</v>
      </c>
      <c r="D155" s="17">
        <v>21.835999999999999</v>
      </c>
      <c r="E155" s="17">
        <v>21.84</v>
      </c>
      <c r="F155" s="17">
        <v>-1.8315018315018315E-4</v>
      </c>
      <c r="G155" s="51">
        <f>E155*(1-iDelta*2)</f>
        <v>17.472000000000001</v>
      </c>
      <c r="H155" s="17">
        <f>E155*(1-iDelta*1)</f>
        <v>19.655999999999999</v>
      </c>
      <c r="I155" s="17">
        <f>E155*(1+iDelta*1)</f>
        <v>24.024000000000001</v>
      </c>
      <c r="J155" s="17">
        <f>E155*(1+iDelta*2)</f>
        <v>26.207999999999998</v>
      </c>
    </row>
    <row r="156" spans="1:10" ht="30" customHeight="1" x14ac:dyDescent="0.25">
      <c r="A156" s="17" t="s">
        <v>211</v>
      </c>
      <c r="B156" s="17" t="s">
        <v>409</v>
      </c>
      <c r="C156" s="17" t="s">
        <v>408</v>
      </c>
      <c r="D156" s="17">
        <v>13.58</v>
      </c>
      <c r="E156" s="17">
        <v>13.15</v>
      </c>
      <c r="F156" s="17">
        <v>3.2699619771863121E-2</v>
      </c>
      <c r="G156" s="51">
        <f>E156*(1-iDelta*2)</f>
        <v>10.520000000000001</v>
      </c>
      <c r="H156" s="17">
        <f>E156*(1-iDelta*1)</f>
        <v>11.835000000000001</v>
      </c>
      <c r="I156" s="17">
        <f>E156*(1+iDelta*1)</f>
        <v>14.465000000000002</v>
      </c>
      <c r="J156" s="17">
        <f>E156*(1+iDelta*2)</f>
        <v>15.78</v>
      </c>
    </row>
    <row r="157" spans="1:10" ht="30" customHeight="1" x14ac:dyDescent="0.25">
      <c r="A157" s="17" t="s">
        <v>212</v>
      </c>
      <c r="B157" s="17" t="s">
        <v>409</v>
      </c>
      <c r="C157" s="17" t="s">
        <v>408</v>
      </c>
      <c r="D157" s="17">
        <v>86.1</v>
      </c>
      <c r="E157" s="17">
        <v>84.69</v>
      </c>
      <c r="F157" s="17">
        <v>1.6648955012398159E-2</v>
      </c>
      <c r="G157" s="51">
        <f>E157*(1-iDelta*2)</f>
        <v>67.751999999999995</v>
      </c>
      <c r="H157" s="17">
        <f>E157*(1-iDelta*1)</f>
        <v>76.221000000000004</v>
      </c>
      <c r="I157" s="17">
        <f>E157*(1+iDelta*1)</f>
        <v>93.159000000000006</v>
      </c>
      <c r="J157" s="17">
        <f>E157*(1+iDelta*2)</f>
        <v>101.628</v>
      </c>
    </row>
    <row r="158" spans="1:10" ht="30" customHeight="1" x14ac:dyDescent="0.25">
      <c r="A158" s="17" t="s">
        <v>55</v>
      </c>
      <c r="B158" s="17" t="s">
        <v>409</v>
      </c>
      <c r="C158" s="17" t="s">
        <v>411</v>
      </c>
      <c r="D158" s="17">
        <v>0.185</v>
      </c>
      <c r="E158" s="17">
        <v>0.19500000000000001</v>
      </c>
      <c r="F158" s="17">
        <v>-5.128205128205128E-2</v>
      </c>
      <c r="G158" s="51">
        <f>E158*(1-iDelta*2)</f>
        <v>0.15600000000000003</v>
      </c>
      <c r="H158" s="17">
        <f>E158*(1-iDelta*1)</f>
        <v>0.17550000000000002</v>
      </c>
      <c r="I158" s="17">
        <f>E158*(1+iDelta*1)</f>
        <v>0.21450000000000002</v>
      </c>
      <c r="J158" s="17">
        <f>E158*(1+iDelta*2)</f>
        <v>0.23399999999999999</v>
      </c>
    </row>
    <row r="159" spans="1:10" ht="30" customHeight="1" x14ac:dyDescent="0.25">
      <c r="A159" s="17" t="s">
        <v>213</v>
      </c>
      <c r="B159" s="17" t="s">
        <v>409</v>
      </c>
      <c r="C159" s="17" t="s">
        <v>408</v>
      </c>
      <c r="D159" s="17">
        <v>95.24</v>
      </c>
      <c r="E159" s="17">
        <v>93.54</v>
      </c>
      <c r="F159" s="17">
        <v>1.817404319007911E-2</v>
      </c>
      <c r="G159" s="51">
        <f>E159*(1-iDelta*2)</f>
        <v>74.832000000000008</v>
      </c>
      <c r="H159" s="17">
        <f>E159*(1-iDelta*1)</f>
        <v>84.186000000000007</v>
      </c>
      <c r="I159" s="17">
        <f>E159*(1+iDelta*1)</f>
        <v>102.89400000000002</v>
      </c>
      <c r="J159" s="17">
        <f>E159*(1+iDelta*2)</f>
        <v>112.248</v>
      </c>
    </row>
    <row r="160" spans="1:10" ht="30" customHeight="1" x14ac:dyDescent="0.25">
      <c r="A160" s="17" t="s">
        <v>69</v>
      </c>
      <c r="B160" s="17" t="s">
        <v>412</v>
      </c>
      <c r="C160" s="17" t="s">
        <v>408</v>
      </c>
      <c r="D160" s="17">
        <v>101.48</v>
      </c>
      <c r="E160" s="17">
        <v>101.36</v>
      </c>
      <c r="F160" s="17">
        <v>1.1838989739542225E-3</v>
      </c>
      <c r="G160" s="51">
        <f>E160*(1-iDelta*2)</f>
        <v>81.088000000000008</v>
      </c>
      <c r="H160" s="17">
        <f>E160*(1-iDelta*1)</f>
        <v>91.224000000000004</v>
      </c>
      <c r="I160" s="17">
        <f>E160*(1+iDelta*1)</f>
        <v>111.49600000000001</v>
      </c>
      <c r="J160" s="17">
        <f>E160*(1+iDelta*2)</f>
        <v>121.63199999999999</v>
      </c>
    </row>
    <row r="161" spans="1:10" ht="30" customHeight="1" x14ac:dyDescent="0.25">
      <c r="A161" s="17" t="s">
        <v>214</v>
      </c>
      <c r="B161" s="17" t="s">
        <v>409</v>
      </c>
      <c r="C161" s="17" t="s">
        <v>408</v>
      </c>
      <c r="D161" s="17">
        <v>8.8000000000000007</v>
      </c>
      <c r="E161" s="17">
        <v>7.98</v>
      </c>
      <c r="F161" s="17">
        <v>0.10275689223057644</v>
      </c>
      <c r="G161" s="51">
        <f>E161*(1-iDelta*2)</f>
        <v>6.3840000000000003</v>
      </c>
      <c r="H161" s="17">
        <f>E161*(1-iDelta*1)</f>
        <v>7.1820000000000004</v>
      </c>
      <c r="I161" s="17">
        <f>E161*(1+iDelta*1)</f>
        <v>8.7780000000000005</v>
      </c>
      <c r="J161" s="17">
        <f>E161*(1+iDelta*2)</f>
        <v>9.5760000000000005</v>
      </c>
    </row>
    <row r="162" spans="1:10" ht="30" customHeight="1" x14ac:dyDescent="0.25">
      <c r="A162" s="17" t="s">
        <v>215</v>
      </c>
      <c r="B162" s="17" t="s">
        <v>409</v>
      </c>
      <c r="C162" s="17" t="s">
        <v>408</v>
      </c>
      <c r="D162" s="17">
        <v>24.82</v>
      </c>
      <c r="E162" s="17">
        <v>24.35</v>
      </c>
      <c r="F162" s="17">
        <v>1.9301848049281315E-2</v>
      </c>
      <c r="G162" s="51">
        <f>E162*(1-iDelta*2)</f>
        <v>19.480000000000004</v>
      </c>
      <c r="H162" s="17">
        <f>E162*(1-iDelta*1)</f>
        <v>21.915000000000003</v>
      </c>
      <c r="I162" s="17">
        <f>E162*(1+iDelta*1)</f>
        <v>26.785000000000004</v>
      </c>
      <c r="J162" s="17">
        <f>E162*(1+iDelta*2)</f>
        <v>29.22</v>
      </c>
    </row>
    <row r="163" spans="1:10" ht="30" customHeight="1" x14ac:dyDescent="0.25">
      <c r="A163" s="17" t="s">
        <v>70</v>
      </c>
      <c r="B163" s="17" t="s">
        <v>412</v>
      </c>
      <c r="C163" s="17" t="s">
        <v>408</v>
      </c>
      <c r="D163" s="17">
        <v>161.63999999999999</v>
      </c>
      <c r="E163" s="17">
        <v>159.78</v>
      </c>
      <c r="F163" s="17">
        <v>1.1641006383777694E-2</v>
      </c>
      <c r="G163" s="51">
        <f>E163*(1-iDelta*2)</f>
        <v>127.82400000000001</v>
      </c>
      <c r="H163" s="17">
        <f>E163*(1-iDelta*1)</f>
        <v>143.80199999999999</v>
      </c>
      <c r="I163" s="17">
        <f>E163*(1+iDelta*1)</f>
        <v>175.75800000000001</v>
      </c>
      <c r="J163" s="17">
        <f>E163*(1+iDelta*2)</f>
        <v>191.73599999999999</v>
      </c>
    </row>
    <row r="164" spans="1:10" ht="30" customHeight="1" x14ac:dyDescent="0.25">
      <c r="A164" s="17" t="s">
        <v>216</v>
      </c>
      <c r="B164" s="17" t="s">
        <v>409</v>
      </c>
      <c r="C164" s="17" t="s">
        <v>408</v>
      </c>
      <c r="D164" s="17">
        <v>72.069999999999993</v>
      </c>
      <c r="E164" s="17">
        <v>71.89</v>
      </c>
      <c r="F164" s="17">
        <v>2.5038252886354154E-3</v>
      </c>
      <c r="G164" s="51">
        <f>E164*(1-iDelta*2)</f>
        <v>57.512</v>
      </c>
      <c r="H164" s="17">
        <f>E164*(1-iDelta*1)</f>
        <v>64.701000000000008</v>
      </c>
      <c r="I164" s="17">
        <f>E164*(1+iDelta*1)</f>
        <v>79.079000000000008</v>
      </c>
      <c r="J164" s="17">
        <f>E164*(1+iDelta*2)</f>
        <v>86.268000000000001</v>
      </c>
    </row>
    <row r="165" spans="1:10" ht="30" customHeight="1" x14ac:dyDescent="0.25">
      <c r="A165" s="17" t="s">
        <v>217</v>
      </c>
      <c r="B165" s="17" t="s">
        <v>409</v>
      </c>
      <c r="C165" s="17" t="s">
        <v>408</v>
      </c>
      <c r="D165" s="17">
        <v>55.18</v>
      </c>
      <c r="E165" s="17">
        <v>55.68</v>
      </c>
      <c r="F165" s="17">
        <v>-8.9798850574712638E-3</v>
      </c>
      <c r="G165" s="51">
        <f>E165*(1-iDelta*2)</f>
        <v>44.544000000000004</v>
      </c>
      <c r="H165" s="17">
        <f>E165*(1-iDelta*1)</f>
        <v>50.112000000000002</v>
      </c>
      <c r="I165" s="17">
        <f>E165*(1+iDelta*1)</f>
        <v>61.248000000000005</v>
      </c>
      <c r="J165" s="17">
        <f>E165*(1+iDelta*2)</f>
        <v>66.816000000000003</v>
      </c>
    </row>
    <row r="166" spans="1:10" ht="30" customHeight="1" x14ac:dyDescent="0.25">
      <c r="A166" s="17" t="s">
        <v>218</v>
      </c>
      <c r="B166" s="17" t="s">
        <v>409</v>
      </c>
      <c r="C166" s="17" t="s">
        <v>408</v>
      </c>
      <c r="D166" s="17">
        <v>251.74</v>
      </c>
      <c r="E166" s="17">
        <v>248.92</v>
      </c>
      <c r="F166" s="17">
        <v>1.1328941025228989E-2</v>
      </c>
      <c r="G166" s="51">
        <f>E166*(1-iDelta*2)</f>
        <v>199.136</v>
      </c>
      <c r="H166" s="17">
        <f>E166*(1-iDelta*1)</f>
        <v>224.02799999999999</v>
      </c>
      <c r="I166" s="17">
        <f>E166*(1+iDelta*1)</f>
        <v>273.81200000000001</v>
      </c>
      <c r="J166" s="17">
        <f>E166*(1+iDelta*2)</f>
        <v>298.70399999999995</v>
      </c>
    </row>
    <row r="167" spans="1:10" ht="30" customHeight="1" x14ac:dyDescent="0.25">
      <c r="A167" s="17" t="s">
        <v>219</v>
      </c>
      <c r="B167" s="17" t="s">
        <v>409</v>
      </c>
      <c r="C167" s="17" t="s">
        <v>408</v>
      </c>
      <c r="D167" s="17">
        <v>63.22</v>
      </c>
      <c r="E167" s="17">
        <v>62.51</v>
      </c>
      <c r="F167" s="17">
        <v>1.1358182690769476E-2</v>
      </c>
      <c r="G167" s="51">
        <f>E167*(1-iDelta*2)</f>
        <v>50.008000000000003</v>
      </c>
      <c r="H167" s="17">
        <f>E167*(1-iDelta*1)</f>
        <v>56.259</v>
      </c>
      <c r="I167" s="17">
        <f>E167*(1+iDelta*1)</f>
        <v>68.76100000000001</v>
      </c>
      <c r="J167" s="17">
        <f>E167*(1+iDelta*2)</f>
        <v>75.012</v>
      </c>
    </row>
    <row r="168" spans="1:10" ht="30" customHeight="1" x14ac:dyDescent="0.25">
      <c r="A168" s="17" t="s">
        <v>220</v>
      </c>
      <c r="B168" s="17" t="s">
        <v>409</v>
      </c>
      <c r="C168" s="17" t="s">
        <v>408</v>
      </c>
      <c r="D168" s="17">
        <v>41.87</v>
      </c>
      <c r="E168" s="17">
        <v>42.14</v>
      </c>
      <c r="F168" s="17">
        <v>-6.407214048410062E-3</v>
      </c>
      <c r="G168" s="51">
        <f>E168*(1-iDelta*2)</f>
        <v>33.712000000000003</v>
      </c>
      <c r="H168" s="17">
        <f>E168*(1-iDelta*1)</f>
        <v>37.926000000000002</v>
      </c>
      <c r="I168" s="17">
        <f>E168*(1+iDelta*1)</f>
        <v>46.354000000000006</v>
      </c>
      <c r="J168" s="17">
        <f>E168*(1+iDelta*2)</f>
        <v>50.567999999999998</v>
      </c>
    </row>
    <row r="169" spans="1:10" ht="30" customHeight="1" x14ac:dyDescent="0.25">
      <c r="A169" s="17" t="s">
        <v>221</v>
      </c>
      <c r="B169" s="17" t="s">
        <v>409</v>
      </c>
      <c r="C169" s="17" t="s">
        <v>408</v>
      </c>
      <c r="D169" s="17">
        <v>35.799999999999997</v>
      </c>
      <c r="E169" s="17">
        <v>35.965299999999999</v>
      </c>
      <c r="F169" s="17">
        <v>-4.5960967932979846E-3</v>
      </c>
      <c r="G169" s="51">
        <f>E169*(1-iDelta*2)</f>
        <v>28.77224</v>
      </c>
      <c r="H169" s="17">
        <f>E169*(1-iDelta*1)</f>
        <v>32.368769999999998</v>
      </c>
      <c r="I169" s="17">
        <f>E169*(1+iDelta*1)</f>
        <v>39.56183</v>
      </c>
      <c r="J169" s="17">
        <f>E169*(1+iDelta*2)</f>
        <v>43.158359999999995</v>
      </c>
    </row>
    <row r="170" spans="1:10" ht="30" customHeight="1" x14ac:dyDescent="0.25">
      <c r="A170" s="17" t="s">
        <v>222</v>
      </c>
      <c r="B170" s="17" t="s">
        <v>409</v>
      </c>
      <c r="C170" s="17" t="s">
        <v>408</v>
      </c>
      <c r="D170" s="17">
        <v>60.86</v>
      </c>
      <c r="E170" s="17">
        <v>61.15</v>
      </c>
      <c r="F170" s="17">
        <v>-4.7424366312346687E-3</v>
      </c>
      <c r="G170" s="51">
        <f>E170*(1-iDelta*2)</f>
        <v>48.92</v>
      </c>
      <c r="H170" s="17">
        <f>E170*(1-iDelta*1)</f>
        <v>55.034999999999997</v>
      </c>
      <c r="I170" s="17">
        <f>E170*(1+iDelta*1)</f>
        <v>67.265000000000001</v>
      </c>
      <c r="J170" s="17">
        <f>E170*(1+iDelta*2)</f>
        <v>73.38</v>
      </c>
    </row>
    <row r="171" spans="1:10" ht="30" customHeight="1" x14ac:dyDescent="0.25">
      <c r="A171" s="17" t="s">
        <v>223</v>
      </c>
      <c r="B171" s="17" t="s">
        <v>409</v>
      </c>
      <c r="C171" s="17" t="s">
        <v>408</v>
      </c>
      <c r="D171" s="17">
        <v>67.83</v>
      </c>
      <c r="E171" s="17">
        <v>67.55</v>
      </c>
      <c r="F171" s="17">
        <v>4.1450777202072537E-3</v>
      </c>
      <c r="G171" s="51">
        <f>E171*(1-iDelta*2)</f>
        <v>54.04</v>
      </c>
      <c r="H171" s="17">
        <f>E171*(1-iDelta*1)</f>
        <v>60.795000000000002</v>
      </c>
      <c r="I171" s="17">
        <f>E171*(1+iDelta*1)</f>
        <v>74.305000000000007</v>
      </c>
      <c r="J171" s="17">
        <f>E171*(1+iDelta*2)</f>
        <v>81.059999999999988</v>
      </c>
    </row>
    <row r="172" spans="1:10" ht="30" customHeight="1" x14ac:dyDescent="0.25">
      <c r="A172" s="17" t="s">
        <v>224</v>
      </c>
      <c r="B172" s="17" t="s">
        <v>409</v>
      </c>
      <c r="C172" s="17" t="s">
        <v>408</v>
      </c>
      <c r="D172" s="17">
        <v>37.200000000000003</v>
      </c>
      <c r="E172" s="17">
        <v>36.94</v>
      </c>
      <c r="F172" s="17">
        <v>7.0384407146724419E-3</v>
      </c>
      <c r="G172" s="51">
        <f>E172*(1-iDelta*2)</f>
        <v>29.552</v>
      </c>
      <c r="H172" s="17">
        <f>E172*(1-iDelta*1)</f>
        <v>33.246000000000002</v>
      </c>
      <c r="I172" s="17">
        <f>E172*(1+iDelta*1)</f>
        <v>40.634</v>
      </c>
      <c r="J172" s="17">
        <f>E172*(1+iDelta*2)</f>
        <v>44.327999999999996</v>
      </c>
    </row>
    <row r="173" spans="1:10" ht="30" customHeight="1" x14ac:dyDescent="0.25">
      <c r="A173" s="17" t="s">
        <v>225</v>
      </c>
      <c r="B173" s="17" t="s">
        <v>409</v>
      </c>
      <c r="C173" s="17" t="s">
        <v>408</v>
      </c>
      <c r="D173" s="17">
        <v>65.75</v>
      </c>
      <c r="E173" s="17">
        <v>63.06</v>
      </c>
      <c r="F173" s="17">
        <v>4.2657786235331431E-2</v>
      </c>
      <c r="G173" s="51">
        <f>E173*(1-iDelta*2)</f>
        <v>50.448000000000008</v>
      </c>
      <c r="H173" s="17">
        <f>E173*(1-iDelta*1)</f>
        <v>56.754000000000005</v>
      </c>
      <c r="I173" s="17">
        <f>E173*(1+iDelta*1)</f>
        <v>69.366000000000014</v>
      </c>
      <c r="J173" s="17">
        <f>E173*(1+iDelta*2)</f>
        <v>75.671999999999997</v>
      </c>
    </row>
    <row r="174" spans="1:10" ht="30" customHeight="1" x14ac:dyDescent="0.25">
      <c r="A174" s="17" t="s">
        <v>226</v>
      </c>
      <c r="B174" s="17" t="s">
        <v>409</v>
      </c>
      <c r="C174" s="17" t="s">
        <v>408</v>
      </c>
      <c r="D174" s="17">
        <v>56.64</v>
      </c>
      <c r="E174" s="17">
        <v>56.5</v>
      </c>
      <c r="F174" s="17">
        <v>2.4778761061946901E-3</v>
      </c>
      <c r="G174" s="51">
        <f>E174*(1-iDelta*2)</f>
        <v>45.2</v>
      </c>
      <c r="H174" s="17">
        <f>E174*(1-iDelta*1)</f>
        <v>50.85</v>
      </c>
      <c r="I174" s="17">
        <f>E174*(1+iDelta*1)</f>
        <v>62.150000000000006</v>
      </c>
      <c r="J174" s="17">
        <f>E174*(1+iDelta*2)</f>
        <v>67.8</v>
      </c>
    </row>
    <row r="175" spans="1:10" ht="30" customHeight="1" x14ac:dyDescent="0.25">
      <c r="A175" s="17" t="s">
        <v>366</v>
      </c>
      <c r="B175" s="17" t="s">
        <v>409</v>
      </c>
      <c r="C175" s="17" t="s">
        <v>408</v>
      </c>
      <c r="D175" s="17">
        <v>16.989999999999998</v>
      </c>
      <c r="E175" s="17">
        <v>17.5</v>
      </c>
      <c r="F175" s="17">
        <v>-2.9142857142857144E-2</v>
      </c>
      <c r="G175" s="51">
        <f>E175*(1-iDelta*2)</f>
        <v>14</v>
      </c>
      <c r="H175" s="17">
        <f>E175*(1-iDelta*1)</f>
        <v>15.75</v>
      </c>
      <c r="I175" s="17">
        <f>E175*(1+iDelta*1)</f>
        <v>19.25</v>
      </c>
      <c r="J175" s="17">
        <f>E175*(1+iDelta*2)</f>
        <v>21</v>
      </c>
    </row>
    <row r="176" spans="1:10" ht="30" customHeight="1" x14ac:dyDescent="0.25">
      <c r="A176" s="17" t="s">
        <v>227</v>
      </c>
      <c r="B176" s="17" t="s">
        <v>409</v>
      </c>
      <c r="C176" s="17" t="s">
        <v>408</v>
      </c>
      <c r="D176" s="17">
        <v>39.28</v>
      </c>
      <c r="E176" s="17">
        <v>37.97</v>
      </c>
      <c r="F176" s="17">
        <v>3.4500921780352911E-2</v>
      </c>
      <c r="G176" s="51">
        <f>E176*(1-iDelta*2)</f>
        <v>30.376000000000001</v>
      </c>
      <c r="H176" s="17">
        <f>E176*(1-iDelta*1)</f>
        <v>34.173000000000002</v>
      </c>
      <c r="I176" s="17">
        <f>E176*(1+iDelta*1)</f>
        <v>41.767000000000003</v>
      </c>
      <c r="J176" s="17">
        <f>E176*(1+iDelta*2)</f>
        <v>45.564</v>
      </c>
    </row>
    <row r="177" spans="1:10" ht="30" customHeight="1" x14ac:dyDescent="0.25">
      <c r="A177" s="17" t="s">
        <v>228</v>
      </c>
      <c r="B177" s="17" t="s">
        <v>409</v>
      </c>
      <c r="C177" s="17" t="s">
        <v>408</v>
      </c>
      <c r="D177" s="17">
        <v>66.89</v>
      </c>
      <c r="E177" s="17">
        <v>66.34</v>
      </c>
      <c r="F177" s="17">
        <v>8.2906240578836301E-3</v>
      </c>
      <c r="G177" s="51">
        <f>E177*(1-iDelta*2)</f>
        <v>53.072000000000003</v>
      </c>
      <c r="H177" s="17">
        <f>E177*(1-iDelta*1)</f>
        <v>59.706000000000003</v>
      </c>
      <c r="I177" s="17">
        <f>E177*(1+iDelta*1)</f>
        <v>72.974000000000004</v>
      </c>
      <c r="J177" s="17">
        <f>E177*(1+iDelta*2)</f>
        <v>79.608000000000004</v>
      </c>
    </row>
    <row r="178" spans="1:10" ht="30" customHeight="1" x14ac:dyDescent="0.25">
      <c r="A178" s="17" t="s">
        <v>229</v>
      </c>
      <c r="B178" s="17" t="s">
        <v>409</v>
      </c>
      <c r="C178" s="17" t="s">
        <v>408</v>
      </c>
      <c r="D178" s="17">
        <v>52.97</v>
      </c>
      <c r="E178" s="17">
        <v>51.69</v>
      </c>
      <c r="F178" s="17">
        <v>2.4763010253433932E-2</v>
      </c>
      <c r="G178" s="51">
        <f>E178*(1-iDelta*2)</f>
        <v>41.352000000000004</v>
      </c>
      <c r="H178" s="17">
        <f>E178*(1-iDelta*1)</f>
        <v>46.521000000000001</v>
      </c>
      <c r="I178" s="17">
        <f>E178*(1+iDelta*1)</f>
        <v>56.859000000000002</v>
      </c>
      <c r="J178" s="17">
        <f>E178*(1+iDelta*2)</f>
        <v>62.027999999999992</v>
      </c>
    </row>
    <row r="179" spans="1:10" ht="30" customHeight="1" x14ac:dyDescent="0.25">
      <c r="A179" s="17" t="s">
        <v>230</v>
      </c>
      <c r="B179" s="17" t="s">
        <v>409</v>
      </c>
      <c r="C179" s="17" t="s">
        <v>408</v>
      </c>
      <c r="D179" s="17">
        <v>79.92</v>
      </c>
      <c r="E179" s="17">
        <v>80.069999999999993</v>
      </c>
      <c r="F179" s="17">
        <v>-1.8733608092918695E-3</v>
      </c>
      <c r="G179" s="51">
        <f>E179*(1-iDelta*2)</f>
        <v>64.055999999999997</v>
      </c>
      <c r="H179" s="17">
        <f>E179*(1-iDelta*1)</f>
        <v>72.063000000000002</v>
      </c>
      <c r="I179" s="17">
        <f>E179*(1+iDelta*1)</f>
        <v>88.076999999999998</v>
      </c>
      <c r="J179" s="17">
        <f>E179*(1+iDelta*2)</f>
        <v>96.083999999999989</v>
      </c>
    </row>
    <row r="180" spans="1:10" ht="30" customHeight="1" x14ac:dyDescent="0.25">
      <c r="A180" s="17" t="s">
        <v>231</v>
      </c>
      <c r="B180" s="17" t="s">
        <v>409</v>
      </c>
      <c r="C180" s="17" t="s">
        <v>408</v>
      </c>
      <c r="D180" s="17">
        <v>39.25</v>
      </c>
      <c r="E180" s="17">
        <v>38.590000000000003</v>
      </c>
      <c r="F180" s="17">
        <v>1.7102876392847889E-2</v>
      </c>
      <c r="G180" s="51">
        <f>E180*(1-iDelta*2)</f>
        <v>30.872000000000003</v>
      </c>
      <c r="H180" s="17">
        <f>E180*(1-iDelta*1)</f>
        <v>34.731000000000002</v>
      </c>
      <c r="I180" s="17">
        <f>E180*(1+iDelta*1)</f>
        <v>42.449000000000005</v>
      </c>
      <c r="J180" s="17">
        <f>E180*(1+iDelta*2)</f>
        <v>46.308</v>
      </c>
    </row>
    <row r="181" spans="1:10" ht="30" customHeight="1" x14ac:dyDescent="0.25">
      <c r="A181" s="17" t="s">
        <v>56</v>
      </c>
      <c r="B181" s="17" t="s">
        <v>409</v>
      </c>
      <c r="C181" s="17" t="s">
        <v>411</v>
      </c>
      <c r="D181" s="17">
        <v>0.28000000000000003</v>
      </c>
      <c r="E181" s="17">
        <v>0.3</v>
      </c>
      <c r="F181" s="17">
        <v>-6.6666666666666666E-2</v>
      </c>
      <c r="G181" s="51">
        <f>E181*(1-iDelta*2)</f>
        <v>0.24</v>
      </c>
      <c r="H181" s="17">
        <f>E181*(1-iDelta*1)</f>
        <v>0.27</v>
      </c>
      <c r="I181" s="17">
        <f>E181*(1+iDelta*1)</f>
        <v>0.33</v>
      </c>
      <c r="J181" s="17">
        <f>E181*(1+iDelta*2)</f>
        <v>0.36</v>
      </c>
    </row>
    <row r="182" spans="1:10" ht="30" customHeight="1" x14ac:dyDescent="0.25">
      <c r="A182" s="17" t="s">
        <v>232</v>
      </c>
      <c r="B182" s="17" t="s">
        <v>409</v>
      </c>
      <c r="C182" s="17" t="s">
        <v>408</v>
      </c>
      <c r="D182" s="17">
        <v>104.05</v>
      </c>
      <c r="E182" s="17">
        <v>105.45</v>
      </c>
      <c r="F182" s="17">
        <v>-1.3276434329065908E-2</v>
      </c>
      <c r="G182" s="51">
        <f>E182*(1-iDelta*2)</f>
        <v>84.360000000000014</v>
      </c>
      <c r="H182" s="17">
        <f>E182*(1-iDelta*1)</f>
        <v>94.905000000000001</v>
      </c>
      <c r="I182" s="17">
        <f>E182*(1+iDelta*1)</f>
        <v>115.99500000000002</v>
      </c>
      <c r="J182" s="17">
        <f>E182*(1+iDelta*2)</f>
        <v>126.53999999999999</v>
      </c>
    </row>
    <row r="183" spans="1:10" ht="30" customHeight="1" x14ac:dyDescent="0.25">
      <c r="A183" s="17" t="s">
        <v>379</v>
      </c>
      <c r="B183" s="17" t="s">
        <v>410</v>
      </c>
      <c r="C183" s="17" t="s">
        <v>411</v>
      </c>
      <c r="D183" s="17">
        <v>30.015129999999999</v>
      </c>
      <c r="E183" s="17">
        <v>29.82694</v>
      </c>
      <c r="F183" s="17">
        <v>6.3093968070475886E-3</v>
      </c>
      <c r="G183" s="51">
        <f>E183*(1-iDelta*2)</f>
        <v>23.861552000000003</v>
      </c>
      <c r="H183" s="17">
        <f>E183*(1-iDelta*1)</f>
        <v>26.844246000000002</v>
      </c>
      <c r="I183" s="17">
        <f>E183*(1+iDelta*1)</f>
        <v>32.809634000000003</v>
      </c>
      <c r="J183" s="17">
        <f>E183*(1+iDelta*2)</f>
        <v>35.792327999999998</v>
      </c>
    </row>
    <row r="184" spans="1:10" ht="30" customHeight="1" x14ac:dyDescent="0.25">
      <c r="A184" s="17" t="s">
        <v>233</v>
      </c>
      <c r="B184" s="17" t="s">
        <v>409</v>
      </c>
      <c r="C184" s="17" t="s">
        <v>408</v>
      </c>
      <c r="D184" s="17">
        <v>50.83</v>
      </c>
      <c r="E184" s="17">
        <v>50.53</v>
      </c>
      <c r="F184" s="17">
        <v>5.9370670888581039E-3</v>
      </c>
      <c r="G184" s="51">
        <f>E184*(1-iDelta*2)</f>
        <v>40.424000000000007</v>
      </c>
      <c r="H184" s="17">
        <f>E184*(1-iDelta*1)</f>
        <v>45.477000000000004</v>
      </c>
      <c r="I184" s="17">
        <f>E184*(1+iDelta*1)</f>
        <v>55.583000000000006</v>
      </c>
      <c r="J184" s="17">
        <f>E184*(1+iDelta*2)</f>
        <v>60.635999999999996</v>
      </c>
    </row>
    <row r="185" spans="1:10" ht="30" customHeight="1" x14ac:dyDescent="0.25">
      <c r="A185" s="17" t="s">
        <v>234</v>
      </c>
      <c r="B185" s="17" t="s">
        <v>409</v>
      </c>
      <c r="C185" s="17" t="s">
        <v>408</v>
      </c>
      <c r="D185" s="17">
        <v>19.920000000000002</v>
      </c>
      <c r="E185" s="17">
        <v>19.87</v>
      </c>
      <c r="F185" s="17">
        <v>2.5163563160543532E-3</v>
      </c>
      <c r="G185" s="51">
        <f>E185*(1-iDelta*2)</f>
        <v>15.896000000000001</v>
      </c>
      <c r="H185" s="17">
        <f>E185*(1-iDelta*1)</f>
        <v>17.883000000000003</v>
      </c>
      <c r="I185" s="17">
        <f>E185*(1+iDelta*1)</f>
        <v>21.857000000000003</v>
      </c>
      <c r="J185" s="17">
        <f>E185*(1+iDelta*2)</f>
        <v>23.844000000000001</v>
      </c>
    </row>
    <row r="186" spans="1:10" ht="30" customHeight="1" x14ac:dyDescent="0.25">
      <c r="A186" s="17" t="s">
        <v>380</v>
      </c>
      <c r="B186" s="17" t="s">
        <v>410</v>
      </c>
      <c r="C186" s="17" t="s">
        <v>411</v>
      </c>
      <c r="D186" s="17">
        <v>189.44570999999999</v>
      </c>
      <c r="E186" s="17">
        <v>185.51284999999999</v>
      </c>
      <c r="F186" s="17">
        <v>2.1199933050459845E-2</v>
      </c>
      <c r="G186" s="51">
        <f>E186*(1-iDelta*2)</f>
        <v>148.41028</v>
      </c>
      <c r="H186" s="17">
        <f>E186*(1-iDelta*1)</f>
        <v>166.96156499999998</v>
      </c>
      <c r="I186" s="17">
        <f>E186*(1+iDelta*1)</f>
        <v>204.06413499999999</v>
      </c>
      <c r="J186" s="17">
        <f>E186*(1+iDelta*2)</f>
        <v>222.61541999999997</v>
      </c>
    </row>
    <row r="187" spans="1:10" ht="30" customHeight="1" x14ac:dyDescent="0.25">
      <c r="A187" s="17" t="s">
        <v>235</v>
      </c>
      <c r="B187" s="17" t="s">
        <v>409</v>
      </c>
      <c r="C187" s="17" t="s">
        <v>408</v>
      </c>
      <c r="D187" s="17">
        <v>4.1100000000000003</v>
      </c>
      <c r="E187" s="17">
        <v>4.21</v>
      </c>
      <c r="F187" s="17">
        <v>-2.3752969121140142E-2</v>
      </c>
      <c r="G187" s="51">
        <f>E187*(1-iDelta*2)</f>
        <v>3.3680000000000003</v>
      </c>
      <c r="H187" s="17">
        <f>E187*(1-iDelta*1)</f>
        <v>3.7890000000000001</v>
      </c>
      <c r="I187" s="17">
        <f>E187*(1+iDelta*1)</f>
        <v>4.6310000000000002</v>
      </c>
      <c r="J187" s="17">
        <f>E187*(1+iDelta*2)</f>
        <v>5.0519999999999996</v>
      </c>
    </row>
    <row r="188" spans="1:10" ht="30" customHeight="1" x14ac:dyDescent="0.25">
      <c r="A188" s="17" t="s">
        <v>236</v>
      </c>
      <c r="B188" s="17" t="s">
        <v>409</v>
      </c>
      <c r="C188" s="17" t="s">
        <v>408</v>
      </c>
      <c r="D188" s="17">
        <v>85.41</v>
      </c>
      <c r="E188" s="17">
        <v>84.76</v>
      </c>
      <c r="F188" s="17">
        <v>7.6687116564417178E-3</v>
      </c>
      <c r="G188" s="51">
        <f>E188*(1-iDelta*2)</f>
        <v>67.808000000000007</v>
      </c>
      <c r="H188" s="17">
        <f>E188*(1-iDelta*1)</f>
        <v>76.284000000000006</v>
      </c>
      <c r="I188" s="17">
        <f>E188*(1+iDelta*1)</f>
        <v>93.236000000000018</v>
      </c>
      <c r="J188" s="17">
        <f>E188*(1+iDelta*2)</f>
        <v>101.712</v>
      </c>
    </row>
    <row r="189" spans="1:10" ht="30" customHeight="1" x14ac:dyDescent="0.25">
      <c r="A189" s="17" t="s">
        <v>237</v>
      </c>
      <c r="B189" s="17" t="s">
        <v>409</v>
      </c>
      <c r="C189" s="17" t="s">
        <v>408</v>
      </c>
      <c r="D189" s="17">
        <v>18.559999999999999</v>
      </c>
      <c r="E189" s="17">
        <v>17.47</v>
      </c>
      <c r="F189" s="17">
        <v>6.2392673153978249E-2</v>
      </c>
      <c r="G189" s="51">
        <f>E189*(1-iDelta*2)</f>
        <v>13.975999999999999</v>
      </c>
      <c r="H189" s="17">
        <f>E189*(1-iDelta*1)</f>
        <v>15.722999999999999</v>
      </c>
      <c r="I189" s="17">
        <f>E189*(1+iDelta*1)</f>
        <v>19.216999999999999</v>
      </c>
      <c r="J189" s="17">
        <f>E189*(1+iDelta*2)</f>
        <v>20.963999999999999</v>
      </c>
    </row>
    <row r="190" spans="1:10" ht="30" customHeight="1" x14ac:dyDescent="0.25">
      <c r="A190" s="17" t="s">
        <v>238</v>
      </c>
      <c r="B190" s="17" t="s">
        <v>409</v>
      </c>
      <c r="C190" s="17" t="s">
        <v>408</v>
      </c>
      <c r="D190" s="17">
        <v>16.84</v>
      </c>
      <c r="E190" s="17">
        <v>16.61</v>
      </c>
      <c r="F190" s="17">
        <v>1.3847080072245634E-2</v>
      </c>
      <c r="G190" s="51">
        <f>E190*(1-iDelta*2)</f>
        <v>13.288</v>
      </c>
      <c r="H190" s="17">
        <f>E190*(1-iDelta*1)</f>
        <v>14.949</v>
      </c>
      <c r="I190" s="17">
        <f>E190*(1+iDelta*1)</f>
        <v>18.271000000000001</v>
      </c>
      <c r="J190" s="17">
        <f>E190*(1+iDelta*2)</f>
        <v>19.931999999999999</v>
      </c>
    </row>
    <row r="191" spans="1:10" ht="30" customHeight="1" x14ac:dyDescent="0.25">
      <c r="A191" s="17" t="s">
        <v>239</v>
      </c>
      <c r="B191" s="17" t="s">
        <v>409</v>
      </c>
      <c r="C191" s="17" t="s">
        <v>408</v>
      </c>
      <c r="D191" s="17">
        <v>22.02</v>
      </c>
      <c r="E191" s="17">
        <v>21.89</v>
      </c>
      <c r="F191" s="17">
        <v>5.9387848332571949E-3</v>
      </c>
      <c r="G191" s="51">
        <f>E191*(1-iDelta*2)</f>
        <v>17.512</v>
      </c>
      <c r="H191" s="17">
        <f>E191*(1-iDelta*1)</f>
        <v>19.701000000000001</v>
      </c>
      <c r="I191" s="17">
        <f>E191*(1+iDelta*1)</f>
        <v>24.079000000000004</v>
      </c>
      <c r="J191" s="17">
        <f>E191*(1+iDelta*2)</f>
        <v>26.268000000000001</v>
      </c>
    </row>
    <row r="192" spans="1:10" ht="30" customHeight="1" x14ac:dyDescent="0.25">
      <c r="A192" s="17" t="s">
        <v>381</v>
      </c>
      <c r="B192" s="17" t="s">
        <v>410</v>
      </c>
      <c r="C192" s="17" t="s">
        <v>411</v>
      </c>
      <c r="D192" s="17">
        <v>1.4264755</v>
      </c>
      <c r="E192" s="17">
        <v>1.3529247</v>
      </c>
      <c r="F192" s="17">
        <v>5.4364296845197668E-2</v>
      </c>
      <c r="G192" s="51">
        <f>E192*(1-iDelta*2)</f>
        <v>1.08233976</v>
      </c>
      <c r="H192" s="17">
        <f>E192*(1-iDelta*1)</f>
        <v>1.21763223</v>
      </c>
      <c r="I192" s="17">
        <f>E192*(1+iDelta*1)</f>
        <v>1.4882171700000002</v>
      </c>
      <c r="J192" s="17">
        <f>E192*(1+iDelta*2)</f>
        <v>1.62350964</v>
      </c>
    </row>
    <row r="193" spans="1:10" ht="30" customHeight="1" x14ac:dyDescent="0.25">
      <c r="A193" s="17" t="s">
        <v>240</v>
      </c>
      <c r="B193" s="17" t="s">
        <v>409</v>
      </c>
      <c r="C193" s="17" t="s">
        <v>408</v>
      </c>
      <c r="D193" s="17">
        <v>236.26</v>
      </c>
      <c r="E193" s="17">
        <v>236.42</v>
      </c>
      <c r="F193" s="17">
        <v>-6.7676169528804665E-4</v>
      </c>
      <c r="G193" s="51">
        <f>E193*(1-iDelta*2)</f>
        <v>189.136</v>
      </c>
      <c r="H193" s="17">
        <f>E193*(1-iDelta*1)</f>
        <v>212.77799999999999</v>
      </c>
      <c r="I193" s="17">
        <f>E193*(1+iDelta*1)</f>
        <v>260.06200000000001</v>
      </c>
      <c r="J193" s="17">
        <f>E193*(1+iDelta*2)</f>
        <v>283.70399999999995</v>
      </c>
    </row>
    <row r="194" spans="1:10" ht="30" customHeight="1" x14ac:dyDescent="0.25">
      <c r="A194" s="17" t="s">
        <v>241</v>
      </c>
      <c r="B194" s="17" t="s">
        <v>409</v>
      </c>
      <c r="C194" s="17" t="s">
        <v>408</v>
      </c>
      <c r="D194" s="17">
        <v>149.72999999999999</v>
      </c>
      <c r="E194" s="17">
        <v>149.78</v>
      </c>
      <c r="F194" s="17">
        <v>-3.3382294031245827E-4</v>
      </c>
      <c r="G194" s="51">
        <f>E194*(1-iDelta*2)</f>
        <v>119.82400000000001</v>
      </c>
      <c r="H194" s="17">
        <f>E194*(1-iDelta*1)</f>
        <v>134.80199999999999</v>
      </c>
      <c r="I194" s="17">
        <f>E194*(1+iDelta*1)</f>
        <v>164.75800000000001</v>
      </c>
      <c r="J194" s="17">
        <f>E194*(1+iDelta*2)</f>
        <v>179.73599999999999</v>
      </c>
    </row>
    <row r="195" spans="1:10" ht="30" customHeight="1" x14ac:dyDescent="0.25">
      <c r="A195" s="17" t="s">
        <v>242</v>
      </c>
      <c r="B195" s="17" t="s">
        <v>409</v>
      </c>
      <c r="C195" s="17" t="s">
        <v>408</v>
      </c>
      <c r="D195" s="17">
        <v>199.93</v>
      </c>
      <c r="E195" s="17">
        <v>199.67</v>
      </c>
      <c r="F195" s="17">
        <v>1.3021485450994141E-3</v>
      </c>
      <c r="G195" s="51">
        <f>E195*(1-iDelta*2)</f>
        <v>159.73599999999999</v>
      </c>
      <c r="H195" s="17">
        <f>E195*(1-iDelta*1)</f>
        <v>179.703</v>
      </c>
      <c r="I195" s="17">
        <f>E195*(1+iDelta*1)</f>
        <v>219.637</v>
      </c>
      <c r="J195" s="17">
        <f>E195*(1+iDelta*2)</f>
        <v>239.60399999999998</v>
      </c>
    </row>
    <row r="196" spans="1:10" ht="30" customHeight="1" x14ac:dyDescent="0.25">
      <c r="A196" s="17" t="s">
        <v>243</v>
      </c>
      <c r="B196" s="17" t="s">
        <v>409</v>
      </c>
      <c r="C196" s="17" t="s">
        <v>408</v>
      </c>
      <c r="D196" s="17">
        <v>51.68</v>
      </c>
      <c r="E196" s="17">
        <v>52.03</v>
      </c>
      <c r="F196" s="17">
        <v>-6.7268883336536614E-3</v>
      </c>
      <c r="G196" s="51">
        <f>E196*(1-iDelta*2)</f>
        <v>41.624000000000002</v>
      </c>
      <c r="H196" s="17">
        <f>E196*(1-iDelta*1)</f>
        <v>46.827000000000005</v>
      </c>
      <c r="I196" s="17">
        <f>E196*(1+iDelta*1)</f>
        <v>57.233000000000004</v>
      </c>
      <c r="J196" s="17">
        <f>E196*(1+iDelta*2)</f>
        <v>62.436</v>
      </c>
    </row>
    <row r="197" spans="1:10" ht="30" customHeight="1" x14ac:dyDescent="0.25">
      <c r="A197" s="17" t="s">
        <v>244</v>
      </c>
      <c r="B197" s="17" t="s">
        <v>409</v>
      </c>
      <c r="C197" s="17" t="s">
        <v>408</v>
      </c>
      <c r="D197" s="17">
        <v>128.63999999999999</v>
      </c>
      <c r="E197" s="17">
        <v>128.02000000000001</v>
      </c>
      <c r="F197" s="17">
        <v>4.8429932822996406E-3</v>
      </c>
      <c r="G197" s="51">
        <f>E197*(1-iDelta*2)</f>
        <v>102.41600000000001</v>
      </c>
      <c r="H197" s="17">
        <f>E197*(1-iDelta*1)</f>
        <v>115.21800000000002</v>
      </c>
      <c r="I197" s="17">
        <f>E197*(1+iDelta*1)</f>
        <v>140.82200000000003</v>
      </c>
      <c r="J197" s="17">
        <f>E197*(1+iDelta*2)</f>
        <v>153.624</v>
      </c>
    </row>
    <row r="198" spans="1:10" ht="30" customHeight="1" x14ac:dyDescent="0.25">
      <c r="A198" s="17" t="s">
        <v>245</v>
      </c>
      <c r="B198" s="17" t="s">
        <v>409</v>
      </c>
      <c r="C198" s="17" t="s">
        <v>408</v>
      </c>
      <c r="D198" s="17">
        <v>10.16</v>
      </c>
      <c r="E198" s="17">
        <v>9.9499999999999993</v>
      </c>
      <c r="F198" s="17">
        <v>2.1105527638190954E-2</v>
      </c>
      <c r="G198" s="51">
        <f>E198*(1-iDelta*2)</f>
        <v>7.96</v>
      </c>
      <c r="H198" s="17">
        <f>E198*(1-iDelta*1)</f>
        <v>8.9550000000000001</v>
      </c>
      <c r="I198" s="17">
        <f>E198*(1+iDelta*1)</f>
        <v>10.945</v>
      </c>
      <c r="J198" s="17">
        <f>E198*(1+iDelta*2)</f>
        <v>11.94</v>
      </c>
    </row>
    <row r="199" spans="1:10" ht="30" customHeight="1" x14ac:dyDescent="0.25">
      <c r="A199" s="17" t="s">
        <v>246</v>
      </c>
      <c r="B199" s="17" t="s">
        <v>409</v>
      </c>
      <c r="C199" s="17" t="s">
        <v>408</v>
      </c>
      <c r="D199" s="17">
        <v>94.7</v>
      </c>
      <c r="E199" s="17">
        <v>94.67</v>
      </c>
      <c r="F199" s="17">
        <v>3.1689025034329775E-4</v>
      </c>
      <c r="G199" s="51">
        <f>E199*(1-iDelta*2)</f>
        <v>75.736000000000004</v>
      </c>
      <c r="H199" s="17">
        <f>E199*(1-iDelta*1)</f>
        <v>85.203000000000003</v>
      </c>
      <c r="I199" s="17">
        <f>E199*(1+iDelta*1)</f>
        <v>104.13700000000001</v>
      </c>
      <c r="J199" s="17">
        <f>E199*(1+iDelta*2)</f>
        <v>113.604</v>
      </c>
    </row>
    <row r="200" spans="1:10" ht="30" customHeight="1" x14ac:dyDescent="0.25">
      <c r="A200" s="17" t="s">
        <v>247</v>
      </c>
      <c r="B200" s="17" t="s">
        <v>409</v>
      </c>
      <c r="C200" s="17" t="s">
        <v>408</v>
      </c>
      <c r="D200" s="17">
        <v>39.81</v>
      </c>
      <c r="E200" s="17">
        <v>39.67</v>
      </c>
      <c r="F200" s="17">
        <v>3.5291152004033274E-3</v>
      </c>
      <c r="G200" s="51">
        <f>E200*(1-iDelta*2)</f>
        <v>31.736000000000004</v>
      </c>
      <c r="H200" s="17">
        <f>E200*(1-iDelta*1)</f>
        <v>35.703000000000003</v>
      </c>
      <c r="I200" s="17">
        <f>E200*(1+iDelta*1)</f>
        <v>43.637000000000008</v>
      </c>
      <c r="J200" s="17">
        <f>E200*(1+iDelta*2)</f>
        <v>47.603999999999999</v>
      </c>
    </row>
    <row r="201" spans="1:10" ht="30" customHeight="1" x14ac:dyDescent="0.25">
      <c r="A201" s="17" t="s">
        <v>248</v>
      </c>
      <c r="B201" s="17" t="s">
        <v>409</v>
      </c>
      <c r="C201" s="17" t="s">
        <v>408</v>
      </c>
      <c r="D201" s="17">
        <v>366.63</v>
      </c>
      <c r="E201" s="17">
        <v>362.58</v>
      </c>
      <c r="F201" s="17">
        <v>1.1169948700976337E-2</v>
      </c>
      <c r="G201" s="51">
        <f>E201*(1-iDelta*2)</f>
        <v>290.06400000000002</v>
      </c>
      <c r="H201" s="17">
        <f>E201*(1-iDelta*1)</f>
        <v>326.322</v>
      </c>
      <c r="I201" s="17">
        <f>E201*(1+iDelta*1)</f>
        <v>398.83800000000002</v>
      </c>
      <c r="J201" s="17">
        <f>E201*(1+iDelta*2)</f>
        <v>435.09599999999995</v>
      </c>
    </row>
    <row r="202" spans="1:10" ht="30" customHeight="1" x14ac:dyDescent="0.25">
      <c r="A202" s="17" t="s">
        <v>249</v>
      </c>
      <c r="B202" s="17" t="s">
        <v>409</v>
      </c>
      <c r="C202" s="17" t="s">
        <v>408</v>
      </c>
      <c r="D202" s="17">
        <v>45.8</v>
      </c>
      <c r="E202" s="17">
        <v>45.94</v>
      </c>
      <c r="F202" s="17">
        <v>-3.0474531998258597E-3</v>
      </c>
      <c r="G202" s="51">
        <f>E202*(1-iDelta*2)</f>
        <v>36.752000000000002</v>
      </c>
      <c r="H202" s="17">
        <f>E202*(1-iDelta*1)</f>
        <v>41.345999999999997</v>
      </c>
      <c r="I202" s="17">
        <f>E202*(1+iDelta*1)</f>
        <v>50.533999999999999</v>
      </c>
      <c r="J202" s="17">
        <f>E202*(1+iDelta*2)</f>
        <v>55.127999999999993</v>
      </c>
    </row>
    <row r="203" spans="1:10" ht="30" customHeight="1" x14ac:dyDescent="0.25">
      <c r="A203" s="17" t="s">
        <v>250</v>
      </c>
      <c r="B203" s="17" t="s">
        <v>409</v>
      </c>
      <c r="C203" s="17" t="s">
        <v>408</v>
      </c>
      <c r="D203" s="17">
        <v>14.34</v>
      </c>
      <c r="E203" s="17">
        <v>13.96</v>
      </c>
      <c r="F203" s="17">
        <v>2.7220630372492838E-2</v>
      </c>
      <c r="G203" s="51">
        <f>E203*(1-iDelta*2)</f>
        <v>11.168000000000001</v>
      </c>
      <c r="H203" s="17">
        <f>E203*(1-iDelta*1)</f>
        <v>12.564000000000002</v>
      </c>
      <c r="I203" s="17">
        <f>E203*(1+iDelta*1)</f>
        <v>15.356000000000002</v>
      </c>
      <c r="J203" s="17">
        <f>E203*(1+iDelta*2)</f>
        <v>16.751999999999999</v>
      </c>
    </row>
    <row r="204" spans="1:10" ht="30" customHeight="1" x14ac:dyDescent="0.25">
      <c r="A204" s="17" t="s">
        <v>251</v>
      </c>
      <c r="B204" s="17" t="s">
        <v>409</v>
      </c>
      <c r="C204" s="17" t="s">
        <v>408</v>
      </c>
      <c r="D204" s="17">
        <v>265.06</v>
      </c>
      <c r="E204" s="17">
        <v>268.64</v>
      </c>
      <c r="F204" s="17">
        <v>-1.3326384752829065E-2</v>
      </c>
      <c r="G204" s="51">
        <f>E204*(1-iDelta*2)</f>
        <v>214.91200000000001</v>
      </c>
      <c r="H204" s="17">
        <f>E204*(1-iDelta*1)</f>
        <v>241.77599999999998</v>
      </c>
      <c r="I204" s="17">
        <f>E204*(1+iDelta*1)</f>
        <v>295.50400000000002</v>
      </c>
      <c r="J204" s="17">
        <f>E204*(1+iDelta*2)</f>
        <v>322.36799999999999</v>
      </c>
    </row>
    <row r="205" spans="1:10" ht="30" customHeight="1" x14ac:dyDescent="0.25">
      <c r="A205" s="17" t="s">
        <v>252</v>
      </c>
      <c r="B205" s="17" t="s">
        <v>409</v>
      </c>
      <c r="C205" s="17" t="s">
        <v>408</v>
      </c>
      <c r="D205" s="17">
        <v>31.22</v>
      </c>
      <c r="E205" s="17">
        <v>30.85</v>
      </c>
      <c r="F205" s="17">
        <v>1.1993517017828201E-2</v>
      </c>
      <c r="G205" s="51">
        <f>E205*(1-iDelta*2)</f>
        <v>24.680000000000003</v>
      </c>
      <c r="H205" s="17">
        <f>E205*(1-iDelta*1)</f>
        <v>27.765000000000001</v>
      </c>
      <c r="I205" s="17">
        <f>E205*(1+iDelta*1)</f>
        <v>33.935000000000002</v>
      </c>
      <c r="J205" s="17">
        <f>E205*(1+iDelta*2)</f>
        <v>37.020000000000003</v>
      </c>
    </row>
    <row r="206" spans="1:10" ht="30" customHeight="1" x14ac:dyDescent="0.25">
      <c r="A206" s="17" t="s">
        <v>253</v>
      </c>
      <c r="B206" s="17" t="s">
        <v>409</v>
      </c>
      <c r="C206" s="17" t="s">
        <v>408</v>
      </c>
      <c r="D206" s="17">
        <v>75.44</v>
      </c>
      <c r="E206" s="17">
        <v>75.59</v>
      </c>
      <c r="F206" s="17">
        <v>-1.9843894695065487E-3</v>
      </c>
      <c r="G206" s="51">
        <f>E206*(1-iDelta*2)</f>
        <v>60.472000000000008</v>
      </c>
      <c r="H206" s="17">
        <f>E206*(1-iDelta*1)</f>
        <v>68.031000000000006</v>
      </c>
      <c r="I206" s="17">
        <f>E206*(1+iDelta*1)</f>
        <v>83.149000000000015</v>
      </c>
      <c r="J206" s="17">
        <f>E206*(1+iDelta*2)</f>
        <v>90.707999999999998</v>
      </c>
    </row>
    <row r="207" spans="1:10" ht="30" customHeight="1" x14ac:dyDescent="0.25">
      <c r="A207" s="17" t="s">
        <v>254</v>
      </c>
      <c r="B207" s="17" t="s">
        <v>409</v>
      </c>
      <c r="C207" s="17" t="s">
        <v>408</v>
      </c>
      <c r="D207" s="17">
        <v>289.45999999999998</v>
      </c>
      <c r="E207" s="17">
        <v>289.52</v>
      </c>
      <c r="F207" s="17">
        <v>-2.0723956894169661E-4</v>
      </c>
      <c r="G207" s="51">
        <f>E207*(1-iDelta*2)</f>
        <v>231.61599999999999</v>
      </c>
      <c r="H207" s="17">
        <f>E207*(1-iDelta*1)</f>
        <v>260.56799999999998</v>
      </c>
      <c r="I207" s="17">
        <f>E207*(1+iDelta*1)</f>
        <v>318.47199999999998</v>
      </c>
      <c r="J207" s="17">
        <f>E207*(1+iDelta*2)</f>
        <v>347.42399999999998</v>
      </c>
    </row>
    <row r="208" spans="1:10" ht="30" customHeight="1" x14ac:dyDescent="0.25">
      <c r="A208" s="17" t="s">
        <v>255</v>
      </c>
      <c r="B208" s="17" t="s">
        <v>409</v>
      </c>
      <c r="C208" s="17" t="s">
        <v>408</v>
      </c>
      <c r="D208" s="17">
        <v>145.79</v>
      </c>
      <c r="E208" s="17">
        <v>146.41999999999999</v>
      </c>
      <c r="F208" s="17">
        <v>-4.3026908892227836E-3</v>
      </c>
      <c r="G208" s="51">
        <f>E208*(1-iDelta*2)</f>
        <v>117.136</v>
      </c>
      <c r="H208" s="17">
        <f>E208*(1-iDelta*1)</f>
        <v>131.77799999999999</v>
      </c>
      <c r="I208" s="17">
        <f>E208*(1+iDelta*1)</f>
        <v>161.06200000000001</v>
      </c>
      <c r="J208" s="17">
        <f>E208*(1+iDelta*2)</f>
        <v>175.70399999999998</v>
      </c>
    </row>
    <row r="209" spans="1:10" ht="30" customHeight="1" x14ac:dyDescent="0.25">
      <c r="A209" s="17" t="s">
        <v>256</v>
      </c>
      <c r="B209" s="17" t="s">
        <v>409</v>
      </c>
      <c r="C209" s="17" t="s">
        <v>408</v>
      </c>
      <c r="D209" s="17">
        <v>24.86</v>
      </c>
      <c r="E209" s="17">
        <v>24.03</v>
      </c>
      <c r="F209" s="17">
        <v>3.4540158135663752E-2</v>
      </c>
      <c r="G209" s="51">
        <f>E209*(1-iDelta*2)</f>
        <v>19.224000000000004</v>
      </c>
      <c r="H209" s="17">
        <f>E209*(1-iDelta*1)</f>
        <v>21.627000000000002</v>
      </c>
      <c r="I209" s="17">
        <f>E209*(1+iDelta*1)</f>
        <v>26.433000000000003</v>
      </c>
      <c r="J209" s="17">
        <f>E209*(1+iDelta*2)</f>
        <v>28.835999999999999</v>
      </c>
    </row>
    <row r="210" spans="1:10" ht="30" customHeight="1" x14ac:dyDescent="0.25">
      <c r="A210" s="17" t="s">
        <v>257</v>
      </c>
      <c r="B210" s="17" t="s">
        <v>409</v>
      </c>
      <c r="C210" s="17" t="s">
        <v>408</v>
      </c>
      <c r="D210" s="17">
        <v>74.08</v>
      </c>
      <c r="E210" s="17">
        <v>72.58</v>
      </c>
      <c r="F210" s="17">
        <v>2.0666850372003307E-2</v>
      </c>
      <c r="G210" s="51">
        <f>E210*(1-iDelta*2)</f>
        <v>58.064</v>
      </c>
      <c r="H210" s="17">
        <f>E210*(1-iDelta*1)</f>
        <v>65.322000000000003</v>
      </c>
      <c r="I210" s="17">
        <f>E210*(1+iDelta*1)</f>
        <v>79.838000000000008</v>
      </c>
      <c r="J210" s="17">
        <f>E210*(1+iDelta*2)</f>
        <v>87.095999999999989</v>
      </c>
    </row>
    <row r="211" spans="1:10" ht="30" customHeight="1" x14ac:dyDescent="0.25">
      <c r="A211" s="17" t="s">
        <v>258</v>
      </c>
      <c r="B211" s="17" t="s">
        <v>409</v>
      </c>
      <c r="C211" s="17" t="s">
        <v>408</v>
      </c>
      <c r="D211" s="17">
        <v>10.81</v>
      </c>
      <c r="E211" s="17">
        <v>10.91</v>
      </c>
      <c r="F211" s="17">
        <v>-9.1659028414298807E-3</v>
      </c>
      <c r="G211" s="51">
        <f>E211*(1-iDelta*2)</f>
        <v>8.7279999999999998</v>
      </c>
      <c r="H211" s="17">
        <f>E211*(1-iDelta*1)</f>
        <v>9.8190000000000008</v>
      </c>
      <c r="I211" s="17">
        <f>E211*(1+iDelta*1)</f>
        <v>12.001000000000001</v>
      </c>
      <c r="J211" s="17">
        <f>E211*(1+iDelta*2)</f>
        <v>13.092000000000001</v>
      </c>
    </row>
    <row r="212" spans="1:10" ht="30" customHeight="1" x14ac:dyDescent="0.25">
      <c r="A212" s="17" t="s">
        <v>259</v>
      </c>
      <c r="B212" s="17" t="s">
        <v>409</v>
      </c>
      <c r="C212" s="17" t="s">
        <v>408</v>
      </c>
      <c r="D212" s="17">
        <v>25.39</v>
      </c>
      <c r="E212" s="17">
        <v>23.26</v>
      </c>
      <c r="F212" s="17">
        <v>9.1573516766981944E-2</v>
      </c>
      <c r="G212" s="51">
        <f>E212*(1-iDelta*2)</f>
        <v>18.608000000000001</v>
      </c>
      <c r="H212" s="17">
        <f>E212*(1-iDelta*1)</f>
        <v>20.934000000000001</v>
      </c>
      <c r="I212" s="17">
        <f>E212*(1+iDelta*1)</f>
        <v>25.586000000000002</v>
      </c>
      <c r="J212" s="17">
        <f>E212*(1+iDelta*2)</f>
        <v>27.912000000000003</v>
      </c>
    </row>
    <row r="213" spans="1:10" ht="30" customHeight="1" x14ac:dyDescent="0.25">
      <c r="A213" s="17" t="s">
        <v>260</v>
      </c>
      <c r="B213" s="17" t="s">
        <v>409</v>
      </c>
      <c r="C213" s="17" t="s">
        <v>408</v>
      </c>
      <c r="D213" s="17">
        <v>5.42</v>
      </c>
      <c r="E213" s="17">
        <v>5.37</v>
      </c>
      <c r="F213" s="17">
        <v>9.3109869646182501E-3</v>
      </c>
      <c r="G213" s="51">
        <f>E213*(1-iDelta*2)</f>
        <v>4.2960000000000003</v>
      </c>
      <c r="H213" s="17">
        <f>E213*(1-iDelta*1)</f>
        <v>4.8330000000000002</v>
      </c>
      <c r="I213" s="17">
        <f>E213*(1+iDelta*1)</f>
        <v>5.9070000000000009</v>
      </c>
      <c r="J213" s="17">
        <f>E213*(1+iDelta*2)</f>
        <v>6.444</v>
      </c>
    </row>
    <row r="214" spans="1:10" ht="30" customHeight="1" x14ac:dyDescent="0.25">
      <c r="A214" s="17" t="s">
        <v>261</v>
      </c>
      <c r="B214" s="17" t="s">
        <v>461</v>
      </c>
      <c r="C214" s="17" t="s">
        <v>461</v>
      </c>
      <c r="D214" s="17">
        <v>-1</v>
      </c>
      <c r="E214" s="17">
        <v>-1</v>
      </c>
      <c r="F214" s="17">
        <v>-1</v>
      </c>
      <c r="G214" s="51">
        <f>E214*(1-iDelta*2)</f>
        <v>-0.8</v>
      </c>
      <c r="H214" s="17">
        <f>E214*(1-iDelta*1)</f>
        <v>-0.9</v>
      </c>
      <c r="I214" s="17">
        <f>E214*(1+iDelta*1)</f>
        <v>-1.1000000000000001</v>
      </c>
      <c r="J214" s="17">
        <f>E214*(1+iDelta*2)</f>
        <v>-1.2</v>
      </c>
    </row>
    <row r="215" spans="1:10" ht="30" customHeight="1" x14ac:dyDescent="0.25">
      <c r="A215" s="17" t="s">
        <v>262</v>
      </c>
      <c r="B215" s="17" t="s">
        <v>409</v>
      </c>
      <c r="C215" s="17" t="s">
        <v>408</v>
      </c>
      <c r="D215" s="17">
        <v>17.190000000000001</v>
      </c>
      <c r="E215" s="17">
        <v>16.98</v>
      </c>
      <c r="F215" s="17">
        <v>1.2367491166077738E-2</v>
      </c>
      <c r="G215" s="51">
        <f>E215*(1-iDelta*2)</f>
        <v>13.584000000000001</v>
      </c>
      <c r="H215" s="17">
        <f>E215*(1-iDelta*1)</f>
        <v>15.282</v>
      </c>
      <c r="I215" s="17">
        <f>E215*(1+iDelta*1)</f>
        <v>18.678000000000001</v>
      </c>
      <c r="J215" s="17">
        <f>E215*(1+iDelta*2)</f>
        <v>20.376000000000001</v>
      </c>
    </row>
    <row r="216" spans="1:10" ht="30" customHeight="1" x14ac:dyDescent="0.25">
      <c r="A216" s="17" t="s">
        <v>367</v>
      </c>
      <c r="B216" s="17" t="s">
        <v>409</v>
      </c>
      <c r="C216" s="17" t="s">
        <v>408</v>
      </c>
      <c r="D216" s="17">
        <v>6.1</v>
      </c>
      <c r="E216" s="17">
        <v>6.19</v>
      </c>
      <c r="F216" s="17">
        <v>-1.4539579967689823E-2</v>
      </c>
      <c r="G216" s="51">
        <f>E216*(1-iDelta*2)</f>
        <v>4.9520000000000008</v>
      </c>
      <c r="H216" s="17">
        <f>E216*(1-iDelta*1)</f>
        <v>5.5710000000000006</v>
      </c>
      <c r="I216" s="17">
        <f>E216*(1+iDelta*1)</f>
        <v>6.8090000000000011</v>
      </c>
      <c r="J216" s="17">
        <f>E216*(1+iDelta*2)</f>
        <v>7.4279999999999999</v>
      </c>
    </row>
    <row r="217" spans="1:10" ht="30" customHeight="1" x14ac:dyDescent="0.25">
      <c r="A217" s="17" t="s">
        <v>263</v>
      </c>
      <c r="B217" s="17" t="s">
        <v>409</v>
      </c>
      <c r="C217" s="17" t="s">
        <v>408</v>
      </c>
      <c r="D217" s="17">
        <v>590.67999999999995</v>
      </c>
      <c r="E217" s="17">
        <v>595.5</v>
      </c>
      <c r="F217" s="17">
        <v>-8.0940386230058774E-3</v>
      </c>
      <c r="G217" s="51">
        <f>E217*(1-iDelta*2)</f>
        <v>476.40000000000003</v>
      </c>
      <c r="H217" s="17">
        <f>E217*(1-iDelta*1)</f>
        <v>535.95000000000005</v>
      </c>
      <c r="I217" s="17">
        <f>E217*(1+iDelta*1)</f>
        <v>655.05000000000007</v>
      </c>
      <c r="J217" s="17">
        <f>E217*(1+iDelta*2)</f>
        <v>714.6</v>
      </c>
    </row>
    <row r="218" spans="1:10" ht="30" customHeight="1" x14ac:dyDescent="0.25">
      <c r="A218" s="17" t="s">
        <v>264</v>
      </c>
      <c r="B218" s="17" t="s">
        <v>409</v>
      </c>
      <c r="C218" s="17" t="s">
        <v>408</v>
      </c>
      <c r="D218" s="17">
        <v>43.89</v>
      </c>
      <c r="E218" s="17">
        <v>41.97</v>
      </c>
      <c r="F218" s="17">
        <v>4.5746962115796999E-2</v>
      </c>
      <c r="G218" s="51">
        <f>E218*(1-iDelta*2)</f>
        <v>33.576000000000001</v>
      </c>
      <c r="H218" s="17">
        <f>E218*(1-iDelta*1)</f>
        <v>37.773000000000003</v>
      </c>
      <c r="I218" s="17">
        <f>E218*(1+iDelta*1)</f>
        <v>46.167000000000002</v>
      </c>
      <c r="J218" s="17">
        <f>E218*(1+iDelta*2)</f>
        <v>50.363999999999997</v>
      </c>
    </row>
    <row r="219" spans="1:10" ht="30" customHeight="1" x14ac:dyDescent="0.25">
      <c r="A219" s="17" t="s">
        <v>265</v>
      </c>
      <c r="B219" s="17" t="s">
        <v>409</v>
      </c>
      <c r="C219" s="17" t="s">
        <v>408</v>
      </c>
      <c r="D219" s="17">
        <v>11.12</v>
      </c>
      <c r="E219" s="17">
        <v>11.13</v>
      </c>
      <c r="F219" s="17">
        <v>-8.9847259658580418E-4</v>
      </c>
      <c r="G219" s="51">
        <f>E219*(1-iDelta*2)</f>
        <v>8.9040000000000017</v>
      </c>
      <c r="H219" s="17">
        <f>E219*(1-iDelta*1)</f>
        <v>10.017000000000001</v>
      </c>
      <c r="I219" s="17">
        <f>E219*(1+iDelta*1)</f>
        <v>12.243000000000002</v>
      </c>
      <c r="J219" s="17">
        <f>E219*(1+iDelta*2)</f>
        <v>13.356</v>
      </c>
    </row>
    <row r="220" spans="1:10" ht="30" customHeight="1" x14ac:dyDescent="0.25">
      <c r="A220" s="17" t="s">
        <v>266</v>
      </c>
      <c r="B220" s="17" t="s">
        <v>409</v>
      </c>
      <c r="C220" s="17" t="s">
        <v>408</v>
      </c>
      <c r="D220" s="17">
        <v>101.92</v>
      </c>
      <c r="E220" s="17">
        <v>101.41</v>
      </c>
      <c r="F220" s="17">
        <v>5.0290898333497681E-3</v>
      </c>
      <c r="G220" s="51">
        <f>E220*(1-iDelta*2)</f>
        <v>81.128</v>
      </c>
      <c r="H220" s="17">
        <f>E220*(1-iDelta*1)</f>
        <v>91.269000000000005</v>
      </c>
      <c r="I220" s="17">
        <f>E220*(1+iDelta*1)</f>
        <v>111.551</v>
      </c>
      <c r="J220" s="17">
        <f>E220*(1+iDelta*2)</f>
        <v>121.69199999999999</v>
      </c>
    </row>
    <row r="221" spans="1:10" ht="30" customHeight="1" x14ac:dyDescent="0.25">
      <c r="A221" s="17" t="s">
        <v>267</v>
      </c>
      <c r="B221" s="17" t="s">
        <v>409</v>
      </c>
      <c r="C221" s="17" t="s">
        <v>408</v>
      </c>
      <c r="D221" s="17">
        <v>54.7</v>
      </c>
      <c r="E221" s="17">
        <v>54.9</v>
      </c>
      <c r="F221" s="17">
        <v>-3.6429872495446266E-3</v>
      </c>
      <c r="G221" s="51">
        <f>E221*(1-iDelta*2)</f>
        <v>43.92</v>
      </c>
      <c r="H221" s="17">
        <f>E221*(1-iDelta*1)</f>
        <v>49.41</v>
      </c>
      <c r="I221" s="17">
        <f>E221*(1+iDelta*1)</f>
        <v>60.39</v>
      </c>
      <c r="J221" s="17">
        <f>E221*(1+iDelta*2)</f>
        <v>65.88</v>
      </c>
    </row>
    <row r="222" spans="1:10" ht="30" customHeight="1" x14ac:dyDescent="0.25">
      <c r="A222" s="17" t="s">
        <v>268</v>
      </c>
      <c r="B222" s="17" t="s">
        <v>409</v>
      </c>
      <c r="C222" s="17" t="s">
        <v>408</v>
      </c>
      <c r="D222" s="17">
        <v>91.32</v>
      </c>
      <c r="E222" s="17">
        <v>92.25</v>
      </c>
      <c r="F222" s="17">
        <v>-1.0081300813008129E-2</v>
      </c>
      <c r="G222" s="51">
        <f>E222*(1-iDelta*2)</f>
        <v>73.8</v>
      </c>
      <c r="H222" s="17">
        <f>E222*(1-iDelta*1)</f>
        <v>83.025000000000006</v>
      </c>
      <c r="I222" s="17">
        <f>E222*(1+iDelta*1)</f>
        <v>101.47500000000001</v>
      </c>
      <c r="J222" s="17">
        <f>E222*(1+iDelta*2)</f>
        <v>110.7</v>
      </c>
    </row>
    <row r="223" spans="1:10" ht="30" customHeight="1" x14ac:dyDescent="0.25">
      <c r="A223" s="17" t="s">
        <v>269</v>
      </c>
      <c r="B223" s="17" t="s">
        <v>409</v>
      </c>
      <c r="C223" s="17" t="s">
        <v>408</v>
      </c>
      <c r="D223" s="17">
        <v>44.78</v>
      </c>
      <c r="E223" s="17">
        <v>45.51</v>
      </c>
      <c r="F223" s="17">
        <v>-1.6040430674577017E-2</v>
      </c>
      <c r="G223" s="51">
        <f>E223*(1-iDelta*2)</f>
        <v>36.408000000000001</v>
      </c>
      <c r="H223" s="17">
        <f>E223*(1-iDelta*1)</f>
        <v>40.958999999999996</v>
      </c>
      <c r="I223" s="17">
        <f>E223*(1+iDelta*1)</f>
        <v>50.061</v>
      </c>
      <c r="J223" s="17">
        <f>E223*(1+iDelta*2)</f>
        <v>54.611999999999995</v>
      </c>
    </row>
    <row r="224" spans="1:10" ht="30" customHeight="1" x14ac:dyDescent="0.25">
      <c r="A224" s="17" t="s">
        <v>270</v>
      </c>
      <c r="B224" s="17" t="s">
        <v>409</v>
      </c>
      <c r="C224" s="17" t="s">
        <v>408</v>
      </c>
      <c r="D224" s="17">
        <v>68.05</v>
      </c>
      <c r="E224" s="17">
        <v>69</v>
      </c>
      <c r="F224" s="17">
        <v>-1.3768115942028985E-2</v>
      </c>
      <c r="G224" s="51">
        <f>E224*(1-iDelta*2)</f>
        <v>55.2</v>
      </c>
      <c r="H224" s="17">
        <f>E224*(1-iDelta*1)</f>
        <v>62.1</v>
      </c>
      <c r="I224" s="17">
        <f>E224*(1+iDelta*1)</f>
        <v>75.900000000000006</v>
      </c>
      <c r="J224" s="17">
        <f>E224*(1+iDelta*2)</f>
        <v>82.8</v>
      </c>
    </row>
    <row r="225" spans="1:10" ht="30" customHeight="1" x14ac:dyDescent="0.25">
      <c r="A225" s="17" t="s">
        <v>271</v>
      </c>
      <c r="B225" s="17" t="s">
        <v>409</v>
      </c>
      <c r="C225" s="17" t="s">
        <v>408</v>
      </c>
      <c r="D225" s="17">
        <v>9.33</v>
      </c>
      <c r="E225" s="17">
        <v>9.25</v>
      </c>
      <c r="F225" s="17">
        <v>8.6486486486486488E-3</v>
      </c>
      <c r="G225" s="51">
        <f>E225*(1-iDelta*2)</f>
        <v>7.4</v>
      </c>
      <c r="H225" s="17">
        <f>E225*(1-iDelta*1)</f>
        <v>8.3250000000000011</v>
      </c>
      <c r="I225" s="17">
        <f>E225*(1+iDelta*1)</f>
        <v>10.175000000000001</v>
      </c>
      <c r="J225" s="17">
        <f>E225*(1+iDelta*2)</f>
        <v>11.1</v>
      </c>
    </row>
    <row r="226" spans="1:10" ht="30" customHeight="1" x14ac:dyDescent="0.25">
      <c r="A226" s="17" t="s">
        <v>272</v>
      </c>
      <c r="B226" s="17" t="s">
        <v>409</v>
      </c>
      <c r="C226" s="17" t="s">
        <v>408</v>
      </c>
      <c r="D226" s="17">
        <v>58.76</v>
      </c>
      <c r="E226" s="17">
        <v>56.47</v>
      </c>
      <c r="F226" s="17">
        <v>4.0552505755268281E-2</v>
      </c>
      <c r="G226" s="51">
        <f>E226*(1-iDelta*2)</f>
        <v>45.176000000000002</v>
      </c>
      <c r="H226" s="17">
        <f>E226*(1-iDelta*1)</f>
        <v>50.823</v>
      </c>
      <c r="I226" s="17">
        <f>E226*(1+iDelta*1)</f>
        <v>62.117000000000004</v>
      </c>
      <c r="J226" s="17">
        <f>E226*(1+iDelta*2)</f>
        <v>67.763999999999996</v>
      </c>
    </row>
    <row r="227" spans="1:10" ht="30" customHeight="1" x14ac:dyDescent="0.25">
      <c r="A227" s="17" t="s">
        <v>273</v>
      </c>
      <c r="B227" s="17" t="s">
        <v>409</v>
      </c>
      <c r="C227" s="17" t="s">
        <v>408</v>
      </c>
      <c r="D227" s="17">
        <v>8.07</v>
      </c>
      <c r="E227" s="17">
        <v>7.72</v>
      </c>
      <c r="F227" s="17">
        <v>4.5336787564766841E-2</v>
      </c>
      <c r="G227" s="51">
        <f>E227*(1-iDelta*2)</f>
        <v>6.1760000000000002</v>
      </c>
      <c r="H227" s="17">
        <f>E227*(1-iDelta*1)</f>
        <v>6.9479999999999995</v>
      </c>
      <c r="I227" s="17">
        <f>E227*(1+iDelta*1)</f>
        <v>8.4920000000000009</v>
      </c>
      <c r="J227" s="17">
        <f>E227*(1+iDelta*2)</f>
        <v>9.2639999999999993</v>
      </c>
    </row>
    <row r="228" spans="1:10" ht="30" customHeight="1" x14ac:dyDescent="0.25">
      <c r="A228" s="17" t="s">
        <v>274</v>
      </c>
      <c r="B228" s="17" t="s">
        <v>409</v>
      </c>
      <c r="C228" s="17" t="s">
        <v>408</v>
      </c>
      <c r="D228" s="17">
        <v>11.18</v>
      </c>
      <c r="E228" s="17">
        <v>11.27</v>
      </c>
      <c r="F228" s="17">
        <v>-7.9858030168589167E-3</v>
      </c>
      <c r="G228" s="51">
        <f>E228*(1-iDelta*2)</f>
        <v>9.016</v>
      </c>
      <c r="H228" s="17">
        <f>E228*(1-iDelta*1)</f>
        <v>10.143000000000001</v>
      </c>
      <c r="I228" s="17">
        <f>E228*(1+iDelta*1)</f>
        <v>12.397</v>
      </c>
      <c r="J228" s="17">
        <f>E228*(1+iDelta*2)</f>
        <v>13.523999999999999</v>
      </c>
    </row>
    <row r="229" spans="1:10" ht="30" customHeight="1" x14ac:dyDescent="0.25">
      <c r="A229" s="17" t="s">
        <v>275</v>
      </c>
      <c r="B229" s="17" t="s">
        <v>409</v>
      </c>
      <c r="C229" s="17" t="s">
        <v>408</v>
      </c>
      <c r="D229" s="17">
        <v>8.5299999999999994</v>
      </c>
      <c r="E229" s="17">
        <v>8.2899999999999991</v>
      </c>
      <c r="F229" s="17">
        <v>2.8950542822677925E-2</v>
      </c>
      <c r="G229" s="51">
        <f>E229*(1-iDelta*2)</f>
        <v>6.6319999999999997</v>
      </c>
      <c r="H229" s="17">
        <f>E229*(1-iDelta*1)</f>
        <v>7.4609999999999994</v>
      </c>
      <c r="I229" s="17">
        <f>E229*(1+iDelta*1)</f>
        <v>9.1189999999999998</v>
      </c>
      <c r="J229" s="17">
        <f>E229*(1+iDelta*2)</f>
        <v>9.9479999999999986</v>
      </c>
    </row>
    <row r="230" spans="1:10" ht="30" customHeight="1" x14ac:dyDescent="0.25">
      <c r="A230" s="17" t="s">
        <v>276</v>
      </c>
      <c r="B230" s="17" t="s">
        <v>409</v>
      </c>
      <c r="C230" s="17" t="s">
        <v>408</v>
      </c>
      <c r="D230" s="17">
        <v>29.48</v>
      </c>
      <c r="E230" s="17">
        <v>29.28</v>
      </c>
      <c r="F230" s="17">
        <v>6.8306010928961746E-3</v>
      </c>
      <c r="G230" s="51">
        <f>E230*(1-iDelta*2)</f>
        <v>23.424000000000003</v>
      </c>
      <c r="H230" s="17">
        <f>E230*(1-iDelta*1)</f>
        <v>26.352</v>
      </c>
      <c r="I230" s="17">
        <f>E230*(1+iDelta*1)</f>
        <v>32.208000000000006</v>
      </c>
      <c r="J230" s="17">
        <f>E230*(1+iDelta*2)</f>
        <v>35.136000000000003</v>
      </c>
    </row>
    <row r="231" spans="1:10" ht="30" customHeight="1" x14ac:dyDescent="0.25">
      <c r="A231" s="17" t="s">
        <v>277</v>
      </c>
      <c r="B231" s="17" t="s">
        <v>409</v>
      </c>
      <c r="C231" s="17" t="s">
        <v>408</v>
      </c>
      <c r="D231" s="17">
        <v>71.84</v>
      </c>
      <c r="E231" s="17">
        <v>72.260000000000005</v>
      </c>
      <c r="F231" s="17">
        <v>-5.8123443122059231E-3</v>
      </c>
      <c r="G231" s="51">
        <f>E231*(1-iDelta*2)</f>
        <v>57.808000000000007</v>
      </c>
      <c r="H231" s="17">
        <f>E231*(1-iDelta*1)</f>
        <v>65.034000000000006</v>
      </c>
      <c r="I231" s="17">
        <f>E231*(1+iDelta*1)</f>
        <v>79.486000000000018</v>
      </c>
      <c r="J231" s="17">
        <f>E231*(1+iDelta*2)</f>
        <v>86.712000000000003</v>
      </c>
    </row>
    <row r="232" spans="1:10" ht="30" customHeight="1" x14ac:dyDescent="0.25">
      <c r="A232" s="17" t="s">
        <v>278</v>
      </c>
      <c r="B232" s="17" t="s">
        <v>409</v>
      </c>
      <c r="C232" s="17" t="s">
        <v>408</v>
      </c>
      <c r="D232" s="17">
        <v>154.33000000000001</v>
      </c>
      <c r="E232" s="17">
        <v>154.31</v>
      </c>
      <c r="F232" s="17">
        <v>1.296092281770462E-4</v>
      </c>
      <c r="G232" s="51">
        <f>E232*(1-iDelta*2)</f>
        <v>123.44800000000001</v>
      </c>
      <c r="H232" s="17">
        <f>E232*(1-iDelta*1)</f>
        <v>138.87900000000002</v>
      </c>
      <c r="I232" s="17">
        <f>E232*(1+iDelta*1)</f>
        <v>169.74100000000001</v>
      </c>
      <c r="J232" s="17">
        <f>E232*(1+iDelta*2)</f>
        <v>185.172</v>
      </c>
    </row>
    <row r="233" spans="1:10" ht="30" customHeight="1" x14ac:dyDescent="0.25">
      <c r="A233" s="17" t="s">
        <v>279</v>
      </c>
      <c r="B233" s="17" t="s">
        <v>409</v>
      </c>
      <c r="C233" s="17" t="s">
        <v>408</v>
      </c>
      <c r="D233" s="17">
        <v>45.07</v>
      </c>
      <c r="E233" s="17">
        <v>45.06</v>
      </c>
      <c r="F233" s="17">
        <v>2.2192632046160674E-4</v>
      </c>
      <c r="G233" s="51">
        <f>E233*(1-iDelta*2)</f>
        <v>36.048000000000002</v>
      </c>
      <c r="H233" s="17">
        <f>E233*(1-iDelta*1)</f>
        <v>40.554000000000002</v>
      </c>
      <c r="I233" s="17">
        <f>E233*(1+iDelta*1)</f>
        <v>49.56600000000001</v>
      </c>
      <c r="J233" s="17">
        <f>E233*(1+iDelta*2)</f>
        <v>54.072000000000003</v>
      </c>
    </row>
    <row r="234" spans="1:10" ht="30" customHeight="1" x14ac:dyDescent="0.25">
      <c r="A234" s="17" t="s">
        <v>280</v>
      </c>
      <c r="B234" s="17" t="s">
        <v>409</v>
      </c>
      <c r="C234" s="17" t="s">
        <v>408</v>
      </c>
      <c r="D234" s="17">
        <v>141.41</v>
      </c>
      <c r="E234" s="17">
        <v>142.5</v>
      </c>
      <c r="F234" s="17">
        <v>-7.6491228070175435E-3</v>
      </c>
      <c r="G234" s="51">
        <f>E234*(1-iDelta*2)</f>
        <v>114</v>
      </c>
      <c r="H234" s="17">
        <f>E234*(1-iDelta*1)</f>
        <v>128.25</v>
      </c>
      <c r="I234" s="17">
        <f>E234*(1+iDelta*1)</f>
        <v>156.75</v>
      </c>
      <c r="J234" s="17">
        <f>E234*(1+iDelta*2)</f>
        <v>171</v>
      </c>
    </row>
    <row r="235" spans="1:10" ht="30" customHeight="1" x14ac:dyDescent="0.25">
      <c r="A235" s="17" t="s">
        <v>281</v>
      </c>
      <c r="B235" s="17" t="s">
        <v>409</v>
      </c>
      <c r="C235" s="17" t="s">
        <v>408</v>
      </c>
      <c r="D235" s="17">
        <v>44.41</v>
      </c>
      <c r="E235" s="17">
        <v>44.44</v>
      </c>
      <c r="F235" s="17">
        <v>-6.7506750675067507E-4</v>
      </c>
      <c r="G235" s="51">
        <f>E235*(1-iDelta*2)</f>
        <v>35.552</v>
      </c>
      <c r="H235" s="17">
        <f>E235*(1-iDelta*1)</f>
        <v>39.996000000000002</v>
      </c>
      <c r="I235" s="17">
        <f>E235*(1+iDelta*1)</f>
        <v>48.884</v>
      </c>
      <c r="J235" s="17">
        <f>E235*(1+iDelta*2)</f>
        <v>53.327999999999996</v>
      </c>
    </row>
    <row r="236" spans="1:10" ht="30" customHeight="1" x14ac:dyDescent="0.25">
      <c r="A236" s="17" t="s">
        <v>282</v>
      </c>
      <c r="B236" s="17" t="s">
        <v>409</v>
      </c>
      <c r="C236" s="17" t="s">
        <v>408</v>
      </c>
      <c r="D236" s="17">
        <v>52.95</v>
      </c>
      <c r="E236" s="17">
        <v>53.49</v>
      </c>
      <c r="F236" s="17">
        <v>-1.0095344924284913E-2</v>
      </c>
      <c r="G236" s="51">
        <f>E236*(1-iDelta*2)</f>
        <v>42.792000000000002</v>
      </c>
      <c r="H236" s="17">
        <f>E236*(1-iDelta*1)</f>
        <v>48.141000000000005</v>
      </c>
      <c r="I236" s="17">
        <f>E236*(1+iDelta*1)</f>
        <v>58.839000000000006</v>
      </c>
      <c r="J236" s="17">
        <f>E236*(1+iDelta*2)</f>
        <v>64.188000000000002</v>
      </c>
    </row>
    <row r="237" spans="1:10" ht="30" customHeight="1" x14ac:dyDescent="0.25">
      <c r="A237" s="17" t="s">
        <v>369</v>
      </c>
      <c r="B237" s="17" t="s">
        <v>409</v>
      </c>
      <c r="C237" s="17" t="s">
        <v>408</v>
      </c>
      <c r="D237" s="17">
        <v>21.82</v>
      </c>
      <c r="E237" s="17">
        <v>22.52</v>
      </c>
      <c r="F237" s="17">
        <v>-3.108348134991119E-2</v>
      </c>
      <c r="G237" s="51">
        <f>E237*(1-iDelta*2)</f>
        <v>18.016000000000002</v>
      </c>
      <c r="H237" s="17">
        <f>E237*(1-iDelta*1)</f>
        <v>20.268000000000001</v>
      </c>
      <c r="I237" s="17">
        <f>E237*(1+iDelta*1)</f>
        <v>24.772000000000002</v>
      </c>
      <c r="J237" s="17">
        <f>E237*(1+iDelta*2)</f>
        <v>27.023999999999997</v>
      </c>
    </row>
    <row r="238" spans="1:10" ht="30" customHeight="1" x14ac:dyDescent="0.25">
      <c r="A238" s="17" t="s">
        <v>283</v>
      </c>
      <c r="B238" s="17" t="s">
        <v>409</v>
      </c>
      <c r="C238" s="17" t="s">
        <v>408</v>
      </c>
      <c r="D238" s="17">
        <v>99.79</v>
      </c>
      <c r="E238" s="17">
        <v>98.79</v>
      </c>
      <c r="F238" s="17">
        <v>1.0122482032594393E-2</v>
      </c>
      <c r="G238" s="51">
        <f>E238*(1-iDelta*2)</f>
        <v>79.032000000000011</v>
      </c>
      <c r="H238" s="17">
        <f>E238*(1-iDelta*1)</f>
        <v>88.911000000000001</v>
      </c>
      <c r="I238" s="17">
        <f>E238*(1+iDelta*1)</f>
        <v>108.66900000000001</v>
      </c>
      <c r="J238" s="17">
        <f>E238*(1+iDelta*2)</f>
        <v>118.548</v>
      </c>
    </row>
    <row r="239" spans="1:10" ht="30" customHeight="1" x14ac:dyDescent="0.25">
      <c r="A239" s="17" t="s">
        <v>284</v>
      </c>
      <c r="B239" s="17" t="s">
        <v>409</v>
      </c>
      <c r="C239" s="17" t="s">
        <v>408</v>
      </c>
      <c r="D239" s="17">
        <v>99.21</v>
      </c>
      <c r="E239" s="17">
        <v>99.59</v>
      </c>
      <c r="F239" s="17">
        <v>-3.8156441409780096E-3</v>
      </c>
      <c r="G239" s="51">
        <f>E239*(1-iDelta*2)</f>
        <v>79.672000000000011</v>
      </c>
      <c r="H239" s="17">
        <f>E239*(1-iDelta*1)</f>
        <v>89.631</v>
      </c>
      <c r="I239" s="17">
        <f>E239*(1+iDelta*1)</f>
        <v>109.54900000000001</v>
      </c>
      <c r="J239" s="17">
        <f>E239*(1+iDelta*2)</f>
        <v>119.508</v>
      </c>
    </row>
    <row r="240" spans="1:10" ht="30" customHeight="1" x14ac:dyDescent="0.25">
      <c r="A240" s="17" t="s">
        <v>387</v>
      </c>
      <c r="B240" s="17" t="s">
        <v>409</v>
      </c>
      <c r="C240" s="17" t="s">
        <v>411</v>
      </c>
      <c r="D240" s="17">
        <v>0.24</v>
      </c>
      <c r="E240" s="17">
        <v>0.23</v>
      </c>
      <c r="F240" s="17">
        <v>4.3478260869565216E-2</v>
      </c>
      <c r="G240" s="51">
        <f>E240*(1-iDelta*2)</f>
        <v>0.18400000000000002</v>
      </c>
      <c r="H240" s="17">
        <f>E240*(1-iDelta*1)</f>
        <v>0.20700000000000002</v>
      </c>
      <c r="I240" s="17">
        <f>E240*(1+iDelta*1)</f>
        <v>0.25300000000000006</v>
      </c>
      <c r="J240" s="17">
        <f>E240*(1+iDelta*2)</f>
        <v>0.27600000000000002</v>
      </c>
    </row>
    <row r="241" spans="1:10" ht="30" customHeight="1" x14ac:dyDescent="0.25">
      <c r="A241" s="17" t="s">
        <v>285</v>
      </c>
      <c r="B241" s="17" t="s">
        <v>409</v>
      </c>
      <c r="C241" s="17" t="s">
        <v>408</v>
      </c>
      <c r="D241" s="17">
        <v>21.28</v>
      </c>
      <c r="E241" s="17">
        <v>21.01</v>
      </c>
      <c r="F241" s="17">
        <v>1.285102332222751E-2</v>
      </c>
      <c r="G241" s="51">
        <f>E241*(1-iDelta*2)</f>
        <v>16.808000000000003</v>
      </c>
      <c r="H241" s="17">
        <f>E241*(1-iDelta*1)</f>
        <v>18.909000000000002</v>
      </c>
      <c r="I241" s="17">
        <f>E241*(1+iDelta*1)</f>
        <v>23.111000000000004</v>
      </c>
      <c r="J241" s="17">
        <f>E241*(1+iDelta*2)</f>
        <v>25.212</v>
      </c>
    </row>
    <row r="242" spans="1:10" ht="30" customHeight="1" x14ac:dyDescent="0.25">
      <c r="A242" s="17" t="s">
        <v>286</v>
      </c>
      <c r="B242" s="17" t="s">
        <v>409</v>
      </c>
      <c r="C242" s="17" t="s">
        <v>408</v>
      </c>
      <c r="D242" s="17">
        <v>29.23</v>
      </c>
      <c r="E242" s="17">
        <v>28.86</v>
      </c>
      <c r="F242" s="17">
        <v>1.282051282051282E-2</v>
      </c>
      <c r="G242" s="51">
        <f>E242*(1-iDelta*2)</f>
        <v>23.088000000000001</v>
      </c>
      <c r="H242" s="17">
        <f>E242*(1-iDelta*1)</f>
        <v>25.974</v>
      </c>
      <c r="I242" s="17">
        <f>E242*(1+iDelta*1)</f>
        <v>31.746000000000002</v>
      </c>
      <c r="J242" s="17">
        <f>E242*(1+iDelta*2)</f>
        <v>34.631999999999998</v>
      </c>
    </row>
    <row r="243" spans="1:10" ht="30" customHeight="1" x14ac:dyDescent="0.25">
      <c r="A243" s="17" t="s">
        <v>287</v>
      </c>
      <c r="B243" s="17" t="s">
        <v>409</v>
      </c>
      <c r="C243" s="17" t="s">
        <v>408</v>
      </c>
      <c r="D243" s="17">
        <v>18.760000000000002</v>
      </c>
      <c r="E243" s="17">
        <v>19.059999999999999</v>
      </c>
      <c r="F243" s="17">
        <v>-1.5739769150052464E-2</v>
      </c>
      <c r="G243" s="51">
        <f>E243*(1-iDelta*2)</f>
        <v>15.247999999999999</v>
      </c>
      <c r="H243" s="17">
        <f>E243*(1-iDelta*1)</f>
        <v>17.154</v>
      </c>
      <c r="I243" s="17">
        <f>E243*(1+iDelta*1)</f>
        <v>20.966000000000001</v>
      </c>
      <c r="J243" s="17">
        <f>E243*(1+iDelta*2)</f>
        <v>22.871999999999996</v>
      </c>
    </row>
    <row r="244" spans="1:10" ht="30" customHeight="1" x14ac:dyDescent="0.25">
      <c r="A244" s="17" t="s">
        <v>57</v>
      </c>
      <c r="B244" s="17" t="s">
        <v>412</v>
      </c>
      <c r="C244" s="17" t="s">
        <v>408</v>
      </c>
      <c r="D244" s="17">
        <v>368.05</v>
      </c>
      <c r="E244" s="17">
        <v>369.67</v>
      </c>
      <c r="F244" s="17">
        <v>-4.3822869045364787E-3</v>
      </c>
      <c r="G244" s="51">
        <f>E244*(1-iDelta*2)</f>
        <v>295.73600000000005</v>
      </c>
      <c r="H244" s="17">
        <f>E244*(1-iDelta*1)</f>
        <v>332.70300000000003</v>
      </c>
      <c r="I244" s="17">
        <f>E244*(1+iDelta*1)</f>
        <v>406.63700000000006</v>
      </c>
      <c r="J244" s="17">
        <f>E244*(1+iDelta*2)</f>
        <v>443.60399999999998</v>
      </c>
    </row>
    <row r="245" spans="1:10" ht="30" customHeight="1" x14ac:dyDescent="0.25">
      <c r="A245" s="17" t="s">
        <v>288</v>
      </c>
      <c r="B245" s="17" t="s">
        <v>409</v>
      </c>
      <c r="C245" s="17" t="s">
        <v>408</v>
      </c>
      <c r="D245" s="17">
        <v>63.63</v>
      </c>
      <c r="E245" s="17">
        <v>63.9</v>
      </c>
      <c r="F245" s="17">
        <v>-4.2253521126760559E-3</v>
      </c>
      <c r="G245" s="51">
        <f>E245*(1-iDelta*2)</f>
        <v>51.120000000000005</v>
      </c>
      <c r="H245" s="17">
        <f>E245*(1-iDelta*1)</f>
        <v>57.51</v>
      </c>
      <c r="I245" s="17">
        <f>E245*(1+iDelta*1)</f>
        <v>70.290000000000006</v>
      </c>
      <c r="J245" s="17">
        <f>E245*(1+iDelta*2)</f>
        <v>76.679999999999993</v>
      </c>
    </row>
    <row r="246" spans="1:10" ht="30" customHeight="1" x14ac:dyDescent="0.25">
      <c r="A246" s="17" t="s">
        <v>289</v>
      </c>
      <c r="B246" s="17" t="s">
        <v>409</v>
      </c>
      <c r="C246" s="17" t="s">
        <v>408</v>
      </c>
      <c r="D246" s="17">
        <v>15.66</v>
      </c>
      <c r="E246" s="17">
        <v>15.74</v>
      </c>
      <c r="F246" s="17">
        <v>-5.0825921219822112E-3</v>
      </c>
      <c r="G246" s="51">
        <f>E246*(1-iDelta*2)</f>
        <v>12.592000000000001</v>
      </c>
      <c r="H246" s="17">
        <f>E246*(1-iDelta*1)</f>
        <v>14.166</v>
      </c>
      <c r="I246" s="17">
        <f>E246*(1+iDelta*1)</f>
        <v>17.314</v>
      </c>
      <c r="J246" s="17">
        <f>E246*(1+iDelta*2)</f>
        <v>18.887999999999998</v>
      </c>
    </row>
    <row r="247" spans="1:10" ht="30" customHeight="1" x14ac:dyDescent="0.25">
      <c r="A247" s="17" t="s">
        <v>290</v>
      </c>
      <c r="B247" s="17" t="s">
        <v>409</v>
      </c>
      <c r="C247" s="17" t="s">
        <v>408</v>
      </c>
      <c r="D247" s="17">
        <v>58.18</v>
      </c>
      <c r="E247" s="17">
        <v>57.08</v>
      </c>
      <c r="F247" s="17">
        <v>1.9271198318149965E-2</v>
      </c>
      <c r="G247" s="51">
        <f>E247*(1-iDelta*2)</f>
        <v>45.664000000000001</v>
      </c>
      <c r="H247" s="17">
        <f>E247*(1-iDelta*1)</f>
        <v>51.372</v>
      </c>
      <c r="I247" s="17">
        <f>E247*(1+iDelta*1)</f>
        <v>62.788000000000004</v>
      </c>
      <c r="J247" s="17">
        <f>E247*(1+iDelta*2)</f>
        <v>68.495999999999995</v>
      </c>
    </row>
    <row r="248" spans="1:10" ht="30" customHeight="1" x14ac:dyDescent="0.25">
      <c r="A248" s="17" t="s">
        <v>291</v>
      </c>
      <c r="B248" s="17" t="s">
        <v>409</v>
      </c>
      <c r="C248" s="17" t="s">
        <v>408</v>
      </c>
      <c r="D248" s="17">
        <v>20.8</v>
      </c>
      <c r="E248" s="17">
        <v>20.65</v>
      </c>
      <c r="F248" s="17">
        <v>7.2639225181598066E-3</v>
      </c>
      <c r="G248" s="51">
        <f>E248*(1-iDelta*2)</f>
        <v>16.52</v>
      </c>
      <c r="H248" s="17">
        <f>E248*(1-iDelta*1)</f>
        <v>18.585000000000001</v>
      </c>
      <c r="I248" s="17">
        <f>E248*(1+iDelta*1)</f>
        <v>22.715</v>
      </c>
      <c r="J248" s="17">
        <f>E248*(1+iDelta*2)</f>
        <v>24.779999999999998</v>
      </c>
    </row>
    <row r="249" spans="1:10" ht="30" customHeight="1" x14ac:dyDescent="0.25">
      <c r="A249" s="17" t="s">
        <v>292</v>
      </c>
      <c r="B249" s="17" t="s">
        <v>409</v>
      </c>
      <c r="C249" s="17" t="s">
        <v>408</v>
      </c>
      <c r="D249" s="17">
        <v>38.15</v>
      </c>
      <c r="E249" s="17">
        <v>36.700000000000003</v>
      </c>
      <c r="F249" s="17">
        <v>3.9509536784741145E-2</v>
      </c>
      <c r="G249" s="51">
        <f>E249*(1-iDelta*2)</f>
        <v>29.360000000000003</v>
      </c>
      <c r="H249" s="17">
        <f>E249*(1-iDelta*1)</f>
        <v>33.03</v>
      </c>
      <c r="I249" s="17">
        <f>E249*(1+iDelta*1)</f>
        <v>40.370000000000005</v>
      </c>
      <c r="J249" s="17">
        <f>E249*(1+iDelta*2)</f>
        <v>44.04</v>
      </c>
    </row>
    <row r="250" spans="1:10" ht="30" customHeight="1" x14ac:dyDescent="0.25">
      <c r="A250" s="17" t="s">
        <v>293</v>
      </c>
      <c r="B250" s="17" t="s">
        <v>409</v>
      </c>
      <c r="C250" s="17" t="s">
        <v>408</v>
      </c>
      <c r="D250" s="17">
        <v>3.95</v>
      </c>
      <c r="E250" s="17">
        <v>3.89</v>
      </c>
      <c r="F250" s="17">
        <v>1.5424164524421594E-2</v>
      </c>
      <c r="G250" s="51">
        <f>E250*(1-iDelta*2)</f>
        <v>3.1120000000000001</v>
      </c>
      <c r="H250" s="17">
        <f>E250*(1-iDelta*1)</f>
        <v>3.5010000000000003</v>
      </c>
      <c r="I250" s="17">
        <f>E250*(1+iDelta*1)</f>
        <v>4.2790000000000008</v>
      </c>
      <c r="J250" s="17">
        <f>E250*(1+iDelta*2)</f>
        <v>4.6680000000000001</v>
      </c>
    </row>
    <row r="251" spans="1:10" ht="30" customHeight="1" x14ac:dyDescent="0.25">
      <c r="A251" s="17" t="s">
        <v>294</v>
      </c>
      <c r="B251" s="17" t="s">
        <v>409</v>
      </c>
      <c r="C251" s="17" t="s">
        <v>408</v>
      </c>
      <c r="D251" s="17">
        <v>15.54</v>
      </c>
      <c r="E251" s="17">
        <v>15.1</v>
      </c>
      <c r="F251" s="17">
        <v>2.9139072847682121E-2</v>
      </c>
      <c r="G251" s="51">
        <f>E251*(1-iDelta*2)</f>
        <v>12.08</v>
      </c>
      <c r="H251" s="17">
        <f>E251*(1-iDelta*1)</f>
        <v>13.59</v>
      </c>
      <c r="I251" s="17">
        <f>E251*(1+iDelta*1)</f>
        <v>16.61</v>
      </c>
      <c r="J251" s="17">
        <f>E251*(1+iDelta*2)</f>
        <v>18.119999999999997</v>
      </c>
    </row>
    <row r="252" spans="1:10" ht="30" customHeight="1" x14ac:dyDescent="0.25">
      <c r="A252" s="17" t="s">
        <v>295</v>
      </c>
      <c r="B252" s="17" t="s">
        <v>409</v>
      </c>
      <c r="C252" s="17" t="s">
        <v>408</v>
      </c>
      <c r="D252" s="17">
        <v>12.03</v>
      </c>
      <c r="E252" s="17">
        <v>12.01</v>
      </c>
      <c r="F252" s="17">
        <v>1.6652789342214821E-3</v>
      </c>
      <c r="G252" s="51">
        <f>E252*(1-iDelta*2)</f>
        <v>9.6080000000000005</v>
      </c>
      <c r="H252" s="17">
        <f>E252*(1-iDelta*1)</f>
        <v>10.808999999999999</v>
      </c>
      <c r="I252" s="17">
        <f>E252*(1+iDelta*1)</f>
        <v>13.211</v>
      </c>
      <c r="J252" s="17">
        <f>E252*(1+iDelta*2)</f>
        <v>14.411999999999999</v>
      </c>
    </row>
    <row r="253" spans="1:10" ht="30" customHeight="1" x14ac:dyDescent="0.25">
      <c r="A253" s="17" t="s">
        <v>296</v>
      </c>
      <c r="B253" s="17" t="s">
        <v>409</v>
      </c>
      <c r="C253" s="17" t="s">
        <v>408</v>
      </c>
      <c r="D253" s="17">
        <v>674.99</v>
      </c>
      <c r="E253" s="17">
        <v>679.98</v>
      </c>
      <c r="F253" s="17">
        <v>-7.3384511309156153E-3</v>
      </c>
      <c r="G253" s="51">
        <f>E253*(1-iDelta*2)</f>
        <v>543.98400000000004</v>
      </c>
      <c r="H253" s="17">
        <f>E253*(1-iDelta*1)</f>
        <v>611.98200000000008</v>
      </c>
      <c r="I253" s="17">
        <f>E253*(1+iDelta*1)</f>
        <v>747.97800000000007</v>
      </c>
      <c r="J253" s="17">
        <f>E253*(1+iDelta*2)</f>
        <v>815.976</v>
      </c>
    </row>
    <row r="254" spans="1:10" ht="30" customHeight="1" x14ac:dyDescent="0.25">
      <c r="A254" s="17" t="s">
        <v>297</v>
      </c>
      <c r="B254" s="17" t="s">
        <v>409</v>
      </c>
      <c r="C254" s="17" t="s">
        <v>408</v>
      </c>
      <c r="D254" s="17">
        <v>48.51</v>
      </c>
      <c r="E254" s="17">
        <v>49.39</v>
      </c>
      <c r="F254" s="17">
        <v>-1.7817371937639197E-2</v>
      </c>
      <c r="G254" s="51">
        <f>E254*(1-iDelta*2)</f>
        <v>39.512</v>
      </c>
      <c r="H254" s="17">
        <f>E254*(1-iDelta*1)</f>
        <v>44.451000000000001</v>
      </c>
      <c r="I254" s="17">
        <f>E254*(1+iDelta*1)</f>
        <v>54.329000000000008</v>
      </c>
      <c r="J254" s="17">
        <f>E254*(1+iDelta*2)</f>
        <v>59.268000000000001</v>
      </c>
    </row>
    <row r="255" spans="1:10" ht="30" customHeight="1" x14ac:dyDescent="0.25">
      <c r="A255" s="17" t="s">
        <v>298</v>
      </c>
      <c r="B255" s="17" t="s">
        <v>409</v>
      </c>
      <c r="C255" s="17" t="s">
        <v>408</v>
      </c>
      <c r="D255" s="17">
        <v>123.14</v>
      </c>
      <c r="E255" s="17">
        <v>124.53</v>
      </c>
      <c r="F255" s="17">
        <v>-1.1161969003452983E-2</v>
      </c>
      <c r="G255" s="51">
        <f>E255*(1-iDelta*2)</f>
        <v>99.624000000000009</v>
      </c>
      <c r="H255" s="17">
        <f>E255*(1-iDelta*1)</f>
        <v>112.077</v>
      </c>
      <c r="I255" s="17">
        <f>E255*(1+iDelta*1)</f>
        <v>136.983</v>
      </c>
      <c r="J255" s="17">
        <f>E255*(1+iDelta*2)</f>
        <v>149.43600000000001</v>
      </c>
    </row>
    <row r="256" spans="1:10" ht="30" customHeight="1" x14ac:dyDescent="0.25">
      <c r="A256" s="17" t="s">
        <v>299</v>
      </c>
      <c r="B256" s="17" t="s">
        <v>409</v>
      </c>
      <c r="C256" s="17" t="s">
        <v>408</v>
      </c>
      <c r="D256" s="17">
        <v>14.8</v>
      </c>
      <c r="E256" s="17">
        <v>14.76</v>
      </c>
      <c r="F256" s="17">
        <v>2.7100271002710027E-3</v>
      </c>
      <c r="G256" s="51">
        <f>E256*(1-iDelta*2)</f>
        <v>11.808</v>
      </c>
      <c r="H256" s="17">
        <f>E256*(1-iDelta*1)</f>
        <v>13.284000000000001</v>
      </c>
      <c r="I256" s="17">
        <f>E256*(1+iDelta*1)</f>
        <v>16.236000000000001</v>
      </c>
      <c r="J256" s="17">
        <f>E256*(1+iDelta*2)</f>
        <v>17.712</v>
      </c>
    </row>
    <row r="257" spans="1:10" ht="30" customHeight="1" x14ac:dyDescent="0.25">
      <c r="A257" s="17" t="s">
        <v>300</v>
      </c>
      <c r="B257" s="17" t="s">
        <v>409</v>
      </c>
      <c r="C257" s="17" t="s">
        <v>408</v>
      </c>
      <c r="D257" s="17">
        <v>45.35</v>
      </c>
      <c r="E257" s="17">
        <v>44.83</v>
      </c>
      <c r="F257" s="17">
        <v>1.159937541824671E-2</v>
      </c>
      <c r="G257" s="51">
        <f>E257*(1-iDelta*2)</f>
        <v>35.863999999999997</v>
      </c>
      <c r="H257" s="17">
        <f>E257*(1-iDelta*1)</f>
        <v>40.347000000000001</v>
      </c>
      <c r="I257" s="17">
        <f>E257*(1+iDelta*1)</f>
        <v>49.313000000000002</v>
      </c>
      <c r="J257" s="17">
        <f>E257*(1+iDelta*2)</f>
        <v>53.795999999999999</v>
      </c>
    </row>
    <row r="258" spans="1:10" ht="30" customHeight="1" x14ac:dyDescent="0.25">
      <c r="A258" s="17" t="s">
        <v>71</v>
      </c>
      <c r="B258" s="17" t="s">
        <v>412</v>
      </c>
      <c r="C258" s="17" t="s">
        <v>408</v>
      </c>
      <c r="D258" s="17">
        <v>21.4</v>
      </c>
      <c r="E258" s="17">
        <v>21.51</v>
      </c>
      <c r="F258" s="17">
        <v>-5.1139005113900512E-3</v>
      </c>
      <c r="G258" s="51">
        <f>E258*(1-iDelta*2)</f>
        <v>17.208000000000002</v>
      </c>
      <c r="H258" s="17">
        <f>E258*(1-iDelta*1)</f>
        <v>19.359000000000002</v>
      </c>
      <c r="I258" s="17">
        <f>E258*(1+iDelta*1)</f>
        <v>23.661000000000005</v>
      </c>
      <c r="J258" s="17">
        <f>E258*(1+iDelta*2)</f>
        <v>25.812000000000001</v>
      </c>
    </row>
    <row r="259" spans="1:10" ht="30" customHeight="1" x14ac:dyDescent="0.25">
      <c r="A259" s="17" t="s">
        <v>301</v>
      </c>
      <c r="B259" s="17" t="s">
        <v>409</v>
      </c>
      <c r="C259" s="17" t="s">
        <v>408</v>
      </c>
      <c r="D259" s="17">
        <v>119.05</v>
      </c>
      <c r="E259" s="17">
        <v>119.03</v>
      </c>
      <c r="F259" s="17">
        <v>1.6802486768041671E-4</v>
      </c>
      <c r="G259" s="51">
        <f>E259*(1-iDelta*2)</f>
        <v>95.224000000000004</v>
      </c>
      <c r="H259" s="17">
        <f>E259*(1-iDelta*1)</f>
        <v>107.12700000000001</v>
      </c>
      <c r="I259" s="17">
        <f>E259*(1+iDelta*1)</f>
        <v>130.93300000000002</v>
      </c>
      <c r="J259" s="17">
        <f>E259*(1+iDelta*2)</f>
        <v>142.83599999999998</v>
      </c>
    </row>
    <row r="260" spans="1:10" ht="30" customHeight="1" x14ac:dyDescent="0.25">
      <c r="A260" s="17" t="s">
        <v>72</v>
      </c>
      <c r="B260" s="17" t="s">
        <v>412</v>
      </c>
      <c r="C260" s="17" t="s">
        <v>408</v>
      </c>
      <c r="D260" s="17">
        <v>107.12</v>
      </c>
      <c r="E260" s="17">
        <v>106.98</v>
      </c>
      <c r="F260" s="17">
        <v>1.3086558235184146E-3</v>
      </c>
      <c r="G260" s="51">
        <f>E260*(1-iDelta*2)</f>
        <v>85.584000000000003</v>
      </c>
      <c r="H260" s="17">
        <f>E260*(1-iDelta*1)</f>
        <v>96.282000000000011</v>
      </c>
      <c r="I260" s="17">
        <f>E260*(1+iDelta*1)</f>
        <v>117.67800000000001</v>
      </c>
      <c r="J260" s="17">
        <f>E260*(1+iDelta*2)</f>
        <v>128.376</v>
      </c>
    </row>
    <row r="261" spans="1:10" ht="30" customHeight="1" x14ac:dyDescent="0.25">
      <c r="A261" s="17" t="s">
        <v>302</v>
      </c>
      <c r="B261" s="17" t="s">
        <v>409</v>
      </c>
      <c r="C261" s="17" t="s">
        <v>408</v>
      </c>
      <c r="D261" s="17">
        <v>51.07</v>
      </c>
      <c r="E261" s="17">
        <v>49.39</v>
      </c>
      <c r="F261" s="17">
        <v>3.4014982790038471E-2</v>
      </c>
      <c r="G261" s="51">
        <f>E261*(1-iDelta*2)</f>
        <v>39.512</v>
      </c>
      <c r="H261" s="17">
        <f>E261*(1-iDelta*1)</f>
        <v>44.451000000000001</v>
      </c>
      <c r="I261" s="17">
        <f>E261*(1+iDelta*1)</f>
        <v>54.329000000000008</v>
      </c>
      <c r="J261" s="17">
        <f>E261*(1+iDelta*2)</f>
        <v>59.268000000000001</v>
      </c>
    </row>
    <row r="262" spans="1:10" ht="30" customHeight="1" x14ac:dyDescent="0.25">
      <c r="A262" s="17" t="s">
        <v>73</v>
      </c>
      <c r="B262" s="17" t="s">
        <v>412</v>
      </c>
      <c r="C262" s="17" t="s">
        <v>408</v>
      </c>
      <c r="D262" s="17">
        <v>30.56</v>
      </c>
      <c r="E262" s="17">
        <v>30.98</v>
      </c>
      <c r="F262" s="17">
        <v>-1.355713363460297E-2</v>
      </c>
      <c r="G262" s="51">
        <f>E262*(1-iDelta*2)</f>
        <v>24.784000000000002</v>
      </c>
      <c r="H262" s="17">
        <f>E262*(1-iDelta*1)</f>
        <v>27.882000000000001</v>
      </c>
      <c r="I262" s="17">
        <f>E262*(1+iDelta*1)</f>
        <v>34.078000000000003</v>
      </c>
      <c r="J262" s="17">
        <f>E262*(1+iDelta*2)</f>
        <v>37.176000000000002</v>
      </c>
    </row>
    <row r="263" spans="1:10" ht="30" customHeight="1" x14ac:dyDescent="0.25">
      <c r="A263" s="17" t="s">
        <v>74</v>
      </c>
      <c r="B263" s="17" t="s">
        <v>412</v>
      </c>
      <c r="C263" s="17" t="s">
        <v>408</v>
      </c>
      <c r="D263" s="17">
        <v>8.43</v>
      </c>
      <c r="E263" s="17">
        <v>8.4600000000000009</v>
      </c>
      <c r="F263" s="17">
        <v>-3.5460992907801418E-3</v>
      </c>
      <c r="G263" s="51">
        <f>E263*(1-iDelta*2)</f>
        <v>6.7680000000000007</v>
      </c>
      <c r="H263" s="17">
        <f>E263*(1-iDelta*1)</f>
        <v>7.6140000000000008</v>
      </c>
      <c r="I263" s="17">
        <f>E263*(1+iDelta*1)</f>
        <v>9.3060000000000009</v>
      </c>
      <c r="J263" s="17">
        <f>E263*(1+iDelta*2)</f>
        <v>10.152000000000001</v>
      </c>
    </row>
    <row r="264" spans="1:10" ht="30" customHeight="1" x14ac:dyDescent="0.25">
      <c r="A264" s="17" t="s">
        <v>303</v>
      </c>
      <c r="B264" s="17" t="s">
        <v>409</v>
      </c>
      <c r="C264" s="17" t="s">
        <v>408</v>
      </c>
      <c r="D264" s="17">
        <v>37.200000000000003</v>
      </c>
      <c r="E264" s="17">
        <v>39</v>
      </c>
      <c r="F264" s="17">
        <v>-4.6153846153846156E-2</v>
      </c>
      <c r="G264" s="51">
        <f>E264*(1-iDelta*2)</f>
        <v>31.200000000000003</v>
      </c>
      <c r="H264" s="17">
        <f>E264*(1-iDelta*1)</f>
        <v>35.1</v>
      </c>
      <c r="I264" s="17">
        <f>E264*(1+iDelta*1)</f>
        <v>42.900000000000006</v>
      </c>
      <c r="J264" s="17">
        <f>E264*(1+iDelta*2)</f>
        <v>46.8</v>
      </c>
    </row>
    <row r="265" spans="1:10" ht="30" customHeight="1" x14ac:dyDescent="0.25">
      <c r="A265" s="17" t="s">
        <v>304</v>
      </c>
      <c r="B265" s="17" t="s">
        <v>409</v>
      </c>
      <c r="C265" s="17" t="s">
        <v>408</v>
      </c>
      <c r="D265" s="17">
        <v>64.040000000000006</v>
      </c>
      <c r="E265" s="17">
        <v>63.46</v>
      </c>
      <c r="F265" s="17">
        <v>9.1396155058304437E-3</v>
      </c>
      <c r="G265" s="51">
        <f>E265*(1-iDelta*2)</f>
        <v>50.768000000000001</v>
      </c>
      <c r="H265" s="17">
        <f>E265*(1-iDelta*1)</f>
        <v>57.114000000000004</v>
      </c>
      <c r="I265" s="17">
        <f>E265*(1+iDelta*1)</f>
        <v>69.806000000000012</v>
      </c>
      <c r="J265" s="17">
        <f>E265*(1+iDelta*2)</f>
        <v>76.152000000000001</v>
      </c>
    </row>
    <row r="266" spans="1:10" ht="30" customHeight="1" x14ac:dyDescent="0.25">
      <c r="A266" s="17" t="s">
        <v>75</v>
      </c>
      <c r="B266" s="17" t="s">
        <v>412</v>
      </c>
      <c r="C266" s="17" t="s">
        <v>408</v>
      </c>
      <c r="D266" s="17">
        <v>14.86</v>
      </c>
      <c r="E266" s="17">
        <v>14.88</v>
      </c>
      <c r="F266" s="17">
        <v>-1.3440860215053762E-3</v>
      </c>
      <c r="G266" s="51">
        <f>E266*(1-iDelta*2)</f>
        <v>11.904000000000002</v>
      </c>
      <c r="H266" s="17">
        <f>E266*(1-iDelta*1)</f>
        <v>13.392000000000001</v>
      </c>
      <c r="I266" s="17">
        <f>E266*(1+iDelta*1)</f>
        <v>16.368000000000002</v>
      </c>
      <c r="J266" s="17">
        <f>E266*(1+iDelta*2)</f>
        <v>17.856000000000002</v>
      </c>
    </row>
    <row r="267" spans="1:10" ht="30" customHeight="1" x14ac:dyDescent="0.25">
      <c r="A267" s="17" t="s">
        <v>305</v>
      </c>
      <c r="B267" s="17" t="s">
        <v>409</v>
      </c>
      <c r="C267" s="17" t="s">
        <v>408</v>
      </c>
      <c r="D267" s="17">
        <v>59.62</v>
      </c>
      <c r="E267" s="17">
        <v>60.06</v>
      </c>
      <c r="F267" s="17">
        <v>-7.326007326007326E-3</v>
      </c>
      <c r="G267" s="51">
        <f>E267*(1-iDelta*2)</f>
        <v>48.048000000000002</v>
      </c>
      <c r="H267" s="17">
        <f>E267*(1-iDelta*1)</f>
        <v>54.054000000000002</v>
      </c>
      <c r="I267" s="17">
        <f>E267*(1+iDelta*1)</f>
        <v>66.066000000000003</v>
      </c>
      <c r="J267" s="17">
        <f>E267*(1+iDelta*2)</f>
        <v>72.072000000000003</v>
      </c>
    </row>
    <row r="268" spans="1:10" ht="30" customHeight="1" x14ac:dyDescent="0.25">
      <c r="A268" s="17" t="s">
        <v>306</v>
      </c>
      <c r="B268" s="17" t="s">
        <v>409</v>
      </c>
      <c r="C268" s="17" t="s">
        <v>408</v>
      </c>
      <c r="D268" s="17">
        <v>41.13</v>
      </c>
      <c r="E268" s="17">
        <v>40.82</v>
      </c>
      <c r="F268" s="17">
        <v>7.5943165115139634E-3</v>
      </c>
      <c r="G268" s="51">
        <f>E268*(1-iDelta*2)</f>
        <v>32.655999999999999</v>
      </c>
      <c r="H268" s="17">
        <f>E268*(1-iDelta*1)</f>
        <v>36.738</v>
      </c>
      <c r="I268" s="17">
        <f>E268*(1+iDelta*1)</f>
        <v>44.902000000000001</v>
      </c>
      <c r="J268" s="17">
        <f>E268*(1+iDelta*2)</f>
        <v>48.984000000000002</v>
      </c>
    </row>
    <row r="269" spans="1:10" ht="30" customHeight="1" x14ac:dyDescent="0.25">
      <c r="A269" s="17" t="s">
        <v>307</v>
      </c>
      <c r="B269" s="17" t="s">
        <v>409</v>
      </c>
      <c r="C269" s="17" t="s">
        <v>408</v>
      </c>
      <c r="D269" s="17">
        <v>72.14</v>
      </c>
      <c r="E269" s="17">
        <v>72.400000000000006</v>
      </c>
      <c r="F269" s="17">
        <v>-3.5911602209944752E-3</v>
      </c>
      <c r="G269" s="51">
        <f>E269*(1-iDelta*2)</f>
        <v>57.920000000000009</v>
      </c>
      <c r="H269" s="17">
        <f>E269*(1-iDelta*1)</f>
        <v>65.160000000000011</v>
      </c>
      <c r="I269" s="17">
        <f>E269*(1+iDelta*1)</f>
        <v>79.640000000000015</v>
      </c>
      <c r="J269" s="17">
        <f>E269*(1+iDelta*2)</f>
        <v>86.88000000000001</v>
      </c>
    </row>
    <row r="270" spans="1:10" ht="30" customHeight="1" x14ac:dyDescent="0.25">
      <c r="A270" s="17" t="s">
        <v>308</v>
      </c>
      <c r="B270" s="17" t="s">
        <v>409</v>
      </c>
      <c r="C270" s="17" t="s">
        <v>408</v>
      </c>
      <c r="D270" s="17">
        <v>38.950000000000003</v>
      </c>
      <c r="E270" s="17">
        <v>38.6</v>
      </c>
      <c r="F270" s="17">
        <v>9.0673575129533671E-3</v>
      </c>
      <c r="G270" s="51">
        <f>E270*(1-iDelta*2)</f>
        <v>30.880000000000003</v>
      </c>
      <c r="H270" s="17">
        <f>E270*(1-iDelta*1)</f>
        <v>34.74</v>
      </c>
      <c r="I270" s="17">
        <f>E270*(1+iDelta*1)</f>
        <v>42.460000000000008</v>
      </c>
      <c r="J270" s="17">
        <f>E270*(1+iDelta*2)</f>
        <v>46.32</v>
      </c>
    </row>
    <row r="271" spans="1:10" ht="30" customHeight="1" x14ac:dyDescent="0.25">
      <c r="A271" s="17" t="s">
        <v>309</v>
      </c>
      <c r="B271" s="17" t="s">
        <v>409</v>
      </c>
      <c r="C271" s="17" t="s">
        <v>408</v>
      </c>
      <c r="D271" s="17">
        <v>19.5</v>
      </c>
      <c r="E271" s="17">
        <v>20.079999999999998</v>
      </c>
      <c r="F271" s="17">
        <v>-2.8884462151394421E-2</v>
      </c>
      <c r="G271" s="51">
        <f>E271*(1-iDelta*2)</f>
        <v>16.064</v>
      </c>
      <c r="H271" s="17">
        <f>E271*(1-iDelta*1)</f>
        <v>18.071999999999999</v>
      </c>
      <c r="I271" s="17">
        <f>E271*(1+iDelta*1)</f>
        <v>22.088000000000001</v>
      </c>
      <c r="J271" s="17">
        <f>E271*(1+iDelta*2)</f>
        <v>24.095999999999997</v>
      </c>
    </row>
    <row r="272" spans="1:10" ht="30" customHeight="1" x14ac:dyDescent="0.25">
      <c r="A272" s="17" t="s">
        <v>310</v>
      </c>
      <c r="B272" s="17" t="s">
        <v>409</v>
      </c>
      <c r="C272" s="17" t="s">
        <v>408</v>
      </c>
      <c r="D272" s="17">
        <v>80.06</v>
      </c>
      <c r="E272" s="17">
        <v>83.11</v>
      </c>
      <c r="F272" s="17">
        <v>-3.6698351582240406E-2</v>
      </c>
      <c r="G272" s="51">
        <f>E272*(1-iDelta*2)</f>
        <v>66.488</v>
      </c>
      <c r="H272" s="17">
        <f>E272*(1-iDelta*1)</f>
        <v>74.799000000000007</v>
      </c>
      <c r="I272" s="17">
        <f>E272*(1+iDelta*1)</f>
        <v>91.421000000000006</v>
      </c>
      <c r="J272" s="17">
        <f>E272*(1+iDelta*2)</f>
        <v>99.731999999999999</v>
      </c>
    </row>
    <row r="273" spans="1:10" ht="30" customHeight="1" x14ac:dyDescent="0.25">
      <c r="A273" s="17" t="s">
        <v>311</v>
      </c>
      <c r="B273" s="17" t="s">
        <v>409</v>
      </c>
      <c r="C273" s="17" t="s">
        <v>408</v>
      </c>
      <c r="D273" s="17">
        <v>19.32</v>
      </c>
      <c r="E273" s="17">
        <v>19.23</v>
      </c>
      <c r="F273" s="17">
        <v>4.6801872074882997E-3</v>
      </c>
      <c r="G273" s="51">
        <f>E273*(1-iDelta*2)</f>
        <v>15.384</v>
      </c>
      <c r="H273" s="17">
        <f>E273*(1-iDelta*1)</f>
        <v>17.307000000000002</v>
      </c>
      <c r="I273" s="17">
        <f>E273*(1+iDelta*1)</f>
        <v>21.153000000000002</v>
      </c>
      <c r="J273" s="17">
        <f>E273*(1+iDelta*2)</f>
        <v>23.076000000000001</v>
      </c>
    </row>
    <row r="274" spans="1:10" ht="30" customHeight="1" x14ac:dyDescent="0.25">
      <c r="A274" s="17" t="s">
        <v>76</v>
      </c>
      <c r="B274" s="17" t="s">
        <v>412</v>
      </c>
      <c r="C274" s="17" t="s">
        <v>408</v>
      </c>
      <c r="D274" s="17">
        <v>117.03</v>
      </c>
      <c r="E274" s="17">
        <v>116.34</v>
      </c>
      <c r="F274" s="17">
        <v>5.9308922124806599E-3</v>
      </c>
      <c r="G274" s="51">
        <f>E274*(1-iDelta*2)</f>
        <v>93.072000000000003</v>
      </c>
      <c r="H274" s="17">
        <f>E274*(1-iDelta*1)</f>
        <v>104.706</v>
      </c>
      <c r="I274" s="17">
        <f>E274*(1+iDelta*1)</f>
        <v>127.97400000000002</v>
      </c>
      <c r="J274" s="17">
        <f>E274*(1+iDelta*2)</f>
        <v>139.608</v>
      </c>
    </row>
    <row r="275" spans="1:10" ht="30" customHeight="1" x14ac:dyDescent="0.25">
      <c r="A275" s="17" t="s">
        <v>312</v>
      </c>
      <c r="B275" s="17" t="s">
        <v>409</v>
      </c>
      <c r="C275" s="17" t="s">
        <v>408</v>
      </c>
      <c r="D275" s="17">
        <v>50.15</v>
      </c>
      <c r="E275" s="17">
        <v>49.4</v>
      </c>
      <c r="F275" s="17">
        <v>1.5182186234817813E-2</v>
      </c>
      <c r="G275" s="51">
        <f>E275*(1-iDelta*2)</f>
        <v>39.520000000000003</v>
      </c>
      <c r="H275" s="17">
        <f>E275*(1-iDelta*1)</f>
        <v>44.46</v>
      </c>
      <c r="I275" s="17">
        <f>E275*(1+iDelta*1)</f>
        <v>54.34</v>
      </c>
      <c r="J275" s="17">
        <f>E275*(1+iDelta*2)</f>
        <v>59.279999999999994</v>
      </c>
    </row>
    <row r="276" spans="1:10" ht="30" customHeight="1" x14ac:dyDescent="0.25">
      <c r="A276" s="17" t="s">
        <v>77</v>
      </c>
      <c r="B276" s="17" t="s">
        <v>412</v>
      </c>
      <c r="C276" s="17" t="s">
        <v>408</v>
      </c>
      <c r="D276" s="17">
        <v>8.1</v>
      </c>
      <c r="E276" s="17">
        <v>8</v>
      </c>
      <c r="F276" s="17">
        <v>1.2500000000000001E-2</v>
      </c>
      <c r="G276" s="51">
        <f>E276*(1-iDelta*2)</f>
        <v>6.4</v>
      </c>
      <c r="H276" s="17">
        <f>E276*(1-iDelta*1)</f>
        <v>7.2</v>
      </c>
      <c r="I276" s="17">
        <f>E276*(1+iDelta*1)</f>
        <v>8.8000000000000007</v>
      </c>
      <c r="J276" s="17">
        <f>E276*(1+iDelta*2)</f>
        <v>9.6</v>
      </c>
    </row>
    <row r="277" spans="1:10" ht="30" customHeight="1" x14ac:dyDescent="0.25">
      <c r="A277" s="17" t="s">
        <v>313</v>
      </c>
      <c r="B277" s="17" t="s">
        <v>409</v>
      </c>
      <c r="C277" s="17" t="s">
        <v>408</v>
      </c>
      <c r="D277" s="17">
        <v>26.81</v>
      </c>
      <c r="E277" s="17">
        <v>25.18</v>
      </c>
      <c r="F277" s="17">
        <v>6.4733915806195391E-2</v>
      </c>
      <c r="G277" s="51">
        <f>E277*(1-iDelta*2)</f>
        <v>20.144000000000002</v>
      </c>
      <c r="H277" s="17">
        <f>E277*(1-iDelta*1)</f>
        <v>22.661999999999999</v>
      </c>
      <c r="I277" s="17">
        <f>E277*(1+iDelta*1)</f>
        <v>27.698</v>
      </c>
      <c r="J277" s="17">
        <f>E277*(1+iDelta*2)</f>
        <v>30.215999999999998</v>
      </c>
    </row>
    <row r="278" spans="1:10" ht="30" customHeight="1" x14ac:dyDescent="0.25">
      <c r="A278" s="17" t="s">
        <v>78</v>
      </c>
      <c r="B278" s="17" t="s">
        <v>412</v>
      </c>
      <c r="C278" s="17" t="s">
        <v>408</v>
      </c>
      <c r="D278" s="17">
        <v>127.14</v>
      </c>
      <c r="E278" s="17">
        <v>126.74</v>
      </c>
      <c r="F278" s="17">
        <v>3.1560675398453527E-3</v>
      </c>
      <c r="G278" s="51">
        <f>E278*(1-iDelta*2)</f>
        <v>101.392</v>
      </c>
      <c r="H278" s="17">
        <f>E278*(1-iDelta*1)</f>
        <v>114.066</v>
      </c>
      <c r="I278" s="17">
        <f>E278*(1+iDelta*1)</f>
        <v>139.41400000000002</v>
      </c>
      <c r="J278" s="17">
        <f>E278*(1+iDelta*2)</f>
        <v>152.08799999999999</v>
      </c>
    </row>
    <row r="279" spans="1:10" ht="30" customHeight="1" x14ac:dyDescent="0.25">
      <c r="A279" s="17" t="s">
        <v>314</v>
      </c>
      <c r="B279" s="17" t="s">
        <v>409</v>
      </c>
      <c r="C279" s="17" t="s">
        <v>408</v>
      </c>
      <c r="D279" s="17">
        <v>19.260000000000002</v>
      </c>
      <c r="E279" s="17">
        <v>19.690000000000001</v>
      </c>
      <c r="F279" s="17">
        <v>-2.1838496698831894E-2</v>
      </c>
      <c r="G279" s="51">
        <f>E279*(1-iDelta*2)</f>
        <v>15.752000000000002</v>
      </c>
      <c r="H279" s="17">
        <f>E279*(1-iDelta*1)</f>
        <v>17.721</v>
      </c>
      <c r="I279" s="17">
        <f>E279*(1+iDelta*1)</f>
        <v>21.659000000000002</v>
      </c>
      <c r="J279" s="17">
        <f>E279*(1+iDelta*2)</f>
        <v>23.628</v>
      </c>
    </row>
    <row r="280" spans="1:10" ht="30" customHeight="1" x14ac:dyDescent="0.25">
      <c r="A280" s="17" t="s">
        <v>315</v>
      </c>
      <c r="B280" s="17" t="s">
        <v>409</v>
      </c>
      <c r="C280" s="17" t="s">
        <v>408</v>
      </c>
      <c r="D280" s="17">
        <v>170.5</v>
      </c>
      <c r="E280" s="17">
        <v>146.38999999999999</v>
      </c>
      <c r="F280" s="17">
        <v>0.16469704214768768</v>
      </c>
      <c r="G280" s="51">
        <f>E280*(1-iDelta*2)</f>
        <v>117.11199999999999</v>
      </c>
      <c r="H280" s="17">
        <f>E280*(1-iDelta*1)</f>
        <v>131.751</v>
      </c>
      <c r="I280" s="17">
        <f>E280*(1+iDelta*1)</f>
        <v>161.029</v>
      </c>
      <c r="J280" s="17">
        <f>E280*(1+iDelta*2)</f>
        <v>175.66799999999998</v>
      </c>
    </row>
    <row r="281" spans="1:10" ht="30" customHeight="1" x14ac:dyDescent="0.25">
      <c r="A281" s="17" t="s">
        <v>316</v>
      </c>
      <c r="B281" s="17" t="s">
        <v>409</v>
      </c>
      <c r="C281" s="17" t="s">
        <v>408</v>
      </c>
      <c r="D281" s="17">
        <v>35.159999999999997</v>
      </c>
      <c r="E281" s="17">
        <v>33.96</v>
      </c>
      <c r="F281" s="17">
        <v>3.5335689045936397E-2</v>
      </c>
      <c r="G281" s="51">
        <f>E281*(1-iDelta*2)</f>
        <v>27.168000000000003</v>
      </c>
      <c r="H281" s="17">
        <f>E281*(1-iDelta*1)</f>
        <v>30.564</v>
      </c>
      <c r="I281" s="17">
        <f>E281*(1+iDelta*1)</f>
        <v>37.356000000000002</v>
      </c>
      <c r="J281" s="17">
        <f>E281*(1+iDelta*2)</f>
        <v>40.752000000000002</v>
      </c>
    </row>
    <row r="282" spans="1:10" ht="30" customHeight="1" x14ac:dyDescent="0.25">
      <c r="A282" s="17" t="s">
        <v>317</v>
      </c>
      <c r="B282" s="17" t="s">
        <v>409</v>
      </c>
      <c r="C282" s="17" t="s">
        <v>408</v>
      </c>
      <c r="D282" s="17">
        <v>27.96</v>
      </c>
      <c r="E282" s="17">
        <v>27.94</v>
      </c>
      <c r="F282" s="17">
        <v>7.158196134574087E-4</v>
      </c>
      <c r="G282" s="51">
        <f>E282*(1-iDelta*2)</f>
        <v>22.352000000000004</v>
      </c>
      <c r="H282" s="17">
        <f>E282*(1-iDelta*1)</f>
        <v>25.146000000000001</v>
      </c>
      <c r="I282" s="17">
        <f>E282*(1+iDelta*1)</f>
        <v>30.734000000000005</v>
      </c>
      <c r="J282" s="17">
        <f>E282*(1+iDelta*2)</f>
        <v>33.527999999999999</v>
      </c>
    </row>
    <row r="283" spans="1:10" ht="30" customHeight="1" x14ac:dyDescent="0.25">
      <c r="A283" s="17" t="s">
        <v>318</v>
      </c>
      <c r="B283" s="17" t="s">
        <v>409</v>
      </c>
      <c r="C283" s="17" t="s">
        <v>408</v>
      </c>
      <c r="D283" s="17">
        <v>8.67</v>
      </c>
      <c r="E283" s="17">
        <v>8.61</v>
      </c>
      <c r="F283" s="17">
        <v>6.9686411149825784E-3</v>
      </c>
      <c r="G283" s="51">
        <f>E283*(1-iDelta*2)</f>
        <v>6.8879999999999999</v>
      </c>
      <c r="H283" s="17">
        <f>E283*(1-iDelta*1)</f>
        <v>7.7489999999999997</v>
      </c>
      <c r="I283" s="17">
        <f>E283*(1+iDelta*1)</f>
        <v>9.4710000000000001</v>
      </c>
      <c r="J283" s="17">
        <f>E283*(1+iDelta*2)</f>
        <v>10.331999999999999</v>
      </c>
    </row>
    <row r="284" spans="1:10" ht="30" customHeight="1" x14ac:dyDescent="0.25">
      <c r="A284" s="17" t="s">
        <v>319</v>
      </c>
      <c r="B284" s="17" t="s">
        <v>409</v>
      </c>
      <c r="C284" s="17" t="s">
        <v>408</v>
      </c>
      <c r="D284" s="17">
        <v>149.26</v>
      </c>
      <c r="E284" s="17">
        <v>153.03</v>
      </c>
      <c r="F284" s="17">
        <v>-2.4635692347905639E-2</v>
      </c>
      <c r="G284" s="51">
        <f>E284*(1-iDelta*2)</f>
        <v>122.42400000000001</v>
      </c>
      <c r="H284" s="17">
        <f>E284*(1-iDelta*1)</f>
        <v>137.727</v>
      </c>
      <c r="I284" s="17">
        <f>E284*(1+iDelta*1)</f>
        <v>168.33300000000003</v>
      </c>
      <c r="J284" s="17">
        <f>E284*(1+iDelta*2)</f>
        <v>183.636</v>
      </c>
    </row>
    <row r="285" spans="1:10" ht="30" customHeight="1" x14ac:dyDescent="0.25">
      <c r="A285" s="17" t="s">
        <v>320</v>
      </c>
      <c r="B285" s="17" t="s">
        <v>409</v>
      </c>
      <c r="C285" s="17" t="s">
        <v>408</v>
      </c>
      <c r="D285" s="17">
        <v>4.8</v>
      </c>
      <c r="E285" s="17">
        <v>4.8</v>
      </c>
      <c r="F285" s="17">
        <v>0</v>
      </c>
      <c r="G285" s="51">
        <f>E285*(1-iDelta*2)</f>
        <v>3.84</v>
      </c>
      <c r="H285" s="17">
        <f>E285*(1-iDelta*1)</f>
        <v>4.32</v>
      </c>
      <c r="I285" s="17">
        <f>E285*(1+iDelta*1)</f>
        <v>5.28</v>
      </c>
      <c r="J285" s="17">
        <f>E285*(1+iDelta*2)</f>
        <v>5.76</v>
      </c>
    </row>
    <row r="286" spans="1:10" ht="30" customHeight="1" x14ac:dyDescent="0.25">
      <c r="A286" s="17" t="s">
        <v>321</v>
      </c>
      <c r="B286" s="17" t="s">
        <v>409</v>
      </c>
      <c r="C286" s="17" t="s">
        <v>408</v>
      </c>
      <c r="D286" s="17">
        <v>5.31</v>
      </c>
      <c r="E286" s="17">
        <v>5.13</v>
      </c>
      <c r="F286" s="17">
        <v>3.5087719298245612E-2</v>
      </c>
      <c r="G286" s="51">
        <f>E286*(1-iDelta*2)</f>
        <v>4.1040000000000001</v>
      </c>
      <c r="H286" s="17">
        <f>E286*(1-iDelta*1)</f>
        <v>4.617</v>
      </c>
      <c r="I286" s="17">
        <f>E286*(1+iDelta*1)</f>
        <v>5.6430000000000007</v>
      </c>
      <c r="J286" s="17">
        <f>E286*(1+iDelta*2)</f>
        <v>6.1559999999999997</v>
      </c>
    </row>
    <row r="287" spans="1:10" ht="30" customHeight="1" x14ac:dyDescent="0.25">
      <c r="A287" s="17" t="s">
        <v>322</v>
      </c>
      <c r="B287" s="17" t="s">
        <v>409</v>
      </c>
      <c r="C287" s="17" t="s">
        <v>408</v>
      </c>
      <c r="D287" s="17">
        <v>19.899999999999999</v>
      </c>
      <c r="E287" s="17">
        <v>18.12</v>
      </c>
      <c r="F287" s="17">
        <v>9.8233995584988965E-2</v>
      </c>
      <c r="G287" s="51">
        <f>E287*(1-iDelta*2)</f>
        <v>14.496000000000002</v>
      </c>
      <c r="H287" s="17">
        <f>E287*(1-iDelta*1)</f>
        <v>16.308</v>
      </c>
      <c r="I287" s="17">
        <f>E287*(1+iDelta*1)</f>
        <v>19.932000000000002</v>
      </c>
      <c r="J287" s="17">
        <f>E287*(1+iDelta*2)</f>
        <v>21.744</v>
      </c>
    </row>
    <row r="288" spans="1:10" ht="30" customHeight="1" x14ac:dyDescent="0.25">
      <c r="A288" s="17" t="s">
        <v>323</v>
      </c>
      <c r="B288" s="17" t="s">
        <v>409</v>
      </c>
      <c r="C288" s="17" t="s">
        <v>408</v>
      </c>
      <c r="D288" s="17">
        <v>17.600000000000001</v>
      </c>
      <c r="E288" s="17">
        <v>17.75</v>
      </c>
      <c r="F288" s="17">
        <v>-8.4507042253521118E-3</v>
      </c>
      <c r="G288" s="51">
        <f>E288*(1-iDelta*2)</f>
        <v>14.200000000000001</v>
      </c>
      <c r="H288" s="17">
        <f>E288*(1-iDelta*1)</f>
        <v>15.975</v>
      </c>
      <c r="I288" s="17">
        <f>E288*(1+iDelta*1)</f>
        <v>19.525000000000002</v>
      </c>
      <c r="J288" s="17">
        <f>E288*(1+iDelta*2)</f>
        <v>21.3</v>
      </c>
    </row>
    <row r="289" spans="1:10" ht="30" customHeight="1" x14ac:dyDescent="0.25">
      <c r="A289" s="17" t="s">
        <v>324</v>
      </c>
      <c r="B289" s="17" t="s">
        <v>409</v>
      </c>
      <c r="C289" s="17" t="s">
        <v>408</v>
      </c>
      <c r="D289" s="17">
        <v>68.739999999999995</v>
      </c>
      <c r="E289" s="17">
        <v>69.23</v>
      </c>
      <c r="F289" s="17">
        <v>-7.0778564206268957E-3</v>
      </c>
      <c r="G289" s="51">
        <f>E289*(1-iDelta*2)</f>
        <v>55.384000000000007</v>
      </c>
      <c r="H289" s="17">
        <f>E289*(1-iDelta*1)</f>
        <v>62.307000000000002</v>
      </c>
      <c r="I289" s="17">
        <f>E289*(1+iDelta*1)</f>
        <v>76.153000000000006</v>
      </c>
      <c r="J289" s="17">
        <f>E289*(1+iDelta*2)</f>
        <v>83.076000000000008</v>
      </c>
    </row>
    <row r="290" spans="1:10" ht="30" customHeight="1" x14ac:dyDescent="0.25">
      <c r="A290" s="17" t="s">
        <v>325</v>
      </c>
      <c r="B290" s="17" t="s">
        <v>409</v>
      </c>
      <c r="C290" s="17" t="s">
        <v>408</v>
      </c>
      <c r="D290" s="17">
        <v>120.08</v>
      </c>
      <c r="E290" s="17">
        <v>118.95</v>
      </c>
      <c r="F290" s="17">
        <v>9.499789827658681E-3</v>
      </c>
      <c r="G290" s="51">
        <f>E290*(1-iDelta*2)</f>
        <v>95.160000000000011</v>
      </c>
      <c r="H290" s="17">
        <f>E290*(1-iDelta*1)</f>
        <v>107.05500000000001</v>
      </c>
      <c r="I290" s="17">
        <f>E290*(1+iDelta*1)</f>
        <v>130.84500000000003</v>
      </c>
      <c r="J290" s="17">
        <f>E290*(1+iDelta*2)</f>
        <v>142.74</v>
      </c>
    </row>
    <row r="291" spans="1:10" ht="30" customHeight="1" x14ac:dyDescent="0.25">
      <c r="A291" s="17" t="s">
        <v>326</v>
      </c>
      <c r="B291" s="17" t="s">
        <v>409</v>
      </c>
      <c r="C291" s="17" t="s">
        <v>408</v>
      </c>
      <c r="D291" s="17">
        <v>4.74</v>
      </c>
      <c r="E291" s="17">
        <v>4.72</v>
      </c>
      <c r="F291" s="17">
        <v>4.2372881355932203E-3</v>
      </c>
      <c r="G291" s="51">
        <f>E291*(1-iDelta*2)</f>
        <v>3.7759999999999998</v>
      </c>
      <c r="H291" s="17">
        <f>E291*(1-iDelta*1)</f>
        <v>4.2480000000000002</v>
      </c>
      <c r="I291" s="17">
        <f>E291*(1+iDelta*1)</f>
        <v>5.1920000000000002</v>
      </c>
      <c r="J291" s="17">
        <f>E291*(1+iDelta*2)</f>
        <v>5.6639999999999997</v>
      </c>
    </row>
    <row r="292" spans="1:10" ht="30" customHeight="1" x14ac:dyDescent="0.25">
      <c r="A292" s="17" t="s">
        <v>327</v>
      </c>
      <c r="B292" s="17" t="s">
        <v>409</v>
      </c>
      <c r="C292" s="17" t="s">
        <v>408</v>
      </c>
      <c r="D292" s="17">
        <v>28.37</v>
      </c>
      <c r="E292" s="17">
        <v>27.61</v>
      </c>
      <c r="F292" s="17">
        <v>2.7526258601955813E-2</v>
      </c>
      <c r="G292" s="51">
        <f>E292*(1-iDelta*2)</f>
        <v>22.088000000000001</v>
      </c>
      <c r="H292" s="17">
        <f>E292*(1-iDelta*1)</f>
        <v>24.849</v>
      </c>
      <c r="I292" s="17">
        <f>E292*(1+iDelta*1)</f>
        <v>30.371000000000002</v>
      </c>
      <c r="J292" s="17">
        <f>E292*(1+iDelta*2)</f>
        <v>33.131999999999998</v>
      </c>
    </row>
    <row r="293" spans="1:10" ht="30" customHeight="1" x14ac:dyDescent="0.25">
      <c r="A293" s="17" t="s">
        <v>368</v>
      </c>
      <c r="B293" s="17" t="s">
        <v>409</v>
      </c>
      <c r="C293" s="17" t="s">
        <v>408</v>
      </c>
      <c r="D293" s="17">
        <v>14.42</v>
      </c>
      <c r="E293" s="17">
        <v>14.47</v>
      </c>
      <c r="F293" s="17">
        <v>-3.4554250172771253E-3</v>
      </c>
      <c r="G293" s="51">
        <f>E293*(1-iDelta*2)</f>
        <v>11.576000000000001</v>
      </c>
      <c r="H293" s="17">
        <f>E293*(1-iDelta*1)</f>
        <v>13.023000000000001</v>
      </c>
      <c r="I293" s="17">
        <f>E293*(1+iDelta*1)</f>
        <v>15.917000000000002</v>
      </c>
      <c r="J293" s="17">
        <f>E293*(1+iDelta*2)</f>
        <v>17.364000000000001</v>
      </c>
    </row>
    <row r="294" spans="1:10" ht="30" customHeight="1" x14ac:dyDescent="0.25">
      <c r="A294" s="17" t="s">
        <v>328</v>
      </c>
      <c r="B294" s="17" t="s">
        <v>409</v>
      </c>
      <c r="C294" s="17" t="s">
        <v>408</v>
      </c>
      <c r="D294" s="17">
        <v>14.35</v>
      </c>
      <c r="E294" s="17">
        <v>12.93</v>
      </c>
      <c r="F294" s="17">
        <v>0.10982211910286156</v>
      </c>
      <c r="G294" s="51">
        <f>E294*(1-iDelta*2)</f>
        <v>10.344000000000001</v>
      </c>
      <c r="H294" s="17">
        <f>E294*(1-iDelta*1)</f>
        <v>11.637</v>
      </c>
      <c r="I294" s="17">
        <f>E294*(1+iDelta*1)</f>
        <v>14.223000000000001</v>
      </c>
      <c r="J294" s="17">
        <f>E294*(1+iDelta*2)</f>
        <v>15.515999999999998</v>
      </c>
    </row>
    <row r="295" spans="1:10" ht="30" customHeight="1" x14ac:dyDescent="0.25">
      <c r="A295" s="17" t="s">
        <v>79</v>
      </c>
      <c r="B295" s="17" t="s">
        <v>412</v>
      </c>
      <c r="C295" s="17" t="s">
        <v>408</v>
      </c>
      <c r="D295" s="17">
        <v>89.04</v>
      </c>
      <c r="E295" s="17">
        <v>87.48</v>
      </c>
      <c r="F295" s="17">
        <v>1.7832647462277092E-2</v>
      </c>
      <c r="G295" s="51">
        <f>E295*(1-iDelta*2)</f>
        <v>69.984000000000009</v>
      </c>
      <c r="H295" s="17">
        <f>E295*(1-iDelta*1)</f>
        <v>78.731999999999999</v>
      </c>
      <c r="I295" s="17">
        <f>E295*(1+iDelta*1)</f>
        <v>96.228000000000009</v>
      </c>
      <c r="J295" s="17">
        <f>E295*(1+iDelta*2)</f>
        <v>104.976</v>
      </c>
    </row>
    <row r="296" spans="1:10" ht="30" customHeight="1" x14ac:dyDescent="0.25">
      <c r="A296" s="17" t="s">
        <v>329</v>
      </c>
      <c r="B296" s="17" t="s">
        <v>409</v>
      </c>
      <c r="C296" s="17" t="s">
        <v>408</v>
      </c>
      <c r="D296" s="17">
        <v>107.14</v>
      </c>
      <c r="E296" s="17">
        <v>109.97</v>
      </c>
      <c r="F296" s="17">
        <v>-2.5734291170319178E-2</v>
      </c>
      <c r="G296" s="51">
        <f>E296*(1-iDelta*2)</f>
        <v>87.975999999999999</v>
      </c>
      <c r="H296" s="17">
        <f>E296*(1-iDelta*1)</f>
        <v>98.972999999999999</v>
      </c>
      <c r="I296" s="17">
        <f>E296*(1+iDelta*1)</f>
        <v>120.96700000000001</v>
      </c>
      <c r="J296" s="17">
        <f>E296*(1+iDelta*2)</f>
        <v>131.964</v>
      </c>
    </row>
    <row r="297" spans="1:10" ht="30" customHeight="1" x14ac:dyDescent="0.25">
      <c r="A297" s="17" t="s">
        <v>330</v>
      </c>
      <c r="B297" s="17" t="s">
        <v>409</v>
      </c>
      <c r="C297" s="17" t="s">
        <v>408</v>
      </c>
      <c r="D297" s="17">
        <v>87.21</v>
      </c>
      <c r="E297" s="17">
        <v>86.45</v>
      </c>
      <c r="F297" s="17">
        <v>8.7912087912087912E-3</v>
      </c>
      <c r="G297" s="51">
        <f>E297*(1-iDelta*2)</f>
        <v>69.160000000000011</v>
      </c>
      <c r="H297" s="17">
        <f>E297*(1-iDelta*1)</f>
        <v>77.805000000000007</v>
      </c>
      <c r="I297" s="17">
        <f>E297*(1+iDelta*1)</f>
        <v>95.095000000000013</v>
      </c>
      <c r="J297" s="17">
        <f>E297*(1+iDelta*2)</f>
        <v>103.74</v>
      </c>
    </row>
    <row r="298" spans="1:10" ht="30" customHeight="1" x14ac:dyDescent="0.25">
      <c r="A298" s="17" t="s">
        <v>331</v>
      </c>
      <c r="B298" s="17" t="s">
        <v>409</v>
      </c>
      <c r="C298" s="17" t="s">
        <v>408</v>
      </c>
      <c r="D298" s="17">
        <v>57.99</v>
      </c>
      <c r="E298" s="17">
        <v>58.36</v>
      </c>
      <c r="F298" s="17">
        <v>-6.3399588759424259E-3</v>
      </c>
      <c r="G298" s="51">
        <f>E298*(1-iDelta*2)</f>
        <v>46.688000000000002</v>
      </c>
      <c r="H298" s="17">
        <f>E298*(1-iDelta*1)</f>
        <v>52.524000000000001</v>
      </c>
      <c r="I298" s="17">
        <f>E298*(1+iDelta*1)</f>
        <v>64.195999999999998</v>
      </c>
      <c r="J298" s="17">
        <f>E298*(1+iDelta*2)</f>
        <v>70.031999999999996</v>
      </c>
    </row>
    <row r="299" spans="1:10" ht="30" customHeight="1" x14ac:dyDescent="0.25">
      <c r="A299" s="17" t="s">
        <v>332</v>
      </c>
      <c r="B299" s="17" t="s">
        <v>409</v>
      </c>
      <c r="C299" s="17" t="s">
        <v>408</v>
      </c>
      <c r="D299" s="17">
        <v>48.3</v>
      </c>
      <c r="E299" s="17">
        <v>48.59</v>
      </c>
      <c r="F299" s="17">
        <v>-5.9683062358509981E-3</v>
      </c>
      <c r="G299" s="51">
        <f>E299*(1-iDelta*2)</f>
        <v>38.872000000000007</v>
      </c>
      <c r="H299" s="17">
        <f>E299*(1-iDelta*1)</f>
        <v>43.731000000000002</v>
      </c>
      <c r="I299" s="17">
        <f>E299*(1+iDelta*1)</f>
        <v>53.449000000000005</v>
      </c>
      <c r="J299" s="17">
        <f>E299*(1+iDelta*2)</f>
        <v>58.308</v>
      </c>
    </row>
    <row r="300" spans="1:10" ht="30" customHeight="1" x14ac:dyDescent="0.25">
      <c r="A300" s="17" t="s">
        <v>333</v>
      </c>
      <c r="B300" s="17" t="s">
        <v>409</v>
      </c>
      <c r="C300" s="17" t="s">
        <v>408</v>
      </c>
      <c r="D300" s="17">
        <v>14.45</v>
      </c>
      <c r="E300" s="17">
        <v>14.23</v>
      </c>
      <c r="F300" s="17">
        <v>1.5460295151089248E-2</v>
      </c>
      <c r="G300" s="51">
        <f>E300*(1-iDelta*2)</f>
        <v>11.384</v>
      </c>
      <c r="H300" s="17">
        <f>E300*(1-iDelta*1)</f>
        <v>12.807</v>
      </c>
      <c r="I300" s="17">
        <f>E300*(1+iDelta*1)</f>
        <v>15.653000000000002</v>
      </c>
      <c r="J300" s="17">
        <f>E300*(1+iDelta*2)</f>
        <v>17.076000000000001</v>
      </c>
    </row>
    <row r="301" spans="1:10" ht="30" customHeight="1" x14ac:dyDescent="0.25">
      <c r="A301" s="17" t="s">
        <v>80</v>
      </c>
      <c r="B301" s="17" t="s">
        <v>412</v>
      </c>
      <c r="C301" s="17" t="s">
        <v>408</v>
      </c>
      <c r="D301" s="17">
        <v>136.43</v>
      </c>
      <c r="E301" s="17">
        <v>138.22999999999999</v>
      </c>
      <c r="F301" s="17">
        <v>-1.3021775302032844E-2</v>
      </c>
      <c r="G301" s="51">
        <f>E301*(1-iDelta*2)</f>
        <v>110.584</v>
      </c>
      <c r="H301" s="17">
        <f>E301*(1-iDelta*1)</f>
        <v>124.407</v>
      </c>
      <c r="I301" s="17">
        <f>E301*(1+iDelta*1)</f>
        <v>152.053</v>
      </c>
      <c r="J301" s="17">
        <f>E301*(1+iDelta*2)</f>
        <v>165.87599999999998</v>
      </c>
    </row>
    <row r="302" spans="1:10" ht="30" customHeight="1" x14ac:dyDescent="0.25">
      <c r="A302" s="17" t="s">
        <v>334</v>
      </c>
      <c r="B302" s="17" t="s">
        <v>409</v>
      </c>
      <c r="C302" s="17" t="s">
        <v>408</v>
      </c>
      <c r="D302" s="17">
        <v>42.88</v>
      </c>
      <c r="E302" s="17">
        <v>42.4</v>
      </c>
      <c r="F302" s="17">
        <v>1.1320754716981131E-2</v>
      </c>
      <c r="G302" s="51">
        <f>E302*(1-iDelta*2)</f>
        <v>33.92</v>
      </c>
      <c r="H302" s="17">
        <f>E302*(1-iDelta*1)</f>
        <v>38.159999999999997</v>
      </c>
      <c r="I302" s="17">
        <f>E302*(1+iDelta*1)</f>
        <v>46.64</v>
      </c>
      <c r="J302" s="17">
        <f>E302*(1+iDelta*2)</f>
        <v>50.879999999999995</v>
      </c>
    </row>
    <row r="303" spans="1:10" ht="30" customHeight="1" x14ac:dyDescent="0.25">
      <c r="A303" s="17" t="s">
        <v>335</v>
      </c>
      <c r="B303" s="17" t="s">
        <v>409</v>
      </c>
      <c r="C303" s="17" t="s">
        <v>408</v>
      </c>
      <c r="D303" s="17">
        <v>3.3</v>
      </c>
      <c r="E303" s="17">
        <v>3.36</v>
      </c>
      <c r="F303" s="17">
        <v>-1.7857142857142856E-2</v>
      </c>
      <c r="G303" s="51">
        <f>E303*(1-iDelta*2)</f>
        <v>2.6880000000000002</v>
      </c>
      <c r="H303" s="17">
        <f>E303*(1-iDelta*1)</f>
        <v>3.024</v>
      </c>
      <c r="I303" s="17">
        <f>E303*(1+iDelta*1)</f>
        <v>3.6960000000000002</v>
      </c>
      <c r="J303" s="17">
        <f>E303*(1+iDelta*2)</f>
        <v>4.032</v>
      </c>
    </row>
    <row r="304" spans="1:10" ht="30" customHeight="1" x14ac:dyDescent="0.25">
      <c r="A304" s="17" t="s">
        <v>81</v>
      </c>
      <c r="B304" s="17" t="s">
        <v>412</v>
      </c>
      <c r="C304" s="17" t="s">
        <v>408</v>
      </c>
      <c r="D304" s="17">
        <v>13.77</v>
      </c>
      <c r="E304" s="17">
        <v>13.93</v>
      </c>
      <c r="F304" s="17">
        <v>-1.148600143575018E-2</v>
      </c>
      <c r="G304" s="51">
        <f>E304*(1-iDelta*2)</f>
        <v>11.144</v>
      </c>
      <c r="H304" s="17">
        <f>E304*(1-iDelta*1)</f>
        <v>12.537000000000001</v>
      </c>
      <c r="I304" s="17">
        <f>E304*(1+iDelta*1)</f>
        <v>15.323</v>
      </c>
      <c r="J304" s="17">
        <f>E304*(1+iDelta*2)</f>
        <v>16.715999999999998</v>
      </c>
    </row>
    <row r="305" spans="1:10" ht="30" customHeight="1" x14ac:dyDescent="0.25">
      <c r="A305" s="17" t="s">
        <v>336</v>
      </c>
      <c r="B305" s="17" t="s">
        <v>409</v>
      </c>
      <c r="C305" s="17" t="s">
        <v>408</v>
      </c>
      <c r="D305" s="17">
        <v>47.6</v>
      </c>
      <c r="E305" s="17">
        <v>47.74</v>
      </c>
      <c r="F305" s="17">
        <v>-2.9325513196480938E-3</v>
      </c>
      <c r="G305" s="51">
        <f>E305*(1-iDelta*2)</f>
        <v>38.192</v>
      </c>
      <c r="H305" s="17">
        <f>E305*(1-iDelta*1)</f>
        <v>42.966000000000001</v>
      </c>
      <c r="I305" s="17">
        <f>E305*(1+iDelta*1)</f>
        <v>52.514000000000003</v>
      </c>
      <c r="J305" s="17">
        <f>E305*(1+iDelta*2)</f>
        <v>57.288000000000004</v>
      </c>
    </row>
    <row r="306" spans="1:10" ht="30" customHeight="1" x14ac:dyDescent="0.25">
      <c r="A306" s="17" t="s">
        <v>82</v>
      </c>
      <c r="B306" s="17" t="s">
        <v>412</v>
      </c>
      <c r="C306" s="17" t="s">
        <v>408</v>
      </c>
      <c r="D306" s="17">
        <v>77.319999999999993</v>
      </c>
      <c r="E306" s="17">
        <v>76.36</v>
      </c>
      <c r="F306" s="17">
        <v>1.2572027239392353E-2</v>
      </c>
      <c r="G306" s="51">
        <f>E306*(1-iDelta*2)</f>
        <v>61.088000000000001</v>
      </c>
      <c r="H306" s="17">
        <f>E306*(1-iDelta*1)</f>
        <v>68.724000000000004</v>
      </c>
      <c r="I306" s="17">
        <f>E306*(1+iDelta*1)</f>
        <v>83.996000000000009</v>
      </c>
      <c r="J306" s="17">
        <f>E306*(1+iDelta*2)</f>
        <v>91.631999999999991</v>
      </c>
    </row>
    <row r="307" spans="1:10" ht="30" customHeight="1" x14ac:dyDescent="0.25">
      <c r="A307" s="17" t="s">
        <v>337</v>
      </c>
      <c r="B307" s="17" t="s">
        <v>409</v>
      </c>
      <c r="C307" s="17" t="s">
        <v>408</v>
      </c>
      <c r="D307" s="17">
        <v>56.79</v>
      </c>
      <c r="E307" s="17">
        <v>57.2</v>
      </c>
      <c r="F307" s="17">
        <v>-7.1678321678321682E-3</v>
      </c>
      <c r="G307" s="51">
        <f>E307*(1-iDelta*2)</f>
        <v>45.760000000000005</v>
      </c>
      <c r="H307" s="17">
        <f>E307*(1-iDelta*1)</f>
        <v>51.480000000000004</v>
      </c>
      <c r="I307" s="17">
        <f>E307*(1+iDelta*1)</f>
        <v>62.920000000000009</v>
      </c>
      <c r="J307" s="17">
        <f>E307*(1+iDelta*2)</f>
        <v>68.64</v>
      </c>
    </row>
    <row r="308" spans="1:10" ht="30" customHeight="1" x14ac:dyDescent="0.25">
      <c r="A308" s="17" t="s">
        <v>338</v>
      </c>
      <c r="B308" s="17" t="s">
        <v>409</v>
      </c>
      <c r="C308" s="17" t="s">
        <v>408</v>
      </c>
      <c r="D308" s="17">
        <v>21.6</v>
      </c>
      <c r="E308" s="17">
        <v>21.39</v>
      </c>
      <c r="F308" s="17">
        <v>9.8176718092566617E-3</v>
      </c>
      <c r="G308" s="51">
        <f>E308*(1-iDelta*2)</f>
        <v>17.112000000000002</v>
      </c>
      <c r="H308" s="17">
        <f>E308*(1-iDelta*1)</f>
        <v>19.251000000000001</v>
      </c>
      <c r="I308" s="17">
        <f>E308*(1+iDelta*1)</f>
        <v>23.529000000000003</v>
      </c>
      <c r="J308" s="17">
        <f>E308*(1+iDelta*2)</f>
        <v>25.667999999999999</v>
      </c>
    </row>
    <row r="309" spans="1:10" ht="30" customHeight="1" x14ac:dyDescent="0.25">
      <c r="A309" s="17" t="s">
        <v>339</v>
      </c>
      <c r="B309" s="17" t="s">
        <v>409</v>
      </c>
      <c r="C309" s="17" t="s">
        <v>408</v>
      </c>
      <c r="D309" s="17">
        <v>26.63</v>
      </c>
      <c r="E309" s="17">
        <v>25.5</v>
      </c>
      <c r="F309" s="17">
        <v>4.4313725490196076E-2</v>
      </c>
      <c r="G309" s="51">
        <f>E309*(1-iDelta*2)</f>
        <v>20.400000000000002</v>
      </c>
      <c r="H309" s="17">
        <f>E309*(1-iDelta*1)</f>
        <v>22.95</v>
      </c>
      <c r="I309" s="17">
        <f>E309*(1+iDelta*1)</f>
        <v>28.05</v>
      </c>
      <c r="J309" s="17">
        <f>E309*(1+iDelta*2)</f>
        <v>30.599999999999998</v>
      </c>
    </row>
    <row r="310" spans="1:10" ht="30" customHeight="1" x14ac:dyDescent="0.25">
      <c r="A310" s="17" t="s">
        <v>340</v>
      </c>
      <c r="B310" s="17" t="s">
        <v>409</v>
      </c>
      <c r="C310" s="17" t="s">
        <v>408</v>
      </c>
      <c r="D310" s="17">
        <v>38.74</v>
      </c>
      <c r="E310" s="17">
        <v>37.5</v>
      </c>
      <c r="F310" s="17">
        <v>3.3066666666666668E-2</v>
      </c>
      <c r="G310" s="51">
        <f>E310*(1-iDelta*2)</f>
        <v>30</v>
      </c>
      <c r="H310" s="17">
        <f>E310*(1-iDelta*1)</f>
        <v>33.75</v>
      </c>
      <c r="I310" s="17">
        <f>E310*(1+iDelta*1)</f>
        <v>41.25</v>
      </c>
      <c r="J310" s="17">
        <f>E310*(1+iDelta*2)</f>
        <v>45</v>
      </c>
    </row>
    <row r="311" spans="1:10" ht="30" customHeight="1" x14ac:dyDescent="0.25">
      <c r="A311" s="17" t="s">
        <v>388</v>
      </c>
      <c r="B311" s="17" t="s">
        <v>409</v>
      </c>
      <c r="C311" s="17" t="s">
        <v>411</v>
      </c>
      <c r="D311" s="17">
        <v>0.19</v>
      </c>
      <c r="E311" s="17">
        <v>0.2</v>
      </c>
      <c r="F311" s="17">
        <v>-0.05</v>
      </c>
      <c r="G311" s="51">
        <f>E311*(1-iDelta*2)</f>
        <v>0.16000000000000003</v>
      </c>
      <c r="H311" s="17">
        <f>E311*(1-iDelta*1)</f>
        <v>0.18000000000000002</v>
      </c>
      <c r="I311" s="17">
        <f>E311*(1+iDelta*1)</f>
        <v>0.22000000000000003</v>
      </c>
      <c r="J311" s="17">
        <f>E311*(1+iDelta*2)</f>
        <v>0.24</v>
      </c>
    </row>
    <row r="312" spans="1:10" ht="30" customHeight="1" x14ac:dyDescent="0.25">
      <c r="A312" s="17" t="s">
        <v>341</v>
      </c>
      <c r="B312" s="17" t="s">
        <v>409</v>
      </c>
      <c r="C312" s="17" t="s">
        <v>408</v>
      </c>
      <c r="D312" s="17">
        <v>73.239999999999995</v>
      </c>
      <c r="E312" s="17">
        <v>73.23</v>
      </c>
      <c r="F312" s="17">
        <v>1.3655605626109517E-4</v>
      </c>
      <c r="G312" s="51">
        <f>E312*(1-iDelta*2)</f>
        <v>58.584000000000003</v>
      </c>
      <c r="H312" s="17">
        <f>E312*(1-iDelta*1)</f>
        <v>65.907000000000011</v>
      </c>
      <c r="I312" s="17">
        <f>E312*(1+iDelta*1)</f>
        <v>80.553000000000011</v>
      </c>
      <c r="J312" s="17">
        <f>E312*(1+iDelta*2)</f>
        <v>87.876000000000005</v>
      </c>
    </row>
    <row r="313" spans="1:10" ht="30" customHeight="1" x14ac:dyDescent="0.25">
      <c r="A313" s="17" t="s">
        <v>58</v>
      </c>
      <c r="B313" s="17" t="s">
        <v>412</v>
      </c>
      <c r="C313" s="17" t="s">
        <v>411</v>
      </c>
      <c r="D313" s="17">
        <v>26.19</v>
      </c>
      <c r="E313" s="17">
        <v>26.32</v>
      </c>
      <c r="F313" s="17">
        <v>-4.9392097264437688E-3</v>
      </c>
      <c r="G313" s="51">
        <f>E313*(1-iDelta*2)</f>
        <v>21.056000000000001</v>
      </c>
      <c r="H313" s="17">
        <f>E313*(1-iDelta*1)</f>
        <v>23.688000000000002</v>
      </c>
      <c r="I313" s="17">
        <f>E313*(1+iDelta*1)</f>
        <v>28.952000000000002</v>
      </c>
      <c r="J313" s="17">
        <f>E313*(1+iDelta*2)</f>
        <v>31.584</v>
      </c>
    </row>
    <row r="314" spans="1:10" ht="30" customHeight="1" x14ac:dyDescent="0.25">
      <c r="A314" s="17" t="s">
        <v>342</v>
      </c>
      <c r="B314" s="17" t="s">
        <v>409</v>
      </c>
      <c r="C314" s="17" t="s">
        <v>408</v>
      </c>
      <c r="D314" s="17">
        <v>144.18</v>
      </c>
      <c r="E314" s="17">
        <v>142.87</v>
      </c>
      <c r="F314" s="17">
        <v>9.169174774270315E-3</v>
      </c>
      <c r="G314" s="51">
        <f>E314*(1-iDelta*2)</f>
        <v>114.29600000000001</v>
      </c>
      <c r="H314" s="17">
        <f>E314*(1-iDelta*1)</f>
        <v>128.583</v>
      </c>
      <c r="I314" s="17">
        <f>E314*(1+iDelta*1)</f>
        <v>157.15700000000001</v>
      </c>
      <c r="J314" s="17">
        <f>E314*(1+iDelta*2)</f>
        <v>171.44399999999999</v>
      </c>
    </row>
    <row r="315" spans="1:10" ht="30" customHeight="1" x14ac:dyDescent="0.25">
      <c r="A315" s="17" t="s">
        <v>392</v>
      </c>
      <c r="B315" s="17" t="s">
        <v>412</v>
      </c>
      <c r="C315" s="17" t="s">
        <v>411</v>
      </c>
      <c r="D315" s="17">
        <v>41.43</v>
      </c>
      <c r="E315" s="17">
        <v>41.2</v>
      </c>
      <c r="F315" s="17">
        <v>5.5825242718446598E-3</v>
      </c>
      <c r="G315" s="51">
        <f>E315*(1-iDelta*2)</f>
        <v>32.96</v>
      </c>
      <c r="H315" s="17">
        <f>E315*(1-iDelta*1)</f>
        <v>37.080000000000005</v>
      </c>
      <c r="I315" s="17">
        <f>E315*(1+iDelta*1)</f>
        <v>45.320000000000007</v>
      </c>
      <c r="J315" s="17">
        <f>E315*(1+iDelta*2)</f>
        <v>49.440000000000005</v>
      </c>
    </row>
    <row r="316" spans="1:10" ht="30" customHeight="1" x14ac:dyDescent="0.25">
      <c r="A316" s="17" t="s">
        <v>393</v>
      </c>
      <c r="B316" s="17" t="s">
        <v>412</v>
      </c>
      <c r="C316" s="17" t="s">
        <v>411</v>
      </c>
      <c r="D316" s="17">
        <v>40.29</v>
      </c>
      <c r="E316" s="17">
        <v>39.909999999999997</v>
      </c>
      <c r="F316" s="17">
        <v>9.5214232022049605E-3</v>
      </c>
      <c r="G316" s="51">
        <f>E316*(1-iDelta*2)</f>
        <v>31.927999999999997</v>
      </c>
      <c r="H316" s="17">
        <f>E316*(1-iDelta*1)</f>
        <v>35.918999999999997</v>
      </c>
      <c r="I316" s="17">
        <f>E316*(1+iDelta*1)</f>
        <v>43.900999999999996</v>
      </c>
      <c r="J316" s="17">
        <f>E316*(1+iDelta*2)</f>
        <v>47.891999999999996</v>
      </c>
    </row>
    <row r="317" spans="1:10" ht="30" customHeight="1" x14ac:dyDescent="0.25">
      <c r="A317" s="17" t="s">
        <v>343</v>
      </c>
      <c r="B317" s="17" t="s">
        <v>409</v>
      </c>
      <c r="C317" s="17" t="s">
        <v>408</v>
      </c>
      <c r="D317" s="17">
        <v>338.82</v>
      </c>
      <c r="E317" s="17">
        <v>341</v>
      </c>
      <c r="F317" s="17">
        <v>-6.392961876832845E-3</v>
      </c>
      <c r="G317" s="51">
        <f>E317*(1-iDelta*2)</f>
        <v>272.8</v>
      </c>
      <c r="H317" s="17">
        <f>E317*(1-iDelta*1)</f>
        <v>306.90000000000003</v>
      </c>
      <c r="I317" s="17">
        <f>E317*(1+iDelta*1)</f>
        <v>375.1</v>
      </c>
      <c r="J317" s="17">
        <f>E317*(1+iDelta*2)</f>
        <v>409.2</v>
      </c>
    </row>
    <row r="318" spans="1:10" ht="30" customHeight="1" x14ac:dyDescent="0.25">
      <c r="A318" s="17" t="s">
        <v>401</v>
      </c>
      <c r="B318" s="17" t="s">
        <v>412</v>
      </c>
      <c r="C318" s="17" t="s">
        <v>411</v>
      </c>
      <c r="D318" s="17">
        <v>35.76</v>
      </c>
      <c r="E318" s="17">
        <v>35.61</v>
      </c>
      <c r="F318" s="17">
        <v>4.2122999157540014E-3</v>
      </c>
      <c r="G318" s="51">
        <f>E318*(1-iDelta*2)</f>
        <v>28.488</v>
      </c>
      <c r="H318" s="17">
        <f>E318*(1-iDelta*1)</f>
        <v>32.048999999999999</v>
      </c>
      <c r="I318" s="17">
        <f>E318*(1+iDelta*1)</f>
        <v>39.170999999999999</v>
      </c>
      <c r="J318" s="17">
        <f>E318*(1+iDelta*2)</f>
        <v>42.731999999999999</v>
      </c>
    </row>
    <row r="319" spans="1:10" ht="30" customHeight="1" x14ac:dyDescent="0.25">
      <c r="A319" s="17" t="s">
        <v>382</v>
      </c>
      <c r="B319" s="17" t="s">
        <v>410</v>
      </c>
      <c r="C319" s="17" t="s">
        <v>411</v>
      </c>
      <c r="D319" s="17">
        <v>0.1262559</v>
      </c>
      <c r="E319" s="17">
        <v>0.12039318</v>
      </c>
      <c r="F319" s="17">
        <v>4.8696446094371793E-2</v>
      </c>
      <c r="G319" s="51">
        <f>E319*(1-iDelta*2)</f>
        <v>9.6314544000000002E-2</v>
      </c>
      <c r="H319" s="17">
        <f>E319*(1-iDelta*1)</f>
        <v>0.10835386200000001</v>
      </c>
      <c r="I319" s="17">
        <f>E319*(1+iDelta*1)</f>
        <v>0.13243249800000001</v>
      </c>
      <c r="J319" s="17">
        <f>E319*(1+iDelta*2)</f>
        <v>0.144471816</v>
      </c>
    </row>
    <row r="320" spans="1:10" ht="30" customHeight="1" x14ac:dyDescent="0.25">
      <c r="A320" s="17" t="s">
        <v>394</v>
      </c>
      <c r="B320" s="17" t="s">
        <v>412</v>
      </c>
      <c r="C320" s="17" t="s">
        <v>411</v>
      </c>
      <c r="D320" s="17">
        <v>98.91</v>
      </c>
      <c r="E320" s="17">
        <v>98.28</v>
      </c>
      <c r="F320" s="17">
        <v>6.41025641025641E-3</v>
      </c>
      <c r="G320" s="51">
        <f>E320*(1-iDelta*2)</f>
        <v>78.624000000000009</v>
      </c>
      <c r="H320" s="17">
        <f>E320*(1-iDelta*1)</f>
        <v>88.451999999999998</v>
      </c>
      <c r="I320" s="17">
        <f>E320*(1+iDelta*1)</f>
        <v>108.108</v>
      </c>
      <c r="J320" s="17">
        <f>E320*(1+iDelta*2)</f>
        <v>117.93599999999999</v>
      </c>
    </row>
    <row r="321" spans="1:10" ht="30" customHeight="1" x14ac:dyDescent="0.25">
      <c r="A321" s="17" t="s">
        <v>83</v>
      </c>
      <c r="B321" s="17" t="s">
        <v>412</v>
      </c>
      <c r="C321" s="17" t="s">
        <v>408</v>
      </c>
      <c r="D321" s="17">
        <v>68.22</v>
      </c>
      <c r="E321" s="17">
        <v>68.44</v>
      </c>
      <c r="F321" s="17">
        <v>-3.2144944476914087E-3</v>
      </c>
      <c r="G321" s="51">
        <f>E321*(1-iDelta*2)</f>
        <v>54.752000000000002</v>
      </c>
      <c r="H321" s="17">
        <f>E321*(1-iDelta*1)</f>
        <v>61.595999999999997</v>
      </c>
      <c r="I321" s="17">
        <f>E321*(1+iDelta*1)</f>
        <v>75.284000000000006</v>
      </c>
      <c r="J321" s="17">
        <f>E321*(1+iDelta*2)</f>
        <v>82.128</v>
      </c>
    </row>
    <row r="322" spans="1:10" ht="30" customHeight="1" x14ac:dyDescent="0.25">
      <c r="A322" s="17" t="s">
        <v>59</v>
      </c>
      <c r="B322" s="17" t="s">
        <v>412</v>
      </c>
      <c r="C322" s="17" t="s">
        <v>408</v>
      </c>
      <c r="D322" s="17">
        <v>89.77</v>
      </c>
      <c r="E322" s="17">
        <v>91.18</v>
      </c>
      <c r="F322" s="17">
        <v>-1.5463917525773196E-2</v>
      </c>
      <c r="G322" s="51">
        <f>E322*(1-iDelta*2)</f>
        <v>72.944000000000003</v>
      </c>
      <c r="H322" s="17">
        <f>E322*(1-iDelta*1)</f>
        <v>82.062000000000012</v>
      </c>
      <c r="I322" s="17">
        <f>E322*(1+iDelta*1)</f>
        <v>100.29800000000002</v>
      </c>
      <c r="J322" s="17">
        <f>E322*(1+iDelta*2)</f>
        <v>109.41600000000001</v>
      </c>
    </row>
    <row r="323" spans="1:10" ht="30" customHeight="1" x14ac:dyDescent="0.25">
      <c r="A323" s="17" t="s">
        <v>402</v>
      </c>
      <c r="B323" s="17" t="s">
        <v>412</v>
      </c>
      <c r="C323" s="17" t="s">
        <v>411</v>
      </c>
      <c r="D323" s="17">
        <v>31.91</v>
      </c>
      <c r="E323" s="17">
        <v>31.86</v>
      </c>
      <c r="F323" s="17">
        <v>1.5693659761456371E-3</v>
      </c>
      <c r="G323" s="51">
        <f>E323*(1-iDelta*2)</f>
        <v>25.488</v>
      </c>
      <c r="H323" s="17">
        <f>E323*(1-iDelta*1)</f>
        <v>28.673999999999999</v>
      </c>
      <c r="I323" s="17">
        <f>E323*(1+iDelta*1)</f>
        <v>35.045999999999999</v>
      </c>
      <c r="J323" s="17">
        <f>E323*(1+iDelta*2)</f>
        <v>38.231999999999999</v>
      </c>
    </row>
    <row r="324" spans="1:10" ht="30" customHeight="1" x14ac:dyDescent="0.25">
      <c r="A324" s="17" t="s">
        <v>344</v>
      </c>
      <c r="B324" s="17" t="s">
        <v>409</v>
      </c>
      <c r="C324" s="17" t="s">
        <v>408</v>
      </c>
      <c r="D324" s="17">
        <v>22.47</v>
      </c>
      <c r="E324" s="17">
        <v>22.98</v>
      </c>
      <c r="F324" s="17">
        <v>-2.2193211488250653E-2</v>
      </c>
      <c r="G324" s="51">
        <f>E324*(1-iDelta*2)</f>
        <v>18.384</v>
      </c>
      <c r="H324" s="17">
        <f>E324*(1-iDelta*1)</f>
        <v>20.682000000000002</v>
      </c>
      <c r="I324" s="17">
        <f>E324*(1+iDelta*1)</f>
        <v>25.278000000000002</v>
      </c>
      <c r="J324" s="17">
        <f>E324*(1+iDelta*2)</f>
        <v>27.576000000000001</v>
      </c>
    </row>
    <row r="325" spans="1:10" ht="30" customHeight="1" x14ac:dyDescent="0.25">
      <c r="A325" s="17" t="s">
        <v>345</v>
      </c>
      <c r="B325" s="17" t="s">
        <v>409</v>
      </c>
      <c r="C325" s="17" t="s">
        <v>408</v>
      </c>
      <c r="D325" s="17">
        <v>66.5</v>
      </c>
      <c r="E325" s="17">
        <v>65.709999999999994</v>
      </c>
      <c r="F325" s="17">
        <v>1.2022523208035306E-2</v>
      </c>
      <c r="G325" s="51">
        <f>E325*(1-iDelta*2)</f>
        <v>52.567999999999998</v>
      </c>
      <c r="H325" s="17">
        <f>E325*(1-iDelta*1)</f>
        <v>59.138999999999996</v>
      </c>
      <c r="I325" s="17">
        <f>E325*(1+iDelta*1)</f>
        <v>72.281000000000006</v>
      </c>
      <c r="J325" s="17">
        <f>E325*(1+iDelta*2)</f>
        <v>78.85199999999999</v>
      </c>
    </row>
    <row r="326" spans="1:10" ht="30" customHeight="1" x14ac:dyDescent="0.25">
      <c r="A326" s="17" t="s">
        <v>60</v>
      </c>
      <c r="B326" s="17" t="s">
        <v>412</v>
      </c>
      <c r="C326" s="17" t="s">
        <v>408</v>
      </c>
      <c r="D326" s="17">
        <v>106.91</v>
      </c>
      <c r="E326" s="17">
        <v>107.1</v>
      </c>
      <c r="F326" s="17">
        <v>-1.7740429505135387E-3</v>
      </c>
      <c r="G326" s="51">
        <f>E326*(1-iDelta*2)</f>
        <v>85.68</v>
      </c>
      <c r="H326" s="17">
        <f>E326*(1-iDelta*1)</f>
        <v>96.39</v>
      </c>
      <c r="I326" s="17">
        <f>E326*(1+iDelta*1)</f>
        <v>117.81</v>
      </c>
      <c r="J326" s="17">
        <f>E326*(1+iDelta*2)</f>
        <v>128.51999999999998</v>
      </c>
    </row>
    <row r="327" spans="1:10" ht="30" customHeight="1" x14ac:dyDescent="0.25">
      <c r="A327" s="17" t="s">
        <v>45</v>
      </c>
      <c r="B327" s="17" t="s">
        <v>412</v>
      </c>
      <c r="C327" s="17" t="s">
        <v>408</v>
      </c>
      <c r="D327" s="17">
        <v>406.86</v>
      </c>
      <c r="E327" s="17">
        <v>406.16</v>
      </c>
      <c r="F327" s="17">
        <v>1.7234587354737049E-3</v>
      </c>
      <c r="G327" s="51">
        <f>E327*(1-iDelta*2)</f>
        <v>324.92800000000005</v>
      </c>
      <c r="H327" s="17">
        <f>E327*(1-iDelta*1)</f>
        <v>365.54400000000004</v>
      </c>
      <c r="I327" s="17">
        <f>E327*(1+iDelta*1)</f>
        <v>446.77600000000007</v>
      </c>
      <c r="J327" s="17">
        <f>E327*(1+iDelta*2)</f>
        <v>487.392</v>
      </c>
    </row>
    <row r="328" spans="1:10" ht="30" customHeight="1" x14ac:dyDescent="0.25">
      <c r="A328" s="17" t="s">
        <v>346</v>
      </c>
      <c r="B328" s="17" t="s">
        <v>409</v>
      </c>
      <c r="C328" s="17" t="s">
        <v>408</v>
      </c>
      <c r="D328" s="17">
        <v>36.68</v>
      </c>
      <c r="E328" s="17">
        <v>36.15</v>
      </c>
      <c r="F328" s="17">
        <v>1.4661134163208852E-2</v>
      </c>
      <c r="G328" s="51">
        <f>E328*(1-iDelta*2)</f>
        <v>28.92</v>
      </c>
      <c r="H328" s="17">
        <f>E328*(1-iDelta*1)</f>
        <v>32.534999999999997</v>
      </c>
      <c r="I328" s="17">
        <f>E328*(1+iDelta*1)</f>
        <v>39.765000000000001</v>
      </c>
      <c r="J328" s="17">
        <f>E328*(1+iDelta*2)</f>
        <v>43.379999999999995</v>
      </c>
    </row>
    <row r="329" spans="1:10" ht="30" customHeight="1" x14ac:dyDescent="0.25">
      <c r="A329" s="17" t="s">
        <v>61</v>
      </c>
      <c r="B329" s="17" t="s">
        <v>412</v>
      </c>
      <c r="C329" s="17" t="s">
        <v>411</v>
      </c>
      <c r="D329" s="17">
        <v>37.19</v>
      </c>
      <c r="E329" s="17">
        <v>36.94</v>
      </c>
      <c r="F329" s="17">
        <v>6.7677314564158096E-3</v>
      </c>
      <c r="G329" s="51">
        <f>E329*(1-iDelta*2)</f>
        <v>29.552</v>
      </c>
      <c r="H329" s="17">
        <f>E329*(1-iDelta*1)</f>
        <v>33.246000000000002</v>
      </c>
      <c r="I329" s="17">
        <f>E329*(1+iDelta*1)</f>
        <v>40.634</v>
      </c>
      <c r="J329" s="17">
        <f>E329*(1+iDelta*2)</f>
        <v>44.327999999999996</v>
      </c>
    </row>
    <row r="330" spans="1:10" ht="30" customHeight="1" x14ac:dyDescent="0.25">
      <c r="A330" s="17" t="s">
        <v>347</v>
      </c>
      <c r="B330" s="17" t="s">
        <v>409</v>
      </c>
      <c r="C330" s="17" t="s">
        <v>408</v>
      </c>
      <c r="D330" s="17">
        <v>20.07</v>
      </c>
      <c r="E330" s="17">
        <v>19.64</v>
      </c>
      <c r="F330" s="17">
        <v>2.1894093686354379E-2</v>
      </c>
      <c r="G330" s="51">
        <f>E330*(1-iDelta*2)</f>
        <v>15.712000000000002</v>
      </c>
      <c r="H330" s="17">
        <f>E330*(1-iDelta*1)</f>
        <v>17.676000000000002</v>
      </c>
      <c r="I330" s="17">
        <f>E330*(1+iDelta*1)</f>
        <v>21.604000000000003</v>
      </c>
      <c r="J330" s="17">
        <f>E330*(1+iDelta*2)</f>
        <v>23.568000000000001</v>
      </c>
    </row>
    <row r="331" spans="1:10" ht="30" customHeight="1" x14ac:dyDescent="0.25">
      <c r="A331" s="17" t="s">
        <v>348</v>
      </c>
      <c r="B331" s="17" t="s">
        <v>409</v>
      </c>
      <c r="C331" s="17" t="s">
        <v>408</v>
      </c>
      <c r="D331" s="17">
        <v>46.9</v>
      </c>
      <c r="E331" s="17">
        <v>46.02</v>
      </c>
      <c r="F331" s="17">
        <v>1.912212081703607E-2</v>
      </c>
      <c r="G331" s="51">
        <f>E331*(1-iDelta*2)</f>
        <v>36.816000000000003</v>
      </c>
      <c r="H331" s="17">
        <f>E331*(1-iDelta*1)</f>
        <v>41.418000000000006</v>
      </c>
      <c r="I331" s="17">
        <f>E331*(1+iDelta*1)</f>
        <v>50.622000000000007</v>
      </c>
      <c r="J331" s="17">
        <f>E331*(1+iDelta*2)</f>
        <v>55.224000000000004</v>
      </c>
    </row>
    <row r="332" spans="1:10" ht="30" customHeight="1" x14ac:dyDescent="0.25">
      <c r="A332" s="17" t="s">
        <v>395</v>
      </c>
      <c r="B332" s="17" t="s">
        <v>412</v>
      </c>
      <c r="C332" s="17" t="s">
        <v>411</v>
      </c>
      <c r="D332" s="17">
        <v>74.349999999999994</v>
      </c>
      <c r="E332" s="17">
        <v>74.209999999999994</v>
      </c>
      <c r="F332" s="17">
        <v>1.8865382023985986E-3</v>
      </c>
      <c r="G332" s="51">
        <f>E332*(1-iDelta*2)</f>
        <v>59.367999999999995</v>
      </c>
      <c r="H332" s="17">
        <f>E332*(1-iDelta*1)</f>
        <v>66.789000000000001</v>
      </c>
      <c r="I332" s="17">
        <f>E332*(1+iDelta*1)</f>
        <v>81.631</v>
      </c>
      <c r="J332" s="17">
        <f>E332*(1+iDelta*2)</f>
        <v>89.051999999999992</v>
      </c>
    </row>
    <row r="333" spans="1:10" ht="30" customHeight="1" x14ac:dyDescent="0.25">
      <c r="A333" s="17" t="s">
        <v>62</v>
      </c>
      <c r="B333" s="17" t="s">
        <v>412</v>
      </c>
      <c r="C333" s="17" t="s">
        <v>408</v>
      </c>
      <c r="D333" s="17">
        <v>228.87</v>
      </c>
      <c r="E333" s="17">
        <v>228.59</v>
      </c>
      <c r="F333" s="17">
        <v>1.224900476836257E-3</v>
      </c>
      <c r="G333" s="51">
        <f>E333*(1-iDelta*2)</f>
        <v>182.87200000000001</v>
      </c>
      <c r="H333" s="17">
        <f>E333*(1-iDelta*1)</f>
        <v>205.73099999999999</v>
      </c>
      <c r="I333" s="17">
        <f>E333*(1+iDelta*1)</f>
        <v>251.44900000000001</v>
      </c>
      <c r="J333" s="17">
        <f>E333*(1+iDelta*2)</f>
        <v>274.30799999999999</v>
      </c>
    </row>
    <row r="334" spans="1:10" ht="30" customHeight="1" x14ac:dyDescent="0.25">
      <c r="A334" s="17" t="s">
        <v>349</v>
      </c>
      <c r="B334" s="17" t="s">
        <v>409</v>
      </c>
      <c r="C334" s="17" t="s">
        <v>408</v>
      </c>
      <c r="D334" s="17">
        <v>42.01</v>
      </c>
      <c r="E334" s="17">
        <v>44.95</v>
      </c>
      <c r="F334" s="17">
        <v>-6.540600667408232E-2</v>
      </c>
      <c r="G334" s="51">
        <f>E334*(1-iDelta*2)</f>
        <v>35.96</v>
      </c>
      <c r="H334" s="17">
        <f>E334*(1-iDelta*1)</f>
        <v>40.455000000000005</v>
      </c>
      <c r="I334" s="17">
        <f>E334*(1+iDelta*1)</f>
        <v>49.445000000000007</v>
      </c>
      <c r="J334" s="17">
        <f>E334*(1+iDelta*2)</f>
        <v>53.940000000000005</v>
      </c>
    </row>
    <row r="335" spans="1:10" ht="30" customHeight="1" x14ac:dyDescent="0.25">
      <c r="A335" s="17" t="s">
        <v>84</v>
      </c>
      <c r="B335" s="17" t="s">
        <v>412</v>
      </c>
      <c r="C335" s="17" t="s">
        <v>408</v>
      </c>
      <c r="D335" s="17">
        <v>51.27</v>
      </c>
      <c r="E335" s="17">
        <v>51.62</v>
      </c>
      <c r="F335" s="17">
        <v>-6.7803177063153813E-3</v>
      </c>
      <c r="G335" s="51">
        <f>E335*(1-iDelta*2)</f>
        <v>41.295999999999999</v>
      </c>
      <c r="H335" s="17">
        <f>E335*(1-iDelta*1)</f>
        <v>46.457999999999998</v>
      </c>
      <c r="I335" s="17">
        <f>E335*(1+iDelta*1)</f>
        <v>56.782000000000004</v>
      </c>
      <c r="J335" s="17">
        <f>E335*(1+iDelta*2)</f>
        <v>61.943999999999996</v>
      </c>
    </row>
    <row r="336" spans="1:10" ht="30" customHeight="1" x14ac:dyDescent="0.25">
      <c r="A336" s="17" t="s">
        <v>350</v>
      </c>
      <c r="B336" s="17" t="s">
        <v>409</v>
      </c>
      <c r="C336" s="17" t="s">
        <v>408</v>
      </c>
      <c r="D336" s="17">
        <v>18.59</v>
      </c>
      <c r="E336" s="17">
        <v>18.5</v>
      </c>
      <c r="F336" s="17">
        <v>4.8648648648648646E-3</v>
      </c>
      <c r="G336" s="51">
        <f>E336*(1-iDelta*2)</f>
        <v>14.8</v>
      </c>
      <c r="H336" s="17">
        <f>E336*(1-iDelta*1)</f>
        <v>16.650000000000002</v>
      </c>
      <c r="I336" s="17">
        <f>E336*(1+iDelta*1)</f>
        <v>20.350000000000001</v>
      </c>
      <c r="J336" s="17">
        <f>E336*(1+iDelta*2)</f>
        <v>22.2</v>
      </c>
    </row>
    <row r="337" spans="1:10" ht="30" customHeight="1" x14ac:dyDescent="0.25">
      <c r="A337" s="17" t="s">
        <v>351</v>
      </c>
      <c r="B337" s="17" t="s">
        <v>409</v>
      </c>
      <c r="C337" s="17" t="s">
        <v>408</v>
      </c>
      <c r="D337" s="17">
        <v>85.18</v>
      </c>
      <c r="E337" s="17">
        <v>86.58</v>
      </c>
      <c r="F337" s="17">
        <v>-1.617001617001617E-2</v>
      </c>
      <c r="G337" s="51">
        <f>E337*(1-iDelta*2)</f>
        <v>69.263999999999996</v>
      </c>
      <c r="H337" s="17">
        <f>E337*(1-iDelta*1)</f>
        <v>77.921999999999997</v>
      </c>
      <c r="I337" s="17">
        <f>E337*(1+iDelta*1)</f>
        <v>95.238</v>
      </c>
      <c r="J337" s="17">
        <f>E337*(1+iDelta*2)</f>
        <v>103.896</v>
      </c>
    </row>
    <row r="338" spans="1:10" ht="30" customHeight="1" x14ac:dyDescent="0.25">
      <c r="A338" s="17" t="s">
        <v>352</v>
      </c>
      <c r="B338" s="17" t="s">
        <v>409</v>
      </c>
      <c r="C338" s="17" t="s">
        <v>408</v>
      </c>
      <c r="D338" s="17">
        <v>48.77</v>
      </c>
      <c r="E338" s="17">
        <v>46.99</v>
      </c>
      <c r="F338" s="17">
        <v>3.7880400085124492E-2</v>
      </c>
      <c r="G338" s="51">
        <f>E338*(1-iDelta*2)</f>
        <v>37.592000000000006</v>
      </c>
      <c r="H338" s="17">
        <f>E338*(1-iDelta*1)</f>
        <v>42.291000000000004</v>
      </c>
      <c r="I338" s="17">
        <f>E338*(1+iDelta*1)</f>
        <v>51.689000000000007</v>
      </c>
      <c r="J338" s="17">
        <f>E338*(1+iDelta*2)</f>
        <v>56.387999999999998</v>
      </c>
    </row>
    <row r="339" spans="1:10" ht="30" customHeight="1" x14ac:dyDescent="0.25">
      <c r="A339" s="17" t="s">
        <v>353</v>
      </c>
      <c r="B339" s="17" t="s">
        <v>409</v>
      </c>
      <c r="C339" s="17" t="s">
        <v>408</v>
      </c>
      <c r="D339" s="17">
        <v>74.400000000000006</v>
      </c>
      <c r="E339" s="17">
        <v>73.989999999999995</v>
      </c>
      <c r="F339" s="17">
        <v>5.5412893634274899E-3</v>
      </c>
      <c r="G339" s="51">
        <f>E339*(1-iDelta*2)</f>
        <v>59.192</v>
      </c>
      <c r="H339" s="17">
        <f>E339*(1-iDelta*1)</f>
        <v>66.590999999999994</v>
      </c>
      <c r="I339" s="17">
        <f>E339*(1+iDelta*1)</f>
        <v>81.388999999999996</v>
      </c>
      <c r="J339" s="17">
        <f>E339*(1+iDelta*2)</f>
        <v>88.787999999999997</v>
      </c>
    </row>
    <row r="340" spans="1:10" ht="30" customHeight="1" x14ac:dyDescent="0.25">
      <c r="A340" s="17" t="s">
        <v>354</v>
      </c>
      <c r="B340" s="17" t="s">
        <v>409</v>
      </c>
      <c r="C340" s="17" t="s">
        <v>408</v>
      </c>
      <c r="D340" s="17">
        <v>82.24</v>
      </c>
      <c r="E340" s="17">
        <v>80.959999999999994</v>
      </c>
      <c r="F340" s="17">
        <v>1.5810276679841896E-2</v>
      </c>
      <c r="G340" s="51">
        <f>E340*(1-iDelta*2)</f>
        <v>64.768000000000001</v>
      </c>
      <c r="H340" s="17">
        <f>E340*(1-iDelta*1)</f>
        <v>72.86399999999999</v>
      </c>
      <c r="I340" s="17">
        <f>E340*(1+iDelta*1)</f>
        <v>89.055999999999997</v>
      </c>
      <c r="J340" s="17">
        <f>E340*(1+iDelta*2)</f>
        <v>97.151999999999987</v>
      </c>
    </row>
    <row r="341" spans="1:10" ht="30" customHeight="1" x14ac:dyDescent="0.25">
      <c r="A341" s="17" t="s">
        <v>355</v>
      </c>
      <c r="B341" s="17" t="s">
        <v>409</v>
      </c>
      <c r="C341" s="17" t="s">
        <v>408</v>
      </c>
      <c r="D341" s="17">
        <v>15.06</v>
      </c>
      <c r="E341" s="17">
        <v>14.55</v>
      </c>
      <c r="F341" s="17">
        <v>3.5051546391752578E-2</v>
      </c>
      <c r="G341" s="51">
        <f>E341*(1-iDelta*2)</f>
        <v>11.64</v>
      </c>
      <c r="H341" s="17">
        <f>E341*(1-iDelta*1)</f>
        <v>13.095000000000001</v>
      </c>
      <c r="I341" s="17">
        <f>E341*(1+iDelta*1)</f>
        <v>16.005000000000003</v>
      </c>
      <c r="J341" s="17">
        <f>E341*(1+iDelta*2)</f>
        <v>17.46</v>
      </c>
    </row>
    <row r="342" spans="1:10" ht="30" customHeight="1" x14ac:dyDescent="0.25">
      <c r="A342" s="17" t="s">
        <v>356</v>
      </c>
      <c r="B342" s="17" t="s">
        <v>409</v>
      </c>
      <c r="C342" s="17" t="s">
        <v>408</v>
      </c>
      <c r="D342" s="17">
        <v>23.71</v>
      </c>
      <c r="E342" s="17">
        <v>22.49</v>
      </c>
      <c r="F342" s="17">
        <v>5.42463317029791E-2</v>
      </c>
      <c r="G342" s="51">
        <f>E342*(1-iDelta*2)</f>
        <v>17.992000000000001</v>
      </c>
      <c r="H342" s="17">
        <f>E342*(1-iDelta*1)</f>
        <v>20.241</v>
      </c>
      <c r="I342" s="17">
        <f>E342*(1+iDelta*1)</f>
        <v>24.739000000000001</v>
      </c>
      <c r="J342" s="17">
        <f>E342*(1+iDelta*2)</f>
        <v>26.987999999999996</v>
      </c>
    </row>
    <row r="343" spans="1:10" ht="30" customHeight="1" x14ac:dyDescent="0.25">
      <c r="A343" s="17" t="s">
        <v>357</v>
      </c>
      <c r="B343" s="17" t="s">
        <v>409</v>
      </c>
      <c r="C343" s="17" t="s">
        <v>408</v>
      </c>
      <c r="D343" s="17">
        <v>3.2</v>
      </c>
      <c r="E343" s="17">
        <v>3.16</v>
      </c>
      <c r="F343" s="17">
        <v>1.2658227848101266E-2</v>
      </c>
      <c r="G343" s="51">
        <f>E343*(1-iDelta*2)</f>
        <v>2.5280000000000005</v>
      </c>
      <c r="H343" s="17">
        <f>E343*(1-iDelta*1)</f>
        <v>2.8440000000000003</v>
      </c>
      <c r="I343" s="17">
        <f>E343*(1+iDelta*1)</f>
        <v>3.4760000000000004</v>
      </c>
      <c r="J343" s="17">
        <f>E343*(1+iDelta*2)</f>
        <v>3.7919999999999998</v>
      </c>
    </row>
    <row r="344" spans="1:10" ht="30" customHeight="1" x14ac:dyDescent="0.25">
      <c r="A344" s="17" t="s">
        <v>358</v>
      </c>
      <c r="B344" s="17" t="s">
        <v>409</v>
      </c>
      <c r="C344" s="17" t="s">
        <v>408</v>
      </c>
      <c r="D344" s="17">
        <v>25.91</v>
      </c>
      <c r="E344" s="17">
        <v>25.31</v>
      </c>
      <c r="F344" s="17">
        <v>2.3706045041485577E-2</v>
      </c>
      <c r="G344" s="51">
        <f>E344*(1-iDelta*2)</f>
        <v>20.248000000000001</v>
      </c>
      <c r="H344" s="17">
        <f>E344*(1-iDelta*1)</f>
        <v>22.779</v>
      </c>
      <c r="I344" s="17">
        <f>E344*(1+iDelta*1)</f>
        <v>27.841000000000001</v>
      </c>
      <c r="J344" s="17">
        <f>E344*(1+iDelta*2)</f>
        <v>30.371999999999996</v>
      </c>
    </row>
    <row r="345" spans="1:10" ht="30" customHeight="1" x14ac:dyDescent="0.25">
      <c r="A345" s="17" t="s">
        <v>396</v>
      </c>
      <c r="B345" s="17" t="s">
        <v>412</v>
      </c>
      <c r="C345" s="17" t="s">
        <v>411</v>
      </c>
      <c r="D345" s="17">
        <v>34.590000000000003</v>
      </c>
      <c r="E345" s="17">
        <v>34.450000000000003</v>
      </c>
      <c r="F345" s="17">
        <v>4.0638606676342524E-3</v>
      </c>
      <c r="G345" s="51">
        <f>E345*(1-iDelta*2)</f>
        <v>27.560000000000002</v>
      </c>
      <c r="H345" s="17">
        <f>E345*(1-iDelta*1)</f>
        <v>31.005000000000003</v>
      </c>
      <c r="I345" s="17">
        <f>E345*(1+iDelta*1)</f>
        <v>37.895000000000003</v>
      </c>
      <c r="J345" s="17">
        <f>E345*(1+iDelta*2)</f>
        <v>41.34</v>
      </c>
    </row>
    <row r="346" spans="1:10" ht="30" customHeight="1" x14ac:dyDescent="0.25">
      <c r="A346" s="17" t="s">
        <v>397</v>
      </c>
      <c r="B346" s="17" t="s">
        <v>412</v>
      </c>
      <c r="C346" s="17" t="s">
        <v>411</v>
      </c>
      <c r="D346" s="17">
        <v>35.590000000000003</v>
      </c>
      <c r="E346" s="17">
        <v>35.61</v>
      </c>
      <c r="F346" s="17">
        <v>-5.6163998876720023E-4</v>
      </c>
      <c r="G346" s="51">
        <f>E346*(1-iDelta*2)</f>
        <v>28.488</v>
      </c>
      <c r="H346" s="17">
        <f>E346*(1-iDelta*1)</f>
        <v>32.048999999999999</v>
      </c>
      <c r="I346" s="17">
        <f>E346*(1+iDelta*1)</f>
        <v>39.170999999999999</v>
      </c>
      <c r="J346" s="17">
        <f>E346*(1+iDelta*2)</f>
        <v>42.731999999999999</v>
      </c>
    </row>
    <row r="347" spans="1:10" ht="30" customHeight="1" x14ac:dyDescent="0.25">
      <c r="A347" s="17" t="s">
        <v>398</v>
      </c>
      <c r="B347" s="17" t="s">
        <v>412</v>
      </c>
      <c r="C347" s="17" t="s">
        <v>411</v>
      </c>
      <c r="D347" s="17">
        <v>31.17</v>
      </c>
      <c r="E347" s="17">
        <v>30.98</v>
      </c>
      <c r="F347" s="17">
        <v>6.1329890251775338E-3</v>
      </c>
      <c r="G347" s="51">
        <f>E347*(1-iDelta*2)</f>
        <v>24.784000000000002</v>
      </c>
      <c r="H347" s="17">
        <f>E347*(1-iDelta*1)</f>
        <v>27.882000000000001</v>
      </c>
      <c r="I347" s="17">
        <f>E347*(1+iDelta*1)</f>
        <v>34.078000000000003</v>
      </c>
      <c r="J347" s="17">
        <f>E347*(1+iDelta*2)</f>
        <v>37.176000000000002</v>
      </c>
    </row>
    <row r="348" spans="1:10" ht="30" customHeight="1" x14ac:dyDescent="0.25">
      <c r="A348" s="17" t="s">
        <v>383</v>
      </c>
      <c r="B348" s="17" t="s">
        <v>410</v>
      </c>
      <c r="C348" s="17" t="s">
        <v>411</v>
      </c>
      <c r="D348" s="17">
        <v>0.37052976999999998</v>
      </c>
      <c r="E348" s="17">
        <v>0.35704817999999999</v>
      </c>
      <c r="F348" s="17">
        <v>3.7758461617140859E-2</v>
      </c>
      <c r="G348" s="51">
        <f>E348*(1-iDelta*2)</f>
        <v>0.28563854399999999</v>
      </c>
      <c r="H348" s="17">
        <f>E348*(1-iDelta*1)</f>
        <v>0.32134336200000002</v>
      </c>
      <c r="I348" s="17">
        <f>E348*(1+iDelta*1)</f>
        <v>0.39275299800000002</v>
      </c>
      <c r="J348" s="17">
        <f>E348*(1+iDelta*2)</f>
        <v>0.42845781599999999</v>
      </c>
    </row>
    <row r="349" spans="1:10" ht="30" customHeight="1" x14ac:dyDescent="0.25">
      <c r="A349" s="17" t="s">
        <v>384</v>
      </c>
      <c r="B349" s="17" t="s">
        <v>410</v>
      </c>
      <c r="C349" s="17" t="s">
        <v>411</v>
      </c>
      <c r="D349" s="17">
        <v>327.20569999999998</v>
      </c>
      <c r="E349" s="17">
        <v>329.38046000000003</v>
      </c>
      <c r="F349" s="17">
        <v>-6.6025774570841267E-3</v>
      </c>
      <c r="G349" s="51">
        <f>E349*(1-iDelta*2)</f>
        <v>263.50436800000006</v>
      </c>
      <c r="H349" s="17">
        <f>E349*(1-iDelta*1)</f>
        <v>296.44241400000004</v>
      </c>
      <c r="I349" s="17">
        <f>E349*(1+iDelta*1)</f>
        <v>362.31850600000007</v>
      </c>
      <c r="J349" s="17">
        <f>E349*(1+iDelta*2)</f>
        <v>395.256552</v>
      </c>
    </row>
    <row r="350" spans="1:10" ht="30" customHeight="1" x14ac:dyDescent="0.25">
      <c r="A350" s="17" t="s">
        <v>359</v>
      </c>
      <c r="B350" s="17" t="s">
        <v>409</v>
      </c>
      <c r="C350" s="17" t="s">
        <v>408</v>
      </c>
      <c r="D350" s="17">
        <v>3.87</v>
      </c>
      <c r="E350" s="17">
        <v>3.7</v>
      </c>
      <c r="F350" s="17">
        <v>4.5945945945945948E-2</v>
      </c>
      <c r="G350" s="51">
        <f>E350*(1-iDelta*2)</f>
        <v>2.9600000000000004</v>
      </c>
      <c r="H350" s="17">
        <f>E350*(1-iDelta*1)</f>
        <v>3.33</v>
      </c>
      <c r="I350" s="17">
        <f>E350*(1+iDelta*1)</f>
        <v>4.07</v>
      </c>
      <c r="J350" s="17">
        <f>E350*(1+iDelta*2)</f>
        <v>4.4400000000000004</v>
      </c>
    </row>
    <row r="351" spans="1:10" ht="30" customHeight="1" x14ac:dyDescent="0.25">
      <c r="A351" s="17" t="s">
        <v>360</v>
      </c>
      <c r="B351" s="17" t="s">
        <v>409</v>
      </c>
      <c r="C351" s="17" t="s">
        <v>408</v>
      </c>
      <c r="D351" s="17">
        <v>57.86</v>
      </c>
      <c r="E351" s="17">
        <v>57.2</v>
      </c>
      <c r="F351" s="17">
        <v>1.1538461538461539E-2</v>
      </c>
      <c r="G351" s="51">
        <f>E351*(1-iDelta*2)</f>
        <v>45.760000000000005</v>
      </c>
      <c r="H351" s="17">
        <f>E351*(1-iDelta*1)</f>
        <v>51.480000000000004</v>
      </c>
      <c r="I351" s="17">
        <f>E351*(1+iDelta*1)</f>
        <v>62.920000000000009</v>
      </c>
      <c r="J351" s="17">
        <f>E351*(1+iDelta*2)</f>
        <v>68.64</v>
      </c>
    </row>
    <row r="352" spans="1:10" ht="30" customHeight="1" x14ac:dyDescent="0.25">
      <c r="A352" s="17" t="s">
        <v>361</v>
      </c>
      <c r="B352" s="17" t="s">
        <v>409</v>
      </c>
      <c r="C352" s="17" t="s">
        <v>408</v>
      </c>
      <c r="D352" s="17">
        <v>85.55</v>
      </c>
      <c r="E352" s="17">
        <v>83.14</v>
      </c>
      <c r="F352" s="17">
        <v>2.8987250420976666E-2</v>
      </c>
      <c r="G352" s="51">
        <f>E352*(1-iDelta*2)</f>
        <v>66.512</v>
      </c>
      <c r="H352" s="17">
        <f>E352*(1-iDelta*1)</f>
        <v>74.826000000000008</v>
      </c>
      <c r="I352" s="17">
        <f>E352*(1+iDelta*1)</f>
        <v>91.454000000000008</v>
      </c>
      <c r="J352" s="17">
        <f>E352*(1+iDelta*2)</f>
        <v>99.768000000000001</v>
      </c>
    </row>
    <row r="353" spans="1:10" ht="30" customHeight="1" x14ac:dyDescent="0.25">
      <c r="A353" s="17" t="s">
        <v>385</v>
      </c>
      <c r="B353" s="17" t="s">
        <v>410</v>
      </c>
      <c r="C353" s="17" t="s">
        <v>411</v>
      </c>
      <c r="D353" s="17">
        <v>0.98726369999999997</v>
      </c>
      <c r="E353" s="17">
        <v>0.93435219999999997</v>
      </c>
      <c r="F353" s="17">
        <v>5.6629074132859107E-2</v>
      </c>
      <c r="G353" s="51">
        <f>E353*(1-iDelta*2)</f>
        <v>0.74748176</v>
      </c>
      <c r="H353" s="17">
        <f>E353*(1-iDelta*1)</f>
        <v>0.84091698000000004</v>
      </c>
      <c r="I353" s="17">
        <f>E353*(1+iDelta*1)</f>
        <v>1.0277874200000001</v>
      </c>
      <c r="J353" s="17">
        <f>E353*(1+iDelta*2)</f>
        <v>1.1212226399999998</v>
      </c>
    </row>
    <row r="354" spans="1:10" ht="30" customHeight="1" x14ac:dyDescent="0.25">
      <c r="A354" s="17" t="s">
        <v>63</v>
      </c>
      <c r="B354" s="17" t="s">
        <v>412</v>
      </c>
      <c r="C354" s="17" t="s">
        <v>411</v>
      </c>
      <c r="D354" s="17">
        <v>47.71</v>
      </c>
      <c r="E354" s="17">
        <v>47.65</v>
      </c>
      <c r="F354" s="17">
        <v>1.2591815320041973E-3</v>
      </c>
      <c r="G354" s="51">
        <f>E354*(1-iDelta*2)</f>
        <v>38.119999999999997</v>
      </c>
      <c r="H354" s="17">
        <f>E354*(1-iDelta*1)</f>
        <v>42.884999999999998</v>
      </c>
      <c r="I354" s="17">
        <f>E354*(1+iDelta*1)</f>
        <v>52.414999999999999</v>
      </c>
      <c r="J354" s="17">
        <f>E354*(1+iDelta*2)</f>
        <v>57.18</v>
      </c>
    </row>
    <row r="355" spans="1:10" ht="30" customHeight="1" x14ac:dyDescent="0.25">
      <c r="A355" s="17" t="s">
        <v>399</v>
      </c>
      <c r="B355" s="17" t="s">
        <v>412</v>
      </c>
      <c r="C355" s="17" t="s">
        <v>411</v>
      </c>
      <c r="D355" s="17">
        <v>69</v>
      </c>
      <c r="E355" s="17">
        <v>68.47</v>
      </c>
      <c r="F355" s="17">
        <v>7.7406163283189715E-3</v>
      </c>
      <c r="G355" s="51">
        <f>E355*(1-iDelta*2)</f>
        <v>54.776000000000003</v>
      </c>
      <c r="H355" s="17">
        <f>E355*(1-iDelta*1)</f>
        <v>61.622999999999998</v>
      </c>
      <c r="I355" s="17">
        <f>E355*(1+iDelta*1)</f>
        <v>75.317000000000007</v>
      </c>
      <c r="J355" s="17">
        <f>E355*(1+iDelta*2)</f>
        <v>82.164000000000001</v>
      </c>
    </row>
    <row r="356" spans="1:10" ht="30" customHeight="1" x14ac:dyDescent="0.25">
      <c r="A356" s="17" t="s">
        <v>362</v>
      </c>
      <c r="B356" s="17" t="s">
        <v>409</v>
      </c>
      <c r="C356" s="17" t="s">
        <v>408</v>
      </c>
      <c r="D356" s="17">
        <v>61.74</v>
      </c>
      <c r="E356" s="17">
        <v>61.53</v>
      </c>
      <c r="F356" s="17">
        <v>3.4129692832764505E-3</v>
      </c>
      <c r="G356" s="51">
        <f>E356*(1-iDelta*2)</f>
        <v>49.224000000000004</v>
      </c>
      <c r="H356" s="17">
        <f>E356*(1-iDelta*1)</f>
        <v>55.377000000000002</v>
      </c>
      <c r="I356" s="17">
        <f>E356*(1+iDelta*1)</f>
        <v>67.683000000000007</v>
      </c>
      <c r="J356" s="17">
        <f>E356*(1+iDelta*2)</f>
        <v>73.835999999999999</v>
      </c>
    </row>
    <row r="357" spans="1:10" ht="30" customHeight="1" x14ac:dyDescent="0.25">
      <c r="A357" s="17" t="s">
        <v>386</v>
      </c>
      <c r="B357" s="17" t="s">
        <v>410</v>
      </c>
      <c r="C357" s="17" t="s">
        <v>411</v>
      </c>
      <c r="D357" s="17">
        <v>0.11205558</v>
      </c>
      <c r="E357" s="17">
        <v>0.114186436</v>
      </c>
      <c r="F357" s="17">
        <v>-1.866120070513454E-2</v>
      </c>
      <c r="G357" s="51">
        <f>E357*(1-iDelta*2)</f>
        <v>9.1349148800000002E-2</v>
      </c>
      <c r="H357" s="17">
        <f>E357*(1-iDelta*1)</f>
        <v>0.1027677924</v>
      </c>
      <c r="I357" s="17">
        <f>E357*(1+iDelta*1)</f>
        <v>0.1256050796</v>
      </c>
      <c r="J357" s="17">
        <f>E357*(1+iDelta*2)</f>
        <v>0.1370237232</v>
      </c>
    </row>
    <row r="358" spans="1:10" ht="30" customHeight="1" x14ac:dyDescent="0.25">
      <c r="A358" s="17" t="s">
        <v>389</v>
      </c>
      <c r="B358" s="17" t="s">
        <v>412</v>
      </c>
      <c r="C358" s="17" t="s">
        <v>411</v>
      </c>
      <c r="D358" s="17">
        <v>39.99</v>
      </c>
      <c r="E358" s="17">
        <v>39.92</v>
      </c>
      <c r="F358" s="17">
        <v>1.7535070140280561E-3</v>
      </c>
      <c r="G358" s="51">
        <f>E358*(1-iDelta*2)</f>
        <v>31.936000000000003</v>
      </c>
      <c r="H358" s="17">
        <f>E358*(1-iDelta*1)</f>
        <v>35.928000000000004</v>
      </c>
      <c r="I358" s="17">
        <f>E358*(1+iDelta*1)</f>
        <v>43.912000000000006</v>
      </c>
      <c r="J358" s="17">
        <f>E358*(1+iDelta*2)</f>
        <v>47.904000000000003</v>
      </c>
    </row>
    <row r="359" spans="1:10" ht="30" customHeight="1" x14ac:dyDescent="0.25">
      <c r="A359" s="17" t="s">
        <v>363</v>
      </c>
      <c r="B359" s="17" t="s">
        <v>409</v>
      </c>
      <c r="C359" s="17" t="s">
        <v>408</v>
      </c>
      <c r="D359" s="17">
        <v>42.51</v>
      </c>
      <c r="E359" s="17">
        <v>42.05</v>
      </c>
      <c r="F359" s="17">
        <v>1.0939357907253269E-2</v>
      </c>
      <c r="G359" s="51">
        <f>E359*(1-iDelta*2)</f>
        <v>33.64</v>
      </c>
      <c r="H359" s="17">
        <f>E359*(1-iDelta*1)</f>
        <v>37.844999999999999</v>
      </c>
      <c r="I359" s="17">
        <f>E359*(1+iDelta*1)</f>
        <v>46.255000000000003</v>
      </c>
      <c r="J359" s="17">
        <f>E359*(1+iDelta*2)</f>
        <v>50.459999999999994</v>
      </c>
    </row>
    <row r="360" spans="1:10" ht="30" customHeight="1" x14ac:dyDescent="0.25">
      <c r="A360" s="17" t="s">
        <v>476</v>
      </c>
      <c r="B360" s="17" t="s">
        <v>472</v>
      </c>
      <c r="C360" s="17" t="s">
        <v>472</v>
      </c>
      <c r="G360" s="51">
        <f>E360*(1-iDelta*2)</f>
        <v>0</v>
      </c>
      <c r="H360" s="17">
        <f>E360*(1-iDelta*1)</f>
        <v>0</v>
      </c>
      <c r="I360" s="17">
        <f>E360*(1+iDelta*1)</f>
        <v>0</v>
      </c>
      <c r="J360" s="17">
        <f>E360*(1+iDelta*2)</f>
        <v>0</v>
      </c>
    </row>
  </sheetData>
  <phoneticPr fontId="36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DAA03-32FE-46CD-92B6-92B3C0C64A04}">
  <sheetPr codeName="Sheet9"/>
  <dimension ref="B1:D184"/>
  <sheetViews>
    <sheetView showGridLines="0" workbookViewId="0">
      <pane xSplit="1" topLeftCell="B1" activePane="topRight" state="frozen"/>
      <selection pane="topRight" activeCell="B13" sqref="B13"/>
    </sheetView>
  </sheetViews>
  <sheetFormatPr defaultColWidth="9.140625" defaultRowHeight="30" customHeight="1" x14ac:dyDescent="0.25"/>
  <cols>
    <col min="1" max="1" width="1.28515625" style="1" customWidth="1"/>
    <col min="2" max="2" width="9.140625" style="3" customWidth="1"/>
    <col min="3" max="3" width="9.140625" style="3"/>
    <col min="4" max="4" width="15.5703125" style="8" bestFit="1" customWidth="1"/>
    <col min="5" max="16384" width="9.140625" style="1"/>
  </cols>
  <sheetData>
    <row r="1" spans="2:4" ht="7.5" customHeight="1" x14ac:dyDescent="0.25">
      <c r="B1" s="2"/>
    </row>
    <row r="2" spans="2:4" ht="30" customHeight="1" x14ac:dyDescent="0.25">
      <c r="B2" s="6" t="s">
        <v>14</v>
      </c>
      <c r="C2" s="6" t="s">
        <v>15</v>
      </c>
      <c r="D2" s="9" t="s">
        <v>16</v>
      </c>
    </row>
    <row r="3" spans="2:4" ht="30" customHeight="1" x14ac:dyDescent="0.25">
      <c r="B3" s="6" t="s">
        <v>17</v>
      </c>
      <c r="C3" s="6" t="s">
        <v>17</v>
      </c>
      <c r="D3" s="10" t="e">
        <f>_xlfn.XLOOKUP(tbCoins8[[#This Row],[Ticker1]],#REF!,#REF!)/_xlfn.XLOOKUP(tbCoins8[[#This Row],[Ticker2]],#REF!,#REF!)</f>
        <v>#REF!</v>
      </c>
    </row>
    <row r="4" spans="2:4" ht="30" customHeight="1" x14ac:dyDescent="0.25">
      <c r="B4" s="4" t="s">
        <v>17</v>
      </c>
      <c r="C4" s="4" t="s">
        <v>8</v>
      </c>
      <c r="D4" s="11" t="e">
        <f>_xlfn.XLOOKUP(tbCoins8[[#This Row],[Ticker1]],#REF!,#REF!)/_xlfn.XLOOKUP(tbCoins8[[#This Row],[Ticker2]],#REF!,#REF!)</f>
        <v>#REF!</v>
      </c>
    </row>
    <row r="5" spans="2:4" ht="30" customHeight="1" x14ac:dyDescent="0.25">
      <c r="B5" s="4" t="s">
        <v>17</v>
      </c>
      <c r="C5" s="4" t="s">
        <v>18</v>
      </c>
      <c r="D5" s="11" t="e">
        <f>_xlfn.XLOOKUP(tbCoins8[[#This Row],[Ticker1]],#REF!,#REF!)/_xlfn.XLOOKUP(tbCoins8[[#This Row],[Ticker2]],#REF!,#REF!)</f>
        <v>#REF!</v>
      </c>
    </row>
    <row r="6" spans="2:4" ht="30" customHeight="1" x14ac:dyDescent="0.25">
      <c r="B6" s="4" t="s">
        <v>17</v>
      </c>
      <c r="C6" s="4" t="s">
        <v>19</v>
      </c>
      <c r="D6" s="11" t="e">
        <f>_xlfn.XLOOKUP(tbCoins8[[#This Row],[Ticker1]],#REF!,#REF!)/_xlfn.XLOOKUP(tbCoins8[[#This Row],[Ticker2]],#REF!,#REF!)</f>
        <v>#REF!</v>
      </c>
    </row>
    <row r="7" spans="2:4" ht="30" customHeight="1" x14ac:dyDescent="0.25">
      <c r="B7" s="4" t="s">
        <v>17</v>
      </c>
      <c r="C7" s="4" t="s">
        <v>20</v>
      </c>
      <c r="D7" s="11" t="e">
        <f>_xlfn.XLOOKUP(tbCoins8[[#This Row],[Ticker1]],#REF!,#REF!)/_xlfn.XLOOKUP(tbCoins8[[#This Row],[Ticker2]],#REF!,#REF!)</f>
        <v>#REF!</v>
      </c>
    </row>
    <row r="8" spans="2:4" ht="30" customHeight="1" x14ac:dyDescent="0.25">
      <c r="B8" s="4" t="s">
        <v>17</v>
      </c>
      <c r="C8" s="4" t="s">
        <v>21</v>
      </c>
      <c r="D8" s="11" t="e">
        <f>_xlfn.XLOOKUP(tbCoins8[[#This Row],[Ticker1]],#REF!,#REF!)/_xlfn.XLOOKUP(tbCoins8[[#This Row],[Ticker2]],#REF!,#REF!)</f>
        <v>#REF!</v>
      </c>
    </row>
    <row r="9" spans="2:4" ht="30" customHeight="1" x14ac:dyDescent="0.25">
      <c r="B9" s="4" t="s">
        <v>17</v>
      </c>
      <c r="C9" s="4" t="s">
        <v>22</v>
      </c>
      <c r="D9" s="11" t="e">
        <f>_xlfn.XLOOKUP(tbCoins8[[#This Row],[Ticker1]],#REF!,#REF!)/_xlfn.XLOOKUP(tbCoins8[[#This Row],[Ticker2]],#REF!,#REF!)</f>
        <v>#REF!</v>
      </c>
    </row>
    <row r="10" spans="2:4" ht="30" customHeight="1" x14ac:dyDescent="0.25">
      <c r="B10" s="4" t="s">
        <v>17</v>
      </c>
      <c r="C10" s="4" t="s">
        <v>23</v>
      </c>
      <c r="D10" s="11" t="e">
        <f>_xlfn.XLOOKUP(tbCoins8[[#This Row],[Ticker1]],#REF!,#REF!)/_xlfn.XLOOKUP(tbCoins8[[#This Row],[Ticker2]],#REF!,#REF!)</f>
        <v>#REF!</v>
      </c>
    </row>
    <row r="11" spans="2:4" ht="30" customHeight="1" x14ac:dyDescent="0.25">
      <c r="B11" s="4" t="s">
        <v>17</v>
      </c>
      <c r="C11" s="4" t="s">
        <v>24</v>
      </c>
      <c r="D11" s="11" t="e">
        <f>_xlfn.XLOOKUP(tbCoins8[[#This Row],[Ticker1]],#REF!,#REF!)/_xlfn.XLOOKUP(tbCoins8[[#This Row],[Ticker2]],#REF!,#REF!)</f>
        <v>#REF!</v>
      </c>
    </row>
    <row r="12" spans="2:4" ht="30" customHeight="1" x14ac:dyDescent="0.25">
      <c r="B12" s="4" t="s">
        <v>17</v>
      </c>
      <c r="C12" s="4" t="s">
        <v>25</v>
      </c>
      <c r="D12" s="11" t="e">
        <f>_xlfn.XLOOKUP(tbCoins8[[#This Row],[Ticker1]],#REF!,#REF!)/_xlfn.XLOOKUP(tbCoins8[[#This Row],[Ticker2]],#REF!,#REF!)</f>
        <v>#REF!</v>
      </c>
    </row>
    <row r="13" spans="2:4" ht="30" customHeight="1" x14ac:dyDescent="0.25">
      <c r="B13" s="4" t="s">
        <v>17</v>
      </c>
      <c r="C13" s="4" t="s">
        <v>27</v>
      </c>
      <c r="D13" s="11" t="e">
        <f>_xlfn.XLOOKUP(tbCoins8[[#This Row],[Ticker1]],#REF!,#REF!)/_xlfn.XLOOKUP(tbCoins8[[#This Row],[Ticker2]],#REF!,#REF!)</f>
        <v>#REF!</v>
      </c>
    </row>
    <row r="14" spans="2:4" ht="30" customHeight="1" x14ac:dyDescent="0.25">
      <c r="B14" s="4" t="s">
        <v>17</v>
      </c>
      <c r="C14" s="4" t="s">
        <v>28</v>
      </c>
      <c r="D14" s="11" t="e">
        <f>_xlfn.XLOOKUP(tbCoins8[[#This Row],[Ticker1]],#REF!,#REF!)/_xlfn.XLOOKUP(tbCoins8[[#This Row],[Ticker2]],#REF!,#REF!)</f>
        <v>#REF!</v>
      </c>
    </row>
    <row r="15" spans="2:4" ht="30" customHeight="1" x14ac:dyDescent="0.25">
      <c r="B15" s="4" t="s">
        <v>17</v>
      </c>
      <c r="C15" s="4" t="s">
        <v>26</v>
      </c>
      <c r="D15" s="11" t="e">
        <f>_xlfn.XLOOKUP(tbCoins8[[#This Row],[Ticker1]],#REF!,#REF!)/_xlfn.XLOOKUP(tbCoins8[[#This Row],[Ticker2]],#REF!,#REF!)</f>
        <v>#REF!</v>
      </c>
    </row>
    <row r="16" spans="2:4" ht="30" customHeight="1" x14ac:dyDescent="0.25">
      <c r="B16" s="5" t="s">
        <v>8</v>
      </c>
      <c r="C16" s="6" t="s">
        <v>17</v>
      </c>
      <c r="D16" s="11" t="e">
        <f>_xlfn.XLOOKUP(tbCoins8[[#This Row],[Ticker1]],#REF!,#REF!)/_xlfn.XLOOKUP(tbCoins8[[#This Row],[Ticker2]],#REF!,#REF!)</f>
        <v>#REF!</v>
      </c>
    </row>
    <row r="17" spans="2:4" ht="30" customHeight="1" x14ac:dyDescent="0.25">
      <c r="B17" s="5" t="s">
        <v>8</v>
      </c>
      <c r="C17" s="4" t="s">
        <v>8</v>
      </c>
      <c r="D17" s="11" t="e">
        <f>_xlfn.XLOOKUP(tbCoins8[[#This Row],[Ticker1]],#REF!,#REF!)/_xlfn.XLOOKUP(tbCoins8[[#This Row],[Ticker2]],#REF!,#REF!)</f>
        <v>#REF!</v>
      </c>
    </row>
    <row r="18" spans="2:4" ht="30" customHeight="1" x14ac:dyDescent="0.25">
      <c r="B18" s="5" t="s">
        <v>8</v>
      </c>
      <c r="C18" s="4" t="s">
        <v>18</v>
      </c>
      <c r="D18" s="11" t="e">
        <f>_xlfn.XLOOKUP(tbCoins8[[#This Row],[Ticker1]],#REF!,#REF!)/_xlfn.XLOOKUP(tbCoins8[[#This Row],[Ticker2]],#REF!,#REF!)</f>
        <v>#REF!</v>
      </c>
    </row>
    <row r="19" spans="2:4" ht="30" customHeight="1" x14ac:dyDescent="0.25">
      <c r="B19" s="5" t="s">
        <v>8</v>
      </c>
      <c r="C19" s="4" t="s">
        <v>19</v>
      </c>
      <c r="D19" s="11" t="e">
        <f>_xlfn.XLOOKUP(tbCoins8[[#This Row],[Ticker1]],#REF!,#REF!)/_xlfn.XLOOKUP(tbCoins8[[#This Row],[Ticker2]],#REF!,#REF!)</f>
        <v>#REF!</v>
      </c>
    </row>
    <row r="20" spans="2:4" ht="30" customHeight="1" x14ac:dyDescent="0.25">
      <c r="B20" s="5" t="s">
        <v>8</v>
      </c>
      <c r="C20" s="4" t="s">
        <v>20</v>
      </c>
      <c r="D20" s="11" t="e">
        <f>_xlfn.XLOOKUP(tbCoins8[[#This Row],[Ticker1]],#REF!,#REF!)/_xlfn.XLOOKUP(tbCoins8[[#This Row],[Ticker2]],#REF!,#REF!)</f>
        <v>#REF!</v>
      </c>
    </row>
    <row r="21" spans="2:4" ht="30" customHeight="1" x14ac:dyDescent="0.25">
      <c r="B21" s="5" t="s">
        <v>8</v>
      </c>
      <c r="C21" s="4" t="s">
        <v>21</v>
      </c>
      <c r="D21" s="11" t="e">
        <f>_xlfn.XLOOKUP(tbCoins8[[#This Row],[Ticker1]],#REF!,#REF!)/_xlfn.XLOOKUP(tbCoins8[[#This Row],[Ticker2]],#REF!,#REF!)</f>
        <v>#REF!</v>
      </c>
    </row>
    <row r="22" spans="2:4" ht="30" customHeight="1" x14ac:dyDescent="0.25">
      <c r="B22" s="5" t="s">
        <v>8</v>
      </c>
      <c r="C22" s="4" t="s">
        <v>22</v>
      </c>
      <c r="D22" s="11" t="e">
        <f>_xlfn.XLOOKUP(tbCoins8[[#This Row],[Ticker1]],#REF!,#REF!)/_xlfn.XLOOKUP(tbCoins8[[#This Row],[Ticker2]],#REF!,#REF!)</f>
        <v>#REF!</v>
      </c>
    </row>
    <row r="23" spans="2:4" ht="30" customHeight="1" x14ac:dyDescent="0.25">
      <c r="B23" s="5" t="s">
        <v>8</v>
      </c>
      <c r="C23" s="4" t="s">
        <v>23</v>
      </c>
      <c r="D23" s="11" t="e">
        <f>_xlfn.XLOOKUP(tbCoins8[[#This Row],[Ticker1]],#REF!,#REF!)/_xlfn.XLOOKUP(tbCoins8[[#This Row],[Ticker2]],#REF!,#REF!)</f>
        <v>#REF!</v>
      </c>
    </row>
    <row r="24" spans="2:4" ht="30" customHeight="1" x14ac:dyDescent="0.25">
      <c r="B24" s="5" t="s">
        <v>8</v>
      </c>
      <c r="C24" s="4" t="s">
        <v>24</v>
      </c>
      <c r="D24" s="11" t="e">
        <f>_xlfn.XLOOKUP(tbCoins8[[#This Row],[Ticker1]],#REF!,#REF!)/_xlfn.XLOOKUP(tbCoins8[[#This Row],[Ticker2]],#REF!,#REF!)</f>
        <v>#REF!</v>
      </c>
    </row>
    <row r="25" spans="2:4" ht="30" customHeight="1" x14ac:dyDescent="0.25">
      <c r="B25" s="5" t="s">
        <v>8</v>
      </c>
      <c r="C25" s="4" t="s">
        <v>25</v>
      </c>
      <c r="D25" s="11" t="e">
        <f>_xlfn.XLOOKUP(tbCoins8[[#This Row],[Ticker1]],#REF!,#REF!)/_xlfn.XLOOKUP(tbCoins8[[#This Row],[Ticker2]],#REF!,#REF!)</f>
        <v>#REF!</v>
      </c>
    </row>
    <row r="26" spans="2:4" ht="30" customHeight="1" x14ac:dyDescent="0.25">
      <c r="B26" s="5" t="s">
        <v>8</v>
      </c>
      <c r="C26" s="4" t="s">
        <v>27</v>
      </c>
      <c r="D26" s="11" t="e">
        <f>_xlfn.XLOOKUP(tbCoins8[[#This Row],[Ticker1]],#REF!,#REF!)/_xlfn.XLOOKUP(tbCoins8[[#This Row],[Ticker2]],#REF!,#REF!)</f>
        <v>#REF!</v>
      </c>
    </row>
    <row r="27" spans="2:4" ht="30" customHeight="1" x14ac:dyDescent="0.25">
      <c r="B27" s="5" t="s">
        <v>8</v>
      </c>
      <c r="C27" s="4" t="s">
        <v>28</v>
      </c>
      <c r="D27" s="11" t="e">
        <f>_xlfn.XLOOKUP(tbCoins8[[#This Row],[Ticker1]],#REF!,#REF!)/_xlfn.XLOOKUP(tbCoins8[[#This Row],[Ticker2]],#REF!,#REF!)</f>
        <v>#REF!</v>
      </c>
    </row>
    <row r="28" spans="2:4" ht="30" customHeight="1" x14ac:dyDescent="0.25">
      <c r="B28" s="5" t="s">
        <v>8</v>
      </c>
      <c r="C28" s="4" t="s">
        <v>26</v>
      </c>
      <c r="D28" s="11" t="e">
        <f>_xlfn.XLOOKUP(tbCoins8[[#This Row],[Ticker1]],#REF!,#REF!)/_xlfn.XLOOKUP(tbCoins8[[#This Row],[Ticker2]],#REF!,#REF!)</f>
        <v>#REF!</v>
      </c>
    </row>
    <row r="29" spans="2:4" ht="30" customHeight="1" x14ac:dyDescent="0.25">
      <c r="B29" s="7" t="s">
        <v>18</v>
      </c>
      <c r="C29" s="7" t="s">
        <v>17</v>
      </c>
      <c r="D29" s="11" t="e">
        <f>_xlfn.XLOOKUP(tbCoins8[[#This Row],[Ticker1]],#REF!,#REF!)/_xlfn.XLOOKUP(tbCoins8[[#This Row],[Ticker2]],#REF!,#REF!)</f>
        <v>#REF!</v>
      </c>
    </row>
    <row r="30" spans="2:4" ht="30" customHeight="1" x14ac:dyDescent="0.25">
      <c r="B30" s="7" t="s">
        <v>18</v>
      </c>
      <c r="C30" s="7" t="s">
        <v>8</v>
      </c>
      <c r="D30" s="11" t="e">
        <f>_xlfn.XLOOKUP(tbCoins8[[#This Row],[Ticker1]],#REF!,#REF!)/_xlfn.XLOOKUP(tbCoins8[[#This Row],[Ticker2]],#REF!,#REF!)</f>
        <v>#REF!</v>
      </c>
    </row>
    <row r="31" spans="2:4" ht="30" customHeight="1" x14ac:dyDescent="0.25">
      <c r="B31" s="7" t="s">
        <v>18</v>
      </c>
      <c r="C31" s="7" t="s">
        <v>18</v>
      </c>
      <c r="D31" s="11" t="e">
        <f>_xlfn.XLOOKUP(tbCoins8[[#This Row],[Ticker1]],#REF!,#REF!)/_xlfn.XLOOKUP(tbCoins8[[#This Row],[Ticker2]],#REF!,#REF!)</f>
        <v>#REF!</v>
      </c>
    </row>
    <row r="32" spans="2:4" ht="30" customHeight="1" x14ac:dyDescent="0.25">
      <c r="B32" s="7" t="s">
        <v>18</v>
      </c>
      <c r="C32" s="7" t="s">
        <v>19</v>
      </c>
      <c r="D32" s="11" t="e">
        <f>_xlfn.XLOOKUP(tbCoins8[[#This Row],[Ticker1]],#REF!,#REF!)/_xlfn.XLOOKUP(tbCoins8[[#This Row],[Ticker2]],#REF!,#REF!)</f>
        <v>#REF!</v>
      </c>
    </row>
    <row r="33" spans="2:4" ht="30" customHeight="1" x14ac:dyDescent="0.25">
      <c r="B33" s="7" t="s">
        <v>18</v>
      </c>
      <c r="C33" s="7" t="s">
        <v>20</v>
      </c>
      <c r="D33" s="11" t="e">
        <f>_xlfn.XLOOKUP(tbCoins8[[#This Row],[Ticker1]],#REF!,#REF!)/_xlfn.XLOOKUP(tbCoins8[[#This Row],[Ticker2]],#REF!,#REF!)</f>
        <v>#REF!</v>
      </c>
    </row>
    <row r="34" spans="2:4" ht="30" customHeight="1" x14ac:dyDescent="0.25">
      <c r="B34" s="7" t="s">
        <v>18</v>
      </c>
      <c r="C34" s="7" t="s">
        <v>21</v>
      </c>
      <c r="D34" s="11" t="e">
        <f>_xlfn.XLOOKUP(tbCoins8[[#This Row],[Ticker1]],#REF!,#REF!)/_xlfn.XLOOKUP(tbCoins8[[#This Row],[Ticker2]],#REF!,#REF!)</f>
        <v>#REF!</v>
      </c>
    </row>
    <row r="35" spans="2:4" ht="30" customHeight="1" x14ac:dyDescent="0.25">
      <c r="B35" s="7" t="s">
        <v>18</v>
      </c>
      <c r="C35" s="7" t="s">
        <v>22</v>
      </c>
      <c r="D35" s="11" t="e">
        <f>_xlfn.XLOOKUP(tbCoins8[[#This Row],[Ticker1]],#REF!,#REF!)/_xlfn.XLOOKUP(tbCoins8[[#This Row],[Ticker2]],#REF!,#REF!)</f>
        <v>#REF!</v>
      </c>
    </row>
    <row r="36" spans="2:4" ht="30" customHeight="1" x14ac:dyDescent="0.25">
      <c r="B36" s="7" t="s">
        <v>18</v>
      </c>
      <c r="C36" s="7" t="s">
        <v>23</v>
      </c>
      <c r="D36" s="11" t="e">
        <f>_xlfn.XLOOKUP(tbCoins8[[#This Row],[Ticker1]],#REF!,#REF!)/_xlfn.XLOOKUP(tbCoins8[[#This Row],[Ticker2]],#REF!,#REF!)</f>
        <v>#REF!</v>
      </c>
    </row>
    <row r="37" spans="2:4" ht="30" customHeight="1" x14ac:dyDescent="0.25">
      <c r="B37" s="7" t="s">
        <v>18</v>
      </c>
      <c r="C37" s="7" t="s">
        <v>24</v>
      </c>
      <c r="D37" s="11" t="e">
        <f>_xlfn.XLOOKUP(tbCoins8[[#This Row],[Ticker1]],#REF!,#REF!)/_xlfn.XLOOKUP(tbCoins8[[#This Row],[Ticker2]],#REF!,#REF!)</f>
        <v>#REF!</v>
      </c>
    </row>
    <row r="38" spans="2:4" ht="30" customHeight="1" x14ac:dyDescent="0.25">
      <c r="B38" s="7" t="s">
        <v>18</v>
      </c>
      <c r="C38" s="7" t="s">
        <v>25</v>
      </c>
      <c r="D38" s="11" t="e">
        <f>_xlfn.XLOOKUP(tbCoins8[[#This Row],[Ticker1]],#REF!,#REF!)/_xlfn.XLOOKUP(tbCoins8[[#This Row],[Ticker2]],#REF!,#REF!)</f>
        <v>#REF!</v>
      </c>
    </row>
    <row r="39" spans="2:4" ht="30" customHeight="1" x14ac:dyDescent="0.25">
      <c r="B39" s="7" t="s">
        <v>18</v>
      </c>
      <c r="C39" s="7" t="s">
        <v>27</v>
      </c>
      <c r="D39" s="11" t="e">
        <f>_xlfn.XLOOKUP(tbCoins8[[#This Row],[Ticker1]],#REF!,#REF!)/_xlfn.XLOOKUP(tbCoins8[[#This Row],[Ticker2]],#REF!,#REF!)</f>
        <v>#REF!</v>
      </c>
    </row>
    <row r="40" spans="2:4" ht="30" customHeight="1" x14ac:dyDescent="0.25">
      <c r="B40" s="7" t="s">
        <v>18</v>
      </c>
      <c r="C40" s="7" t="s">
        <v>28</v>
      </c>
      <c r="D40" s="11" t="e">
        <f>_xlfn.XLOOKUP(tbCoins8[[#This Row],[Ticker1]],#REF!,#REF!)/_xlfn.XLOOKUP(tbCoins8[[#This Row],[Ticker2]],#REF!,#REF!)</f>
        <v>#REF!</v>
      </c>
    </row>
    <row r="41" spans="2:4" ht="30" customHeight="1" x14ac:dyDescent="0.25">
      <c r="B41" s="7" t="s">
        <v>18</v>
      </c>
      <c r="C41" s="7" t="s">
        <v>26</v>
      </c>
      <c r="D41" s="11" t="e">
        <f>_xlfn.XLOOKUP(tbCoins8[[#This Row],[Ticker1]],#REF!,#REF!)/_xlfn.XLOOKUP(tbCoins8[[#This Row],[Ticker2]],#REF!,#REF!)</f>
        <v>#REF!</v>
      </c>
    </row>
    <row r="42" spans="2:4" ht="30" customHeight="1" x14ac:dyDescent="0.25">
      <c r="B42" s="7" t="s">
        <v>19</v>
      </c>
      <c r="C42" s="7" t="s">
        <v>17</v>
      </c>
      <c r="D42" s="11" t="e">
        <f>_xlfn.XLOOKUP(tbCoins8[[#This Row],[Ticker1]],#REF!,#REF!)/_xlfn.XLOOKUP(tbCoins8[[#This Row],[Ticker2]],#REF!,#REF!)</f>
        <v>#REF!</v>
      </c>
    </row>
    <row r="43" spans="2:4" ht="30" customHeight="1" x14ac:dyDescent="0.25">
      <c r="B43" s="7" t="s">
        <v>19</v>
      </c>
      <c r="C43" s="7" t="s">
        <v>8</v>
      </c>
      <c r="D43" s="11" t="e">
        <f>_xlfn.XLOOKUP(tbCoins8[[#This Row],[Ticker1]],#REF!,#REF!)/_xlfn.XLOOKUP(tbCoins8[[#This Row],[Ticker2]],#REF!,#REF!)</f>
        <v>#REF!</v>
      </c>
    </row>
    <row r="44" spans="2:4" ht="30" customHeight="1" x14ac:dyDescent="0.25">
      <c r="B44" s="7" t="s">
        <v>19</v>
      </c>
      <c r="C44" s="7" t="s">
        <v>18</v>
      </c>
      <c r="D44" s="11" t="e">
        <f>_xlfn.XLOOKUP(tbCoins8[[#This Row],[Ticker1]],#REF!,#REF!)/_xlfn.XLOOKUP(tbCoins8[[#This Row],[Ticker2]],#REF!,#REF!)</f>
        <v>#REF!</v>
      </c>
    </row>
    <row r="45" spans="2:4" ht="30" customHeight="1" x14ac:dyDescent="0.25">
      <c r="B45" s="7" t="s">
        <v>19</v>
      </c>
      <c r="C45" s="7" t="s">
        <v>19</v>
      </c>
      <c r="D45" s="11" t="e">
        <f>_xlfn.XLOOKUP(tbCoins8[[#This Row],[Ticker1]],#REF!,#REF!)/_xlfn.XLOOKUP(tbCoins8[[#This Row],[Ticker2]],#REF!,#REF!)</f>
        <v>#REF!</v>
      </c>
    </row>
    <row r="46" spans="2:4" ht="30" customHeight="1" x14ac:dyDescent="0.25">
      <c r="B46" s="7" t="s">
        <v>19</v>
      </c>
      <c r="C46" s="7" t="s">
        <v>20</v>
      </c>
      <c r="D46" s="11" t="e">
        <f>_xlfn.XLOOKUP(tbCoins8[[#This Row],[Ticker1]],#REF!,#REF!)/_xlfn.XLOOKUP(tbCoins8[[#This Row],[Ticker2]],#REF!,#REF!)</f>
        <v>#REF!</v>
      </c>
    </row>
    <row r="47" spans="2:4" ht="30" customHeight="1" x14ac:dyDescent="0.25">
      <c r="B47" s="7" t="s">
        <v>19</v>
      </c>
      <c r="C47" s="7" t="s">
        <v>21</v>
      </c>
      <c r="D47" s="11" t="e">
        <f>_xlfn.XLOOKUP(tbCoins8[[#This Row],[Ticker1]],#REF!,#REF!)/_xlfn.XLOOKUP(tbCoins8[[#This Row],[Ticker2]],#REF!,#REF!)</f>
        <v>#REF!</v>
      </c>
    </row>
    <row r="48" spans="2:4" ht="30" customHeight="1" x14ac:dyDescent="0.25">
      <c r="B48" s="7" t="s">
        <v>19</v>
      </c>
      <c r="C48" s="7" t="s">
        <v>22</v>
      </c>
      <c r="D48" s="11" t="e">
        <f>_xlfn.XLOOKUP(tbCoins8[[#This Row],[Ticker1]],#REF!,#REF!)/_xlfn.XLOOKUP(tbCoins8[[#This Row],[Ticker2]],#REF!,#REF!)</f>
        <v>#REF!</v>
      </c>
    </row>
    <row r="49" spans="2:4" ht="30" customHeight="1" x14ac:dyDescent="0.25">
      <c r="B49" s="7" t="s">
        <v>19</v>
      </c>
      <c r="C49" s="7" t="s">
        <v>23</v>
      </c>
      <c r="D49" s="11" t="e">
        <f>_xlfn.XLOOKUP(tbCoins8[[#This Row],[Ticker1]],#REF!,#REF!)/_xlfn.XLOOKUP(tbCoins8[[#This Row],[Ticker2]],#REF!,#REF!)</f>
        <v>#REF!</v>
      </c>
    </row>
    <row r="50" spans="2:4" ht="30" customHeight="1" x14ac:dyDescent="0.25">
      <c r="B50" s="7" t="s">
        <v>19</v>
      </c>
      <c r="C50" s="7" t="s">
        <v>24</v>
      </c>
      <c r="D50" s="11" t="e">
        <f>_xlfn.XLOOKUP(tbCoins8[[#This Row],[Ticker1]],#REF!,#REF!)/_xlfn.XLOOKUP(tbCoins8[[#This Row],[Ticker2]],#REF!,#REF!)</f>
        <v>#REF!</v>
      </c>
    </row>
    <row r="51" spans="2:4" ht="30" customHeight="1" x14ac:dyDescent="0.25">
      <c r="B51" s="7" t="s">
        <v>19</v>
      </c>
      <c r="C51" s="7" t="s">
        <v>25</v>
      </c>
      <c r="D51" s="11" t="e">
        <f>_xlfn.XLOOKUP(tbCoins8[[#This Row],[Ticker1]],#REF!,#REF!)/_xlfn.XLOOKUP(tbCoins8[[#This Row],[Ticker2]],#REF!,#REF!)</f>
        <v>#REF!</v>
      </c>
    </row>
    <row r="52" spans="2:4" ht="30" customHeight="1" x14ac:dyDescent="0.25">
      <c r="B52" s="7" t="s">
        <v>19</v>
      </c>
      <c r="C52" s="7" t="s">
        <v>27</v>
      </c>
      <c r="D52" s="11" t="e">
        <f>_xlfn.XLOOKUP(tbCoins8[[#This Row],[Ticker1]],#REF!,#REF!)/_xlfn.XLOOKUP(tbCoins8[[#This Row],[Ticker2]],#REF!,#REF!)</f>
        <v>#REF!</v>
      </c>
    </row>
    <row r="53" spans="2:4" ht="30" customHeight="1" x14ac:dyDescent="0.25">
      <c r="B53" s="7" t="s">
        <v>19</v>
      </c>
      <c r="C53" s="7" t="s">
        <v>28</v>
      </c>
      <c r="D53" s="11" t="e">
        <f>_xlfn.XLOOKUP(tbCoins8[[#This Row],[Ticker1]],#REF!,#REF!)/_xlfn.XLOOKUP(tbCoins8[[#This Row],[Ticker2]],#REF!,#REF!)</f>
        <v>#REF!</v>
      </c>
    </row>
    <row r="54" spans="2:4" ht="30" customHeight="1" x14ac:dyDescent="0.25">
      <c r="B54" s="7" t="s">
        <v>19</v>
      </c>
      <c r="C54" s="7" t="s">
        <v>26</v>
      </c>
      <c r="D54" s="11" t="e">
        <f>_xlfn.XLOOKUP(tbCoins8[[#This Row],[Ticker1]],#REF!,#REF!)/_xlfn.XLOOKUP(tbCoins8[[#This Row],[Ticker2]],#REF!,#REF!)</f>
        <v>#REF!</v>
      </c>
    </row>
    <row r="55" spans="2:4" ht="30" customHeight="1" x14ac:dyDescent="0.25">
      <c r="B55" s="7" t="s">
        <v>20</v>
      </c>
      <c r="C55" s="7" t="s">
        <v>17</v>
      </c>
      <c r="D55" s="11" t="e">
        <f>_xlfn.XLOOKUP(tbCoins8[[#This Row],[Ticker1]],#REF!,#REF!)/_xlfn.XLOOKUP(tbCoins8[[#This Row],[Ticker2]],#REF!,#REF!)</f>
        <v>#REF!</v>
      </c>
    </row>
    <row r="56" spans="2:4" ht="30" customHeight="1" x14ac:dyDescent="0.25">
      <c r="B56" s="7" t="s">
        <v>20</v>
      </c>
      <c r="C56" s="7" t="s">
        <v>8</v>
      </c>
      <c r="D56" s="11" t="e">
        <f>_xlfn.XLOOKUP(tbCoins8[[#This Row],[Ticker1]],#REF!,#REF!)/_xlfn.XLOOKUP(tbCoins8[[#This Row],[Ticker2]],#REF!,#REF!)</f>
        <v>#REF!</v>
      </c>
    </row>
    <row r="57" spans="2:4" ht="30" customHeight="1" x14ac:dyDescent="0.25">
      <c r="B57" s="7" t="s">
        <v>20</v>
      </c>
      <c r="C57" s="7" t="s">
        <v>18</v>
      </c>
      <c r="D57" s="11" t="e">
        <f>_xlfn.XLOOKUP(tbCoins8[[#This Row],[Ticker1]],#REF!,#REF!)/_xlfn.XLOOKUP(tbCoins8[[#This Row],[Ticker2]],#REF!,#REF!)</f>
        <v>#REF!</v>
      </c>
    </row>
    <row r="58" spans="2:4" ht="30" customHeight="1" x14ac:dyDescent="0.25">
      <c r="B58" s="7" t="s">
        <v>20</v>
      </c>
      <c r="C58" s="7" t="s">
        <v>19</v>
      </c>
      <c r="D58" s="11" t="e">
        <f>_xlfn.XLOOKUP(tbCoins8[[#This Row],[Ticker1]],#REF!,#REF!)/_xlfn.XLOOKUP(tbCoins8[[#This Row],[Ticker2]],#REF!,#REF!)</f>
        <v>#REF!</v>
      </c>
    </row>
    <row r="59" spans="2:4" ht="30" customHeight="1" x14ac:dyDescent="0.25">
      <c r="B59" s="7" t="s">
        <v>20</v>
      </c>
      <c r="C59" s="7" t="s">
        <v>20</v>
      </c>
      <c r="D59" s="11" t="e">
        <f>_xlfn.XLOOKUP(tbCoins8[[#This Row],[Ticker1]],#REF!,#REF!)/_xlfn.XLOOKUP(tbCoins8[[#This Row],[Ticker2]],#REF!,#REF!)</f>
        <v>#REF!</v>
      </c>
    </row>
    <row r="60" spans="2:4" ht="30" customHeight="1" x14ac:dyDescent="0.25">
      <c r="B60" s="7" t="s">
        <v>20</v>
      </c>
      <c r="C60" s="7" t="s">
        <v>21</v>
      </c>
      <c r="D60" s="11" t="e">
        <f>_xlfn.XLOOKUP(tbCoins8[[#This Row],[Ticker1]],#REF!,#REF!)/_xlfn.XLOOKUP(tbCoins8[[#This Row],[Ticker2]],#REF!,#REF!)</f>
        <v>#REF!</v>
      </c>
    </row>
    <row r="61" spans="2:4" ht="30" customHeight="1" x14ac:dyDescent="0.25">
      <c r="B61" s="7" t="s">
        <v>20</v>
      </c>
      <c r="C61" s="7" t="s">
        <v>22</v>
      </c>
      <c r="D61" s="11" t="e">
        <f>_xlfn.XLOOKUP(tbCoins8[[#This Row],[Ticker1]],#REF!,#REF!)/_xlfn.XLOOKUP(tbCoins8[[#This Row],[Ticker2]],#REF!,#REF!)</f>
        <v>#REF!</v>
      </c>
    </row>
    <row r="62" spans="2:4" ht="30" customHeight="1" x14ac:dyDescent="0.25">
      <c r="B62" s="7" t="s">
        <v>20</v>
      </c>
      <c r="C62" s="7" t="s">
        <v>23</v>
      </c>
      <c r="D62" s="11" t="e">
        <f>_xlfn.XLOOKUP(tbCoins8[[#This Row],[Ticker1]],#REF!,#REF!)/_xlfn.XLOOKUP(tbCoins8[[#This Row],[Ticker2]],#REF!,#REF!)</f>
        <v>#REF!</v>
      </c>
    </row>
    <row r="63" spans="2:4" ht="30" customHeight="1" x14ac:dyDescent="0.25">
      <c r="B63" s="7" t="s">
        <v>20</v>
      </c>
      <c r="C63" s="7" t="s">
        <v>24</v>
      </c>
      <c r="D63" s="11" t="e">
        <f>_xlfn.XLOOKUP(tbCoins8[[#This Row],[Ticker1]],#REF!,#REF!)/_xlfn.XLOOKUP(tbCoins8[[#This Row],[Ticker2]],#REF!,#REF!)</f>
        <v>#REF!</v>
      </c>
    </row>
    <row r="64" spans="2:4" ht="30" customHeight="1" x14ac:dyDescent="0.25">
      <c r="B64" s="7" t="s">
        <v>20</v>
      </c>
      <c r="C64" s="7" t="s">
        <v>25</v>
      </c>
      <c r="D64" s="11" t="e">
        <f>_xlfn.XLOOKUP(tbCoins8[[#This Row],[Ticker1]],#REF!,#REF!)/_xlfn.XLOOKUP(tbCoins8[[#This Row],[Ticker2]],#REF!,#REF!)</f>
        <v>#REF!</v>
      </c>
    </row>
    <row r="65" spans="2:4" ht="30" customHeight="1" x14ac:dyDescent="0.25">
      <c r="B65" s="7" t="s">
        <v>20</v>
      </c>
      <c r="C65" s="7" t="s">
        <v>27</v>
      </c>
      <c r="D65" s="11" t="e">
        <f>_xlfn.XLOOKUP(tbCoins8[[#This Row],[Ticker1]],#REF!,#REF!)/_xlfn.XLOOKUP(tbCoins8[[#This Row],[Ticker2]],#REF!,#REF!)</f>
        <v>#REF!</v>
      </c>
    </row>
    <row r="66" spans="2:4" ht="30" customHeight="1" x14ac:dyDescent="0.25">
      <c r="B66" s="7" t="s">
        <v>20</v>
      </c>
      <c r="C66" s="7" t="s">
        <v>28</v>
      </c>
      <c r="D66" s="11" t="e">
        <f>_xlfn.XLOOKUP(tbCoins8[[#This Row],[Ticker1]],#REF!,#REF!)/_xlfn.XLOOKUP(tbCoins8[[#This Row],[Ticker2]],#REF!,#REF!)</f>
        <v>#REF!</v>
      </c>
    </row>
    <row r="67" spans="2:4" ht="30" customHeight="1" x14ac:dyDescent="0.25">
      <c r="B67" s="7" t="s">
        <v>20</v>
      </c>
      <c r="C67" s="7" t="s">
        <v>26</v>
      </c>
      <c r="D67" s="11" t="e">
        <f>_xlfn.XLOOKUP(tbCoins8[[#This Row],[Ticker1]],#REF!,#REF!)/_xlfn.XLOOKUP(tbCoins8[[#This Row],[Ticker2]],#REF!,#REF!)</f>
        <v>#REF!</v>
      </c>
    </row>
    <row r="68" spans="2:4" ht="30" customHeight="1" x14ac:dyDescent="0.25">
      <c r="B68" s="7" t="s">
        <v>21</v>
      </c>
      <c r="C68" s="7" t="s">
        <v>17</v>
      </c>
      <c r="D68" s="11" t="e">
        <f>_xlfn.XLOOKUP(tbCoins8[[#This Row],[Ticker1]],#REF!,#REF!)/_xlfn.XLOOKUP(tbCoins8[[#This Row],[Ticker2]],#REF!,#REF!)</f>
        <v>#REF!</v>
      </c>
    </row>
    <row r="69" spans="2:4" ht="30" customHeight="1" x14ac:dyDescent="0.25">
      <c r="B69" s="7" t="s">
        <v>21</v>
      </c>
      <c r="C69" s="7" t="s">
        <v>8</v>
      </c>
      <c r="D69" s="11" t="e">
        <f>_xlfn.XLOOKUP(tbCoins8[[#This Row],[Ticker1]],#REF!,#REF!)/_xlfn.XLOOKUP(tbCoins8[[#This Row],[Ticker2]],#REF!,#REF!)</f>
        <v>#REF!</v>
      </c>
    </row>
    <row r="70" spans="2:4" ht="30" customHeight="1" x14ac:dyDescent="0.25">
      <c r="B70" s="7" t="s">
        <v>21</v>
      </c>
      <c r="C70" s="7" t="s">
        <v>18</v>
      </c>
      <c r="D70" s="11" t="e">
        <f>_xlfn.XLOOKUP(tbCoins8[[#This Row],[Ticker1]],#REF!,#REF!)/_xlfn.XLOOKUP(tbCoins8[[#This Row],[Ticker2]],#REF!,#REF!)</f>
        <v>#REF!</v>
      </c>
    </row>
    <row r="71" spans="2:4" ht="30" customHeight="1" x14ac:dyDescent="0.25">
      <c r="B71" s="7" t="s">
        <v>21</v>
      </c>
      <c r="C71" s="7" t="s">
        <v>19</v>
      </c>
      <c r="D71" s="11" t="e">
        <f>_xlfn.XLOOKUP(tbCoins8[[#This Row],[Ticker1]],#REF!,#REF!)/_xlfn.XLOOKUP(tbCoins8[[#This Row],[Ticker2]],#REF!,#REF!)</f>
        <v>#REF!</v>
      </c>
    </row>
    <row r="72" spans="2:4" ht="30" customHeight="1" x14ac:dyDescent="0.25">
      <c r="B72" s="7" t="s">
        <v>21</v>
      </c>
      <c r="C72" s="7" t="s">
        <v>20</v>
      </c>
      <c r="D72" s="11" t="e">
        <f>_xlfn.XLOOKUP(tbCoins8[[#This Row],[Ticker1]],#REF!,#REF!)/_xlfn.XLOOKUP(tbCoins8[[#This Row],[Ticker2]],#REF!,#REF!)</f>
        <v>#REF!</v>
      </c>
    </row>
    <row r="73" spans="2:4" ht="30" customHeight="1" x14ac:dyDescent="0.25">
      <c r="B73" s="7" t="s">
        <v>21</v>
      </c>
      <c r="C73" s="7" t="s">
        <v>21</v>
      </c>
      <c r="D73" s="11" t="e">
        <f>_xlfn.XLOOKUP(tbCoins8[[#This Row],[Ticker1]],#REF!,#REF!)/_xlfn.XLOOKUP(tbCoins8[[#This Row],[Ticker2]],#REF!,#REF!)</f>
        <v>#REF!</v>
      </c>
    </row>
    <row r="74" spans="2:4" ht="30" customHeight="1" x14ac:dyDescent="0.25">
      <c r="B74" s="7" t="s">
        <v>21</v>
      </c>
      <c r="C74" s="7" t="s">
        <v>22</v>
      </c>
      <c r="D74" s="11" t="e">
        <f>_xlfn.XLOOKUP(tbCoins8[[#This Row],[Ticker1]],#REF!,#REF!)/_xlfn.XLOOKUP(tbCoins8[[#This Row],[Ticker2]],#REF!,#REF!)</f>
        <v>#REF!</v>
      </c>
    </row>
    <row r="75" spans="2:4" ht="30" customHeight="1" x14ac:dyDescent="0.25">
      <c r="B75" s="7" t="s">
        <v>21</v>
      </c>
      <c r="C75" s="7" t="s">
        <v>23</v>
      </c>
      <c r="D75" s="11" t="e">
        <f>_xlfn.XLOOKUP(tbCoins8[[#This Row],[Ticker1]],#REF!,#REF!)/_xlfn.XLOOKUP(tbCoins8[[#This Row],[Ticker2]],#REF!,#REF!)</f>
        <v>#REF!</v>
      </c>
    </row>
    <row r="76" spans="2:4" ht="30" customHeight="1" x14ac:dyDescent="0.25">
      <c r="B76" s="7" t="s">
        <v>21</v>
      </c>
      <c r="C76" s="7" t="s">
        <v>24</v>
      </c>
      <c r="D76" s="11" t="e">
        <f>_xlfn.XLOOKUP(tbCoins8[[#This Row],[Ticker1]],#REF!,#REF!)/_xlfn.XLOOKUP(tbCoins8[[#This Row],[Ticker2]],#REF!,#REF!)</f>
        <v>#REF!</v>
      </c>
    </row>
    <row r="77" spans="2:4" ht="30" customHeight="1" x14ac:dyDescent="0.25">
      <c r="B77" s="7" t="s">
        <v>21</v>
      </c>
      <c r="C77" s="7" t="s">
        <v>25</v>
      </c>
      <c r="D77" s="11" t="e">
        <f>_xlfn.XLOOKUP(tbCoins8[[#This Row],[Ticker1]],#REF!,#REF!)/_xlfn.XLOOKUP(tbCoins8[[#This Row],[Ticker2]],#REF!,#REF!)</f>
        <v>#REF!</v>
      </c>
    </row>
    <row r="78" spans="2:4" ht="30" customHeight="1" x14ac:dyDescent="0.25">
      <c r="B78" s="7" t="s">
        <v>21</v>
      </c>
      <c r="C78" s="7" t="s">
        <v>27</v>
      </c>
      <c r="D78" s="11" t="e">
        <f>_xlfn.XLOOKUP(tbCoins8[[#This Row],[Ticker1]],#REF!,#REF!)/_xlfn.XLOOKUP(tbCoins8[[#This Row],[Ticker2]],#REF!,#REF!)</f>
        <v>#REF!</v>
      </c>
    </row>
    <row r="79" spans="2:4" ht="30" customHeight="1" x14ac:dyDescent="0.25">
      <c r="B79" s="7" t="s">
        <v>21</v>
      </c>
      <c r="C79" s="7" t="s">
        <v>28</v>
      </c>
      <c r="D79" s="11" t="e">
        <f>_xlfn.XLOOKUP(tbCoins8[[#This Row],[Ticker1]],#REF!,#REF!)/_xlfn.XLOOKUP(tbCoins8[[#This Row],[Ticker2]],#REF!,#REF!)</f>
        <v>#REF!</v>
      </c>
    </row>
    <row r="80" spans="2:4" ht="30" customHeight="1" x14ac:dyDescent="0.25">
      <c r="B80" s="7" t="s">
        <v>21</v>
      </c>
      <c r="C80" s="7" t="s">
        <v>26</v>
      </c>
      <c r="D80" s="11" t="e">
        <f>_xlfn.XLOOKUP(tbCoins8[[#This Row],[Ticker1]],#REF!,#REF!)/_xlfn.XLOOKUP(tbCoins8[[#This Row],[Ticker2]],#REF!,#REF!)</f>
        <v>#REF!</v>
      </c>
    </row>
    <row r="81" spans="2:4" ht="30" customHeight="1" x14ac:dyDescent="0.25">
      <c r="B81" s="7" t="s">
        <v>22</v>
      </c>
      <c r="C81" s="7" t="s">
        <v>17</v>
      </c>
      <c r="D81" s="11" t="e">
        <f>_xlfn.XLOOKUP(tbCoins8[[#This Row],[Ticker1]],#REF!,#REF!)/_xlfn.XLOOKUP(tbCoins8[[#This Row],[Ticker2]],#REF!,#REF!)</f>
        <v>#REF!</v>
      </c>
    </row>
    <row r="82" spans="2:4" ht="30" customHeight="1" x14ac:dyDescent="0.25">
      <c r="B82" s="7" t="s">
        <v>22</v>
      </c>
      <c r="C82" s="7" t="s">
        <v>8</v>
      </c>
      <c r="D82" s="11" t="e">
        <f>_xlfn.XLOOKUP(tbCoins8[[#This Row],[Ticker1]],#REF!,#REF!)/_xlfn.XLOOKUP(tbCoins8[[#This Row],[Ticker2]],#REF!,#REF!)</f>
        <v>#REF!</v>
      </c>
    </row>
    <row r="83" spans="2:4" ht="30" customHeight="1" x14ac:dyDescent="0.25">
      <c r="B83" s="7" t="s">
        <v>22</v>
      </c>
      <c r="C83" s="7" t="s">
        <v>18</v>
      </c>
      <c r="D83" s="11" t="e">
        <f>_xlfn.XLOOKUP(tbCoins8[[#This Row],[Ticker1]],#REF!,#REF!)/_xlfn.XLOOKUP(tbCoins8[[#This Row],[Ticker2]],#REF!,#REF!)</f>
        <v>#REF!</v>
      </c>
    </row>
    <row r="84" spans="2:4" ht="30" customHeight="1" x14ac:dyDescent="0.25">
      <c r="B84" s="7" t="s">
        <v>22</v>
      </c>
      <c r="C84" s="7" t="s">
        <v>19</v>
      </c>
      <c r="D84" s="11" t="e">
        <f>_xlfn.XLOOKUP(tbCoins8[[#This Row],[Ticker1]],#REF!,#REF!)/_xlfn.XLOOKUP(tbCoins8[[#This Row],[Ticker2]],#REF!,#REF!)</f>
        <v>#REF!</v>
      </c>
    </row>
    <row r="85" spans="2:4" ht="30" customHeight="1" x14ac:dyDescent="0.25">
      <c r="B85" s="7" t="s">
        <v>22</v>
      </c>
      <c r="C85" s="7" t="s">
        <v>20</v>
      </c>
      <c r="D85" s="11" t="e">
        <f>_xlfn.XLOOKUP(tbCoins8[[#This Row],[Ticker1]],#REF!,#REF!)/_xlfn.XLOOKUP(tbCoins8[[#This Row],[Ticker2]],#REF!,#REF!)</f>
        <v>#REF!</v>
      </c>
    </row>
    <row r="86" spans="2:4" ht="30" customHeight="1" x14ac:dyDescent="0.25">
      <c r="B86" s="7" t="s">
        <v>22</v>
      </c>
      <c r="C86" s="7" t="s">
        <v>21</v>
      </c>
      <c r="D86" s="11" t="e">
        <f>_xlfn.XLOOKUP(tbCoins8[[#This Row],[Ticker1]],#REF!,#REF!)/_xlfn.XLOOKUP(tbCoins8[[#This Row],[Ticker2]],#REF!,#REF!)</f>
        <v>#REF!</v>
      </c>
    </row>
    <row r="87" spans="2:4" ht="30" customHeight="1" x14ac:dyDescent="0.25">
      <c r="B87" s="7" t="s">
        <v>22</v>
      </c>
      <c r="C87" s="7" t="s">
        <v>22</v>
      </c>
      <c r="D87" s="11" t="e">
        <f>_xlfn.XLOOKUP(tbCoins8[[#This Row],[Ticker1]],#REF!,#REF!)/_xlfn.XLOOKUP(tbCoins8[[#This Row],[Ticker2]],#REF!,#REF!)</f>
        <v>#REF!</v>
      </c>
    </row>
    <row r="88" spans="2:4" ht="30" customHeight="1" x14ac:dyDescent="0.25">
      <c r="B88" s="7" t="s">
        <v>22</v>
      </c>
      <c r="C88" s="7" t="s">
        <v>23</v>
      </c>
      <c r="D88" s="11" t="e">
        <f>_xlfn.XLOOKUP(tbCoins8[[#This Row],[Ticker1]],#REF!,#REF!)/_xlfn.XLOOKUP(tbCoins8[[#This Row],[Ticker2]],#REF!,#REF!)</f>
        <v>#REF!</v>
      </c>
    </row>
    <row r="89" spans="2:4" ht="30" customHeight="1" x14ac:dyDescent="0.25">
      <c r="B89" s="7" t="s">
        <v>22</v>
      </c>
      <c r="C89" s="7" t="s">
        <v>24</v>
      </c>
      <c r="D89" s="11" t="e">
        <f>_xlfn.XLOOKUP(tbCoins8[[#This Row],[Ticker1]],#REF!,#REF!)/_xlfn.XLOOKUP(tbCoins8[[#This Row],[Ticker2]],#REF!,#REF!)</f>
        <v>#REF!</v>
      </c>
    </row>
    <row r="90" spans="2:4" ht="30" customHeight="1" x14ac:dyDescent="0.25">
      <c r="B90" s="7" t="s">
        <v>22</v>
      </c>
      <c r="C90" s="7" t="s">
        <v>25</v>
      </c>
      <c r="D90" s="11" t="e">
        <f>_xlfn.XLOOKUP(tbCoins8[[#This Row],[Ticker1]],#REF!,#REF!)/_xlfn.XLOOKUP(tbCoins8[[#This Row],[Ticker2]],#REF!,#REF!)</f>
        <v>#REF!</v>
      </c>
    </row>
    <row r="91" spans="2:4" ht="30" customHeight="1" x14ac:dyDescent="0.25">
      <c r="B91" s="7" t="s">
        <v>22</v>
      </c>
      <c r="C91" s="7" t="s">
        <v>27</v>
      </c>
      <c r="D91" s="11" t="e">
        <f>_xlfn.XLOOKUP(tbCoins8[[#This Row],[Ticker1]],#REF!,#REF!)/_xlfn.XLOOKUP(tbCoins8[[#This Row],[Ticker2]],#REF!,#REF!)</f>
        <v>#REF!</v>
      </c>
    </row>
    <row r="92" spans="2:4" ht="30" customHeight="1" x14ac:dyDescent="0.25">
      <c r="B92" s="7" t="s">
        <v>22</v>
      </c>
      <c r="C92" s="7" t="s">
        <v>28</v>
      </c>
      <c r="D92" s="11" t="e">
        <f>_xlfn.XLOOKUP(tbCoins8[[#This Row],[Ticker1]],#REF!,#REF!)/_xlfn.XLOOKUP(tbCoins8[[#This Row],[Ticker2]],#REF!,#REF!)</f>
        <v>#REF!</v>
      </c>
    </row>
    <row r="93" spans="2:4" ht="30" customHeight="1" x14ac:dyDescent="0.25">
      <c r="B93" s="7" t="s">
        <v>22</v>
      </c>
      <c r="C93" s="7" t="s">
        <v>26</v>
      </c>
      <c r="D93" s="11" t="e">
        <f>_xlfn.XLOOKUP(tbCoins8[[#This Row],[Ticker1]],#REF!,#REF!)/_xlfn.XLOOKUP(tbCoins8[[#This Row],[Ticker2]],#REF!,#REF!)</f>
        <v>#REF!</v>
      </c>
    </row>
    <row r="94" spans="2:4" ht="30" customHeight="1" x14ac:dyDescent="0.25">
      <c r="B94" s="7" t="s">
        <v>23</v>
      </c>
      <c r="C94" s="7" t="s">
        <v>17</v>
      </c>
      <c r="D94" s="11" t="e">
        <f>_xlfn.XLOOKUP(tbCoins8[[#This Row],[Ticker1]],#REF!,#REF!)/_xlfn.XLOOKUP(tbCoins8[[#This Row],[Ticker2]],#REF!,#REF!)</f>
        <v>#REF!</v>
      </c>
    </row>
    <row r="95" spans="2:4" ht="30" customHeight="1" x14ac:dyDescent="0.25">
      <c r="B95" s="7" t="s">
        <v>23</v>
      </c>
      <c r="C95" s="7" t="s">
        <v>8</v>
      </c>
      <c r="D95" s="11" t="e">
        <f>_xlfn.XLOOKUP(tbCoins8[[#This Row],[Ticker1]],#REF!,#REF!)/_xlfn.XLOOKUP(tbCoins8[[#This Row],[Ticker2]],#REF!,#REF!)</f>
        <v>#REF!</v>
      </c>
    </row>
    <row r="96" spans="2:4" ht="30" customHeight="1" x14ac:dyDescent="0.25">
      <c r="B96" s="7" t="s">
        <v>23</v>
      </c>
      <c r="C96" s="7" t="s">
        <v>18</v>
      </c>
      <c r="D96" s="11" t="e">
        <f>_xlfn.XLOOKUP(tbCoins8[[#This Row],[Ticker1]],#REF!,#REF!)/_xlfn.XLOOKUP(tbCoins8[[#This Row],[Ticker2]],#REF!,#REF!)</f>
        <v>#REF!</v>
      </c>
    </row>
    <row r="97" spans="2:4" ht="30" customHeight="1" x14ac:dyDescent="0.25">
      <c r="B97" s="7" t="s">
        <v>23</v>
      </c>
      <c r="C97" s="7" t="s">
        <v>19</v>
      </c>
      <c r="D97" s="11" t="e">
        <f>_xlfn.XLOOKUP(tbCoins8[[#This Row],[Ticker1]],#REF!,#REF!)/_xlfn.XLOOKUP(tbCoins8[[#This Row],[Ticker2]],#REF!,#REF!)</f>
        <v>#REF!</v>
      </c>
    </row>
    <row r="98" spans="2:4" ht="30" customHeight="1" x14ac:dyDescent="0.25">
      <c r="B98" s="7" t="s">
        <v>23</v>
      </c>
      <c r="C98" s="7" t="s">
        <v>20</v>
      </c>
      <c r="D98" s="11" t="e">
        <f>_xlfn.XLOOKUP(tbCoins8[[#This Row],[Ticker1]],#REF!,#REF!)/_xlfn.XLOOKUP(tbCoins8[[#This Row],[Ticker2]],#REF!,#REF!)</f>
        <v>#REF!</v>
      </c>
    </row>
    <row r="99" spans="2:4" ht="30" customHeight="1" x14ac:dyDescent="0.25">
      <c r="B99" s="7" t="s">
        <v>23</v>
      </c>
      <c r="C99" s="7" t="s">
        <v>21</v>
      </c>
      <c r="D99" s="11" t="e">
        <f>_xlfn.XLOOKUP(tbCoins8[[#This Row],[Ticker1]],#REF!,#REF!)/_xlfn.XLOOKUP(tbCoins8[[#This Row],[Ticker2]],#REF!,#REF!)</f>
        <v>#REF!</v>
      </c>
    </row>
    <row r="100" spans="2:4" ht="30" customHeight="1" x14ac:dyDescent="0.25">
      <c r="B100" s="7" t="s">
        <v>23</v>
      </c>
      <c r="C100" s="7" t="s">
        <v>22</v>
      </c>
      <c r="D100" s="11" t="e">
        <f>_xlfn.XLOOKUP(tbCoins8[[#This Row],[Ticker1]],#REF!,#REF!)/_xlfn.XLOOKUP(tbCoins8[[#This Row],[Ticker2]],#REF!,#REF!)</f>
        <v>#REF!</v>
      </c>
    </row>
    <row r="101" spans="2:4" ht="30" customHeight="1" x14ac:dyDescent="0.25">
      <c r="B101" s="7" t="s">
        <v>23</v>
      </c>
      <c r="C101" s="7" t="s">
        <v>23</v>
      </c>
      <c r="D101" s="11" t="e">
        <f>_xlfn.XLOOKUP(tbCoins8[[#This Row],[Ticker1]],#REF!,#REF!)/_xlfn.XLOOKUP(tbCoins8[[#This Row],[Ticker2]],#REF!,#REF!)</f>
        <v>#REF!</v>
      </c>
    </row>
    <row r="102" spans="2:4" ht="30" customHeight="1" x14ac:dyDescent="0.25">
      <c r="B102" s="7" t="s">
        <v>23</v>
      </c>
      <c r="C102" s="7" t="s">
        <v>24</v>
      </c>
      <c r="D102" s="11" t="e">
        <f>_xlfn.XLOOKUP(tbCoins8[[#This Row],[Ticker1]],#REF!,#REF!)/_xlfn.XLOOKUP(tbCoins8[[#This Row],[Ticker2]],#REF!,#REF!)</f>
        <v>#REF!</v>
      </c>
    </row>
    <row r="103" spans="2:4" ht="30" customHeight="1" x14ac:dyDescent="0.25">
      <c r="B103" s="7" t="s">
        <v>23</v>
      </c>
      <c r="C103" s="7" t="s">
        <v>25</v>
      </c>
      <c r="D103" s="11" t="e">
        <f>_xlfn.XLOOKUP(tbCoins8[[#This Row],[Ticker1]],#REF!,#REF!)/_xlfn.XLOOKUP(tbCoins8[[#This Row],[Ticker2]],#REF!,#REF!)</f>
        <v>#REF!</v>
      </c>
    </row>
    <row r="104" spans="2:4" ht="30" customHeight="1" x14ac:dyDescent="0.25">
      <c r="B104" s="7" t="s">
        <v>23</v>
      </c>
      <c r="C104" s="7" t="s">
        <v>27</v>
      </c>
      <c r="D104" s="11" t="e">
        <f>_xlfn.XLOOKUP(tbCoins8[[#This Row],[Ticker1]],#REF!,#REF!)/_xlfn.XLOOKUP(tbCoins8[[#This Row],[Ticker2]],#REF!,#REF!)</f>
        <v>#REF!</v>
      </c>
    </row>
    <row r="105" spans="2:4" ht="30" customHeight="1" x14ac:dyDescent="0.25">
      <c r="B105" s="7" t="s">
        <v>23</v>
      </c>
      <c r="C105" s="7" t="s">
        <v>28</v>
      </c>
      <c r="D105" s="11" t="e">
        <f>_xlfn.XLOOKUP(tbCoins8[[#This Row],[Ticker1]],#REF!,#REF!)/_xlfn.XLOOKUP(tbCoins8[[#This Row],[Ticker2]],#REF!,#REF!)</f>
        <v>#REF!</v>
      </c>
    </row>
    <row r="106" spans="2:4" ht="30" customHeight="1" x14ac:dyDescent="0.25">
      <c r="B106" s="7" t="s">
        <v>23</v>
      </c>
      <c r="C106" s="7" t="s">
        <v>26</v>
      </c>
      <c r="D106" s="11" t="e">
        <f>_xlfn.XLOOKUP(tbCoins8[[#This Row],[Ticker1]],#REF!,#REF!)/_xlfn.XLOOKUP(tbCoins8[[#This Row],[Ticker2]],#REF!,#REF!)</f>
        <v>#REF!</v>
      </c>
    </row>
    <row r="107" spans="2:4" ht="30" customHeight="1" x14ac:dyDescent="0.25">
      <c r="B107" s="7" t="s">
        <v>24</v>
      </c>
      <c r="C107" s="7" t="s">
        <v>17</v>
      </c>
      <c r="D107" s="11" t="e">
        <f>_xlfn.XLOOKUP(tbCoins8[[#This Row],[Ticker1]],#REF!,#REF!)/_xlfn.XLOOKUP(tbCoins8[[#This Row],[Ticker2]],#REF!,#REF!)</f>
        <v>#REF!</v>
      </c>
    </row>
    <row r="108" spans="2:4" ht="30" customHeight="1" x14ac:dyDescent="0.25">
      <c r="B108" s="7" t="s">
        <v>24</v>
      </c>
      <c r="C108" s="7" t="s">
        <v>8</v>
      </c>
      <c r="D108" s="11" t="e">
        <f>_xlfn.XLOOKUP(tbCoins8[[#This Row],[Ticker1]],#REF!,#REF!)/_xlfn.XLOOKUP(tbCoins8[[#This Row],[Ticker2]],#REF!,#REF!)</f>
        <v>#REF!</v>
      </c>
    </row>
    <row r="109" spans="2:4" ht="30" customHeight="1" x14ac:dyDescent="0.25">
      <c r="B109" s="7" t="s">
        <v>24</v>
      </c>
      <c r="C109" s="7" t="s">
        <v>18</v>
      </c>
      <c r="D109" s="11" t="e">
        <f>_xlfn.XLOOKUP(tbCoins8[[#This Row],[Ticker1]],#REF!,#REF!)/_xlfn.XLOOKUP(tbCoins8[[#This Row],[Ticker2]],#REF!,#REF!)</f>
        <v>#REF!</v>
      </c>
    </row>
    <row r="110" spans="2:4" ht="30" customHeight="1" x14ac:dyDescent="0.25">
      <c r="B110" s="7" t="s">
        <v>24</v>
      </c>
      <c r="C110" s="7" t="s">
        <v>19</v>
      </c>
      <c r="D110" s="11" t="e">
        <f>_xlfn.XLOOKUP(tbCoins8[[#This Row],[Ticker1]],#REF!,#REF!)/_xlfn.XLOOKUP(tbCoins8[[#This Row],[Ticker2]],#REF!,#REF!)</f>
        <v>#REF!</v>
      </c>
    </row>
    <row r="111" spans="2:4" ht="30" customHeight="1" x14ac:dyDescent="0.25">
      <c r="B111" s="7" t="s">
        <v>24</v>
      </c>
      <c r="C111" s="7" t="s">
        <v>20</v>
      </c>
      <c r="D111" s="11" t="e">
        <f>_xlfn.XLOOKUP(tbCoins8[[#This Row],[Ticker1]],#REF!,#REF!)/_xlfn.XLOOKUP(tbCoins8[[#This Row],[Ticker2]],#REF!,#REF!)</f>
        <v>#REF!</v>
      </c>
    </row>
    <row r="112" spans="2:4" ht="30" customHeight="1" x14ac:dyDescent="0.25">
      <c r="B112" s="7" t="s">
        <v>24</v>
      </c>
      <c r="C112" s="7" t="s">
        <v>21</v>
      </c>
      <c r="D112" s="11" t="e">
        <f>_xlfn.XLOOKUP(tbCoins8[[#This Row],[Ticker1]],#REF!,#REF!)/_xlfn.XLOOKUP(tbCoins8[[#This Row],[Ticker2]],#REF!,#REF!)</f>
        <v>#REF!</v>
      </c>
    </row>
    <row r="113" spans="2:4" ht="30" customHeight="1" x14ac:dyDescent="0.25">
      <c r="B113" s="7" t="s">
        <v>24</v>
      </c>
      <c r="C113" s="7" t="s">
        <v>22</v>
      </c>
      <c r="D113" s="11" t="e">
        <f>_xlfn.XLOOKUP(tbCoins8[[#This Row],[Ticker1]],#REF!,#REF!)/_xlfn.XLOOKUP(tbCoins8[[#This Row],[Ticker2]],#REF!,#REF!)</f>
        <v>#REF!</v>
      </c>
    </row>
    <row r="114" spans="2:4" ht="30" customHeight="1" x14ac:dyDescent="0.25">
      <c r="B114" s="7" t="s">
        <v>24</v>
      </c>
      <c r="C114" s="7" t="s">
        <v>23</v>
      </c>
      <c r="D114" s="11" t="e">
        <f>_xlfn.XLOOKUP(tbCoins8[[#This Row],[Ticker1]],#REF!,#REF!)/_xlfn.XLOOKUP(tbCoins8[[#This Row],[Ticker2]],#REF!,#REF!)</f>
        <v>#REF!</v>
      </c>
    </row>
    <row r="115" spans="2:4" ht="30" customHeight="1" x14ac:dyDescent="0.25">
      <c r="B115" s="7" t="s">
        <v>24</v>
      </c>
      <c r="C115" s="7" t="s">
        <v>24</v>
      </c>
      <c r="D115" s="11" t="e">
        <f>_xlfn.XLOOKUP(tbCoins8[[#This Row],[Ticker1]],#REF!,#REF!)/_xlfn.XLOOKUP(tbCoins8[[#This Row],[Ticker2]],#REF!,#REF!)</f>
        <v>#REF!</v>
      </c>
    </row>
    <row r="116" spans="2:4" ht="30" customHeight="1" x14ac:dyDescent="0.25">
      <c r="B116" s="7" t="s">
        <v>24</v>
      </c>
      <c r="C116" s="7" t="s">
        <v>25</v>
      </c>
      <c r="D116" s="11" t="e">
        <f>_xlfn.XLOOKUP(tbCoins8[[#This Row],[Ticker1]],#REF!,#REF!)/_xlfn.XLOOKUP(tbCoins8[[#This Row],[Ticker2]],#REF!,#REF!)</f>
        <v>#REF!</v>
      </c>
    </row>
    <row r="117" spans="2:4" ht="30" customHeight="1" x14ac:dyDescent="0.25">
      <c r="B117" s="7" t="s">
        <v>24</v>
      </c>
      <c r="C117" s="7" t="s">
        <v>27</v>
      </c>
      <c r="D117" s="11" t="e">
        <f>_xlfn.XLOOKUP(tbCoins8[[#This Row],[Ticker1]],#REF!,#REF!)/_xlfn.XLOOKUP(tbCoins8[[#This Row],[Ticker2]],#REF!,#REF!)</f>
        <v>#REF!</v>
      </c>
    </row>
    <row r="118" spans="2:4" ht="30" customHeight="1" x14ac:dyDescent="0.25">
      <c r="B118" s="7" t="s">
        <v>24</v>
      </c>
      <c r="C118" s="7" t="s">
        <v>28</v>
      </c>
      <c r="D118" s="11" t="e">
        <f>_xlfn.XLOOKUP(tbCoins8[[#This Row],[Ticker1]],#REF!,#REF!)/_xlfn.XLOOKUP(tbCoins8[[#This Row],[Ticker2]],#REF!,#REF!)</f>
        <v>#REF!</v>
      </c>
    </row>
    <row r="119" spans="2:4" ht="30" customHeight="1" x14ac:dyDescent="0.25">
      <c r="B119" s="7" t="s">
        <v>24</v>
      </c>
      <c r="C119" s="7" t="s">
        <v>26</v>
      </c>
      <c r="D119" s="11" t="e">
        <f>_xlfn.XLOOKUP(tbCoins8[[#This Row],[Ticker1]],#REF!,#REF!)/_xlfn.XLOOKUP(tbCoins8[[#This Row],[Ticker2]],#REF!,#REF!)</f>
        <v>#REF!</v>
      </c>
    </row>
    <row r="120" spans="2:4" ht="30" customHeight="1" x14ac:dyDescent="0.25">
      <c r="B120" s="7" t="s">
        <v>25</v>
      </c>
      <c r="C120" s="7" t="s">
        <v>17</v>
      </c>
      <c r="D120" s="11" t="e">
        <f>_xlfn.XLOOKUP(tbCoins8[[#This Row],[Ticker1]],#REF!,#REF!)/_xlfn.XLOOKUP(tbCoins8[[#This Row],[Ticker2]],#REF!,#REF!)</f>
        <v>#REF!</v>
      </c>
    </row>
    <row r="121" spans="2:4" ht="30" customHeight="1" x14ac:dyDescent="0.25">
      <c r="B121" s="7" t="s">
        <v>25</v>
      </c>
      <c r="C121" s="7" t="s">
        <v>8</v>
      </c>
      <c r="D121" s="11" t="e">
        <f>_xlfn.XLOOKUP(tbCoins8[[#This Row],[Ticker1]],#REF!,#REF!)/_xlfn.XLOOKUP(tbCoins8[[#This Row],[Ticker2]],#REF!,#REF!)</f>
        <v>#REF!</v>
      </c>
    </row>
    <row r="122" spans="2:4" ht="30" customHeight="1" x14ac:dyDescent="0.25">
      <c r="B122" s="7" t="s">
        <v>25</v>
      </c>
      <c r="C122" s="7" t="s">
        <v>18</v>
      </c>
      <c r="D122" s="11" t="e">
        <f>_xlfn.XLOOKUP(tbCoins8[[#This Row],[Ticker1]],#REF!,#REF!)/_xlfn.XLOOKUP(tbCoins8[[#This Row],[Ticker2]],#REF!,#REF!)</f>
        <v>#REF!</v>
      </c>
    </row>
    <row r="123" spans="2:4" ht="30" customHeight="1" x14ac:dyDescent="0.25">
      <c r="B123" s="7" t="s">
        <v>25</v>
      </c>
      <c r="C123" s="7" t="s">
        <v>19</v>
      </c>
      <c r="D123" s="11" t="e">
        <f>_xlfn.XLOOKUP(tbCoins8[[#This Row],[Ticker1]],#REF!,#REF!)/_xlfn.XLOOKUP(tbCoins8[[#This Row],[Ticker2]],#REF!,#REF!)</f>
        <v>#REF!</v>
      </c>
    </row>
    <row r="124" spans="2:4" ht="30" customHeight="1" x14ac:dyDescent="0.25">
      <c r="B124" s="7" t="s">
        <v>25</v>
      </c>
      <c r="C124" s="7" t="s">
        <v>20</v>
      </c>
      <c r="D124" s="11" t="e">
        <f>_xlfn.XLOOKUP(tbCoins8[[#This Row],[Ticker1]],#REF!,#REF!)/_xlfn.XLOOKUP(tbCoins8[[#This Row],[Ticker2]],#REF!,#REF!)</f>
        <v>#REF!</v>
      </c>
    </row>
    <row r="125" spans="2:4" ht="30" customHeight="1" x14ac:dyDescent="0.25">
      <c r="B125" s="7" t="s">
        <v>25</v>
      </c>
      <c r="C125" s="7" t="s">
        <v>21</v>
      </c>
      <c r="D125" s="11" t="e">
        <f>_xlfn.XLOOKUP(tbCoins8[[#This Row],[Ticker1]],#REF!,#REF!)/_xlfn.XLOOKUP(tbCoins8[[#This Row],[Ticker2]],#REF!,#REF!)</f>
        <v>#REF!</v>
      </c>
    </row>
    <row r="126" spans="2:4" ht="30" customHeight="1" x14ac:dyDescent="0.25">
      <c r="B126" s="7" t="s">
        <v>25</v>
      </c>
      <c r="C126" s="7" t="s">
        <v>22</v>
      </c>
      <c r="D126" s="11" t="e">
        <f>_xlfn.XLOOKUP(tbCoins8[[#This Row],[Ticker1]],#REF!,#REF!)/_xlfn.XLOOKUP(tbCoins8[[#This Row],[Ticker2]],#REF!,#REF!)</f>
        <v>#REF!</v>
      </c>
    </row>
    <row r="127" spans="2:4" ht="30" customHeight="1" x14ac:dyDescent="0.25">
      <c r="B127" s="7" t="s">
        <v>25</v>
      </c>
      <c r="C127" s="7" t="s">
        <v>23</v>
      </c>
      <c r="D127" s="11" t="e">
        <f>_xlfn.XLOOKUP(tbCoins8[[#This Row],[Ticker1]],#REF!,#REF!)/_xlfn.XLOOKUP(tbCoins8[[#This Row],[Ticker2]],#REF!,#REF!)</f>
        <v>#REF!</v>
      </c>
    </row>
    <row r="128" spans="2:4" ht="30" customHeight="1" x14ac:dyDescent="0.25">
      <c r="B128" s="7" t="s">
        <v>25</v>
      </c>
      <c r="C128" s="7" t="s">
        <v>24</v>
      </c>
      <c r="D128" s="11" t="e">
        <f>_xlfn.XLOOKUP(tbCoins8[[#This Row],[Ticker1]],#REF!,#REF!)/_xlfn.XLOOKUP(tbCoins8[[#This Row],[Ticker2]],#REF!,#REF!)</f>
        <v>#REF!</v>
      </c>
    </row>
    <row r="129" spans="2:4" ht="30" customHeight="1" x14ac:dyDescent="0.25">
      <c r="B129" s="7" t="s">
        <v>25</v>
      </c>
      <c r="C129" s="7" t="s">
        <v>25</v>
      </c>
      <c r="D129" s="11" t="e">
        <f>_xlfn.XLOOKUP(tbCoins8[[#This Row],[Ticker1]],#REF!,#REF!)/_xlfn.XLOOKUP(tbCoins8[[#This Row],[Ticker2]],#REF!,#REF!)</f>
        <v>#REF!</v>
      </c>
    </row>
    <row r="130" spans="2:4" ht="30" customHeight="1" x14ac:dyDescent="0.25">
      <c r="B130" s="7" t="s">
        <v>25</v>
      </c>
      <c r="C130" s="7" t="s">
        <v>27</v>
      </c>
      <c r="D130" s="11" t="e">
        <f>_xlfn.XLOOKUP(tbCoins8[[#This Row],[Ticker1]],#REF!,#REF!)/_xlfn.XLOOKUP(tbCoins8[[#This Row],[Ticker2]],#REF!,#REF!)</f>
        <v>#REF!</v>
      </c>
    </row>
    <row r="131" spans="2:4" ht="30" customHeight="1" x14ac:dyDescent="0.25">
      <c r="B131" s="7" t="s">
        <v>25</v>
      </c>
      <c r="C131" s="7" t="s">
        <v>28</v>
      </c>
      <c r="D131" s="11" t="e">
        <f>_xlfn.XLOOKUP(tbCoins8[[#This Row],[Ticker1]],#REF!,#REF!)/_xlfn.XLOOKUP(tbCoins8[[#This Row],[Ticker2]],#REF!,#REF!)</f>
        <v>#REF!</v>
      </c>
    </row>
    <row r="132" spans="2:4" ht="30" customHeight="1" x14ac:dyDescent="0.25">
      <c r="B132" s="7" t="s">
        <v>25</v>
      </c>
      <c r="C132" s="7" t="s">
        <v>26</v>
      </c>
      <c r="D132" s="11" t="e">
        <f>_xlfn.XLOOKUP(tbCoins8[[#This Row],[Ticker1]],#REF!,#REF!)/_xlfn.XLOOKUP(tbCoins8[[#This Row],[Ticker2]],#REF!,#REF!)</f>
        <v>#REF!</v>
      </c>
    </row>
    <row r="133" spans="2:4" ht="30" customHeight="1" x14ac:dyDescent="0.25">
      <c r="B133" s="7" t="s">
        <v>27</v>
      </c>
      <c r="C133" s="7" t="s">
        <v>17</v>
      </c>
      <c r="D133" s="11" t="e">
        <f>_xlfn.XLOOKUP(tbCoins8[[#This Row],[Ticker1]],#REF!,#REF!)/_xlfn.XLOOKUP(tbCoins8[[#This Row],[Ticker2]],#REF!,#REF!)</f>
        <v>#REF!</v>
      </c>
    </row>
    <row r="134" spans="2:4" ht="30" customHeight="1" x14ac:dyDescent="0.25">
      <c r="B134" s="7" t="s">
        <v>27</v>
      </c>
      <c r="C134" s="7" t="s">
        <v>8</v>
      </c>
      <c r="D134" s="11" t="e">
        <f>_xlfn.XLOOKUP(tbCoins8[[#This Row],[Ticker1]],#REF!,#REF!)/_xlfn.XLOOKUP(tbCoins8[[#This Row],[Ticker2]],#REF!,#REF!)</f>
        <v>#REF!</v>
      </c>
    </row>
    <row r="135" spans="2:4" ht="30" customHeight="1" x14ac:dyDescent="0.25">
      <c r="B135" s="7" t="s">
        <v>27</v>
      </c>
      <c r="C135" s="7" t="s">
        <v>18</v>
      </c>
      <c r="D135" s="11" t="e">
        <f>_xlfn.XLOOKUP(tbCoins8[[#This Row],[Ticker1]],#REF!,#REF!)/_xlfn.XLOOKUP(tbCoins8[[#This Row],[Ticker2]],#REF!,#REF!)</f>
        <v>#REF!</v>
      </c>
    </row>
    <row r="136" spans="2:4" ht="30" customHeight="1" x14ac:dyDescent="0.25">
      <c r="B136" s="7" t="s">
        <v>27</v>
      </c>
      <c r="C136" s="7" t="s">
        <v>19</v>
      </c>
      <c r="D136" s="11" t="e">
        <f>_xlfn.XLOOKUP(tbCoins8[[#This Row],[Ticker1]],#REF!,#REF!)/_xlfn.XLOOKUP(tbCoins8[[#This Row],[Ticker2]],#REF!,#REF!)</f>
        <v>#REF!</v>
      </c>
    </row>
    <row r="137" spans="2:4" ht="30" customHeight="1" x14ac:dyDescent="0.25">
      <c r="B137" s="7" t="s">
        <v>27</v>
      </c>
      <c r="C137" s="7" t="s">
        <v>20</v>
      </c>
      <c r="D137" s="11" t="e">
        <f>_xlfn.XLOOKUP(tbCoins8[[#This Row],[Ticker1]],#REF!,#REF!)/_xlfn.XLOOKUP(tbCoins8[[#This Row],[Ticker2]],#REF!,#REF!)</f>
        <v>#REF!</v>
      </c>
    </row>
    <row r="138" spans="2:4" ht="30" customHeight="1" x14ac:dyDescent="0.25">
      <c r="B138" s="7" t="s">
        <v>27</v>
      </c>
      <c r="C138" s="7" t="s">
        <v>21</v>
      </c>
      <c r="D138" s="11" t="e">
        <f>_xlfn.XLOOKUP(tbCoins8[[#This Row],[Ticker1]],#REF!,#REF!)/_xlfn.XLOOKUP(tbCoins8[[#This Row],[Ticker2]],#REF!,#REF!)</f>
        <v>#REF!</v>
      </c>
    </row>
    <row r="139" spans="2:4" ht="30" customHeight="1" x14ac:dyDescent="0.25">
      <c r="B139" s="7" t="s">
        <v>27</v>
      </c>
      <c r="C139" s="7" t="s">
        <v>22</v>
      </c>
      <c r="D139" s="11" t="e">
        <f>_xlfn.XLOOKUP(tbCoins8[[#This Row],[Ticker1]],#REF!,#REF!)/_xlfn.XLOOKUP(tbCoins8[[#This Row],[Ticker2]],#REF!,#REF!)</f>
        <v>#REF!</v>
      </c>
    </row>
    <row r="140" spans="2:4" ht="30" customHeight="1" x14ac:dyDescent="0.25">
      <c r="B140" s="7" t="s">
        <v>27</v>
      </c>
      <c r="C140" s="7" t="s">
        <v>23</v>
      </c>
      <c r="D140" s="11" t="e">
        <f>_xlfn.XLOOKUP(tbCoins8[[#This Row],[Ticker1]],#REF!,#REF!)/_xlfn.XLOOKUP(tbCoins8[[#This Row],[Ticker2]],#REF!,#REF!)</f>
        <v>#REF!</v>
      </c>
    </row>
    <row r="141" spans="2:4" ht="30" customHeight="1" x14ac:dyDescent="0.25">
      <c r="B141" s="7" t="s">
        <v>27</v>
      </c>
      <c r="C141" s="7" t="s">
        <v>24</v>
      </c>
      <c r="D141" s="11" t="e">
        <f>_xlfn.XLOOKUP(tbCoins8[[#This Row],[Ticker1]],#REF!,#REF!)/_xlfn.XLOOKUP(tbCoins8[[#This Row],[Ticker2]],#REF!,#REF!)</f>
        <v>#REF!</v>
      </c>
    </row>
    <row r="142" spans="2:4" ht="30" customHeight="1" x14ac:dyDescent="0.25">
      <c r="B142" s="7" t="s">
        <v>27</v>
      </c>
      <c r="C142" s="7" t="s">
        <v>25</v>
      </c>
      <c r="D142" s="11" t="e">
        <f>_xlfn.XLOOKUP(tbCoins8[[#This Row],[Ticker1]],#REF!,#REF!)/_xlfn.XLOOKUP(tbCoins8[[#This Row],[Ticker2]],#REF!,#REF!)</f>
        <v>#REF!</v>
      </c>
    </row>
    <row r="143" spans="2:4" ht="30" customHeight="1" x14ac:dyDescent="0.25">
      <c r="B143" s="7" t="s">
        <v>27</v>
      </c>
      <c r="C143" s="7" t="s">
        <v>27</v>
      </c>
      <c r="D143" s="11" t="e">
        <f>_xlfn.XLOOKUP(tbCoins8[[#This Row],[Ticker1]],#REF!,#REF!)/_xlfn.XLOOKUP(tbCoins8[[#This Row],[Ticker2]],#REF!,#REF!)</f>
        <v>#REF!</v>
      </c>
    </row>
    <row r="144" spans="2:4" ht="30" customHeight="1" x14ac:dyDescent="0.25">
      <c r="B144" s="7" t="s">
        <v>27</v>
      </c>
      <c r="C144" s="7" t="s">
        <v>28</v>
      </c>
      <c r="D144" s="11" t="e">
        <f>_xlfn.XLOOKUP(tbCoins8[[#This Row],[Ticker1]],#REF!,#REF!)/_xlfn.XLOOKUP(tbCoins8[[#This Row],[Ticker2]],#REF!,#REF!)</f>
        <v>#REF!</v>
      </c>
    </row>
    <row r="145" spans="2:4" ht="30" customHeight="1" x14ac:dyDescent="0.25">
      <c r="B145" s="7" t="s">
        <v>27</v>
      </c>
      <c r="C145" s="7" t="s">
        <v>26</v>
      </c>
      <c r="D145" s="11" t="e">
        <f>_xlfn.XLOOKUP(tbCoins8[[#This Row],[Ticker1]],#REF!,#REF!)/_xlfn.XLOOKUP(tbCoins8[[#This Row],[Ticker2]],#REF!,#REF!)</f>
        <v>#REF!</v>
      </c>
    </row>
    <row r="146" spans="2:4" ht="30" customHeight="1" x14ac:dyDescent="0.25">
      <c r="B146" s="7" t="s">
        <v>28</v>
      </c>
      <c r="C146" s="7" t="s">
        <v>17</v>
      </c>
      <c r="D146" s="11" t="e">
        <f>_xlfn.XLOOKUP(tbCoins8[[#This Row],[Ticker1]],#REF!,#REF!)/_xlfn.XLOOKUP(tbCoins8[[#This Row],[Ticker2]],#REF!,#REF!)</f>
        <v>#REF!</v>
      </c>
    </row>
    <row r="147" spans="2:4" ht="30" customHeight="1" x14ac:dyDescent="0.25">
      <c r="B147" s="7" t="s">
        <v>28</v>
      </c>
      <c r="C147" s="7" t="s">
        <v>8</v>
      </c>
      <c r="D147" s="11" t="e">
        <f>_xlfn.XLOOKUP(tbCoins8[[#This Row],[Ticker1]],#REF!,#REF!)/_xlfn.XLOOKUP(tbCoins8[[#This Row],[Ticker2]],#REF!,#REF!)</f>
        <v>#REF!</v>
      </c>
    </row>
    <row r="148" spans="2:4" ht="30" customHeight="1" x14ac:dyDescent="0.25">
      <c r="B148" s="7" t="s">
        <v>28</v>
      </c>
      <c r="C148" s="7" t="s">
        <v>18</v>
      </c>
      <c r="D148" s="11" t="e">
        <f>_xlfn.XLOOKUP(tbCoins8[[#This Row],[Ticker1]],#REF!,#REF!)/_xlfn.XLOOKUP(tbCoins8[[#This Row],[Ticker2]],#REF!,#REF!)</f>
        <v>#REF!</v>
      </c>
    </row>
    <row r="149" spans="2:4" ht="30" customHeight="1" x14ac:dyDescent="0.25">
      <c r="B149" s="7" t="s">
        <v>28</v>
      </c>
      <c r="C149" s="7" t="s">
        <v>19</v>
      </c>
      <c r="D149" s="11" t="e">
        <f>_xlfn.XLOOKUP(tbCoins8[[#This Row],[Ticker1]],#REF!,#REF!)/_xlfn.XLOOKUP(tbCoins8[[#This Row],[Ticker2]],#REF!,#REF!)</f>
        <v>#REF!</v>
      </c>
    </row>
    <row r="150" spans="2:4" ht="30" customHeight="1" x14ac:dyDescent="0.25">
      <c r="B150" s="7" t="s">
        <v>28</v>
      </c>
      <c r="C150" s="7" t="s">
        <v>20</v>
      </c>
      <c r="D150" s="11" t="e">
        <f>_xlfn.XLOOKUP(tbCoins8[[#This Row],[Ticker1]],#REF!,#REF!)/_xlfn.XLOOKUP(tbCoins8[[#This Row],[Ticker2]],#REF!,#REF!)</f>
        <v>#REF!</v>
      </c>
    </row>
    <row r="151" spans="2:4" ht="30" customHeight="1" x14ac:dyDescent="0.25">
      <c r="B151" s="7" t="s">
        <v>28</v>
      </c>
      <c r="C151" s="7" t="s">
        <v>21</v>
      </c>
      <c r="D151" s="11" t="e">
        <f>_xlfn.XLOOKUP(tbCoins8[[#This Row],[Ticker1]],#REF!,#REF!)/_xlfn.XLOOKUP(tbCoins8[[#This Row],[Ticker2]],#REF!,#REF!)</f>
        <v>#REF!</v>
      </c>
    </row>
    <row r="152" spans="2:4" ht="30" customHeight="1" x14ac:dyDescent="0.25">
      <c r="B152" s="7" t="s">
        <v>28</v>
      </c>
      <c r="C152" s="7" t="s">
        <v>22</v>
      </c>
      <c r="D152" s="11" t="e">
        <f>_xlfn.XLOOKUP(tbCoins8[[#This Row],[Ticker1]],#REF!,#REF!)/_xlfn.XLOOKUP(tbCoins8[[#This Row],[Ticker2]],#REF!,#REF!)</f>
        <v>#REF!</v>
      </c>
    </row>
    <row r="153" spans="2:4" ht="30" customHeight="1" x14ac:dyDescent="0.25">
      <c r="B153" s="7" t="s">
        <v>28</v>
      </c>
      <c r="C153" s="7" t="s">
        <v>23</v>
      </c>
      <c r="D153" s="11" t="e">
        <f>_xlfn.XLOOKUP(tbCoins8[[#This Row],[Ticker1]],#REF!,#REF!)/_xlfn.XLOOKUP(tbCoins8[[#This Row],[Ticker2]],#REF!,#REF!)</f>
        <v>#REF!</v>
      </c>
    </row>
    <row r="154" spans="2:4" ht="30" customHeight="1" x14ac:dyDescent="0.25">
      <c r="B154" s="7" t="s">
        <v>28</v>
      </c>
      <c r="C154" s="7" t="s">
        <v>24</v>
      </c>
      <c r="D154" s="11" t="e">
        <f>_xlfn.XLOOKUP(tbCoins8[[#This Row],[Ticker1]],#REF!,#REF!)/_xlfn.XLOOKUP(tbCoins8[[#This Row],[Ticker2]],#REF!,#REF!)</f>
        <v>#REF!</v>
      </c>
    </row>
    <row r="155" spans="2:4" ht="30" customHeight="1" x14ac:dyDescent="0.25">
      <c r="B155" s="7" t="s">
        <v>28</v>
      </c>
      <c r="C155" s="7" t="s">
        <v>25</v>
      </c>
      <c r="D155" s="11" t="e">
        <f>_xlfn.XLOOKUP(tbCoins8[[#This Row],[Ticker1]],#REF!,#REF!)/_xlfn.XLOOKUP(tbCoins8[[#This Row],[Ticker2]],#REF!,#REF!)</f>
        <v>#REF!</v>
      </c>
    </row>
    <row r="156" spans="2:4" ht="30" customHeight="1" x14ac:dyDescent="0.25">
      <c r="B156" s="7" t="s">
        <v>28</v>
      </c>
      <c r="C156" s="7" t="s">
        <v>27</v>
      </c>
      <c r="D156" s="11" t="e">
        <f>_xlfn.XLOOKUP(tbCoins8[[#This Row],[Ticker1]],#REF!,#REF!)/_xlfn.XLOOKUP(tbCoins8[[#This Row],[Ticker2]],#REF!,#REF!)</f>
        <v>#REF!</v>
      </c>
    </row>
    <row r="157" spans="2:4" ht="30" customHeight="1" x14ac:dyDescent="0.25">
      <c r="B157" s="7" t="s">
        <v>28</v>
      </c>
      <c r="C157" s="7" t="s">
        <v>28</v>
      </c>
      <c r="D157" s="11" t="e">
        <f>_xlfn.XLOOKUP(tbCoins8[[#This Row],[Ticker1]],#REF!,#REF!)/_xlfn.XLOOKUP(tbCoins8[[#This Row],[Ticker2]],#REF!,#REF!)</f>
        <v>#REF!</v>
      </c>
    </row>
    <row r="158" spans="2:4" ht="30" customHeight="1" x14ac:dyDescent="0.25">
      <c r="B158" s="7" t="s">
        <v>28</v>
      </c>
      <c r="C158" s="7" t="s">
        <v>26</v>
      </c>
      <c r="D158" s="11" t="e">
        <f>_xlfn.XLOOKUP(tbCoins8[[#This Row],[Ticker1]],#REF!,#REF!)/_xlfn.XLOOKUP(tbCoins8[[#This Row],[Ticker2]],#REF!,#REF!)</f>
        <v>#REF!</v>
      </c>
    </row>
    <row r="159" spans="2:4" ht="30" customHeight="1" x14ac:dyDescent="0.25">
      <c r="B159" s="7" t="s">
        <v>26</v>
      </c>
      <c r="C159" s="7" t="s">
        <v>17</v>
      </c>
      <c r="D159" s="11" t="e">
        <f>_xlfn.XLOOKUP(tbCoins8[[#This Row],[Ticker1]],#REF!,#REF!)/_xlfn.XLOOKUP(tbCoins8[[#This Row],[Ticker2]],#REF!,#REF!)</f>
        <v>#REF!</v>
      </c>
    </row>
    <row r="160" spans="2:4" ht="30" customHeight="1" x14ac:dyDescent="0.25">
      <c r="B160" s="7" t="s">
        <v>26</v>
      </c>
      <c r="C160" s="7" t="s">
        <v>17</v>
      </c>
      <c r="D160" s="11" t="e">
        <f>_xlfn.XLOOKUP(tbCoins8[[#This Row],[Ticker1]],#REF!,#REF!)/_xlfn.XLOOKUP(tbCoins8[[#This Row],[Ticker2]],#REF!,#REF!)</f>
        <v>#REF!</v>
      </c>
    </row>
    <row r="161" spans="2:4" ht="30" customHeight="1" x14ac:dyDescent="0.25">
      <c r="B161" s="7" t="s">
        <v>26</v>
      </c>
      <c r="C161" s="7" t="s">
        <v>8</v>
      </c>
      <c r="D161" s="11" t="e">
        <f>_xlfn.XLOOKUP(tbCoins8[[#This Row],[Ticker1]],#REF!,#REF!)/_xlfn.XLOOKUP(tbCoins8[[#This Row],[Ticker2]],#REF!,#REF!)</f>
        <v>#REF!</v>
      </c>
    </row>
    <row r="162" spans="2:4" ht="30" customHeight="1" x14ac:dyDescent="0.25">
      <c r="B162" s="7" t="s">
        <v>26</v>
      </c>
      <c r="C162" s="7" t="s">
        <v>8</v>
      </c>
      <c r="D162" s="11" t="e">
        <f>_xlfn.XLOOKUP(tbCoins8[[#This Row],[Ticker1]],#REF!,#REF!)/_xlfn.XLOOKUP(tbCoins8[[#This Row],[Ticker2]],#REF!,#REF!)</f>
        <v>#REF!</v>
      </c>
    </row>
    <row r="163" spans="2:4" ht="30" customHeight="1" x14ac:dyDescent="0.25">
      <c r="B163" s="7" t="s">
        <v>26</v>
      </c>
      <c r="C163" s="7" t="s">
        <v>18</v>
      </c>
      <c r="D163" s="11" t="e">
        <f>_xlfn.XLOOKUP(tbCoins8[[#This Row],[Ticker1]],#REF!,#REF!)/_xlfn.XLOOKUP(tbCoins8[[#This Row],[Ticker2]],#REF!,#REF!)</f>
        <v>#REF!</v>
      </c>
    </row>
    <row r="164" spans="2:4" ht="30" customHeight="1" x14ac:dyDescent="0.25">
      <c r="B164" s="7" t="s">
        <v>26</v>
      </c>
      <c r="C164" s="7" t="s">
        <v>18</v>
      </c>
      <c r="D164" s="11" t="e">
        <f>_xlfn.XLOOKUP(tbCoins8[[#This Row],[Ticker1]],#REF!,#REF!)/_xlfn.XLOOKUP(tbCoins8[[#This Row],[Ticker2]],#REF!,#REF!)</f>
        <v>#REF!</v>
      </c>
    </row>
    <row r="165" spans="2:4" ht="30" customHeight="1" x14ac:dyDescent="0.25">
      <c r="B165" s="7" t="s">
        <v>26</v>
      </c>
      <c r="C165" s="7" t="s">
        <v>19</v>
      </c>
      <c r="D165" s="11" t="e">
        <f>_xlfn.XLOOKUP(tbCoins8[[#This Row],[Ticker1]],#REF!,#REF!)/_xlfn.XLOOKUP(tbCoins8[[#This Row],[Ticker2]],#REF!,#REF!)</f>
        <v>#REF!</v>
      </c>
    </row>
    <row r="166" spans="2:4" ht="30" customHeight="1" x14ac:dyDescent="0.25">
      <c r="B166" s="7" t="s">
        <v>26</v>
      </c>
      <c r="C166" s="7" t="s">
        <v>19</v>
      </c>
      <c r="D166" s="11" t="e">
        <f>_xlfn.XLOOKUP(tbCoins8[[#This Row],[Ticker1]],#REF!,#REF!)/_xlfn.XLOOKUP(tbCoins8[[#This Row],[Ticker2]],#REF!,#REF!)</f>
        <v>#REF!</v>
      </c>
    </row>
    <row r="167" spans="2:4" ht="30" customHeight="1" x14ac:dyDescent="0.25">
      <c r="B167" s="7" t="s">
        <v>26</v>
      </c>
      <c r="C167" s="7" t="s">
        <v>20</v>
      </c>
      <c r="D167" s="11" t="e">
        <f>_xlfn.XLOOKUP(tbCoins8[[#This Row],[Ticker1]],#REF!,#REF!)/_xlfn.XLOOKUP(tbCoins8[[#This Row],[Ticker2]],#REF!,#REF!)</f>
        <v>#REF!</v>
      </c>
    </row>
    <row r="168" spans="2:4" ht="30" customHeight="1" x14ac:dyDescent="0.25">
      <c r="B168" s="7" t="s">
        <v>26</v>
      </c>
      <c r="C168" s="7" t="s">
        <v>20</v>
      </c>
      <c r="D168" s="11" t="e">
        <f>_xlfn.XLOOKUP(tbCoins8[[#This Row],[Ticker1]],#REF!,#REF!)/_xlfn.XLOOKUP(tbCoins8[[#This Row],[Ticker2]],#REF!,#REF!)</f>
        <v>#REF!</v>
      </c>
    </row>
    <row r="169" spans="2:4" ht="30" customHeight="1" x14ac:dyDescent="0.25">
      <c r="B169" s="7" t="s">
        <v>26</v>
      </c>
      <c r="C169" s="7" t="s">
        <v>21</v>
      </c>
      <c r="D169" s="11" t="e">
        <f>_xlfn.XLOOKUP(tbCoins8[[#This Row],[Ticker1]],#REF!,#REF!)/_xlfn.XLOOKUP(tbCoins8[[#This Row],[Ticker2]],#REF!,#REF!)</f>
        <v>#REF!</v>
      </c>
    </row>
    <row r="170" spans="2:4" ht="30" customHeight="1" x14ac:dyDescent="0.25">
      <c r="B170" s="7" t="s">
        <v>26</v>
      </c>
      <c r="C170" s="7" t="s">
        <v>21</v>
      </c>
      <c r="D170" s="11" t="e">
        <f>_xlfn.XLOOKUP(tbCoins8[[#This Row],[Ticker1]],#REF!,#REF!)/_xlfn.XLOOKUP(tbCoins8[[#This Row],[Ticker2]],#REF!,#REF!)</f>
        <v>#REF!</v>
      </c>
    </row>
    <row r="171" spans="2:4" ht="30" customHeight="1" x14ac:dyDescent="0.25">
      <c r="B171" s="7" t="s">
        <v>26</v>
      </c>
      <c r="C171" s="7" t="s">
        <v>22</v>
      </c>
      <c r="D171" s="11" t="e">
        <f>_xlfn.XLOOKUP(tbCoins8[[#This Row],[Ticker1]],#REF!,#REF!)/_xlfn.XLOOKUP(tbCoins8[[#This Row],[Ticker2]],#REF!,#REF!)</f>
        <v>#REF!</v>
      </c>
    </row>
    <row r="172" spans="2:4" ht="30" customHeight="1" x14ac:dyDescent="0.25">
      <c r="B172" s="7" t="s">
        <v>26</v>
      </c>
      <c r="C172" s="7" t="s">
        <v>22</v>
      </c>
      <c r="D172" s="11" t="e">
        <f>_xlfn.XLOOKUP(tbCoins8[[#This Row],[Ticker1]],#REF!,#REF!)/_xlfn.XLOOKUP(tbCoins8[[#This Row],[Ticker2]],#REF!,#REF!)</f>
        <v>#REF!</v>
      </c>
    </row>
    <row r="173" spans="2:4" ht="30" customHeight="1" x14ac:dyDescent="0.25">
      <c r="B173" s="7" t="s">
        <v>26</v>
      </c>
      <c r="C173" s="7" t="s">
        <v>23</v>
      </c>
      <c r="D173" s="11" t="e">
        <f>_xlfn.XLOOKUP(tbCoins8[[#This Row],[Ticker1]],#REF!,#REF!)/_xlfn.XLOOKUP(tbCoins8[[#This Row],[Ticker2]],#REF!,#REF!)</f>
        <v>#REF!</v>
      </c>
    </row>
    <row r="174" spans="2:4" ht="30" customHeight="1" x14ac:dyDescent="0.25">
      <c r="B174" s="7" t="s">
        <v>26</v>
      </c>
      <c r="C174" s="7" t="s">
        <v>23</v>
      </c>
      <c r="D174" s="11" t="e">
        <f>_xlfn.XLOOKUP(tbCoins8[[#This Row],[Ticker1]],#REF!,#REF!)/_xlfn.XLOOKUP(tbCoins8[[#This Row],[Ticker2]],#REF!,#REF!)</f>
        <v>#REF!</v>
      </c>
    </row>
    <row r="175" spans="2:4" ht="30" customHeight="1" x14ac:dyDescent="0.25">
      <c r="B175" s="7" t="s">
        <v>26</v>
      </c>
      <c r="C175" s="7" t="s">
        <v>24</v>
      </c>
      <c r="D175" s="11" t="e">
        <f>_xlfn.XLOOKUP(tbCoins8[[#This Row],[Ticker1]],#REF!,#REF!)/_xlfn.XLOOKUP(tbCoins8[[#This Row],[Ticker2]],#REF!,#REF!)</f>
        <v>#REF!</v>
      </c>
    </row>
    <row r="176" spans="2:4" ht="30" customHeight="1" x14ac:dyDescent="0.25">
      <c r="B176" s="7" t="s">
        <v>26</v>
      </c>
      <c r="C176" s="7" t="s">
        <v>24</v>
      </c>
      <c r="D176" s="11" t="e">
        <f>_xlfn.XLOOKUP(tbCoins8[[#This Row],[Ticker1]],#REF!,#REF!)/_xlfn.XLOOKUP(tbCoins8[[#This Row],[Ticker2]],#REF!,#REF!)</f>
        <v>#REF!</v>
      </c>
    </row>
    <row r="177" spans="2:4" ht="30" customHeight="1" x14ac:dyDescent="0.25">
      <c r="B177" s="7" t="s">
        <v>26</v>
      </c>
      <c r="C177" s="7" t="s">
        <v>25</v>
      </c>
      <c r="D177" s="11" t="e">
        <f>_xlfn.XLOOKUP(tbCoins8[[#This Row],[Ticker1]],#REF!,#REF!)/_xlfn.XLOOKUP(tbCoins8[[#This Row],[Ticker2]],#REF!,#REF!)</f>
        <v>#REF!</v>
      </c>
    </row>
    <row r="178" spans="2:4" ht="30" customHeight="1" x14ac:dyDescent="0.25">
      <c r="B178" s="7" t="s">
        <v>26</v>
      </c>
      <c r="C178" s="7" t="s">
        <v>25</v>
      </c>
      <c r="D178" s="11" t="e">
        <f>_xlfn.XLOOKUP(tbCoins8[[#This Row],[Ticker1]],#REF!,#REF!)/_xlfn.XLOOKUP(tbCoins8[[#This Row],[Ticker2]],#REF!,#REF!)</f>
        <v>#REF!</v>
      </c>
    </row>
    <row r="179" spans="2:4" ht="30" customHeight="1" x14ac:dyDescent="0.25">
      <c r="B179" s="7" t="s">
        <v>26</v>
      </c>
      <c r="C179" s="7" t="s">
        <v>27</v>
      </c>
      <c r="D179" s="11" t="e">
        <f>_xlfn.XLOOKUP(tbCoins8[[#This Row],[Ticker1]],#REF!,#REF!)/_xlfn.XLOOKUP(tbCoins8[[#This Row],[Ticker2]],#REF!,#REF!)</f>
        <v>#REF!</v>
      </c>
    </row>
    <row r="180" spans="2:4" ht="30" customHeight="1" x14ac:dyDescent="0.25">
      <c r="B180" s="7" t="s">
        <v>26</v>
      </c>
      <c r="C180" s="7" t="s">
        <v>27</v>
      </c>
      <c r="D180" s="11" t="e">
        <f>_xlfn.XLOOKUP(tbCoins8[[#This Row],[Ticker1]],#REF!,#REF!)/_xlfn.XLOOKUP(tbCoins8[[#This Row],[Ticker2]],#REF!,#REF!)</f>
        <v>#REF!</v>
      </c>
    </row>
    <row r="181" spans="2:4" ht="30" customHeight="1" x14ac:dyDescent="0.25">
      <c r="B181" s="7" t="s">
        <v>26</v>
      </c>
      <c r="C181" s="7" t="s">
        <v>28</v>
      </c>
      <c r="D181" s="11" t="e">
        <f>_xlfn.XLOOKUP(tbCoins8[[#This Row],[Ticker1]],#REF!,#REF!)/_xlfn.XLOOKUP(tbCoins8[[#This Row],[Ticker2]],#REF!,#REF!)</f>
        <v>#REF!</v>
      </c>
    </row>
    <row r="182" spans="2:4" ht="30" customHeight="1" x14ac:dyDescent="0.25">
      <c r="B182" s="7" t="s">
        <v>26</v>
      </c>
      <c r="C182" s="7" t="s">
        <v>28</v>
      </c>
      <c r="D182" s="11" t="e">
        <f>_xlfn.XLOOKUP(tbCoins8[[#This Row],[Ticker1]],#REF!,#REF!)/_xlfn.XLOOKUP(tbCoins8[[#This Row],[Ticker2]],#REF!,#REF!)</f>
        <v>#REF!</v>
      </c>
    </row>
    <row r="183" spans="2:4" ht="30" customHeight="1" x14ac:dyDescent="0.25">
      <c r="B183" s="7" t="s">
        <v>26</v>
      </c>
      <c r="C183" s="7" t="s">
        <v>26</v>
      </c>
      <c r="D183" s="11" t="e">
        <f>_xlfn.XLOOKUP(tbCoins8[[#This Row],[Ticker1]],#REF!,#REF!)/_xlfn.XLOOKUP(tbCoins8[[#This Row],[Ticker2]],#REF!,#REF!)</f>
        <v>#REF!</v>
      </c>
    </row>
    <row r="184" spans="2:4" ht="30" customHeight="1" x14ac:dyDescent="0.25">
      <c r="B184" s="7" t="s">
        <v>26</v>
      </c>
      <c r="C184" s="7" t="s">
        <v>26</v>
      </c>
      <c r="D184" s="11" t="e">
        <f>_xlfn.XLOOKUP(tbCoins8[[#This Row],[Ticker1]],#REF!,#REF!)/_xlfn.XLOOKUP(tbCoins8[[#This Row],[Ticker2]],#REF!,#REF!)</f>
        <v>#REF!</v>
      </c>
    </row>
  </sheetData>
  <phoneticPr fontId="36" type="noConversion"/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1F7AB6-2A6E-4390-A69A-AF6337D480B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20</vt:i4>
      </vt:variant>
    </vt:vector>
  </HeadingPairs>
  <TitlesOfParts>
    <vt:vector size="30" baseType="lpstr">
      <vt:lpstr>Balances</vt:lpstr>
      <vt:lpstr>tbMyQuotes</vt:lpstr>
      <vt:lpstr>Transactions</vt:lpstr>
      <vt:lpstr>Journal</vt:lpstr>
      <vt:lpstr>Dashboard</vt:lpstr>
      <vt:lpstr>Scratch Pad</vt:lpstr>
      <vt:lpstr>Penny Stocks</vt:lpstr>
      <vt:lpstr>Asset history</vt:lpstr>
      <vt:lpstr>Asset watchlist</vt:lpstr>
      <vt:lpstr>Exchange</vt:lpstr>
      <vt:lpstr>iBITO_Delta</vt:lpstr>
      <vt:lpstr>iBITO_Price</vt:lpstr>
      <vt:lpstr>iBTCX_Delta</vt:lpstr>
      <vt:lpstr>iBTCX_Price</vt:lpstr>
      <vt:lpstr>Dashboard!iCurrentValueETH</vt:lpstr>
      <vt:lpstr>iCurrentValueETH</vt:lpstr>
      <vt:lpstr>Dashboard!iDelta</vt:lpstr>
      <vt:lpstr>iDelta</vt:lpstr>
      <vt:lpstr>iETH_Delta</vt:lpstr>
      <vt:lpstr>iETH_Price</vt:lpstr>
      <vt:lpstr>Dashboard!iETHAdded</vt:lpstr>
      <vt:lpstr>iETHAdded</vt:lpstr>
      <vt:lpstr>Dashboard!iETHStarting</vt:lpstr>
      <vt:lpstr>iETHStarting</vt:lpstr>
      <vt:lpstr>iETHX_Delta</vt:lpstr>
      <vt:lpstr>iETHX_Price</vt:lpstr>
      <vt:lpstr>Dashboard!iGrowthETH</vt:lpstr>
      <vt:lpstr>iGrowthETH</vt:lpstr>
      <vt:lpstr>iOpeningBalanceETH</vt:lpstr>
      <vt:lpstr>Dashboard!PhoneTradeFee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Chase</dc:creator>
  <cp:lastModifiedBy>David Chase</cp:lastModifiedBy>
  <dcterms:created xsi:type="dcterms:W3CDTF">2021-05-03T01:54:43Z</dcterms:created>
  <dcterms:modified xsi:type="dcterms:W3CDTF">2023-03-18T12:32:59Z</dcterms:modified>
</cp:coreProperties>
</file>